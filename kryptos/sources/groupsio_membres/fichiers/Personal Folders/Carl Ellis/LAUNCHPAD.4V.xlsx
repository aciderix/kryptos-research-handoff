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345" windowWidth="20775" windowHeight="9420" tabRatio="294"/>
  </bookViews>
  <sheets>
    <sheet name="SCHEIDT_METHOD" sheetId="8" r:id="rId1"/>
    <sheet name="MISC._AND_ALTS." sheetId="9" r:id="rId2"/>
  </sheets>
  <definedNames>
    <definedName name="EXPLANATIONS">SCHEIDT_METHOD!$B$34:$AH$44</definedName>
    <definedName name="SECTION_1">SCHEIDT_METHOD!$B$4:$AI$33</definedName>
    <definedName name="SECTION_2">SCHEIDT_METHOD!$B$50:$AI$78</definedName>
    <definedName name="SQ.SUMS">MISC._AND_ALTS.!$L$23:$P$34</definedName>
    <definedName name="STEPWISE">MISC._AND_ALTS.!$B$23:$G$39</definedName>
    <definedName name="TRIG">MISC._AND_ALTS.!$A$43:$M$61</definedName>
  </definedNames>
  <calcPr calcId="125725"/>
</workbook>
</file>

<file path=xl/calcChain.xml><?xml version="1.0" encoding="utf-8"?>
<calcChain xmlns="http://schemas.openxmlformats.org/spreadsheetml/2006/main">
  <c r="P34" i="9"/>
  <c r="P33"/>
  <c r="P32"/>
  <c r="P31"/>
  <c r="P30"/>
  <c r="P29"/>
  <c r="P28"/>
  <c r="P27"/>
  <c r="P26"/>
  <c r="P25"/>
  <c r="P24"/>
  <c r="P23"/>
  <c r="I61"/>
  <c r="H61"/>
  <c r="G61"/>
  <c r="F50"/>
  <c r="F49"/>
  <c r="F48"/>
  <c r="F47"/>
  <c r="F46"/>
  <c r="F45"/>
  <c r="F44"/>
  <c r="E25" l="1"/>
  <c r="E24"/>
  <c r="E39"/>
  <c r="E38"/>
  <c r="E37"/>
  <c r="E36"/>
  <c r="E35"/>
  <c r="E34"/>
  <c r="E33"/>
  <c r="E32"/>
  <c r="E31"/>
  <c r="E30"/>
  <c r="E29"/>
  <c r="E28"/>
  <c r="E27"/>
  <c r="C24"/>
  <c r="D24" s="1"/>
  <c r="D23"/>
  <c r="C25" l="1"/>
  <c r="D25" l="1"/>
  <c r="C26"/>
  <c r="D26" l="1"/>
  <c r="C27"/>
  <c r="D27" l="1"/>
  <c r="C28"/>
  <c r="D28" l="1"/>
  <c r="C29"/>
  <c r="D29" l="1"/>
  <c r="C30"/>
  <c r="D30" l="1"/>
  <c r="C31"/>
  <c r="D31" l="1"/>
  <c r="C32"/>
  <c r="D32" l="1"/>
  <c r="C33"/>
  <c r="D33" l="1"/>
  <c r="C34"/>
  <c r="D34" l="1"/>
  <c r="C35"/>
  <c r="P9"/>
  <c r="X18"/>
  <c r="X17"/>
  <c r="X16"/>
  <c r="X15"/>
  <c r="X14"/>
  <c r="X13"/>
  <c r="X12"/>
  <c r="X11"/>
  <c r="X10"/>
  <c r="X9"/>
  <c r="X8"/>
  <c r="X7"/>
  <c r="X6"/>
  <c r="W17"/>
  <c r="W16"/>
  <c r="W15"/>
  <c r="W14"/>
  <c r="W13"/>
  <c r="W12"/>
  <c r="W11"/>
  <c r="W10"/>
  <c r="W9"/>
  <c r="W8"/>
  <c r="W7"/>
  <c r="W6"/>
  <c r="V16"/>
  <c r="V15"/>
  <c r="V14"/>
  <c r="V13"/>
  <c r="V12"/>
  <c r="V11"/>
  <c r="V10"/>
  <c r="V9"/>
  <c r="V8"/>
  <c r="V7"/>
  <c r="V6"/>
  <c r="U15"/>
  <c r="U14"/>
  <c r="U13"/>
  <c r="U12"/>
  <c r="U11"/>
  <c r="U10"/>
  <c r="U9"/>
  <c r="U8"/>
  <c r="U7"/>
  <c r="U6"/>
  <c r="T14"/>
  <c r="T13"/>
  <c r="T12"/>
  <c r="T11"/>
  <c r="T10"/>
  <c r="T9"/>
  <c r="T8"/>
  <c r="T7"/>
  <c r="T6"/>
  <c r="S13"/>
  <c r="S12"/>
  <c r="S11"/>
  <c r="S10"/>
  <c r="S9"/>
  <c r="S8"/>
  <c r="S7"/>
  <c r="S6"/>
  <c r="R12"/>
  <c r="R11"/>
  <c r="R10"/>
  <c r="R9"/>
  <c r="R8"/>
  <c r="R7"/>
  <c r="R6"/>
  <c r="Q11"/>
  <c r="Q10"/>
  <c r="Q9"/>
  <c r="Q8"/>
  <c r="Q7"/>
  <c r="Q6"/>
  <c r="P10"/>
  <c r="P8"/>
  <c r="P7"/>
  <c r="P6"/>
  <c r="O9"/>
  <c r="O8"/>
  <c r="O7"/>
  <c r="O6"/>
  <c r="N6"/>
  <c r="M6"/>
  <c r="L6"/>
  <c r="N8"/>
  <c r="N7"/>
  <c r="M7"/>
  <c r="AI71" i="8"/>
  <c r="AJ71"/>
  <c r="AJ72"/>
  <c r="AJ77"/>
  <c r="AJ75"/>
  <c r="AJ73"/>
  <c r="AI10"/>
  <c r="AI41"/>
  <c r="AI39"/>
  <c r="AI37"/>
  <c r="AI27"/>
  <c r="AI23"/>
  <c r="AI19"/>
  <c r="AI11"/>
  <c r="AI7"/>
  <c r="AI5"/>
  <c r="N36"/>
  <c r="D35" i="9" l="1"/>
  <c r="C36"/>
  <c r="AJ74" i="8"/>
  <c r="AJ76" s="1"/>
  <c r="AJ78" s="1"/>
  <c r="N35"/>
  <c r="N34"/>
  <c r="D36" i="9" l="1"/>
  <c r="C37"/>
  <c r="AI69" i="8"/>
  <c r="AI67"/>
  <c r="AI65"/>
  <c r="AI63"/>
  <c r="AI61"/>
  <c r="AI59"/>
  <c r="AI57"/>
  <c r="AI55"/>
  <c r="AI53"/>
  <c r="AI51"/>
  <c r="AI52"/>
  <c r="AI31"/>
  <c r="AI29"/>
  <c r="AI25"/>
  <c r="AI21"/>
  <c r="AI17"/>
  <c r="AI15"/>
  <c r="AI13"/>
  <c r="AI9"/>
  <c r="AI6"/>
  <c r="D37" i="9" l="1"/>
  <c r="C38"/>
  <c r="AI8" i="8"/>
  <c r="AI12" s="1"/>
  <c r="AI14" s="1"/>
  <c r="AI16" s="1"/>
  <c r="AI18" s="1"/>
  <c r="AI20" s="1"/>
  <c r="AI22" s="1"/>
  <c r="AI24" s="1"/>
  <c r="AI26" s="1"/>
  <c r="AI28" s="1"/>
  <c r="AI30" s="1"/>
  <c r="AI32" s="1"/>
  <c r="AI54"/>
  <c r="AI56" s="1"/>
  <c r="AI58" s="1"/>
  <c r="AI60" s="1"/>
  <c r="AI62" s="1"/>
  <c r="AI64" s="1"/>
  <c r="AI66" s="1"/>
  <c r="D38" i="9" l="1"/>
  <c r="C39"/>
  <c r="D39" s="1"/>
  <c r="AI68" i="8"/>
  <c r="AI70" s="1"/>
  <c r="AI72" s="1"/>
</calcChain>
</file>

<file path=xl/sharedStrings.xml><?xml version="1.0" encoding="utf-8"?>
<sst xmlns="http://schemas.openxmlformats.org/spreadsheetml/2006/main" count="1938" uniqueCount="212">
  <si>
    <t>K</t>
  </si>
  <si>
    <t>R</t>
  </si>
  <si>
    <t>Y</t>
  </si>
  <si>
    <t>P</t>
  </si>
  <si>
    <t>T</t>
  </si>
  <si>
    <t>O</t>
  </si>
  <si>
    <t>S</t>
  </si>
  <si>
    <t>B</t>
  </si>
  <si>
    <t>E</t>
  </si>
  <si>
    <t>W</t>
  </si>
  <si>
    <t>N</t>
  </si>
  <si>
    <t>U</t>
  </si>
  <si>
    <t>L</t>
  </si>
  <si>
    <t>H</t>
  </si>
  <si>
    <t>A</t>
  </si>
  <si>
    <t>D</t>
  </si>
  <si>
    <t>I</t>
  </si>
  <si>
    <t>G</t>
  </si>
  <si>
    <t>C</t>
  </si>
  <si>
    <t>F</t>
  </si>
  <si>
    <t>Q</t>
  </si>
  <si>
    <t>V</t>
  </si>
  <si>
    <t>M</t>
  </si>
  <si>
    <t>X</t>
  </si>
  <si>
    <t>E1</t>
  </si>
  <si>
    <t>E2</t>
  </si>
  <si>
    <t>P1</t>
  </si>
  <si>
    <t>P2</t>
  </si>
  <si>
    <t>P3</t>
  </si>
  <si>
    <t>b</t>
  </si>
  <si>
    <t>e</t>
  </si>
  <si>
    <t>t</t>
  </si>
  <si>
    <t>w</t>
  </si>
  <si>
    <t>n</t>
  </si>
  <si>
    <t>s</t>
  </si>
  <si>
    <t>u</t>
  </si>
  <si>
    <t>l</t>
  </si>
  <si>
    <t>h</t>
  </si>
  <si>
    <t>a</t>
  </si>
  <si>
    <t>d</t>
  </si>
  <si>
    <t>i</t>
  </si>
  <si>
    <t>g</t>
  </si>
  <si>
    <t>c</t>
  </si>
  <si>
    <t>o</t>
  </si>
  <si>
    <t>f</t>
  </si>
  <si>
    <t>q</t>
  </si>
  <si>
    <t>y</t>
  </si>
  <si>
    <t>v</t>
  </si>
  <si>
    <t>p</t>
  </si>
  <si>
    <t>r</t>
  </si>
  <si>
    <t>m</t>
  </si>
  <si>
    <t>x</t>
  </si>
  <si>
    <t>k</t>
  </si>
  <si>
    <t>Z</t>
  </si>
  <si>
    <t>J</t>
  </si>
  <si>
    <t>?</t>
  </si>
  <si>
    <t>K2 Value of E2</t>
  </si>
  <si>
    <t>K2 Value of P3</t>
  </si>
  <si>
    <t>K2 Value of P2</t>
  </si>
  <si>
    <t xml:space="preserve">CT.  336 is his check, indicating the number </t>
  </si>
  <si>
    <t xml:space="preserve">of characters to be enciphered.  He uses </t>
  </si>
  <si>
    <t xml:space="preserve">values, rather than distances, and works </t>
  </si>
  <si>
    <t xml:space="preserve">251 is the Encrypter's interval for finding </t>
  </si>
  <si>
    <t xml:space="preserve">and the system's modular value.  The Cryptanalyst works using </t>
  </si>
  <si>
    <t>47 &amp; 98 are useful in making Van Ryswyk's geometric represen-</t>
  </si>
  <si>
    <t xml:space="preserve">group, and the 8th letter of the </t>
  </si>
  <si>
    <t xml:space="preserve">the distances, and mostly "from the outside in". </t>
  </si>
  <si>
    <t>Line Total</t>
  </si>
  <si>
    <t>Running Total</t>
  </si>
  <si>
    <t>VISUAL  REPRESENTATION  OF  ELLIS  THEORY  OF  SCHEIDT  METHOD  OF  CLUEING  K3  ANALYSIS</t>
  </si>
  <si>
    <t>"outward from inside"</t>
  </si>
  <si>
    <t>Q1</t>
  </si>
  <si>
    <t>Q2</t>
  </si>
  <si>
    <t>Q3</t>
  </si>
  <si>
    <r>
      <t xml:space="preserve">7th letter of 5th </t>
    </r>
    <r>
      <rPr>
        <b/>
        <i/>
        <sz val="11"/>
        <color rgb="FF008000"/>
        <rFont val="Verdana"/>
        <family val="2"/>
      </rPr>
      <t>PALIMPSEST</t>
    </r>
    <r>
      <rPr>
        <b/>
        <sz val="11"/>
        <color rgb="FF008000"/>
        <rFont val="Verdana"/>
        <family val="2"/>
      </rPr>
      <t xml:space="preserve"> group.</t>
    </r>
  </si>
  <si>
    <r>
      <t>A  "</t>
    </r>
    <r>
      <rPr>
        <i/>
        <sz val="11"/>
        <color rgb="FF008000"/>
        <rFont val="Verdana"/>
        <family val="2"/>
      </rPr>
      <t>PALIMPSEST</t>
    </r>
    <r>
      <rPr>
        <sz val="11"/>
        <color rgb="FF008000"/>
        <rFont val="Verdana"/>
        <family val="2"/>
      </rPr>
      <t xml:space="preserve"> group"  of 10</t>
    </r>
  </si>
  <si>
    <r>
      <t xml:space="preserve">the 5th letter of the 11th </t>
    </r>
    <r>
      <rPr>
        <b/>
        <i/>
        <sz val="11"/>
        <color rgb="FF0070C0"/>
        <rFont val="Verdana"/>
        <family val="2"/>
      </rPr>
      <t>ABSCISSA</t>
    </r>
    <r>
      <rPr>
        <b/>
        <sz val="11"/>
        <color rgb="FF0070C0"/>
        <rFont val="Verdana"/>
        <family val="2"/>
      </rPr>
      <t xml:space="preserve"> </t>
    </r>
  </si>
  <si>
    <r>
      <t xml:space="preserve">17th </t>
    </r>
    <r>
      <rPr>
        <b/>
        <i/>
        <sz val="11"/>
        <color rgb="FF0070C0"/>
        <rFont val="Verdana"/>
        <family val="2"/>
      </rPr>
      <t>ABSCISSA</t>
    </r>
    <r>
      <rPr>
        <b/>
        <sz val="11"/>
        <color rgb="FF0070C0"/>
        <rFont val="Verdana"/>
        <family val="2"/>
      </rPr>
      <t xml:space="preserve"> group.</t>
    </r>
  </si>
  <si>
    <r>
      <t>An  "</t>
    </r>
    <r>
      <rPr>
        <i/>
        <sz val="11"/>
        <color rgb="FF0070C0"/>
        <rFont val="Verdana"/>
        <family val="2"/>
      </rPr>
      <t>ABSCISSA</t>
    </r>
    <r>
      <rPr>
        <sz val="11"/>
        <color rgb="FF0070C0"/>
        <rFont val="Verdana"/>
        <family val="2"/>
      </rPr>
      <t xml:space="preserve"> group"  of 8</t>
    </r>
  </si>
  <si>
    <r>
      <t>115+136=</t>
    </r>
    <r>
      <rPr>
        <b/>
        <sz val="10"/>
        <color theme="9" tint="-0.499984740745262"/>
        <rFont val="Verdana"/>
        <family val="2"/>
      </rPr>
      <t>251</t>
    </r>
  </si>
  <si>
    <r>
      <rPr>
        <sz val="10"/>
        <color rgb="FF008000"/>
        <rFont val="Verdana"/>
        <family val="2"/>
      </rPr>
      <t>47+51=</t>
    </r>
    <r>
      <rPr>
        <b/>
        <sz val="10"/>
        <color rgb="FF008000"/>
        <rFont val="Verdana"/>
        <family val="2"/>
      </rPr>
      <t>98</t>
    </r>
  </si>
  <si>
    <r>
      <rPr>
        <sz val="10"/>
        <color rgb="FF008000"/>
        <rFont val="Verdana"/>
        <family val="2"/>
      </rPr>
      <t>47+98+192=</t>
    </r>
    <r>
      <rPr>
        <b/>
        <sz val="10"/>
        <color rgb="FF008000"/>
        <rFont val="Verdana"/>
        <family val="2"/>
      </rPr>
      <t>337</t>
    </r>
  </si>
  <si>
    <r>
      <t>251+85=</t>
    </r>
    <r>
      <rPr>
        <b/>
        <sz val="10"/>
        <color theme="9" tint="-0.499984740745262"/>
        <rFont val="Verdana"/>
        <family val="2"/>
      </rPr>
      <t>336</t>
    </r>
  </si>
  <si>
    <t>K/q</t>
  </si>
  <si>
    <t>R/u</t>
  </si>
  <si>
    <t>L/e</t>
  </si>
  <si>
    <t>U/s</t>
  </si>
  <si>
    <t>F/o</t>
  </si>
  <si>
    <t xml:space="preserve">tation of the K3 system.  47 is the start letter CT location in K3 </t>
  </si>
  <si>
    <t xml:space="preserve">for the first pt letter, and 192 the interval for further pt letters.   </t>
  </si>
  <si>
    <t>337 is the length of K3 if the unenciphered punctuation is included,</t>
  </si>
  <si>
    <r>
      <t xml:space="preserve">INDICATED </t>
    </r>
    <r>
      <rPr>
        <b/>
        <sz val="10"/>
        <color theme="1"/>
        <rFont val="Verdana"/>
        <family val="2"/>
      </rPr>
      <t>P</t>
    </r>
    <r>
      <rPr>
        <sz val="10"/>
        <color theme="1"/>
        <rFont val="Verdana"/>
        <family val="2"/>
      </rPr>
      <t xml:space="preserve">OINT </t>
    </r>
    <r>
      <rPr>
        <b/>
        <sz val="10"/>
        <color theme="1"/>
        <rFont val="Verdana"/>
        <family val="2"/>
      </rPr>
      <t>1</t>
    </r>
  </si>
  <si>
    <r>
      <t>INDICATED</t>
    </r>
    <r>
      <rPr>
        <b/>
        <sz val="10"/>
        <color theme="1"/>
        <rFont val="Verdana"/>
        <family val="2"/>
      </rPr>
      <t xml:space="preserve"> P</t>
    </r>
    <r>
      <rPr>
        <sz val="10"/>
        <color theme="1"/>
        <rFont val="Verdana"/>
        <family val="2"/>
      </rPr>
      <t>OINT</t>
    </r>
    <r>
      <rPr>
        <b/>
        <sz val="10"/>
        <color theme="1"/>
        <rFont val="Verdana"/>
        <family val="2"/>
      </rPr>
      <t xml:space="preserve"> 2 </t>
    </r>
  </si>
  <si>
    <r>
      <t xml:space="preserve">INDICATED </t>
    </r>
    <r>
      <rPr>
        <b/>
        <sz val="10"/>
        <color theme="1"/>
        <rFont val="Verdana"/>
        <family val="2"/>
      </rPr>
      <t>P</t>
    </r>
    <r>
      <rPr>
        <sz val="10"/>
        <color theme="1"/>
        <rFont val="Verdana"/>
        <family val="2"/>
      </rPr>
      <t xml:space="preserve">OINT </t>
    </r>
    <r>
      <rPr>
        <b/>
        <sz val="10"/>
        <color theme="1"/>
        <rFont val="Verdana"/>
        <family val="2"/>
      </rPr>
      <t xml:space="preserve">3 </t>
    </r>
  </si>
  <si>
    <r>
      <t>"</t>
    </r>
    <r>
      <rPr>
        <b/>
        <sz val="10"/>
        <color rgb="FF008000"/>
        <rFont val="Verdana"/>
        <family val="2"/>
      </rPr>
      <t>E</t>
    </r>
    <r>
      <rPr>
        <sz val="10"/>
        <color rgb="FF008000"/>
        <rFont val="Verdana"/>
        <family val="2"/>
      </rPr>
      <t xml:space="preserve">rror" No. </t>
    </r>
    <r>
      <rPr>
        <b/>
        <sz val="10"/>
        <color rgb="FF008000"/>
        <rFont val="Verdana"/>
        <family val="2"/>
      </rPr>
      <t>1</t>
    </r>
  </si>
  <si>
    <r>
      <t>"</t>
    </r>
    <r>
      <rPr>
        <b/>
        <sz val="10"/>
        <color rgb="FF0070C0"/>
        <rFont val="Verdana"/>
        <family val="2"/>
      </rPr>
      <t>E</t>
    </r>
    <r>
      <rPr>
        <sz val="10"/>
        <color rgb="FF0070C0"/>
        <rFont val="Verdana"/>
        <family val="2"/>
      </rPr>
      <t xml:space="preserve">rror" No. </t>
    </r>
    <r>
      <rPr>
        <b/>
        <sz val="10"/>
        <color rgb="FF0070C0"/>
        <rFont val="Verdana"/>
        <family val="2"/>
      </rPr>
      <t>2</t>
    </r>
  </si>
  <si>
    <t>§1 - K1 &amp; K2, §2 - K3 &amp; K4, §3 - Upper Tableau, §4 - Lower Tableau</t>
  </si>
  <si>
    <t xml:space="preserve">"Error" at K1#57 / §1#57 indicates the </t>
  </si>
  <si>
    <t xml:space="preserve">"Error" at K2#115 / §1#178 indicates </t>
  </si>
  <si>
    <t>&gt;37</t>
  </si>
  <si>
    <t>End</t>
  </si>
  <si>
    <t>&gt;125/162</t>
  </si>
  <si>
    <t>&gt;61/223</t>
  </si>
  <si>
    <t>&gt;147/370</t>
  </si>
  <si>
    <t>[END]</t>
  </si>
  <si>
    <t>START &gt; P1</t>
  </si>
  <si>
    <t>P2 &gt; P3</t>
  </si>
  <si>
    <t>E2 &gt; END</t>
  </si>
  <si>
    <r>
      <t>1</t>
    </r>
    <r>
      <rPr>
        <vertAlign val="superscript"/>
        <sz val="10"/>
        <color rgb="FF008000"/>
        <rFont val="Verdana"/>
        <family val="2"/>
      </rPr>
      <t>ST</t>
    </r>
    <r>
      <rPr>
        <sz val="10"/>
        <color rgb="FF008000"/>
        <rFont val="Verdana"/>
        <family val="2"/>
      </rPr>
      <t xml:space="preserve"> Calc. No.</t>
    </r>
  </si>
  <si>
    <r>
      <t>2</t>
    </r>
    <r>
      <rPr>
        <vertAlign val="superscript"/>
        <sz val="10"/>
        <color rgb="FF008000"/>
        <rFont val="Verdana"/>
        <family val="2"/>
      </rPr>
      <t>ND</t>
    </r>
    <r>
      <rPr>
        <sz val="10"/>
        <color rgb="FF008000"/>
        <rFont val="Verdana"/>
        <family val="2"/>
      </rPr>
      <t xml:space="preserve"> Calc. No.</t>
    </r>
  </si>
  <si>
    <r>
      <t>3</t>
    </r>
    <r>
      <rPr>
        <vertAlign val="superscript"/>
        <sz val="10"/>
        <color rgb="FF008000"/>
        <rFont val="Verdana"/>
        <family val="2"/>
      </rPr>
      <t>RD</t>
    </r>
    <r>
      <rPr>
        <sz val="10"/>
        <color rgb="FF008000"/>
        <rFont val="Verdana"/>
        <family val="2"/>
      </rPr>
      <t xml:space="preserve"> Calc. No.</t>
    </r>
  </si>
  <si>
    <t xml:space="preserve">Start §1 &gt;Q1    </t>
  </si>
  <si>
    <t xml:space="preserve">Start §1 &gt;Q2   </t>
  </si>
  <si>
    <t xml:space="preserve">Start §1 &gt;Q3    </t>
  </si>
  <si>
    <t xml:space="preserve">Start §1 &gt;"END"   </t>
  </si>
  <si>
    <t>178-37</t>
  </si>
  <si>
    <t>370-37</t>
  </si>
  <si>
    <t>225-37</t>
  </si>
  <si>
    <t>100-57</t>
  </si>
  <si>
    <t>225+57</t>
  </si>
  <si>
    <t>100+37</t>
  </si>
  <si>
    <t>S1</t>
  </si>
  <si>
    <t>S2</t>
  </si>
  <si>
    <t>E3</t>
  </si>
  <si>
    <t>O1</t>
  </si>
  <si>
    <t>F1</t>
  </si>
  <si>
    <t>F2</t>
  </si>
  <si>
    <t>FE</t>
  </si>
  <si>
    <t>Start of K2</t>
  </si>
  <si>
    <t xml:space="preserve">Start of K1 &amp; §1 </t>
  </si>
  <si>
    <t>(E/b)</t>
  </si>
  <si>
    <t>(V/i)</t>
  </si>
  <si>
    <t>Error 1</t>
  </si>
  <si>
    <t>(K/q)</t>
  </si>
  <si>
    <t>Error 2</t>
  </si>
  <si>
    <t>(R/u)</t>
  </si>
  <si>
    <t>Error 3</t>
  </si>
  <si>
    <t>(L/a)</t>
  </si>
  <si>
    <t>Omission 1</t>
  </si>
  <si>
    <t>(H/t-E/l)</t>
  </si>
  <si>
    <t>First Query</t>
  </si>
  <si>
    <t>Second Query</t>
  </si>
  <si>
    <t>(K/e-D/t)</t>
  </si>
  <si>
    <t>(H/s-D/t)</t>
  </si>
  <si>
    <t>Third Query</t>
  </si>
  <si>
    <t>(Z/n-F/o)</t>
  </si>
  <si>
    <t>Finish of K1</t>
  </si>
  <si>
    <t>(D/n)</t>
  </si>
  <si>
    <t>Finish of K2 &amp; §1</t>
  </si>
  <si>
    <t>(G/o)</t>
  </si>
  <si>
    <t>Finish of Central</t>
  </si>
  <si>
    <t>layer (Per Ellis)</t>
  </si>
  <si>
    <t>(E/o)</t>
  </si>
  <si>
    <t>Point Ind'd. by E1</t>
  </si>
  <si>
    <t>(L/e)</t>
  </si>
  <si>
    <t>Lwr. Pt. Ind'd by E2</t>
  </si>
  <si>
    <t>(U/s)</t>
  </si>
  <si>
    <t>Upr. Pt. Ind'd. by E2</t>
  </si>
  <si>
    <t>(F/o)</t>
  </si>
  <si>
    <t xml:space="preserve">E2 </t>
  </si>
  <si>
    <t xml:space="preserve">E3  </t>
  </si>
  <si>
    <t xml:space="preserve">F1 </t>
  </si>
  <si>
    <t xml:space="preserve">F2  </t>
  </si>
  <si>
    <t xml:space="preserve">FE  </t>
  </si>
  <si>
    <t xml:space="preserve">P1 </t>
  </si>
  <si>
    <t xml:space="preserve">P2  </t>
  </si>
  <si>
    <t xml:space="preserve">P3  </t>
  </si>
  <si>
    <t xml:space="preserve">Q1  </t>
  </si>
  <si>
    <t xml:space="preserve">Q2  </t>
  </si>
  <si>
    <t xml:space="preserve">Q3 </t>
  </si>
  <si>
    <t xml:space="preserve">S1  </t>
  </si>
  <si>
    <t>178+57</t>
  </si>
  <si>
    <t>192+100+37</t>
  </si>
  <si>
    <t>192+100-61</t>
  </si>
  <si>
    <t>Msg. Divn.</t>
  </si>
  <si>
    <t>Whole</t>
  </si>
  <si>
    <t>147-57</t>
  </si>
  <si>
    <t>147+37</t>
  </si>
  <si>
    <t>100-61</t>
  </si>
  <si>
    <t>147-61</t>
  </si>
  <si>
    <t>286-192</t>
  </si>
  <si>
    <t>192+47</t>
  </si>
  <si>
    <t>Trunc.</t>
  </si>
  <si>
    <t>Θ = 38.95181°, SIN 0.62867</t>
  </si>
  <si>
    <t>Θ = 63.90263°, SIN 0.89637</t>
  </si>
  <si>
    <t xml:space="preserve">is the leg  of an Isoceles Rt. Tr. of Hyp. </t>
  </si>
  <si>
    <t>is the leg  of an Isoceles Rt. Tr. of Hyp.</t>
  </si>
  <si>
    <r>
      <t xml:space="preserve">&amp; 79 are </t>
    </r>
    <r>
      <rPr>
        <b/>
        <sz val="10"/>
        <rFont val="Verdana"/>
        <family val="2"/>
      </rPr>
      <t>Adj</t>
    </r>
    <r>
      <rPr>
        <sz val="10"/>
        <rFont val="Verdana"/>
        <family val="2"/>
      </rPr>
      <t xml:space="preserve">. &amp; </t>
    </r>
    <r>
      <rPr>
        <b/>
        <sz val="10"/>
        <rFont val="Verdana"/>
        <family val="2"/>
      </rPr>
      <t>Opp</t>
    </r>
    <r>
      <rPr>
        <sz val="10"/>
        <rFont val="Verdana"/>
        <family val="2"/>
      </rPr>
      <t xml:space="preserve"> of a Rt. Tr. of Hyp.</t>
    </r>
  </si>
  <si>
    <r>
      <t xml:space="preserve">&amp; 299.31 are </t>
    </r>
    <r>
      <rPr>
        <b/>
        <sz val="10"/>
        <rFont val="Verdana"/>
        <family val="2"/>
      </rPr>
      <t>Adj</t>
    </r>
    <r>
      <rPr>
        <sz val="10"/>
        <rFont val="Verdana"/>
        <family val="2"/>
      </rPr>
      <t xml:space="preserve">. &amp; </t>
    </r>
    <r>
      <rPr>
        <b/>
        <sz val="10"/>
        <rFont val="Verdana"/>
        <family val="2"/>
      </rPr>
      <t>Opp</t>
    </r>
    <r>
      <rPr>
        <sz val="10"/>
        <rFont val="Verdana"/>
        <family val="2"/>
      </rPr>
      <t xml:space="preserve"> of a Rt. Tr. of Hyp.</t>
    </r>
  </si>
  <si>
    <r>
      <t xml:space="preserve">&amp; 239.3 are </t>
    </r>
    <r>
      <rPr>
        <b/>
        <sz val="10"/>
        <rFont val="Verdana"/>
        <family val="2"/>
      </rPr>
      <t>Opp</t>
    </r>
    <r>
      <rPr>
        <sz val="10"/>
        <rFont val="Verdana"/>
        <family val="2"/>
      </rPr>
      <t xml:space="preserve"> &amp; </t>
    </r>
    <r>
      <rPr>
        <b/>
        <sz val="10"/>
        <rFont val="Verdana"/>
        <family val="2"/>
      </rPr>
      <t>Adj</t>
    </r>
    <r>
      <rPr>
        <sz val="10"/>
        <rFont val="Verdana"/>
        <family val="2"/>
      </rPr>
      <t xml:space="preserve"> of a Rt. Tr. of Hyp.</t>
    </r>
  </si>
  <si>
    <t>Round</t>
  </si>
  <si>
    <r>
      <rPr>
        <vertAlign val="superscript"/>
        <sz val="10"/>
        <color rgb="FF9933FF"/>
        <rFont val="Verdana"/>
        <family val="2"/>
      </rPr>
      <t>1</t>
    </r>
    <r>
      <rPr>
        <sz val="10"/>
        <color rgb="FF9933FF"/>
        <rFont val="Verdana"/>
        <family val="2"/>
      </rPr>
      <t xml:space="preserve"> (=5*7*9)</t>
    </r>
  </si>
  <si>
    <r>
      <t>Θ = 77.14556°, SIN 0.</t>
    </r>
    <r>
      <rPr>
        <b/>
        <sz val="10"/>
        <rFont val="Verdana"/>
        <family val="2"/>
      </rPr>
      <t>97</t>
    </r>
    <r>
      <rPr>
        <sz val="10"/>
        <rFont val="Verdana"/>
        <family val="2"/>
      </rPr>
      <t>494</t>
    </r>
  </si>
  <si>
    <t>= 38.95181°</t>
  </si>
  <si>
    <t>= 77.14556°</t>
  </si>
  <si>
    <t>= 63.90263°</t>
  </si>
  <si>
    <t>°</t>
  </si>
  <si>
    <t>'</t>
  </si>
  <si>
    <t>"</t>
  </si>
  <si>
    <t>180° =</t>
  </si>
  <si>
    <t>Given</t>
  </si>
  <si>
    <t>Supplement</t>
  </si>
  <si>
    <r>
      <t>^</t>
    </r>
    <r>
      <rPr>
        <vertAlign val="superscript"/>
        <sz val="10"/>
        <color indexed="60"/>
        <rFont val="Verdana"/>
        <family val="2"/>
      </rPr>
      <t>2</t>
    </r>
    <r>
      <rPr>
        <sz val="10"/>
        <color indexed="60"/>
        <rFont val="Verdana"/>
        <family val="2"/>
      </rPr>
      <t>+</t>
    </r>
  </si>
  <si>
    <r>
      <t>^</t>
    </r>
    <r>
      <rPr>
        <vertAlign val="superscript"/>
        <sz val="10"/>
        <color indexed="60"/>
        <rFont val="Verdana"/>
        <family val="2"/>
      </rPr>
      <t>2</t>
    </r>
    <r>
      <rPr>
        <sz val="10"/>
        <color indexed="60"/>
        <rFont val="Verdana"/>
        <family val="2"/>
      </rPr>
      <t>=</t>
    </r>
  </si>
  <si>
    <r>
      <rPr>
        <vertAlign val="superscript"/>
        <sz val="10"/>
        <color rgb="FF9933FF"/>
        <rFont val="Verdana"/>
        <family val="2"/>
      </rPr>
      <t>2</t>
    </r>
    <r>
      <rPr>
        <sz val="10"/>
        <color rgb="FF9933FF"/>
        <rFont val="Verdana"/>
        <family val="2"/>
      </rPr>
      <t xml:space="preserve"> (=433+1)</t>
    </r>
  </si>
  <si>
    <r>
      <rPr>
        <vertAlign val="superscript"/>
        <sz val="10"/>
        <color rgb="FF9933FF"/>
        <rFont val="Verdana"/>
        <family val="2"/>
      </rPr>
      <t>3</t>
    </r>
    <r>
      <rPr>
        <sz val="10"/>
        <color rgb="FF9933FF"/>
        <rFont val="Verdana"/>
        <family val="2"/>
      </rPr>
      <t xml:space="preserve"> 275.656≅866/PI</t>
    </r>
  </si>
  <si>
    <r>
      <t xml:space="preserve">&amp; 275.656 are </t>
    </r>
    <r>
      <rPr>
        <b/>
        <sz val="10"/>
        <rFont val="Verdana"/>
        <family val="2"/>
      </rPr>
      <t>Adj</t>
    </r>
    <r>
      <rPr>
        <sz val="10"/>
        <rFont val="Verdana"/>
        <family val="2"/>
      </rPr>
      <t xml:space="preserve"> &amp;</t>
    </r>
    <r>
      <rPr>
        <b/>
        <sz val="10"/>
        <rFont val="Verdana"/>
        <family val="2"/>
      </rPr>
      <t xml:space="preserve"> Opp</t>
    </r>
    <r>
      <rPr>
        <sz val="10"/>
        <rFont val="Verdana"/>
        <family val="2"/>
      </rPr>
      <t xml:space="preserve"> of a Rt.Tr. of Hyp.</t>
    </r>
  </si>
  <si>
    <r>
      <rPr>
        <vertAlign val="superscript"/>
        <sz val="10"/>
        <color rgb="FF9933FF"/>
        <rFont val="Verdana"/>
        <family val="2"/>
      </rPr>
      <t>4</t>
    </r>
    <r>
      <rPr>
        <sz val="10"/>
        <color rgb="FF9933FF"/>
        <rFont val="Verdana"/>
        <family val="2"/>
      </rPr>
      <t xml:space="preserve"> 68.59 = Isoc. Leg of 97 Hyp. Tr.</t>
    </r>
  </si>
  <si>
    <r>
      <t>^</t>
    </r>
    <r>
      <rPr>
        <vertAlign val="superscript"/>
        <sz val="9"/>
        <color rgb="FF9933FF"/>
        <rFont val="Verdana"/>
        <family val="2"/>
      </rPr>
      <t>4</t>
    </r>
  </si>
  <si>
    <r>
      <t>^</t>
    </r>
    <r>
      <rPr>
        <vertAlign val="superscript"/>
        <sz val="9"/>
        <color rgb="FF9933FF"/>
        <rFont val="Verdana"/>
        <family val="2"/>
      </rPr>
      <t>1</t>
    </r>
  </si>
  <si>
    <r>
      <t>^</t>
    </r>
    <r>
      <rPr>
        <vertAlign val="superscript"/>
        <sz val="9"/>
        <color rgb="FF9933FF"/>
        <rFont val="Verdana"/>
        <family val="2"/>
      </rPr>
      <t>2</t>
    </r>
  </si>
  <si>
    <r>
      <t>^</t>
    </r>
    <r>
      <rPr>
        <vertAlign val="superscript"/>
        <sz val="10"/>
        <color rgb="FF9933FF"/>
        <rFont val="Verdana"/>
        <family val="2"/>
      </rPr>
      <t>3</t>
    </r>
  </si>
</sst>
</file>

<file path=xl/styles.xml><?xml version="1.0" encoding="utf-8"?>
<styleSheet xmlns="http://schemas.openxmlformats.org/spreadsheetml/2006/main">
  <numFmts count="5">
    <numFmt numFmtId="41" formatCode="_(* #,##0_);_(* \(#,##0\);_(* &quot;-&quot;_);_(@_)"/>
    <numFmt numFmtId="164" formatCode="_(* #,##0.000_);_(* \(#,##0.000\);_(* &quot;-&quot;???_);_(@_)"/>
    <numFmt numFmtId="165" formatCode="0.000"/>
    <numFmt numFmtId="166" formatCode="0.0000"/>
    <numFmt numFmtId="167" formatCode="0.0"/>
  </numFmts>
  <fonts count="65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rgb="FF0070C0"/>
      <name val="Verdana"/>
      <family val="2"/>
    </font>
    <font>
      <b/>
      <sz val="10"/>
      <color rgb="FF0070C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i/>
      <sz val="10"/>
      <color theme="1"/>
      <name val="Verdana"/>
      <family val="2"/>
    </font>
    <font>
      <b/>
      <sz val="12"/>
      <name val="Verdana"/>
      <family val="2"/>
    </font>
    <font>
      <b/>
      <sz val="11"/>
      <color theme="1"/>
      <name val="Verdana"/>
      <family val="2"/>
    </font>
    <font>
      <sz val="14"/>
      <color theme="1"/>
      <name val="Verdana"/>
      <family val="2"/>
    </font>
    <font>
      <u/>
      <sz val="12"/>
      <color theme="1"/>
      <name val="Verdana"/>
      <family val="2"/>
    </font>
    <font>
      <b/>
      <sz val="12"/>
      <color rgb="FF008000"/>
      <name val="Verdana"/>
      <family val="2"/>
    </font>
    <font>
      <b/>
      <i/>
      <sz val="9"/>
      <color rgb="FF008000"/>
      <name val="Verdana"/>
      <family val="2"/>
    </font>
    <font>
      <sz val="11"/>
      <color rgb="FF008000"/>
      <name val="Verdana"/>
      <family val="2"/>
    </font>
    <font>
      <i/>
      <sz val="9"/>
      <color rgb="FF008000"/>
      <name val="Verdana"/>
      <family val="2"/>
    </font>
    <font>
      <b/>
      <i/>
      <sz val="11"/>
      <color rgb="FF008000"/>
      <name val="Verdana"/>
      <family val="2"/>
    </font>
    <font>
      <b/>
      <sz val="11"/>
      <color rgb="FF008000"/>
      <name val="Verdana"/>
      <family val="2"/>
    </font>
    <font>
      <b/>
      <sz val="12"/>
      <color rgb="FF0070C0"/>
      <name val="Verdana"/>
      <family val="2"/>
    </font>
    <font>
      <b/>
      <sz val="11"/>
      <color rgb="FF0070C0"/>
      <name val="Verdana"/>
      <family val="2"/>
    </font>
    <font>
      <b/>
      <i/>
      <sz val="9"/>
      <color rgb="FF0070C0"/>
      <name val="Verdana"/>
      <family val="2"/>
    </font>
    <font>
      <sz val="11"/>
      <color rgb="FF0070C0"/>
      <name val="Verdana"/>
      <family val="2"/>
    </font>
    <font>
      <i/>
      <sz val="9"/>
      <color rgb="FF0070C0"/>
      <name val="Verdana"/>
      <family val="2"/>
    </font>
    <font>
      <i/>
      <sz val="11"/>
      <color rgb="FF008000"/>
      <name val="Verdana"/>
      <family val="2"/>
    </font>
    <font>
      <b/>
      <i/>
      <sz val="11"/>
      <color rgb="FF0070C0"/>
      <name val="Verdana"/>
      <family val="2"/>
    </font>
    <font>
      <i/>
      <sz val="11"/>
      <color rgb="FF0070C0"/>
      <name val="Verdana"/>
      <family val="2"/>
    </font>
    <font>
      <b/>
      <sz val="12"/>
      <color rgb="FF00B0F0"/>
      <name val="Verdana"/>
      <family val="2"/>
    </font>
    <font>
      <b/>
      <i/>
      <sz val="9"/>
      <color rgb="FF00B0F0"/>
      <name val="Verdana"/>
      <family val="2"/>
    </font>
    <font>
      <sz val="11"/>
      <color rgb="FF00B0F0"/>
      <name val="Verdana"/>
      <family val="2"/>
    </font>
    <font>
      <i/>
      <sz val="9"/>
      <color rgb="FF00B0F0"/>
      <name val="Verdana"/>
      <family val="2"/>
    </font>
    <font>
      <b/>
      <sz val="10"/>
      <color rgb="FF008000"/>
      <name val="Verdana"/>
      <family val="2"/>
    </font>
    <font>
      <sz val="10"/>
      <color rgb="FF008000"/>
      <name val="Verdana"/>
      <family val="2"/>
    </font>
    <font>
      <vertAlign val="superscript"/>
      <sz val="10"/>
      <color rgb="FF008000"/>
      <name val="Verdana"/>
      <family val="2"/>
    </font>
    <font>
      <sz val="10"/>
      <color theme="9" tint="-0.499984740745262"/>
      <name val="Verdana"/>
      <family val="2"/>
    </font>
    <font>
      <b/>
      <sz val="10"/>
      <color theme="9" tint="-0.499984740745262"/>
      <name val="Verdana"/>
      <family val="2"/>
    </font>
    <font>
      <sz val="11"/>
      <color theme="9" tint="-0.499984740745262"/>
      <name val="Verdana"/>
      <family val="2"/>
    </font>
    <font>
      <sz val="10"/>
      <color theme="8" tint="-0.249977111117893"/>
      <name val="Verdana"/>
      <family val="2"/>
    </font>
    <font>
      <b/>
      <sz val="12"/>
      <color rgb="FF9933FF"/>
      <name val="Verdana"/>
      <family val="2"/>
    </font>
    <font>
      <b/>
      <i/>
      <sz val="12"/>
      <color rgb="FF9933FF"/>
      <name val="Verdana"/>
      <family val="2"/>
    </font>
    <font>
      <sz val="11"/>
      <color rgb="FF9933FF"/>
      <name val="Verdana"/>
      <family val="2"/>
    </font>
    <font>
      <b/>
      <sz val="12"/>
      <color theme="9" tint="-0.499984740745262"/>
      <name val="Verdana"/>
      <family val="2"/>
    </font>
    <font>
      <b/>
      <sz val="12"/>
      <color theme="1"/>
      <name val="Verdana"/>
      <family val="2"/>
    </font>
    <font>
      <b/>
      <sz val="12"/>
      <color theme="8" tint="-0.249977111117893"/>
      <name val="Verdana"/>
      <family val="2"/>
    </font>
    <font>
      <b/>
      <sz val="11"/>
      <color theme="8" tint="-0.249977111117893"/>
      <name val="Verdana"/>
      <family val="2"/>
    </font>
    <font>
      <sz val="8"/>
      <color theme="1"/>
      <name val="Verdana"/>
      <family val="2"/>
    </font>
    <font>
      <b/>
      <sz val="8"/>
      <color theme="1"/>
      <name val="Verdana"/>
      <family val="2"/>
    </font>
    <font>
      <i/>
      <sz val="9"/>
      <name val="Verdana"/>
      <family val="2"/>
    </font>
    <font>
      <sz val="9"/>
      <name val="Verdana"/>
      <family val="2"/>
    </font>
    <font>
      <sz val="11"/>
      <color rgb="FFFF0000"/>
      <name val="Verdana"/>
      <family val="2"/>
    </font>
    <font>
      <sz val="11"/>
      <color theme="0"/>
      <name val="Verdana"/>
      <family val="2"/>
    </font>
    <font>
      <sz val="9"/>
      <color theme="1"/>
      <name val="Verdana"/>
      <family val="2"/>
    </font>
    <font>
      <sz val="10"/>
      <color theme="0"/>
      <name val="Verdana"/>
      <family val="2"/>
    </font>
    <font>
      <sz val="10"/>
      <color rgb="FF9933FF"/>
      <name val="Verdana"/>
      <family val="2"/>
    </font>
    <font>
      <vertAlign val="superscript"/>
      <sz val="10"/>
      <color rgb="FF9933FF"/>
      <name val="Verdana"/>
      <family val="2"/>
    </font>
    <font>
      <sz val="9"/>
      <color rgb="FF9933FF"/>
      <name val="Verdana"/>
      <family val="2"/>
    </font>
    <font>
      <sz val="16"/>
      <color theme="1"/>
      <name val="Verdana"/>
      <family val="2"/>
    </font>
    <font>
      <sz val="9"/>
      <color theme="9" tint="-0.249977111117893"/>
      <name val="Verdana"/>
      <family val="2"/>
    </font>
    <font>
      <sz val="10"/>
      <color indexed="60"/>
      <name val="Verdana"/>
      <family val="2"/>
    </font>
    <font>
      <vertAlign val="superscript"/>
      <sz val="10"/>
      <color indexed="60"/>
      <name val="Verdana"/>
      <family val="2"/>
    </font>
    <font>
      <vertAlign val="superscript"/>
      <sz val="9"/>
      <color rgb="FF9933FF"/>
      <name val="Verdana"/>
      <family val="2"/>
    </font>
  </fonts>
  <fills count="54">
    <fill>
      <patternFill patternType="none"/>
    </fill>
    <fill>
      <patternFill patternType="gray125"/>
    </fill>
    <fill>
      <patternFill patternType="mediumGray">
        <fgColor theme="0"/>
      </patternFill>
    </fill>
    <fill>
      <patternFill patternType="mediumGray">
        <fgColor theme="0"/>
        <bgColor theme="6" tint="0.7999816888943144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mediumGray">
        <fgColor theme="0"/>
        <bgColor theme="4" tint="0.79998168889431442"/>
      </patternFill>
    </fill>
    <fill>
      <patternFill patternType="solid">
        <fgColor theme="4" tint="0.59999389629810485"/>
        <bgColor theme="0"/>
      </patternFill>
    </fill>
    <fill>
      <patternFill patternType="solid">
        <fgColor rgb="FFFFC7CE"/>
        <bgColor theme="0"/>
      </patternFill>
    </fill>
    <fill>
      <patternFill patternType="solid">
        <fgColor theme="3" tint="0.79998168889431442"/>
        <bgColor theme="0"/>
      </patternFill>
    </fill>
    <fill>
      <patternFill patternType="mediumGray">
        <fgColor theme="0"/>
        <bgColor rgb="FFCC99FF"/>
      </patternFill>
    </fill>
    <fill>
      <patternFill patternType="lightUp">
        <fgColor theme="9" tint="0.39994506668294322"/>
        <bgColor indexed="65"/>
      </patternFill>
    </fill>
    <fill>
      <patternFill patternType="solid">
        <fgColor rgb="FFFFC000"/>
        <bgColor theme="0"/>
      </patternFill>
    </fill>
    <fill>
      <patternFill patternType="solid">
        <fgColor indexed="65"/>
        <bgColor theme="0"/>
      </patternFill>
    </fill>
    <fill>
      <patternFill patternType="mediumGray">
        <fgColor theme="0"/>
        <bgColor rgb="FFFFFF00"/>
      </patternFill>
    </fill>
    <fill>
      <patternFill patternType="mediumGray">
        <fgColor rgb="FFFFFF00"/>
        <bgColor auto="1"/>
      </patternFill>
    </fill>
    <fill>
      <patternFill patternType="lightUp">
        <fgColor rgb="FF9933FF"/>
      </patternFill>
    </fill>
    <fill>
      <patternFill patternType="solid">
        <fgColor theme="9" tint="0.59999389629810485"/>
        <bgColor theme="0"/>
      </patternFill>
    </fill>
    <fill>
      <patternFill patternType="solid">
        <fgColor rgb="FFE1E1FF"/>
        <bgColor theme="0"/>
      </patternFill>
    </fill>
    <fill>
      <patternFill patternType="solid">
        <fgColor theme="6" tint="0.59999389629810485"/>
        <bgColor theme="0"/>
      </patternFill>
    </fill>
    <fill>
      <patternFill patternType="lightUp">
        <fgColor rgb="FFCC0099"/>
      </patternFill>
    </fill>
    <fill>
      <patternFill patternType="lightUp">
        <fgColor theme="9" tint="-0.499984740745262"/>
        <bgColor indexed="65"/>
      </patternFill>
    </fill>
    <fill>
      <patternFill patternType="solid">
        <fgColor rgb="FFCCFFCC"/>
        <bgColor indexed="64"/>
      </patternFill>
    </fill>
    <fill>
      <patternFill patternType="mediumGray">
        <fgColor theme="0"/>
        <bgColor theme="9" tint="0.59999389629810485"/>
      </patternFill>
    </fill>
    <fill>
      <patternFill patternType="mediumGray">
        <fgColor theme="0"/>
        <bgColor rgb="FFFCEA04"/>
      </patternFill>
    </fill>
    <fill>
      <patternFill patternType="solid">
        <fgColor indexed="65"/>
        <bgColor theme="3" tint="0.79998168889431442"/>
      </patternFill>
    </fill>
    <fill>
      <patternFill patternType="lightDown">
        <fgColor theme="3" tint="0.39994506668294322"/>
        <bgColor indexed="65"/>
      </patternFill>
    </fill>
    <fill>
      <patternFill patternType="lightDown">
        <fgColor theme="3" tint="0.39994506668294322"/>
        <bgColor theme="9" tint="0.59999389629810485"/>
      </patternFill>
    </fill>
    <fill>
      <patternFill patternType="lightDown">
        <fgColor theme="3" tint="0.39994506668294322"/>
        <bgColor theme="6" tint="0.79998168889431442"/>
      </patternFill>
    </fill>
    <fill>
      <patternFill patternType="lightDown">
        <fgColor theme="3" tint="0.39994506668294322"/>
        <bgColor rgb="FFFCEA04"/>
      </patternFill>
    </fill>
    <fill>
      <patternFill patternType="lightDown">
        <fgColor theme="3" tint="0.39994506668294322"/>
        <bgColor theme="4" tint="0.79998168889431442"/>
      </patternFill>
    </fill>
    <fill>
      <patternFill patternType="lightUp">
        <fgColor theme="9" tint="0.39994506668294322"/>
        <bgColor theme="6" tint="0.79998168889431442"/>
      </patternFill>
    </fill>
    <fill>
      <patternFill patternType="lightUp">
        <fgColor theme="9" tint="0.39994506668294322"/>
        <bgColor rgb="FFFCEA04"/>
      </patternFill>
    </fill>
    <fill>
      <patternFill patternType="lightUp">
        <fgColor theme="9" tint="0.39994506668294322"/>
        <bgColor theme="4" tint="0.79998168889431442"/>
      </patternFill>
    </fill>
    <fill>
      <patternFill patternType="lightUp">
        <fgColor theme="9" tint="0.39994506668294322"/>
        <bgColor theme="9" tint="0.59999389629810485"/>
      </patternFill>
    </fill>
    <fill>
      <patternFill patternType="lightUp">
        <fgColor rgb="FFFFFF00"/>
      </patternFill>
    </fill>
    <fill>
      <patternFill patternType="lightUp">
        <fgColor rgb="FFFFFF00"/>
        <bgColor theme="4" tint="0.79998168889431442"/>
      </patternFill>
    </fill>
    <fill>
      <patternFill patternType="lightUp">
        <fgColor rgb="FFFFFF00"/>
        <bgColor theme="9" tint="0.59999389629810485"/>
      </patternFill>
    </fill>
    <fill>
      <patternFill patternType="lightUp">
        <fgColor rgb="FFFFFF00"/>
        <bgColor rgb="FFFCEA04"/>
      </patternFill>
    </fill>
    <fill>
      <patternFill patternType="lightUp">
        <fgColor rgb="FFFFFF00"/>
        <bgColor theme="6" tint="0.79998168889431442"/>
      </patternFill>
    </fill>
    <fill>
      <patternFill patternType="mediumGray">
        <fgColor theme="0"/>
        <bgColor theme="9" tint="0.59996337778862885"/>
      </patternFill>
    </fill>
    <fill>
      <patternFill patternType="lightDown">
        <fgColor theme="3" tint="0.39994506668294322"/>
        <bgColor theme="9" tint="0.59996337778862885"/>
      </patternFill>
    </fill>
    <fill>
      <patternFill patternType="lightUp">
        <fgColor theme="9" tint="0.39994506668294322"/>
        <bgColor theme="9" tint="0.59996337778862885"/>
      </patternFill>
    </fill>
    <fill>
      <patternFill patternType="lightUp">
        <fgColor rgb="FFFFFF00"/>
        <bgColor theme="9" tint="0.59996337778862885"/>
      </patternFill>
    </fill>
    <fill>
      <patternFill patternType="solid">
        <fgColor theme="9" tint="0.59996337778862885"/>
        <bgColor theme="3" tint="0.79998168889431442"/>
      </patternFill>
    </fill>
    <fill>
      <patternFill patternType="solid">
        <fgColor theme="4" tint="0.79998168889431442"/>
        <bgColor theme="3" tint="0.79998168889431442"/>
      </patternFill>
    </fill>
    <fill>
      <patternFill patternType="lightUp">
        <fgColor rgb="FF00B050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mediumGray">
        <fgColor theme="0"/>
        <bgColor theme="9" tint="0.79995117038483843"/>
      </patternFill>
    </fill>
    <fill>
      <patternFill patternType="solid">
        <fgColor theme="2"/>
        <bgColor indexed="64"/>
      </patternFill>
    </fill>
  </fills>
  <borders count="81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Dashed">
        <color auto="1"/>
      </bottom>
      <diagonal/>
    </border>
    <border>
      <left/>
      <right/>
      <top style="mediumDashed">
        <color auto="1"/>
      </top>
      <bottom/>
      <diagonal/>
    </border>
    <border>
      <left/>
      <right/>
      <top style="thin">
        <color rgb="FF0070C0"/>
      </top>
      <bottom/>
      <diagonal/>
    </border>
    <border>
      <left/>
      <right/>
      <top/>
      <bottom style="thin">
        <color rgb="FF0070C0"/>
      </bottom>
      <diagonal/>
    </border>
    <border>
      <left/>
      <right/>
      <top style="thin">
        <color rgb="FF9933FF"/>
      </top>
      <bottom/>
      <diagonal/>
    </border>
    <border>
      <left/>
      <right/>
      <top/>
      <bottom style="hair">
        <color rgb="FF9933FF"/>
      </bottom>
      <diagonal/>
    </border>
    <border>
      <left/>
      <right/>
      <top style="hair">
        <color rgb="FF9933FF"/>
      </top>
      <bottom/>
      <diagonal/>
    </border>
    <border>
      <left/>
      <right/>
      <top/>
      <bottom style="hair">
        <color theme="9" tint="-0.499984740745262"/>
      </bottom>
      <diagonal/>
    </border>
    <border>
      <left/>
      <right/>
      <top style="hair">
        <color theme="9" tint="-0.499984740745262"/>
      </top>
      <bottom/>
      <diagonal/>
    </border>
    <border>
      <left/>
      <right style="hair">
        <color rgb="FF008000"/>
      </right>
      <top style="medium">
        <color auto="1"/>
      </top>
      <bottom/>
      <diagonal/>
    </border>
    <border>
      <left style="hair">
        <color rgb="FF008000"/>
      </left>
      <right/>
      <top style="medium">
        <color auto="1"/>
      </top>
      <bottom/>
      <diagonal/>
    </border>
    <border>
      <left/>
      <right style="hair">
        <color rgb="FF008000"/>
      </right>
      <top/>
      <bottom style="thin">
        <color auto="1"/>
      </bottom>
      <diagonal/>
    </border>
    <border>
      <left style="hair">
        <color rgb="FF008000"/>
      </left>
      <right/>
      <top/>
      <bottom style="thin">
        <color auto="1"/>
      </bottom>
      <diagonal/>
    </border>
    <border>
      <left/>
      <right style="hair">
        <color rgb="FF008000"/>
      </right>
      <top/>
      <bottom/>
      <diagonal/>
    </border>
    <border>
      <left style="hair">
        <color rgb="FF008000"/>
      </left>
      <right/>
      <top/>
      <bottom/>
      <diagonal/>
    </border>
    <border>
      <left/>
      <right style="hair">
        <color rgb="FF008000"/>
      </right>
      <top style="thin">
        <color auto="1"/>
      </top>
      <bottom/>
      <diagonal/>
    </border>
    <border>
      <left style="hair">
        <color rgb="FF008000"/>
      </left>
      <right/>
      <top style="thin">
        <color auto="1"/>
      </top>
      <bottom/>
      <diagonal/>
    </border>
    <border>
      <left/>
      <right style="hair">
        <color rgb="FF008000"/>
      </right>
      <top/>
      <bottom style="mediumDashed">
        <color auto="1"/>
      </bottom>
      <diagonal/>
    </border>
    <border>
      <left style="hair">
        <color rgb="FF008000"/>
      </left>
      <right/>
      <top/>
      <bottom style="mediumDashed">
        <color auto="1"/>
      </bottom>
      <diagonal/>
    </border>
    <border>
      <left/>
      <right style="hair">
        <color rgb="FF0070C0"/>
      </right>
      <top style="mediumDashed">
        <color auto="1"/>
      </top>
      <bottom/>
      <diagonal/>
    </border>
    <border>
      <left style="hair">
        <color rgb="FF0070C0"/>
      </left>
      <right/>
      <top style="mediumDashed">
        <color auto="1"/>
      </top>
      <bottom/>
      <diagonal/>
    </border>
    <border>
      <left/>
      <right style="hair">
        <color rgb="FF0070C0"/>
      </right>
      <top/>
      <bottom style="thin">
        <color rgb="FF0070C0"/>
      </bottom>
      <diagonal/>
    </border>
    <border>
      <left style="hair">
        <color rgb="FF0070C0"/>
      </left>
      <right/>
      <top/>
      <bottom style="thin">
        <color rgb="FF0070C0"/>
      </bottom>
      <diagonal/>
    </border>
    <border>
      <left/>
      <right style="hair">
        <color rgb="FF0070C0"/>
      </right>
      <top style="thin">
        <color rgb="FF0070C0"/>
      </top>
      <bottom/>
      <diagonal/>
    </border>
    <border>
      <left style="hair">
        <color rgb="FF0070C0"/>
      </left>
      <right/>
      <top/>
      <bottom/>
      <diagonal/>
    </border>
    <border>
      <left style="hair">
        <color rgb="FF0070C0"/>
      </left>
      <right/>
      <top style="thin">
        <color rgb="FF0070C0"/>
      </top>
      <bottom/>
      <diagonal/>
    </border>
    <border>
      <left/>
      <right style="hair">
        <color rgb="FF0070C0"/>
      </right>
      <top/>
      <bottom style="mediumDashed">
        <color auto="1"/>
      </bottom>
      <diagonal/>
    </border>
    <border>
      <left style="hair">
        <color rgb="FF0070C0"/>
      </left>
      <right/>
      <top/>
      <bottom style="mediumDashed">
        <color auto="1"/>
      </bottom>
      <diagonal/>
    </border>
    <border>
      <left/>
      <right style="hair">
        <color rgb="FF0070C0"/>
      </right>
      <top/>
      <bottom style="medium">
        <color auto="1"/>
      </bottom>
      <diagonal/>
    </border>
    <border>
      <left style="hair">
        <color rgb="FF0070C0"/>
      </left>
      <right/>
      <top/>
      <bottom style="medium">
        <color auto="1"/>
      </bottom>
      <diagonal/>
    </border>
    <border>
      <left/>
      <right/>
      <top/>
      <bottom style="thin">
        <color rgb="FF00B0F0"/>
      </bottom>
      <diagonal/>
    </border>
    <border>
      <left/>
      <right style="hair">
        <color rgb="FF0070C0"/>
      </right>
      <top/>
      <bottom style="thin">
        <color rgb="FF00B0F0"/>
      </bottom>
      <diagonal/>
    </border>
    <border>
      <left style="hair">
        <color rgb="FF0070C0"/>
      </left>
      <right/>
      <top/>
      <bottom style="thin">
        <color rgb="FF00B0F0"/>
      </bottom>
      <diagonal/>
    </border>
    <border>
      <left/>
      <right/>
      <top style="thin">
        <color rgb="FF00B0F0"/>
      </top>
      <bottom/>
      <diagonal/>
    </border>
    <border>
      <left/>
      <right style="hair">
        <color rgb="FF0070C0"/>
      </right>
      <top style="thin">
        <color rgb="FF00B0F0"/>
      </top>
      <bottom/>
      <diagonal/>
    </border>
    <border>
      <left style="hair">
        <color rgb="FF0070C0"/>
      </left>
      <right/>
      <top style="thin">
        <color rgb="FF00B0F0"/>
      </top>
      <bottom/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dotted">
        <color auto="1"/>
      </right>
      <top/>
      <bottom/>
      <diagonal/>
    </border>
    <border>
      <left style="dotted">
        <color auto="1"/>
      </left>
      <right style="hair">
        <color auto="1"/>
      </right>
      <top/>
      <bottom/>
      <diagonal/>
    </border>
    <border>
      <left style="hair">
        <color auto="1"/>
      </left>
      <right style="dotted">
        <color auto="1"/>
      </right>
      <top style="thin">
        <color auto="1"/>
      </top>
      <bottom style="hair">
        <color auto="1"/>
      </bottom>
      <diagonal/>
    </border>
    <border>
      <left style="dotted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dotted">
        <color auto="1"/>
      </right>
      <top style="hair">
        <color auto="1"/>
      </top>
      <bottom style="hair">
        <color auto="1"/>
      </bottom>
      <diagonal/>
    </border>
    <border>
      <left style="dotted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tted">
        <color auto="1"/>
      </right>
      <top style="hair">
        <color auto="1"/>
      </top>
      <bottom/>
      <diagonal/>
    </border>
    <border>
      <left style="dotted">
        <color auto="1"/>
      </left>
      <right style="hair">
        <color auto="1"/>
      </right>
      <top style="hair">
        <color auto="1"/>
      </top>
      <bottom/>
      <diagonal/>
    </border>
    <border>
      <left/>
      <right style="dotted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/>
      <diagonal/>
    </border>
    <border>
      <left/>
      <right style="dotted">
        <color auto="1"/>
      </right>
      <top style="hair">
        <color auto="1"/>
      </top>
      <bottom/>
      <diagonal/>
    </border>
    <border>
      <left/>
      <right/>
      <top style="double">
        <color auto="1"/>
      </top>
      <bottom/>
      <diagonal/>
    </border>
    <border>
      <left style="hair">
        <color theme="9" tint="-0.499984740745262"/>
      </left>
      <right/>
      <top style="hair">
        <color theme="9" tint="-0.499984740745262"/>
      </top>
      <bottom/>
      <diagonal/>
    </border>
    <border>
      <left/>
      <right style="hair">
        <color theme="9" tint="-0.499984740745262"/>
      </right>
      <top style="hair">
        <color theme="9" tint="-0.499984740745262"/>
      </top>
      <bottom/>
      <diagonal/>
    </border>
    <border>
      <left style="hair">
        <color theme="9" tint="-0.499984740745262"/>
      </left>
      <right/>
      <top/>
      <bottom style="hair">
        <color theme="9" tint="-0.499984740745262"/>
      </bottom>
      <diagonal/>
    </border>
    <border>
      <left/>
      <right style="hair">
        <color theme="9" tint="-0.499984740745262"/>
      </right>
      <top/>
      <bottom style="hair">
        <color theme="9" tint="-0.499984740745262"/>
      </bottom>
      <diagonal/>
    </border>
    <border>
      <left/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/>
      <top style="hair">
        <color auto="1"/>
      </top>
      <bottom style="double">
        <color auto="1"/>
      </bottom>
      <diagonal/>
    </border>
  </borders>
  <cellStyleXfs count="6">
    <xf numFmtId="0" fontId="0" fillId="0" borderId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5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</cellStyleXfs>
  <cellXfs count="38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1" fillId="14" borderId="0" xfId="0" applyFont="1" applyFill="1" applyAlignment="1">
      <alignment horizontal="center" vertical="center"/>
    </xf>
    <xf numFmtId="0" fontId="14" fillId="2" borderId="0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0" fontId="17" fillId="3" borderId="15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7" fillId="2" borderId="14" xfId="0" applyFont="1" applyFill="1" applyBorder="1" applyAlignment="1">
      <alignment horizontal="center" vertical="center"/>
    </xf>
    <xf numFmtId="0" fontId="17" fillId="2" borderId="15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9" fillId="3" borderId="2" xfId="0" applyFont="1" applyFill="1" applyBorder="1" applyAlignment="1">
      <alignment horizontal="center" vertical="center"/>
    </xf>
    <xf numFmtId="0" fontId="19" fillId="3" borderId="16" xfId="0" applyFont="1" applyFill="1" applyBorder="1" applyAlignment="1">
      <alignment horizontal="center" vertical="center"/>
    </xf>
    <xf numFmtId="0" fontId="19" fillId="3" borderId="17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/>
    </xf>
    <xf numFmtId="0" fontId="19" fillId="2" borderId="16" xfId="0" applyFont="1" applyFill="1" applyBorder="1" applyAlignment="1">
      <alignment horizontal="center" vertical="center"/>
    </xf>
    <xf numFmtId="0" fontId="19" fillId="2" borderId="17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14" fillId="14" borderId="0" xfId="0" applyFont="1" applyFill="1" applyAlignment="1">
      <alignment horizontal="center" vertical="center"/>
    </xf>
    <xf numFmtId="0" fontId="17" fillId="2" borderId="18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center" vertical="center"/>
    </xf>
    <xf numFmtId="0" fontId="17" fillId="2" borderId="21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7" fillId="3" borderId="21" xfId="0" applyFont="1" applyFill="1" applyBorder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7" fillId="3" borderId="20" xfId="0" applyFont="1" applyFill="1" applyBorder="1" applyAlignment="1">
      <alignment horizontal="center" vertical="center"/>
    </xf>
    <xf numFmtId="0" fontId="17" fillId="13" borderId="20" xfId="3" applyFont="1" applyFill="1" applyBorder="1" applyAlignment="1">
      <alignment horizontal="center" vertical="center"/>
    </xf>
    <xf numFmtId="0" fontId="17" fillId="11" borderId="0" xfId="2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7" fillId="11" borderId="0" xfId="2" applyFont="1" applyFill="1" applyBorder="1" applyAlignment="1">
      <alignment horizontal="left" vertical="center"/>
    </xf>
    <xf numFmtId="0" fontId="17" fillId="11" borderId="0" xfId="2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center" vertical="center"/>
    </xf>
    <xf numFmtId="0" fontId="19" fillId="2" borderId="19" xfId="0" applyFont="1" applyFill="1" applyBorder="1" applyAlignment="1">
      <alignment horizontal="center" vertical="center"/>
    </xf>
    <xf numFmtId="0" fontId="19" fillId="2" borderId="22" xfId="0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horizontal="center" vertical="center"/>
    </xf>
    <xf numFmtId="0" fontId="19" fillId="3" borderId="23" xfId="0" applyFont="1" applyFill="1" applyBorder="1" applyAlignment="1">
      <alignment horizontal="center" vertical="center"/>
    </xf>
    <xf numFmtId="0" fontId="19" fillId="3" borderId="0" xfId="0" applyFont="1" applyFill="1" applyBorder="1" applyAlignment="1">
      <alignment horizontal="center" vertical="center"/>
    </xf>
    <xf numFmtId="0" fontId="19" fillId="3" borderId="22" xfId="0" applyFont="1" applyFill="1" applyBorder="1" applyAlignment="1">
      <alignment horizontal="center" vertical="center"/>
    </xf>
    <xf numFmtId="0" fontId="19" fillId="13" borderId="22" xfId="3" applyFont="1" applyFill="1" applyBorder="1" applyAlignment="1">
      <alignment horizontal="center" vertical="center"/>
    </xf>
    <xf numFmtId="0" fontId="19" fillId="11" borderId="0" xfId="2" applyFont="1" applyFill="1" applyBorder="1" applyAlignment="1">
      <alignment horizontal="center" vertical="center"/>
    </xf>
    <xf numFmtId="0" fontId="20" fillId="2" borderId="0" xfId="0" applyFont="1" applyFill="1" applyBorder="1" applyAlignment="1">
      <alignment horizontal="center" vertical="center"/>
    </xf>
    <xf numFmtId="0" fontId="23" fillId="9" borderId="6" xfId="0" applyFont="1" applyFill="1" applyBorder="1" applyAlignment="1">
      <alignment horizontal="center" vertical="center"/>
    </xf>
    <xf numFmtId="0" fontId="23" fillId="9" borderId="24" xfId="0" applyFont="1" applyFill="1" applyBorder="1" applyAlignment="1">
      <alignment horizontal="center" vertical="center"/>
    </xf>
    <xf numFmtId="0" fontId="23" fillId="9" borderId="25" xfId="0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horizontal="center" vertical="center"/>
    </xf>
    <xf numFmtId="0" fontId="23" fillId="2" borderId="24" xfId="0" applyFont="1" applyFill="1" applyBorder="1" applyAlignment="1">
      <alignment horizontal="center" vertical="center"/>
    </xf>
    <xf numFmtId="0" fontId="23" fillId="2" borderId="25" xfId="0" applyFont="1" applyFill="1" applyBorder="1" applyAlignment="1">
      <alignment horizontal="center" vertical="center"/>
    </xf>
    <xf numFmtId="0" fontId="24" fillId="2" borderId="6" xfId="0" applyFont="1" applyFill="1" applyBorder="1" applyAlignment="1">
      <alignment horizontal="center" vertical="center"/>
    </xf>
    <xf numFmtId="0" fontId="25" fillId="2" borderId="6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vertical="center"/>
    </xf>
    <xf numFmtId="0" fontId="26" fillId="9" borderId="8" xfId="0" applyFont="1" applyFill="1" applyBorder="1" applyAlignment="1">
      <alignment horizontal="center" vertical="center"/>
    </xf>
    <xf numFmtId="0" fontId="26" fillId="9" borderId="26" xfId="0" applyFont="1" applyFill="1" applyBorder="1" applyAlignment="1">
      <alignment horizontal="center" vertical="center"/>
    </xf>
    <xf numFmtId="0" fontId="26" fillId="9" borderId="27" xfId="0" applyFont="1" applyFill="1" applyBorder="1" applyAlignment="1">
      <alignment horizontal="center" vertical="center"/>
    </xf>
    <xf numFmtId="0" fontId="26" fillId="2" borderId="8" xfId="0" applyFont="1" applyFill="1" applyBorder="1" applyAlignment="1">
      <alignment horizontal="center" vertical="center"/>
    </xf>
    <xf numFmtId="0" fontId="26" fillId="2" borderId="26" xfId="0" applyFont="1" applyFill="1" applyBorder="1" applyAlignment="1">
      <alignment horizontal="center" vertical="center"/>
    </xf>
    <xf numFmtId="0" fontId="26" fillId="2" borderId="27" xfId="0" applyFont="1" applyFill="1" applyBorder="1" applyAlignment="1">
      <alignment horizontal="center" vertical="center"/>
    </xf>
    <xf numFmtId="0" fontId="27" fillId="2" borderId="8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17" fillId="11" borderId="3" xfId="2" applyFont="1" applyFill="1" applyBorder="1" applyAlignment="1">
      <alignment horizontal="center" vertical="center"/>
    </xf>
    <xf numFmtId="0" fontId="23" fillId="2" borderId="7" xfId="0" applyFont="1" applyFill="1" applyBorder="1" applyAlignment="1">
      <alignment horizontal="center" vertical="center"/>
    </xf>
    <xf numFmtId="0" fontId="23" fillId="9" borderId="7" xfId="0" applyFont="1" applyFill="1" applyBorder="1" applyAlignment="1">
      <alignment horizontal="center" vertical="center"/>
    </xf>
    <xf numFmtId="0" fontId="23" fillId="9" borderId="28" xfId="0" applyFont="1" applyFill="1" applyBorder="1" applyAlignment="1">
      <alignment horizontal="center" vertical="center"/>
    </xf>
    <xf numFmtId="0" fontId="23" fillId="9" borderId="30" xfId="0" applyFont="1" applyFill="1" applyBorder="1" applyAlignment="1">
      <alignment horizontal="center" vertical="center"/>
    </xf>
    <xf numFmtId="0" fontId="23" fillId="2" borderId="28" xfId="0" applyFont="1" applyFill="1" applyBorder="1" applyAlignment="1">
      <alignment horizontal="center" vertical="center"/>
    </xf>
    <xf numFmtId="0" fontId="23" fillId="2" borderId="30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0" fontId="19" fillId="11" borderId="5" xfId="2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horizontal="left" vertical="center"/>
    </xf>
    <xf numFmtId="0" fontId="23" fillId="12" borderId="28" xfId="1" applyFont="1" applyFill="1" applyBorder="1" applyAlignment="1">
      <alignment horizontal="center" vertical="center"/>
    </xf>
    <xf numFmtId="0" fontId="26" fillId="12" borderId="26" xfId="1" applyFont="1" applyFill="1" applyBorder="1" applyAlignment="1">
      <alignment horizontal="center" vertical="center"/>
    </xf>
    <xf numFmtId="0" fontId="23" fillId="11" borderId="7" xfId="2" applyFont="1" applyFill="1" applyBorder="1" applyAlignment="1">
      <alignment horizontal="center" vertical="center"/>
    </xf>
    <xf numFmtId="0" fontId="23" fillId="11" borderId="0" xfId="2" applyFont="1" applyFill="1" applyBorder="1" applyAlignment="1">
      <alignment horizontal="left" vertical="center"/>
    </xf>
    <xf numFmtId="0" fontId="23" fillId="11" borderId="0" xfId="2" applyFont="1" applyFill="1" applyBorder="1" applyAlignment="1">
      <alignment horizontal="center" vertical="center"/>
    </xf>
    <xf numFmtId="0" fontId="26" fillId="11" borderId="8" xfId="2" applyFont="1" applyFill="1" applyBorder="1" applyAlignment="1">
      <alignment horizontal="center" vertical="center"/>
    </xf>
    <xf numFmtId="0" fontId="23" fillId="10" borderId="7" xfId="4" applyFont="1" applyFill="1" applyBorder="1" applyAlignment="1">
      <alignment horizontal="center" vertical="center"/>
    </xf>
    <xf numFmtId="0" fontId="26" fillId="10" borderId="8" xfId="4" applyFont="1" applyFill="1" applyBorder="1" applyAlignment="1">
      <alignment horizontal="center" vertical="center"/>
    </xf>
    <xf numFmtId="0" fontId="25" fillId="9" borderId="7" xfId="0" applyFont="1" applyFill="1" applyBorder="1" applyAlignment="1">
      <alignment horizontal="center" vertical="center"/>
    </xf>
    <xf numFmtId="0" fontId="27" fillId="9" borderId="8" xfId="0" applyFont="1" applyFill="1" applyBorder="1" applyAlignment="1">
      <alignment horizontal="center" vertical="center"/>
    </xf>
    <xf numFmtId="0" fontId="26" fillId="2" borderId="0" xfId="0" applyFont="1" applyFill="1" applyAlignment="1">
      <alignment vertical="center"/>
    </xf>
    <xf numFmtId="0" fontId="26" fillId="9" borderId="5" xfId="0" applyFont="1" applyFill="1" applyBorder="1" applyAlignment="1">
      <alignment horizontal="center" vertical="center"/>
    </xf>
    <xf numFmtId="0" fontId="26" fillId="9" borderId="31" xfId="0" applyFont="1" applyFill="1" applyBorder="1" applyAlignment="1">
      <alignment horizontal="center" vertical="center"/>
    </xf>
    <xf numFmtId="0" fontId="26" fillId="9" borderId="32" xfId="0" applyFont="1" applyFill="1" applyBorder="1" applyAlignment="1">
      <alignment horizontal="center" vertical="center"/>
    </xf>
    <xf numFmtId="0" fontId="26" fillId="2" borderId="5" xfId="0" applyFont="1" applyFill="1" applyBorder="1" applyAlignment="1">
      <alignment horizontal="center" vertical="center"/>
    </xf>
    <xf numFmtId="0" fontId="26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7" fillId="2" borderId="5" xfId="0" applyFont="1" applyFill="1" applyBorder="1" applyAlignment="1">
      <alignment horizontal="center" vertical="center"/>
    </xf>
    <xf numFmtId="0" fontId="31" fillId="9" borderId="6" xfId="0" applyFont="1" applyFill="1" applyBorder="1" applyAlignment="1">
      <alignment horizontal="center" vertical="center"/>
    </xf>
    <xf numFmtId="0" fontId="31" fillId="9" borderId="24" xfId="0" applyFont="1" applyFill="1" applyBorder="1" applyAlignment="1">
      <alignment horizontal="center" vertical="center"/>
    </xf>
    <xf numFmtId="0" fontId="31" fillId="9" borderId="25" xfId="0" applyFont="1" applyFill="1" applyBorder="1" applyAlignment="1">
      <alignment horizontal="center" vertical="center"/>
    </xf>
    <xf numFmtId="0" fontId="31" fillId="2" borderId="6" xfId="0" applyFont="1" applyFill="1" applyBorder="1" applyAlignment="1">
      <alignment horizontal="center" vertical="center"/>
    </xf>
    <xf numFmtId="0" fontId="31" fillId="2" borderId="24" xfId="0" applyFont="1" applyFill="1" applyBorder="1" applyAlignment="1">
      <alignment horizontal="center" vertical="center"/>
    </xf>
    <xf numFmtId="0" fontId="31" fillId="2" borderId="25" xfId="0" applyFont="1" applyFill="1" applyBorder="1" applyAlignment="1">
      <alignment horizontal="center" vertical="center"/>
    </xf>
    <xf numFmtId="0" fontId="32" fillId="2" borderId="6" xfId="0" applyFont="1" applyFill="1" applyBorder="1" applyAlignment="1">
      <alignment horizontal="center" vertical="center"/>
    </xf>
    <xf numFmtId="0" fontId="33" fillId="9" borderId="35" xfId="0" applyFont="1" applyFill="1" applyBorder="1" applyAlignment="1">
      <alignment horizontal="center" vertical="center"/>
    </xf>
    <xf numFmtId="0" fontId="33" fillId="9" borderId="36" xfId="0" applyFont="1" applyFill="1" applyBorder="1" applyAlignment="1">
      <alignment horizontal="center" vertical="center"/>
    </xf>
    <xf numFmtId="0" fontId="33" fillId="9" borderId="37" xfId="0" applyFont="1" applyFill="1" applyBorder="1" applyAlignment="1">
      <alignment horizontal="center" vertical="center"/>
    </xf>
    <xf numFmtId="0" fontId="33" fillId="2" borderId="35" xfId="0" applyFont="1" applyFill="1" applyBorder="1" applyAlignment="1">
      <alignment horizontal="center" vertical="center"/>
    </xf>
    <xf numFmtId="0" fontId="33" fillId="2" borderId="36" xfId="0" applyFont="1" applyFill="1" applyBorder="1" applyAlignment="1">
      <alignment horizontal="center" vertical="center"/>
    </xf>
    <xf numFmtId="0" fontId="33" fillId="2" borderId="37" xfId="0" applyFont="1" applyFill="1" applyBorder="1" applyAlignment="1">
      <alignment horizontal="center" vertical="center"/>
    </xf>
    <xf numFmtId="0" fontId="34" fillId="2" borderId="35" xfId="0" applyFont="1" applyFill="1" applyBorder="1" applyAlignment="1">
      <alignment horizontal="center" vertical="center"/>
    </xf>
    <xf numFmtId="0" fontId="31" fillId="9" borderId="38" xfId="0" applyFont="1" applyFill="1" applyBorder="1" applyAlignment="1">
      <alignment horizontal="center" vertical="center"/>
    </xf>
    <xf numFmtId="0" fontId="31" fillId="9" borderId="39" xfId="0" applyFont="1" applyFill="1" applyBorder="1" applyAlignment="1">
      <alignment horizontal="center" vertical="center"/>
    </xf>
    <xf numFmtId="0" fontId="31" fillId="9" borderId="40" xfId="0" applyFont="1" applyFill="1" applyBorder="1" applyAlignment="1">
      <alignment horizontal="center" vertical="center"/>
    </xf>
    <xf numFmtId="0" fontId="31" fillId="2" borderId="38" xfId="0" applyFont="1" applyFill="1" applyBorder="1" applyAlignment="1">
      <alignment horizontal="center" vertical="center"/>
    </xf>
    <xf numFmtId="0" fontId="31" fillId="2" borderId="39" xfId="0" applyFont="1" applyFill="1" applyBorder="1" applyAlignment="1">
      <alignment horizontal="center" vertical="center"/>
    </xf>
    <xf numFmtId="0" fontId="31" fillId="2" borderId="40" xfId="0" applyFont="1" applyFill="1" applyBorder="1" applyAlignment="1">
      <alignment horizontal="center" vertical="center"/>
    </xf>
    <xf numFmtId="0" fontId="32" fillId="9" borderId="39" xfId="0" applyFont="1" applyFill="1" applyBorder="1" applyAlignment="1">
      <alignment horizontal="center" vertical="center"/>
    </xf>
    <xf numFmtId="0" fontId="1" fillId="14" borderId="29" xfId="0" applyFont="1" applyFill="1" applyBorder="1" applyAlignment="1">
      <alignment horizontal="center" vertical="center"/>
    </xf>
    <xf numFmtId="0" fontId="33" fillId="9" borderId="4" xfId="0" applyFont="1" applyFill="1" applyBorder="1" applyAlignment="1">
      <alignment horizontal="center" vertical="center"/>
    </xf>
    <xf numFmtId="0" fontId="33" fillId="9" borderId="33" xfId="0" applyFont="1" applyFill="1" applyBorder="1" applyAlignment="1">
      <alignment horizontal="center" vertical="center"/>
    </xf>
    <xf numFmtId="0" fontId="33" fillId="9" borderId="34" xfId="0" applyFont="1" applyFill="1" applyBorder="1" applyAlignment="1">
      <alignment horizontal="center" vertical="center"/>
    </xf>
    <xf numFmtId="0" fontId="33" fillId="2" borderId="4" xfId="0" applyFont="1" applyFill="1" applyBorder="1" applyAlignment="1">
      <alignment horizontal="center" vertical="center"/>
    </xf>
    <xf numFmtId="0" fontId="33" fillId="2" borderId="33" xfId="0" applyFont="1" applyFill="1" applyBorder="1" applyAlignment="1">
      <alignment horizontal="center" vertical="center"/>
    </xf>
    <xf numFmtId="0" fontId="33" fillId="2" borderId="34" xfId="0" applyFont="1" applyFill="1" applyBorder="1" applyAlignment="1">
      <alignment horizontal="center" vertical="center"/>
    </xf>
    <xf numFmtId="0" fontId="34" fillId="9" borderId="33" xfId="0" applyFont="1" applyFill="1" applyBorder="1" applyAlignment="1">
      <alignment horizontal="center" vertical="center"/>
    </xf>
    <xf numFmtId="0" fontId="14" fillId="14" borderId="29" xfId="0" applyFont="1" applyFill="1" applyBorder="1" applyAlignment="1">
      <alignment horizontal="center" vertical="center"/>
    </xf>
    <xf numFmtId="0" fontId="35" fillId="11" borderId="0" xfId="2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35" fillId="13" borderId="0" xfId="3" applyFont="1" applyFill="1" applyAlignment="1">
      <alignment horizontal="center" vertical="center"/>
    </xf>
    <xf numFmtId="0" fontId="36" fillId="2" borderId="0" xfId="0" applyFont="1" applyFill="1" applyAlignment="1">
      <alignment horizontal="left" vertical="center"/>
    </xf>
    <xf numFmtId="0" fontId="36" fillId="2" borderId="0" xfId="0" applyFont="1" applyFill="1" applyAlignment="1">
      <alignment horizontal="center" vertical="center"/>
    </xf>
    <xf numFmtId="0" fontId="35" fillId="2" borderId="0" xfId="0" applyFont="1" applyFill="1" applyAlignment="1">
      <alignment horizontal="right" vertical="center"/>
    </xf>
    <xf numFmtId="0" fontId="35" fillId="2" borderId="0" xfId="0" applyFont="1" applyFill="1" applyAlignment="1">
      <alignment horizontal="center" vertical="center"/>
    </xf>
    <xf numFmtId="0" fontId="35" fillId="2" borderId="0" xfId="0" applyFont="1" applyFill="1" applyAlignment="1">
      <alignment horizontal="left" vertical="center"/>
    </xf>
    <xf numFmtId="0" fontId="38" fillId="2" borderId="0" xfId="0" applyFont="1" applyFill="1" applyAlignment="1">
      <alignment horizontal="left" vertical="center"/>
    </xf>
    <xf numFmtId="0" fontId="38" fillId="2" borderId="0" xfId="0" applyFont="1" applyFill="1" applyAlignment="1">
      <alignment horizontal="center" vertical="center"/>
    </xf>
    <xf numFmtId="0" fontId="39" fillId="2" borderId="0" xfId="0" applyFont="1" applyFill="1" applyAlignment="1">
      <alignment vertical="center"/>
    </xf>
    <xf numFmtId="0" fontId="38" fillId="2" borderId="0" xfId="0" applyFont="1" applyFill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9" fillId="11" borderId="0" xfId="2" applyFont="1" applyFill="1" applyAlignment="1">
      <alignment horizontal="center" vertical="center"/>
    </xf>
    <xf numFmtId="0" fontId="9" fillId="12" borderId="0" xfId="5" applyFont="1" applyFill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9" fillId="10" borderId="0" xfId="4" applyFont="1" applyFill="1" applyAlignment="1">
      <alignment horizontal="center" vertical="center"/>
    </xf>
    <xf numFmtId="0" fontId="36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19" fillId="2" borderId="0" xfId="0" applyFont="1" applyFill="1" applyAlignment="1">
      <alignment horizontal="center" vertical="center"/>
    </xf>
    <xf numFmtId="0" fontId="40" fillId="2" borderId="0" xfId="0" applyFont="1" applyFill="1" applyAlignment="1">
      <alignment horizontal="center" vertical="center"/>
    </xf>
    <xf numFmtId="0" fontId="41" fillId="2" borderId="0" xfId="0" applyFont="1" applyFill="1" applyAlignment="1">
      <alignment horizontal="left" vertical="center"/>
    </xf>
    <xf numFmtId="0" fontId="13" fillId="15" borderId="6" xfId="0" applyFont="1" applyFill="1" applyBorder="1" applyAlignment="1">
      <alignment horizontal="center" vertical="center"/>
    </xf>
    <xf numFmtId="0" fontId="1" fillId="15" borderId="5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right" vertical="center"/>
    </xf>
    <xf numFmtId="0" fontId="1" fillId="0" borderId="0" xfId="0" applyFont="1" applyFill="1" applyAlignment="1">
      <alignment horizontal="right" vertical="center"/>
    </xf>
    <xf numFmtId="0" fontId="47" fillId="2" borderId="39" xfId="0" applyFont="1" applyFill="1" applyBorder="1" applyAlignment="1">
      <alignment horizontal="center" vertical="center"/>
    </xf>
    <xf numFmtId="0" fontId="48" fillId="2" borderId="33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right" vertical="center"/>
    </xf>
    <xf numFmtId="0" fontId="49" fillId="2" borderId="0" xfId="0" applyFont="1" applyFill="1" applyBorder="1" applyAlignment="1">
      <alignment horizontal="left" vertical="center"/>
    </xf>
    <xf numFmtId="0" fontId="50" fillId="2" borderId="0" xfId="0" applyFont="1" applyFill="1" applyAlignment="1">
      <alignment horizontal="center" vertical="center"/>
    </xf>
    <xf numFmtId="0" fontId="49" fillId="2" borderId="0" xfId="0" applyFont="1" applyFill="1" applyAlignment="1">
      <alignment horizontal="left" vertical="center"/>
    </xf>
    <xf numFmtId="0" fontId="50" fillId="2" borderId="0" xfId="0" applyFont="1" applyFill="1" applyBorder="1" applyAlignment="1">
      <alignment horizontal="left" vertical="center"/>
    </xf>
    <xf numFmtId="0" fontId="50" fillId="2" borderId="0" xfId="0" applyFont="1" applyFill="1" applyAlignment="1">
      <alignment horizontal="left" vertical="center"/>
    </xf>
    <xf numFmtId="0" fontId="49" fillId="0" borderId="0" xfId="0" applyFont="1" applyBorder="1" applyAlignment="1">
      <alignment horizontal="center" vertical="center"/>
    </xf>
    <xf numFmtId="0" fontId="49" fillId="2" borderId="0" xfId="0" applyFont="1" applyFill="1" applyAlignment="1">
      <alignment vertical="center"/>
    </xf>
    <xf numFmtId="0" fontId="53" fillId="14" borderId="0" xfId="0" applyFont="1" applyFill="1" applyAlignment="1">
      <alignment horizontal="center" vertical="center"/>
    </xf>
    <xf numFmtId="0" fontId="6" fillId="18" borderId="0" xfId="0" applyFont="1" applyFill="1" applyBorder="1" applyAlignment="1">
      <alignment horizontal="left" vertical="center"/>
    </xf>
    <xf numFmtId="0" fontId="49" fillId="18" borderId="0" xfId="0" applyFont="1" applyFill="1" applyBorder="1" applyAlignment="1">
      <alignment horizontal="left" vertical="center"/>
    </xf>
    <xf numFmtId="0" fontId="1" fillId="18" borderId="0" xfId="0" applyFont="1" applyFill="1" applyAlignment="1">
      <alignment vertical="center"/>
    </xf>
    <xf numFmtId="0" fontId="1" fillId="18" borderId="0" xfId="0" applyFont="1" applyFill="1" applyAlignment="1">
      <alignment horizontal="left" vertical="center"/>
    </xf>
    <xf numFmtId="0" fontId="49" fillId="18" borderId="0" xfId="0" applyFont="1" applyFill="1" applyBorder="1" applyAlignment="1">
      <alignment horizontal="center" vertical="center"/>
    </xf>
    <xf numFmtId="0" fontId="6" fillId="18" borderId="0" xfId="0" applyFont="1" applyFill="1" applyBorder="1" applyAlignment="1">
      <alignment horizontal="center" vertical="center"/>
    </xf>
    <xf numFmtId="0" fontId="49" fillId="17" borderId="0" xfId="0" applyFont="1" applyFill="1" applyAlignment="1">
      <alignment horizontal="center" vertical="center"/>
    </xf>
    <xf numFmtId="0" fontId="14" fillId="17" borderId="26" xfId="0" applyFont="1" applyFill="1" applyBorder="1" applyAlignment="1">
      <alignment horizontal="center" vertical="center"/>
    </xf>
    <xf numFmtId="0" fontId="49" fillId="17" borderId="26" xfId="0" applyFont="1" applyFill="1" applyBorder="1" applyAlignment="1">
      <alignment horizontal="center" vertical="center"/>
    </xf>
    <xf numFmtId="0" fontId="49" fillId="17" borderId="0" xfId="0" applyFont="1" applyFill="1" applyAlignment="1">
      <alignment horizontal="left" vertical="center"/>
    </xf>
    <xf numFmtId="0" fontId="1" fillId="14" borderId="6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50" fillId="2" borderId="4" xfId="0" applyFont="1" applyFill="1" applyBorder="1" applyAlignment="1">
      <alignment horizontal="left" vertical="center"/>
    </xf>
    <xf numFmtId="0" fontId="1" fillId="19" borderId="1" xfId="0" applyFont="1" applyFill="1" applyBorder="1" applyAlignment="1">
      <alignment horizontal="center" vertical="center"/>
    </xf>
    <xf numFmtId="0" fontId="14" fillId="19" borderId="0" xfId="0" applyFont="1" applyFill="1" applyAlignment="1">
      <alignment horizontal="center" vertical="center"/>
    </xf>
    <xf numFmtId="0" fontId="1" fillId="19" borderId="0" xfId="0" applyFont="1" applyFill="1" applyAlignment="1">
      <alignment horizontal="center" vertical="center"/>
    </xf>
    <xf numFmtId="0" fontId="14" fillId="19" borderId="5" xfId="0" applyFont="1" applyFill="1" applyBorder="1" applyAlignment="1">
      <alignment horizontal="center" vertical="center"/>
    </xf>
    <xf numFmtId="0" fontId="12" fillId="16" borderId="0" xfId="0" applyFont="1" applyFill="1" applyAlignment="1">
      <alignment horizontal="center" vertical="center"/>
    </xf>
    <xf numFmtId="0" fontId="42" fillId="16" borderId="1" xfId="0" applyFont="1" applyFill="1" applyBorder="1" applyAlignment="1">
      <alignment horizontal="center" vertical="center"/>
    </xf>
    <xf numFmtId="0" fontId="44" fillId="20" borderId="10" xfId="0" applyFont="1" applyFill="1" applyBorder="1" applyAlignment="1">
      <alignment horizontal="center" vertical="center"/>
    </xf>
    <xf numFmtId="0" fontId="44" fillId="16" borderId="10" xfId="0" applyFont="1" applyFill="1" applyBorder="1" applyAlignment="1">
      <alignment horizontal="center" vertical="center"/>
    </xf>
    <xf numFmtId="0" fontId="44" fillId="21" borderId="10" xfId="0" applyFont="1" applyFill="1" applyBorder="1" applyAlignment="1">
      <alignment horizontal="center" vertical="center"/>
    </xf>
    <xf numFmtId="0" fontId="42" fillId="16" borderId="11" xfId="0" applyFont="1" applyFill="1" applyBorder="1" applyAlignment="1">
      <alignment horizontal="center" vertical="center"/>
    </xf>
    <xf numFmtId="0" fontId="44" fillId="16" borderId="0" xfId="0" applyFont="1" applyFill="1" applyBorder="1" applyAlignment="1">
      <alignment horizontal="center" vertical="center"/>
    </xf>
    <xf numFmtId="0" fontId="44" fillId="16" borderId="5" xfId="0" applyFont="1" applyFill="1" applyBorder="1" applyAlignment="1">
      <alignment horizontal="center" vertical="center"/>
    </xf>
    <xf numFmtId="0" fontId="42" fillId="16" borderId="9" xfId="0" applyFont="1" applyFill="1" applyBorder="1" applyAlignment="1">
      <alignment horizontal="center" vertical="center"/>
    </xf>
    <xf numFmtId="0" fontId="45" fillId="16" borderId="0" xfId="0" applyFont="1" applyFill="1" applyBorder="1" applyAlignment="1">
      <alignment horizontal="center" vertical="center"/>
    </xf>
    <xf numFmtId="0" fontId="46" fillId="16" borderId="0" xfId="0" applyFont="1" applyFill="1" applyBorder="1" applyAlignment="1">
      <alignment horizontal="center" vertical="center"/>
    </xf>
    <xf numFmtId="0" fontId="40" fillId="16" borderId="12" xfId="0" applyFont="1" applyFill="1" applyBorder="1" applyAlignment="1">
      <alignment horizontal="center" vertical="center"/>
    </xf>
    <xf numFmtId="0" fontId="1" fillId="16" borderId="12" xfId="0" applyFont="1" applyFill="1" applyBorder="1" applyAlignment="1">
      <alignment horizontal="center" vertical="center"/>
    </xf>
    <xf numFmtId="0" fontId="45" fillId="16" borderId="13" xfId="0" applyFont="1" applyFill="1" applyBorder="1" applyAlignment="1">
      <alignment horizontal="center" vertical="center"/>
    </xf>
    <xf numFmtId="0" fontId="46" fillId="16" borderId="13" xfId="0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vertical="center"/>
    </xf>
    <xf numFmtId="0" fontId="43" fillId="22" borderId="1" xfId="0" applyFont="1" applyFill="1" applyBorder="1" applyAlignment="1">
      <alignment horizontal="center" vertical="center"/>
    </xf>
    <xf numFmtId="0" fontId="44" fillId="22" borderId="10" xfId="0" applyFont="1" applyFill="1" applyBorder="1" applyAlignment="1">
      <alignment horizontal="center" vertical="center"/>
    </xf>
    <xf numFmtId="0" fontId="44" fillId="22" borderId="5" xfId="0" applyFont="1" applyFill="1" applyBorder="1" applyAlignment="1">
      <alignment horizontal="center" vertical="center"/>
    </xf>
    <xf numFmtId="0" fontId="42" fillId="20" borderId="1" xfId="0" applyFont="1" applyFill="1" applyBorder="1" applyAlignment="1">
      <alignment horizontal="center" vertical="center"/>
    </xf>
    <xf numFmtId="0" fontId="1" fillId="23" borderId="0" xfId="0" applyFont="1" applyFill="1" applyAlignment="1">
      <alignment horizontal="center" vertical="center"/>
    </xf>
    <xf numFmtId="0" fontId="14" fillId="23" borderId="0" xfId="0" applyFont="1" applyFill="1" applyAlignment="1">
      <alignment horizontal="center" vertical="center"/>
    </xf>
    <xf numFmtId="0" fontId="1" fillId="24" borderId="0" xfId="0" applyFont="1" applyFill="1" applyAlignment="1">
      <alignment horizontal="center" vertical="center"/>
    </xf>
    <xf numFmtId="0" fontId="14" fillId="24" borderId="0" xfId="0" applyFont="1" applyFill="1" applyAlignment="1">
      <alignment horizontal="center" vertical="center"/>
    </xf>
    <xf numFmtId="0" fontId="54" fillId="2" borderId="0" xfId="0" applyFont="1" applyFill="1" applyAlignment="1">
      <alignment vertical="center"/>
    </xf>
    <xf numFmtId="0" fontId="49" fillId="2" borderId="0" xfId="0" applyFont="1" applyFill="1" applyAlignment="1">
      <alignment horizontal="right" vertical="center"/>
    </xf>
    <xf numFmtId="0" fontId="6" fillId="2" borderId="44" xfId="0" applyFont="1" applyFill="1" applyBorder="1" applyAlignment="1">
      <alignment horizontal="center" vertical="center"/>
    </xf>
    <xf numFmtId="0" fontId="6" fillId="2" borderId="45" xfId="0" applyFont="1" applyFill="1" applyBorder="1" applyAlignment="1">
      <alignment vertical="center"/>
    </xf>
    <xf numFmtId="0" fontId="6" fillId="2" borderId="46" xfId="0" applyFont="1" applyFill="1" applyBorder="1" applyAlignment="1">
      <alignment horizontal="right" vertical="center"/>
    </xf>
    <xf numFmtId="0" fontId="6" fillId="2" borderId="47" xfId="0" applyFont="1" applyFill="1" applyBorder="1" applyAlignment="1">
      <alignment horizontal="center" vertical="center"/>
    </xf>
    <xf numFmtId="0" fontId="6" fillId="2" borderId="48" xfId="0" applyFont="1" applyFill="1" applyBorder="1" applyAlignment="1">
      <alignment vertical="center"/>
    </xf>
    <xf numFmtId="0" fontId="6" fillId="2" borderId="49" xfId="0" applyFont="1" applyFill="1" applyBorder="1" applyAlignment="1">
      <alignment horizontal="right" vertical="center"/>
    </xf>
    <xf numFmtId="0" fontId="6" fillId="2" borderId="50" xfId="0" applyFont="1" applyFill="1" applyBorder="1" applyAlignment="1">
      <alignment horizontal="center" vertical="center"/>
    </xf>
    <xf numFmtId="0" fontId="6" fillId="2" borderId="51" xfId="0" applyFont="1" applyFill="1" applyBorder="1" applyAlignment="1">
      <alignment vertical="center"/>
    </xf>
    <xf numFmtId="0" fontId="6" fillId="2" borderId="51" xfId="0" applyFont="1" applyFill="1" applyBorder="1" applyAlignment="1">
      <alignment horizontal="right" vertical="center"/>
    </xf>
    <xf numFmtId="0" fontId="6" fillId="2" borderId="52" xfId="0" applyFont="1" applyFill="1" applyBorder="1" applyAlignment="1">
      <alignment horizontal="right" vertical="center"/>
    </xf>
    <xf numFmtId="0" fontId="56" fillId="2" borderId="44" xfId="0" applyFont="1" applyFill="1" applyBorder="1" applyAlignment="1">
      <alignment horizontal="center" vertical="center"/>
    </xf>
    <xf numFmtId="0" fontId="6" fillId="2" borderId="46" xfId="0" applyFont="1" applyFill="1" applyBorder="1" applyAlignment="1">
      <alignment vertical="center"/>
    </xf>
    <xf numFmtId="0" fontId="6" fillId="2" borderId="44" xfId="0" applyFont="1" applyFill="1" applyBorder="1" applyAlignment="1">
      <alignment vertical="center"/>
    </xf>
    <xf numFmtId="0" fontId="6" fillId="2" borderId="49" xfId="0" applyFont="1" applyFill="1" applyBorder="1" applyAlignment="1">
      <alignment vertical="center"/>
    </xf>
    <xf numFmtId="0" fontId="6" fillId="2" borderId="47" xfId="0" applyFont="1" applyFill="1" applyBorder="1" applyAlignment="1">
      <alignment vertical="center"/>
    </xf>
    <xf numFmtId="0" fontId="6" fillId="2" borderId="52" xfId="0" applyFont="1" applyFill="1" applyBorder="1" applyAlignment="1">
      <alignment vertical="center"/>
    </xf>
    <xf numFmtId="0" fontId="6" fillId="2" borderId="50" xfId="0" applyFont="1" applyFill="1" applyBorder="1" applyAlignment="1">
      <alignment vertical="center"/>
    </xf>
    <xf numFmtId="0" fontId="6" fillId="2" borderId="49" xfId="0" applyFont="1" applyFill="1" applyBorder="1" applyAlignment="1">
      <alignment horizontal="left" vertical="center"/>
    </xf>
    <xf numFmtId="0" fontId="6" fillId="2" borderId="47" xfId="0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right" vertical="center"/>
    </xf>
    <xf numFmtId="0" fontId="6" fillId="2" borderId="43" xfId="0" applyFont="1" applyFill="1" applyBorder="1" applyAlignment="1">
      <alignment horizontal="left" vertical="center"/>
    </xf>
    <xf numFmtId="41" fontId="55" fillId="2" borderId="57" xfId="0" applyNumberFormat="1" applyFont="1" applyFill="1" applyBorder="1" applyAlignment="1">
      <alignment horizontal="left" vertical="center"/>
    </xf>
    <xf numFmtId="41" fontId="55" fillId="3" borderId="54" xfId="0" applyNumberFormat="1" applyFont="1" applyFill="1" applyBorder="1" applyAlignment="1">
      <alignment horizontal="right" vertical="center"/>
    </xf>
    <xf numFmtId="41" fontId="55" fillId="3" borderId="48" xfId="0" applyNumberFormat="1" applyFont="1" applyFill="1" applyBorder="1" applyAlignment="1">
      <alignment horizontal="right" vertical="center"/>
    </xf>
    <xf numFmtId="0" fontId="6" fillId="2" borderId="42" xfId="0" applyFont="1" applyFill="1" applyBorder="1" applyAlignment="1">
      <alignment horizontal="left" vertical="center"/>
    </xf>
    <xf numFmtId="41" fontId="55" fillId="2" borderId="59" xfId="0" applyNumberFormat="1" applyFont="1" applyFill="1" applyBorder="1" applyAlignment="1">
      <alignment horizontal="left" vertical="center"/>
    </xf>
    <xf numFmtId="0" fontId="6" fillId="2" borderId="56" xfId="0" applyFont="1" applyFill="1" applyBorder="1" applyAlignment="1">
      <alignment horizontal="center" vertical="center"/>
    </xf>
    <xf numFmtId="0" fontId="6" fillId="2" borderId="53" xfId="0" applyFont="1" applyFill="1" applyBorder="1" applyAlignment="1">
      <alignment horizontal="center" vertical="center"/>
    </xf>
    <xf numFmtId="0" fontId="6" fillId="2" borderId="60" xfId="0" applyFont="1" applyFill="1" applyBorder="1" applyAlignment="1">
      <alignment horizontal="center" vertical="center"/>
    </xf>
    <xf numFmtId="41" fontId="55" fillId="2" borderId="56" xfId="0" applyNumberFormat="1" applyFont="1" applyFill="1" applyBorder="1" applyAlignment="1">
      <alignment vertical="center"/>
    </xf>
    <xf numFmtId="41" fontId="55" fillId="2" borderId="53" xfId="0" applyNumberFormat="1" applyFont="1" applyFill="1" applyBorder="1" applyAlignment="1">
      <alignment vertical="center"/>
    </xf>
    <xf numFmtId="41" fontId="55" fillId="27" borderId="55" xfId="0" applyNumberFormat="1" applyFont="1" applyFill="1" applyBorder="1" applyAlignment="1">
      <alignment horizontal="right" vertical="center"/>
    </xf>
    <xf numFmtId="41" fontId="55" fillId="27" borderId="49" xfId="0" applyNumberFormat="1" applyFont="1" applyFill="1" applyBorder="1" applyAlignment="1">
      <alignment horizontal="right" vertical="center"/>
    </xf>
    <xf numFmtId="41" fontId="55" fillId="27" borderId="54" xfId="0" applyNumberFormat="1" applyFont="1" applyFill="1" applyBorder="1" applyAlignment="1">
      <alignment horizontal="right" vertical="center"/>
    </xf>
    <xf numFmtId="41" fontId="55" fillId="27" borderId="48" xfId="0" applyNumberFormat="1" applyFont="1" applyFill="1" applyBorder="1" applyAlignment="1">
      <alignment horizontal="right" vertical="center"/>
    </xf>
    <xf numFmtId="41" fontId="55" fillId="26" borderId="54" xfId="0" applyNumberFormat="1" applyFont="1" applyFill="1" applyBorder="1" applyAlignment="1">
      <alignment horizontal="right" vertical="center"/>
    </xf>
    <xf numFmtId="41" fontId="55" fillId="26" borderId="48" xfId="0" applyNumberFormat="1" applyFont="1" applyFill="1" applyBorder="1" applyAlignment="1">
      <alignment horizontal="right" vertical="center"/>
    </xf>
    <xf numFmtId="41" fontId="55" fillId="9" borderId="54" xfId="0" applyNumberFormat="1" applyFont="1" applyFill="1" applyBorder="1" applyAlignment="1">
      <alignment horizontal="right" vertical="center"/>
    </xf>
    <xf numFmtId="41" fontId="55" fillId="9" borderId="48" xfId="0" applyNumberFormat="1" applyFont="1" applyFill="1" applyBorder="1" applyAlignment="1">
      <alignment horizontal="right" vertical="center"/>
    </xf>
    <xf numFmtId="0" fontId="6" fillId="28" borderId="60" xfId="0" applyFont="1" applyFill="1" applyBorder="1" applyAlignment="1">
      <alignment horizontal="center" vertical="center"/>
    </xf>
    <xf numFmtId="41" fontId="55" fillId="28" borderId="60" xfId="0" applyNumberFormat="1" applyFont="1" applyFill="1" applyBorder="1" applyAlignment="1">
      <alignment vertical="center"/>
    </xf>
    <xf numFmtId="0" fontId="55" fillId="0" borderId="47" xfId="0" applyFont="1" applyFill="1" applyBorder="1" applyAlignment="1">
      <alignment horizontal="right" vertical="center"/>
    </xf>
    <xf numFmtId="41" fontId="55" fillId="0" borderId="43" xfId="0" applyNumberFormat="1" applyFont="1" applyFill="1" applyBorder="1" applyAlignment="1">
      <alignment horizontal="right" vertical="center"/>
    </xf>
    <xf numFmtId="0" fontId="6" fillId="29" borderId="43" xfId="0" applyFont="1" applyFill="1" applyBorder="1" applyAlignment="1">
      <alignment horizontal="left" vertical="center"/>
    </xf>
    <xf numFmtId="41" fontId="55" fillId="29" borderId="57" xfId="0" applyNumberFormat="1" applyFont="1" applyFill="1" applyBorder="1" applyAlignment="1">
      <alignment horizontal="left" vertical="center"/>
    </xf>
    <xf numFmtId="0" fontId="55" fillId="29" borderId="47" xfId="0" applyFont="1" applyFill="1" applyBorder="1" applyAlignment="1">
      <alignment horizontal="right" vertical="center"/>
    </xf>
    <xf numFmtId="41" fontId="55" fillId="30" borderId="48" xfId="0" applyNumberFormat="1" applyFont="1" applyFill="1" applyBorder="1" applyAlignment="1">
      <alignment horizontal="right" vertical="center"/>
    </xf>
    <xf numFmtId="41" fontId="55" fillId="31" borderId="48" xfId="0" applyNumberFormat="1" applyFont="1" applyFill="1" applyBorder="1" applyAlignment="1">
      <alignment horizontal="right" vertical="center"/>
    </xf>
    <xf numFmtId="41" fontId="55" fillId="32" borderId="49" xfId="0" applyNumberFormat="1" applyFont="1" applyFill="1" applyBorder="1" applyAlignment="1">
      <alignment horizontal="right" vertical="center"/>
    </xf>
    <xf numFmtId="41" fontId="55" fillId="33" borderId="48" xfId="0" applyNumberFormat="1" applyFont="1" applyFill="1" applyBorder="1" applyAlignment="1">
      <alignment horizontal="right" vertical="center"/>
    </xf>
    <xf numFmtId="41" fontId="55" fillId="32" borderId="48" xfId="0" applyNumberFormat="1" applyFont="1" applyFill="1" applyBorder="1" applyAlignment="1">
      <alignment horizontal="right" vertical="center"/>
    </xf>
    <xf numFmtId="41" fontId="55" fillId="29" borderId="43" xfId="0" applyNumberFormat="1" applyFont="1" applyFill="1" applyBorder="1" applyAlignment="1">
      <alignment horizontal="right" vertical="center"/>
    </xf>
    <xf numFmtId="0" fontId="6" fillId="14" borderId="43" xfId="0" applyFont="1" applyFill="1" applyBorder="1" applyAlignment="1">
      <alignment horizontal="left" vertical="center"/>
    </xf>
    <xf numFmtId="41" fontId="55" fillId="14" borderId="57" xfId="0" applyNumberFormat="1" applyFont="1" applyFill="1" applyBorder="1" applyAlignment="1">
      <alignment horizontal="left" vertical="center"/>
    </xf>
    <xf numFmtId="41" fontId="55" fillId="14" borderId="43" xfId="0" applyNumberFormat="1" applyFont="1" applyFill="1" applyBorder="1" applyAlignment="1">
      <alignment horizontal="right" vertical="center"/>
    </xf>
    <xf numFmtId="41" fontId="55" fillId="14" borderId="47" xfId="0" applyNumberFormat="1" applyFont="1" applyFill="1" applyBorder="1" applyAlignment="1">
      <alignment horizontal="right" vertical="center"/>
    </xf>
    <xf numFmtId="41" fontId="55" fillId="34" borderId="48" xfId="0" applyNumberFormat="1" applyFont="1" applyFill="1" applyBorder="1" applyAlignment="1">
      <alignment horizontal="right" vertical="center"/>
    </xf>
    <xf numFmtId="41" fontId="55" fillId="35" borderId="49" xfId="0" applyNumberFormat="1" applyFont="1" applyFill="1" applyBorder="1" applyAlignment="1">
      <alignment horizontal="right" vertical="center"/>
    </xf>
    <xf numFmtId="41" fontId="55" fillId="36" borderId="48" xfId="0" applyNumberFormat="1" applyFont="1" applyFill="1" applyBorder="1" applyAlignment="1">
      <alignment horizontal="right" vertical="center"/>
    </xf>
    <xf numFmtId="41" fontId="55" fillId="37" borderId="48" xfId="0" applyNumberFormat="1" applyFont="1" applyFill="1" applyBorder="1" applyAlignment="1">
      <alignment horizontal="right" vertical="center"/>
    </xf>
    <xf numFmtId="41" fontId="55" fillId="35" borderId="48" xfId="0" applyNumberFormat="1" applyFont="1" applyFill="1" applyBorder="1" applyAlignment="1">
      <alignment horizontal="right" vertical="center"/>
    </xf>
    <xf numFmtId="0" fontId="55" fillId="14" borderId="47" xfId="0" applyFont="1" applyFill="1" applyBorder="1" applyAlignment="1">
      <alignment horizontal="right" vertical="center"/>
    </xf>
    <xf numFmtId="0" fontId="6" fillId="38" borderId="41" xfId="0" applyFont="1" applyFill="1" applyBorder="1" applyAlignment="1">
      <alignment horizontal="left" vertical="center"/>
    </xf>
    <xf numFmtId="41" fontId="55" fillId="38" borderId="58" xfId="0" applyNumberFormat="1" applyFont="1" applyFill="1" applyBorder="1" applyAlignment="1">
      <alignment horizontal="left" vertical="center"/>
    </xf>
    <xf numFmtId="41" fontId="55" fillId="38" borderId="41" xfId="0" applyNumberFormat="1" applyFont="1" applyFill="1" applyBorder="1" applyAlignment="1">
      <alignment horizontal="right" vertical="center"/>
    </xf>
    <xf numFmtId="0" fontId="55" fillId="38" borderId="47" xfId="0" applyFont="1" applyFill="1" applyBorder="1" applyAlignment="1">
      <alignment horizontal="right" vertical="center"/>
    </xf>
    <xf numFmtId="41" fontId="55" fillId="39" borderId="51" xfId="0" applyNumberFormat="1" applyFont="1" applyFill="1" applyBorder="1" applyAlignment="1">
      <alignment horizontal="right" vertical="center"/>
    </xf>
    <xf numFmtId="41" fontId="55" fillId="40" borderId="51" xfId="0" applyNumberFormat="1" applyFont="1" applyFill="1" applyBorder="1" applyAlignment="1">
      <alignment horizontal="right" vertical="center"/>
    </xf>
    <xf numFmtId="41" fontId="55" fillId="41" borderId="48" xfId="0" applyNumberFormat="1" applyFont="1" applyFill="1" applyBorder="1" applyAlignment="1">
      <alignment horizontal="right" vertical="center"/>
    </xf>
    <xf numFmtId="41" fontId="55" fillId="41" borderId="51" xfId="0" applyNumberFormat="1" applyFont="1" applyFill="1" applyBorder="1" applyAlignment="1">
      <alignment horizontal="right" vertical="center"/>
    </xf>
    <xf numFmtId="41" fontId="55" fillId="42" borderId="51" xfId="0" applyNumberFormat="1" applyFont="1" applyFill="1" applyBorder="1" applyAlignment="1">
      <alignment horizontal="right" vertical="center"/>
    </xf>
    <xf numFmtId="0" fontId="6" fillId="38" borderId="43" xfId="0" applyFont="1" applyFill="1" applyBorder="1" applyAlignment="1">
      <alignment horizontal="left" vertical="center"/>
    </xf>
    <xf numFmtId="41" fontId="55" fillId="38" borderId="57" xfId="0" applyNumberFormat="1" applyFont="1" applyFill="1" applyBorder="1" applyAlignment="1">
      <alignment horizontal="left" vertical="center"/>
    </xf>
    <xf numFmtId="41" fontId="55" fillId="38" borderId="43" xfId="0" applyNumberFormat="1" applyFont="1" applyFill="1" applyBorder="1" applyAlignment="1">
      <alignment horizontal="right" vertical="center"/>
    </xf>
    <xf numFmtId="41" fontId="55" fillId="42" borderId="48" xfId="0" applyNumberFormat="1" applyFont="1" applyFill="1" applyBorder="1" applyAlignment="1">
      <alignment horizontal="right" vertical="center"/>
    </xf>
    <xf numFmtId="41" fontId="55" fillId="9" borderId="55" xfId="0" applyNumberFormat="1" applyFont="1" applyFill="1" applyBorder="1" applyAlignment="1">
      <alignment horizontal="right" vertical="center"/>
    </xf>
    <xf numFmtId="41" fontId="55" fillId="33" borderId="49" xfId="0" applyNumberFormat="1" applyFont="1" applyFill="1" applyBorder="1" applyAlignment="1">
      <alignment horizontal="right" vertical="center"/>
    </xf>
    <xf numFmtId="41" fontId="55" fillId="36" borderId="49" xfId="0" applyNumberFormat="1" applyFont="1" applyFill="1" applyBorder="1" applyAlignment="1">
      <alignment horizontal="right" vertical="center"/>
    </xf>
    <xf numFmtId="41" fontId="55" fillId="9" borderId="49" xfId="0" applyNumberFormat="1" applyFont="1" applyFill="1" applyBorder="1" applyAlignment="1">
      <alignment horizontal="right" vertical="center"/>
    </xf>
    <xf numFmtId="41" fontId="55" fillId="39" borderId="52" xfId="0" applyNumberFormat="1" applyFont="1" applyFill="1" applyBorder="1" applyAlignment="1">
      <alignment horizontal="right" vertical="center"/>
    </xf>
    <xf numFmtId="41" fontId="55" fillId="39" borderId="49" xfId="0" applyNumberFormat="1" applyFont="1" applyFill="1" applyBorder="1" applyAlignment="1">
      <alignment horizontal="right" vertical="center"/>
    </xf>
    <xf numFmtId="41" fontId="55" fillId="48" borderId="49" xfId="0" applyNumberFormat="1" applyFont="1" applyFill="1" applyBorder="1" applyAlignment="1">
      <alignment horizontal="right" vertical="center"/>
    </xf>
    <xf numFmtId="0" fontId="6" fillId="2" borderId="61" xfId="0" applyFont="1" applyFill="1" applyBorder="1" applyAlignment="1">
      <alignment horizontal="center" vertical="center"/>
    </xf>
    <xf numFmtId="0" fontId="6" fillId="28" borderId="62" xfId="0" applyFont="1" applyFill="1" applyBorder="1" applyAlignment="1">
      <alignment horizontal="center" vertical="center"/>
    </xf>
    <xf numFmtId="41" fontId="55" fillId="2" borderId="61" xfId="0" applyNumberFormat="1" applyFont="1" applyFill="1" applyBorder="1" applyAlignment="1">
      <alignment vertical="center"/>
    </xf>
    <xf numFmtId="41" fontId="55" fillId="28" borderId="62" xfId="0" applyNumberFormat="1" applyFont="1" applyFill="1" applyBorder="1" applyAlignment="1">
      <alignment vertical="center"/>
    </xf>
    <xf numFmtId="41" fontId="55" fillId="3" borderId="63" xfId="0" applyNumberFormat="1" applyFont="1" applyFill="1" applyBorder="1" applyAlignment="1">
      <alignment horizontal="right" vertical="center"/>
    </xf>
    <xf numFmtId="41" fontId="55" fillId="43" borderId="64" xfId="0" applyNumberFormat="1" applyFont="1" applyFill="1" applyBorder="1" applyAlignment="1">
      <alignment horizontal="right" vertical="center"/>
    </xf>
    <xf numFmtId="41" fontId="55" fillId="31" borderId="65" xfId="0" applyNumberFormat="1" applyFont="1" applyFill="1" applyBorder="1" applyAlignment="1">
      <alignment horizontal="right" vertical="center"/>
    </xf>
    <xf numFmtId="41" fontId="55" fillId="44" borderId="66" xfId="0" applyNumberFormat="1" applyFont="1" applyFill="1" applyBorder="1" applyAlignment="1">
      <alignment horizontal="right" vertical="center"/>
    </xf>
    <xf numFmtId="41" fontId="55" fillId="34" borderId="65" xfId="0" applyNumberFormat="1" applyFont="1" applyFill="1" applyBorder="1" applyAlignment="1">
      <alignment horizontal="right" vertical="center"/>
    </xf>
    <xf numFmtId="41" fontId="55" fillId="45" borderId="66" xfId="0" applyNumberFormat="1" applyFont="1" applyFill="1" applyBorder="1" applyAlignment="1">
      <alignment horizontal="right" vertical="center"/>
    </xf>
    <xf numFmtId="41" fontId="55" fillId="3" borderId="65" xfId="0" applyNumberFormat="1" applyFont="1" applyFill="1" applyBorder="1" applyAlignment="1">
      <alignment horizontal="right" vertical="center"/>
    </xf>
    <xf numFmtId="41" fontId="55" fillId="43" borderId="66" xfId="0" applyNumberFormat="1" applyFont="1" applyFill="1" applyBorder="1" applyAlignment="1">
      <alignment horizontal="right" vertical="center"/>
    </xf>
    <xf numFmtId="41" fontId="55" fillId="42" borderId="67" xfId="0" applyNumberFormat="1" applyFont="1" applyFill="1" applyBorder="1" applyAlignment="1">
      <alignment horizontal="right" vertical="center"/>
    </xf>
    <xf numFmtId="41" fontId="55" fillId="46" borderId="68" xfId="0" applyNumberFormat="1" applyFont="1" applyFill="1" applyBorder="1" applyAlignment="1">
      <alignment horizontal="right" vertical="center"/>
    </xf>
    <xf numFmtId="41" fontId="55" fillId="42" borderId="65" xfId="0" applyNumberFormat="1" applyFont="1" applyFill="1" applyBorder="1" applyAlignment="1">
      <alignment horizontal="right" vertical="center"/>
    </xf>
    <xf numFmtId="41" fontId="55" fillId="46" borderId="66" xfId="0" applyNumberFormat="1" applyFont="1" applyFill="1" applyBorder="1" applyAlignment="1">
      <alignment horizontal="right" vertical="center"/>
    </xf>
    <xf numFmtId="41" fontId="55" fillId="47" borderId="66" xfId="0" applyNumberFormat="1" applyFont="1" applyFill="1" applyBorder="1" applyAlignment="1">
      <alignment horizontal="right" vertical="center"/>
    </xf>
    <xf numFmtId="0" fontId="55" fillId="0" borderId="69" xfId="0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center" vertical="center"/>
    </xf>
    <xf numFmtId="41" fontId="55" fillId="0" borderId="0" xfId="0" applyNumberFormat="1" applyFont="1" applyFill="1" applyBorder="1" applyAlignment="1">
      <alignment vertical="center"/>
    </xf>
    <xf numFmtId="0" fontId="6" fillId="0" borderId="0" xfId="0" applyFont="1" applyFill="1" applyBorder="1" applyAlignment="1">
      <alignment horizontal="left" vertical="center"/>
    </xf>
    <xf numFmtId="41" fontId="55" fillId="0" borderId="0" xfId="0" applyNumberFormat="1" applyFont="1" applyFill="1" applyBorder="1" applyAlignment="1">
      <alignment horizontal="left" vertical="center"/>
    </xf>
    <xf numFmtId="0" fontId="55" fillId="0" borderId="0" xfId="0" applyFont="1" applyFill="1" applyBorder="1" applyAlignment="1">
      <alignment horizontal="right" vertical="center"/>
    </xf>
    <xf numFmtId="41" fontId="55" fillId="0" borderId="0" xfId="0" applyNumberFormat="1" applyFont="1" applyFill="1" applyBorder="1" applyAlignment="1">
      <alignment horizontal="right" vertical="center"/>
    </xf>
    <xf numFmtId="0" fontId="51" fillId="0" borderId="70" xfId="0" applyFont="1" applyFill="1" applyBorder="1" applyAlignment="1">
      <alignment horizontal="center"/>
    </xf>
    <xf numFmtId="0" fontId="52" fillId="0" borderId="70" xfId="0" applyFont="1" applyFill="1" applyBorder="1" applyAlignment="1">
      <alignment horizontal="center"/>
    </xf>
    <xf numFmtId="0" fontId="52" fillId="49" borderId="70" xfId="0" applyFont="1" applyFill="1" applyBorder="1"/>
    <xf numFmtId="0" fontId="51" fillId="0" borderId="71" xfId="0" applyFont="1" applyFill="1" applyBorder="1" applyAlignment="1">
      <alignment horizontal="center"/>
    </xf>
    <xf numFmtId="0" fontId="52" fillId="0" borderId="71" xfId="0" applyFont="1" applyFill="1" applyBorder="1" applyAlignment="1">
      <alignment horizontal="center"/>
    </xf>
    <xf numFmtId="0" fontId="52" fillId="49" borderId="71" xfId="0" applyFont="1" applyFill="1" applyBorder="1"/>
    <xf numFmtId="0" fontId="51" fillId="0" borderId="0" xfId="0" applyFont="1" applyFill="1" applyBorder="1" applyAlignment="1">
      <alignment horizontal="center"/>
    </xf>
    <xf numFmtId="0" fontId="52" fillId="0" borderId="0" xfId="0" applyFont="1" applyFill="1" applyBorder="1" applyAlignment="1">
      <alignment horizontal="center"/>
    </xf>
    <xf numFmtId="0" fontId="52" fillId="49" borderId="0" xfId="0" applyFont="1" applyFill="1" applyBorder="1"/>
    <xf numFmtId="0" fontId="11" fillId="25" borderId="41" xfId="0" applyFont="1" applyFill="1" applyBorder="1" applyAlignment="1">
      <alignment horizontal="right" vertical="center"/>
    </xf>
    <xf numFmtId="0" fontId="11" fillId="0" borderId="41" xfId="0" applyFont="1" applyFill="1" applyBorder="1" applyAlignment="1">
      <alignment horizontal="right" vertical="center"/>
    </xf>
    <xf numFmtId="0" fontId="11" fillId="25" borderId="0" xfId="0" applyFont="1" applyFill="1" applyAlignment="1">
      <alignment horizontal="right" vertical="center"/>
    </xf>
    <xf numFmtId="0" fontId="11" fillId="0" borderId="0" xfId="0" applyFont="1" applyFill="1" applyAlignment="1">
      <alignment horizontal="right" vertical="center"/>
    </xf>
    <xf numFmtId="0" fontId="10" fillId="0" borderId="0" xfId="0" applyFont="1" applyFill="1" applyAlignment="1">
      <alignment horizontal="right" vertical="center"/>
    </xf>
    <xf numFmtId="0" fontId="11" fillId="0" borderId="0" xfId="0" applyFont="1" applyFill="1" applyBorder="1" applyAlignment="1">
      <alignment horizontal="right" vertical="center"/>
    </xf>
    <xf numFmtId="0" fontId="11" fillId="25" borderId="42" xfId="0" applyFont="1" applyFill="1" applyBorder="1" applyAlignment="1">
      <alignment horizontal="right" vertical="center"/>
    </xf>
    <xf numFmtId="0" fontId="11" fillId="0" borderId="42" xfId="0" applyFont="1" applyFill="1" applyBorder="1" applyAlignment="1">
      <alignment horizontal="right" vertical="center"/>
    </xf>
    <xf numFmtId="0" fontId="11" fillId="25" borderId="0" xfId="0" applyFont="1" applyFill="1" applyBorder="1" applyAlignment="1">
      <alignment horizontal="right" vertical="center"/>
    </xf>
    <xf numFmtId="0" fontId="1" fillId="0" borderId="0" xfId="0" applyFont="1"/>
    <xf numFmtId="0" fontId="6" fillId="14" borderId="41" xfId="0" applyFont="1" applyFill="1" applyBorder="1" applyAlignment="1">
      <alignment horizontal="left" vertical="center"/>
    </xf>
    <xf numFmtId="41" fontId="55" fillId="14" borderId="58" xfId="0" applyNumberFormat="1" applyFont="1" applyFill="1" applyBorder="1" applyAlignment="1">
      <alignment horizontal="left" vertical="center"/>
    </xf>
    <xf numFmtId="41" fontId="55" fillId="14" borderId="41" xfId="0" applyNumberFormat="1" applyFont="1" applyFill="1" applyBorder="1" applyAlignment="1">
      <alignment horizontal="right" vertical="center"/>
    </xf>
    <xf numFmtId="41" fontId="55" fillId="14" borderId="72" xfId="0" applyNumberFormat="1" applyFont="1" applyFill="1" applyBorder="1" applyAlignment="1">
      <alignment horizontal="right" vertical="center"/>
    </xf>
    <xf numFmtId="0" fontId="55" fillId="14" borderId="68" xfId="0" applyFont="1" applyFill="1" applyBorder="1" applyAlignment="1">
      <alignment horizontal="right" vertical="center"/>
    </xf>
    <xf numFmtId="41" fontId="55" fillId="36" borderId="52" xfId="0" applyNumberFormat="1" applyFont="1" applyFill="1" applyBorder="1" applyAlignment="1">
      <alignment horizontal="right" vertical="center"/>
    </xf>
    <xf numFmtId="0" fontId="10" fillId="0" borderId="0" xfId="0" applyFont="1" applyFill="1" applyBorder="1" applyAlignment="1">
      <alignment horizontal="right" vertical="center"/>
    </xf>
    <xf numFmtId="164" fontId="57" fillId="50" borderId="0" xfId="0" applyNumberFormat="1" applyFont="1" applyFill="1" applyBorder="1" applyAlignment="1">
      <alignment horizontal="center" vertical="center"/>
    </xf>
    <xf numFmtId="0" fontId="57" fillId="50" borderId="0" xfId="0" applyFont="1" applyFill="1" applyBorder="1" applyAlignment="1">
      <alignment horizontal="left" vertical="center"/>
    </xf>
    <xf numFmtId="165" fontId="57" fillId="50" borderId="0" xfId="0" applyNumberFormat="1" applyFont="1" applyFill="1" applyBorder="1" applyAlignment="1">
      <alignment horizontal="right" vertical="center"/>
    </xf>
    <xf numFmtId="164" fontId="57" fillId="0" borderId="0" xfId="0" applyNumberFormat="1" applyFont="1" applyFill="1" applyBorder="1" applyAlignment="1">
      <alignment horizontal="center" vertical="center"/>
    </xf>
    <xf numFmtId="0" fontId="57" fillId="0" borderId="0" xfId="0" applyFont="1" applyFill="1" applyBorder="1" applyAlignment="1">
      <alignment horizontal="left" vertical="center"/>
    </xf>
    <xf numFmtId="165" fontId="57" fillId="0" borderId="0" xfId="0" applyNumberFormat="1" applyFont="1" applyFill="1" applyBorder="1" applyAlignment="1">
      <alignment horizontal="right" vertical="center"/>
    </xf>
    <xf numFmtId="164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4" fontId="11" fillId="51" borderId="0" xfId="0" applyNumberFormat="1" applyFont="1" applyFill="1" applyBorder="1" applyAlignment="1">
      <alignment horizontal="center" vertical="center"/>
    </xf>
    <xf numFmtId="0" fontId="11" fillId="51" borderId="0" xfId="0" applyFont="1" applyFill="1" applyBorder="1" applyAlignment="1">
      <alignment horizontal="left" vertical="center"/>
    </xf>
    <xf numFmtId="165" fontId="11" fillId="51" borderId="0" xfId="0" applyNumberFormat="1" applyFont="1" applyFill="1" applyBorder="1" applyAlignment="1">
      <alignment horizontal="right" vertical="center"/>
    </xf>
    <xf numFmtId="0" fontId="11" fillId="51" borderId="0" xfId="0" applyFont="1" applyFill="1" applyBorder="1" applyAlignment="1">
      <alignment horizontal="right" vertical="center"/>
    </xf>
    <xf numFmtId="164" fontId="11" fillId="52" borderId="0" xfId="0" applyNumberFormat="1" applyFont="1" applyFill="1" applyBorder="1" applyAlignment="1">
      <alignment horizontal="center" vertical="center"/>
    </xf>
    <xf numFmtId="0" fontId="11" fillId="52" borderId="0" xfId="0" applyFont="1" applyFill="1" applyBorder="1" applyAlignment="1">
      <alignment horizontal="left" vertical="center"/>
    </xf>
    <xf numFmtId="165" fontId="11" fillId="52" borderId="0" xfId="0" applyNumberFormat="1" applyFont="1" applyFill="1" applyBorder="1" applyAlignment="1">
      <alignment horizontal="right" vertical="center"/>
    </xf>
    <xf numFmtId="0" fontId="11" fillId="52" borderId="0" xfId="0" applyFont="1" applyFill="1" applyBorder="1" applyAlignment="1">
      <alignment horizontal="right" vertical="center"/>
    </xf>
    <xf numFmtId="166" fontId="55" fillId="0" borderId="0" xfId="0" applyNumberFormat="1" applyFont="1"/>
    <xf numFmtId="0" fontId="57" fillId="0" borderId="0" xfId="0" applyFont="1" applyFill="1" applyBorder="1" applyAlignment="1">
      <alignment vertical="center"/>
    </xf>
    <xf numFmtId="0" fontId="57" fillId="2" borderId="0" xfId="0" applyFont="1" applyFill="1" applyAlignment="1">
      <alignment horizontal="left" vertical="center"/>
    </xf>
    <xf numFmtId="1" fontId="59" fillId="50" borderId="0" xfId="0" applyNumberFormat="1" applyFont="1" applyFill="1" applyBorder="1" applyAlignment="1">
      <alignment horizontal="right" vertical="center"/>
    </xf>
    <xf numFmtId="1" fontId="59" fillId="0" borderId="0" xfId="0" applyNumberFormat="1" applyFont="1" applyFill="1" applyBorder="1" applyAlignment="1">
      <alignment horizontal="right" vertical="center"/>
    </xf>
    <xf numFmtId="0" fontId="6" fillId="2" borderId="0" xfId="0" applyFont="1" applyFill="1" applyAlignment="1">
      <alignment horizontal="left" vertical="center"/>
    </xf>
    <xf numFmtId="49" fontId="6" fillId="0" borderId="0" xfId="0" applyNumberFormat="1" applyFont="1"/>
    <xf numFmtId="0" fontId="6" fillId="0" borderId="73" xfId="0" applyFont="1" applyBorder="1"/>
    <xf numFmtId="0" fontId="36" fillId="2" borderId="0" xfId="0" applyFont="1" applyFill="1" applyAlignment="1">
      <alignment horizontal="right" vertical="center"/>
    </xf>
    <xf numFmtId="1" fontId="61" fillId="50" borderId="0" xfId="0" applyNumberFormat="1" applyFont="1" applyFill="1" applyBorder="1" applyAlignment="1">
      <alignment horizontal="right" vertical="center"/>
    </xf>
    <xf numFmtId="0" fontId="62" fillId="0" borderId="0" xfId="0" applyFont="1" applyBorder="1" applyAlignment="1">
      <alignment horizontal="left" vertical="center"/>
    </xf>
    <xf numFmtId="0" fontId="62" fillId="0" borderId="0" xfId="0" applyFont="1" applyBorder="1" applyAlignment="1">
      <alignment horizontal="right" vertical="center"/>
    </xf>
    <xf numFmtId="0" fontId="62" fillId="53" borderId="0" xfId="0" applyFont="1" applyFill="1" applyBorder="1" applyAlignment="1">
      <alignment horizontal="right" vertical="center"/>
    </xf>
    <xf numFmtId="0" fontId="62" fillId="0" borderId="74" xfId="0" applyFont="1" applyBorder="1" applyAlignment="1">
      <alignment horizontal="right" vertical="center"/>
    </xf>
    <xf numFmtId="0" fontId="62" fillId="0" borderId="13" xfId="0" applyFont="1" applyBorder="1" applyAlignment="1">
      <alignment horizontal="right" vertical="center"/>
    </xf>
    <xf numFmtId="0" fontId="62" fillId="53" borderId="75" xfId="0" applyFont="1" applyFill="1" applyBorder="1" applyAlignment="1">
      <alignment horizontal="right" vertical="center"/>
    </xf>
    <xf numFmtId="0" fontId="62" fillId="0" borderId="76" xfId="0" applyFont="1" applyBorder="1" applyAlignment="1">
      <alignment horizontal="right" vertical="center"/>
    </xf>
    <xf numFmtId="0" fontId="62" fillId="0" borderId="12" xfId="0" applyFont="1" applyBorder="1" applyAlignment="1">
      <alignment horizontal="right" vertical="center"/>
    </xf>
    <xf numFmtId="0" fontId="62" fillId="53" borderId="77" xfId="0" applyFont="1" applyFill="1" applyBorder="1" applyAlignment="1">
      <alignment horizontal="right" vertical="center"/>
    </xf>
    <xf numFmtId="165" fontId="57" fillId="52" borderId="0" xfId="0" applyNumberFormat="1" applyFont="1" applyFill="1" applyBorder="1" applyAlignment="1">
      <alignment horizontal="right" vertical="center"/>
    </xf>
    <xf numFmtId="0" fontId="60" fillId="0" borderId="44" xfId="0" quotePrefix="1" applyFont="1" applyBorder="1" applyAlignment="1">
      <alignment horizontal="right"/>
    </xf>
    <xf numFmtId="0" fontId="60" fillId="0" borderId="45" xfId="0" quotePrefix="1" applyFont="1" applyBorder="1" applyAlignment="1">
      <alignment horizontal="right"/>
    </xf>
    <xf numFmtId="0" fontId="60" fillId="2" borderId="46" xfId="0" applyFont="1" applyFill="1" applyBorder="1" applyAlignment="1">
      <alignment horizontal="right" vertical="center"/>
    </xf>
    <xf numFmtId="0" fontId="6" fillId="2" borderId="48" xfId="0" applyFont="1" applyFill="1" applyBorder="1" applyAlignment="1">
      <alignment horizontal="right" vertical="center"/>
    </xf>
    <xf numFmtId="167" fontId="6" fillId="2" borderId="49" xfId="0" quotePrefix="1" applyNumberFormat="1" applyFont="1" applyFill="1" applyBorder="1" applyAlignment="1">
      <alignment horizontal="right" vertical="center"/>
    </xf>
    <xf numFmtId="167" fontId="6" fillId="2" borderId="49" xfId="0" applyNumberFormat="1" applyFont="1" applyFill="1" applyBorder="1" applyAlignment="1">
      <alignment horizontal="right" vertical="center"/>
    </xf>
    <xf numFmtId="0" fontId="36" fillId="2" borderId="78" xfId="0" applyFont="1" applyFill="1" applyBorder="1" applyAlignment="1">
      <alignment horizontal="right" vertical="center"/>
    </xf>
    <xf numFmtId="0" fontId="36" fillId="2" borderId="79" xfId="0" applyFont="1" applyFill="1" applyBorder="1" applyAlignment="1">
      <alignment horizontal="right" vertical="center"/>
    </xf>
    <xf numFmtId="167" fontId="36" fillId="2" borderId="80" xfId="0" applyNumberFormat="1" applyFont="1" applyFill="1" applyBorder="1" applyAlignment="1">
      <alignment horizontal="right" vertical="center"/>
    </xf>
  </cellXfs>
  <cellStyles count="6">
    <cellStyle name="40% - Accent1" xfId="4" builtinId="31"/>
    <cellStyle name="40% - Accent4" xfId="5" builtinId="43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9" defaultPivotStyle="PivotStyleLight16"/>
  <colors>
    <mruColors>
      <color rgb="FF9933FF"/>
      <color rgb="FF008000"/>
      <color rgb="FFCDFFE6"/>
      <color rgb="FFFCEA04"/>
      <color rgb="FFCC0099"/>
      <color rgb="FFE1E1FF"/>
      <color rgb="FFCCFFCC"/>
      <color rgb="FFFFCCFF"/>
      <color rgb="FFA8A400"/>
      <color rgb="FFD7D2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BC78"/>
  <sheetViews>
    <sheetView showGridLines="0" tabSelected="1" topLeftCell="A16" zoomScaleNormal="100" zoomScaleSheetLayoutView="100" workbookViewId="0">
      <selection activeCell="B34" sqref="B34:AH44"/>
    </sheetView>
  </sheetViews>
  <sheetFormatPr defaultColWidth="4" defaultRowHeight="14.25"/>
  <cols>
    <col min="1" max="1" width="4" style="9"/>
    <col min="2" max="6" width="4.7109375" style="9" customWidth="1"/>
    <col min="7" max="13" width="4.7109375" style="1" customWidth="1"/>
    <col min="14" max="14" width="5" style="1" customWidth="1"/>
    <col min="15" max="28" width="4.7109375" style="1" customWidth="1"/>
    <col min="29" max="29" width="5" style="1" customWidth="1"/>
    <col min="30" max="34" width="4.7109375" style="1" customWidth="1"/>
    <col min="35" max="35" width="5.7109375" style="17" customWidth="1"/>
    <col min="36" max="36" width="8.7109375" style="159" customWidth="1"/>
    <col min="37" max="38" width="4.7109375" style="9" customWidth="1"/>
    <col min="39" max="41" width="5.7109375" style="1" customWidth="1"/>
    <col min="42" max="55" width="5.7109375" style="9" customWidth="1"/>
    <col min="56" max="16384" width="4" style="9"/>
  </cols>
  <sheetData>
    <row r="1" spans="2:55" s="2" customFormat="1">
      <c r="AJ1" s="158"/>
    </row>
    <row r="2" spans="2:55" s="3" customFormat="1" ht="18">
      <c r="F2" s="4" t="s">
        <v>69</v>
      </c>
      <c r="G2" s="5"/>
      <c r="H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6"/>
      <c r="AJ2" s="159"/>
      <c r="AM2" s="5"/>
      <c r="AN2" s="5"/>
      <c r="AO2" s="5"/>
    </row>
    <row r="4" spans="2:55" ht="15" thickBot="1">
      <c r="B4" s="151">
        <v>1</v>
      </c>
      <c r="C4" s="151">
        <v>2</v>
      </c>
      <c r="D4" s="151">
        <v>3</v>
      </c>
      <c r="E4" s="151">
        <v>4</v>
      </c>
      <c r="F4" s="151">
        <v>5</v>
      </c>
      <c r="G4" s="151">
        <v>6</v>
      </c>
      <c r="H4" s="151">
        <v>7</v>
      </c>
      <c r="I4" s="151">
        <v>8</v>
      </c>
      <c r="J4" s="151">
        <v>9</v>
      </c>
      <c r="K4" s="151">
        <v>10</v>
      </c>
      <c r="L4" s="151">
        <v>11</v>
      </c>
      <c r="M4" s="151">
        <v>12</v>
      </c>
      <c r="N4" s="151">
        <v>13</v>
      </c>
      <c r="O4" s="151">
        <v>14</v>
      </c>
      <c r="P4" s="151">
        <v>15</v>
      </c>
      <c r="Q4" s="151">
        <v>16</v>
      </c>
      <c r="R4" s="151">
        <v>17</v>
      </c>
      <c r="S4" s="151">
        <v>18</v>
      </c>
      <c r="T4" s="151">
        <v>19</v>
      </c>
      <c r="U4" s="151">
        <v>20</v>
      </c>
      <c r="V4" s="151">
        <v>21</v>
      </c>
      <c r="W4" s="151">
        <v>22</v>
      </c>
      <c r="X4" s="151">
        <v>23</v>
      </c>
      <c r="Y4" s="151">
        <v>24</v>
      </c>
      <c r="Z4" s="151">
        <v>25</v>
      </c>
      <c r="AA4" s="151">
        <v>26</v>
      </c>
      <c r="AB4" s="151">
        <v>27</v>
      </c>
      <c r="AC4" s="151">
        <v>28</v>
      </c>
      <c r="AD4" s="151">
        <v>29</v>
      </c>
      <c r="AE4" s="151">
        <v>30</v>
      </c>
      <c r="AF4" s="176">
        <v>31</v>
      </c>
      <c r="AG4" s="176">
        <v>32</v>
      </c>
      <c r="AH4" s="176">
        <v>33</v>
      </c>
      <c r="AI4" s="177"/>
      <c r="AJ4" s="160"/>
      <c r="AM4" s="157" t="s">
        <v>96</v>
      </c>
      <c r="AN4" s="8"/>
      <c r="AO4" s="8"/>
      <c r="AP4" s="8"/>
      <c r="AQ4" s="8"/>
      <c r="AR4" s="8"/>
      <c r="AS4" s="8"/>
      <c r="AT4" s="8"/>
      <c r="AU4" s="8"/>
      <c r="AX4" s="9" t="s">
        <v>121</v>
      </c>
      <c r="AY4" s="9" t="s">
        <v>129</v>
      </c>
      <c r="BC4" s="9" t="s">
        <v>130</v>
      </c>
    </row>
    <row r="5" spans="2:55" ht="15">
      <c r="B5" s="10" t="s">
        <v>8</v>
      </c>
      <c r="C5" s="10" t="s">
        <v>22</v>
      </c>
      <c r="D5" s="10" t="s">
        <v>11</v>
      </c>
      <c r="E5" s="10" t="s">
        <v>19</v>
      </c>
      <c r="F5" s="10" t="s">
        <v>3</v>
      </c>
      <c r="G5" s="10" t="s">
        <v>13</v>
      </c>
      <c r="H5" s="11" t="s">
        <v>53</v>
      </c>
      <c r="I5" s="12" t="s">
        <v>12</v>
      </c>
      <c r="J5" s="10" t="s">
        <v>1</v>
      </c>
      <c r="K5" s="10" t="s">
        <v>19</v>
      </c>
      <c r="L5" s="13" t="s">
        <v>14</v>
      </c>
      <c r="M5" s="13" t="s">
        <v>23</v>
      </c>
      <c r="N5" s="14" t="s">
        <v>2</v>
      </c>
      <c r="O5" s="15" t="s">
        <v>11</v>
      </c>
      <c r="P5" s="13" t="s">
        <v>6</v>
      </c>
      <c r="Q5" s="13" t="s">
        <v>15</v>
      </c>
      <c r="R5" s="13" t="s">
        <v>54</v>
      </c>
      <c r="S5" s="13" t="s">
        <v>0</v>
      </c>
      <c r="T5" s="13" t="s">
        <v>53</v>
      </c>
      <c r="U5" s="14" t="s">
        <v>12</v>
      </c>
      <c r="V5" s="12" t="s">
        <v>15</v>
      </c>
      <c r="W5" s="10" t="s">
        <v>0</v>
      </c>
      <c r="X5" s="11" t="s">
        <v>1</v>
      </c>
      <c r="Y5" s="12" t="s">
        <v>10</v>
      </c>
      <c r="Z5" s="10" t="s">
        <v>6</v>
      </c>
      <c r="AA5" s="11" t="s">
        <v>13</v>
      </c>
      <c r="AB5" s="12" t="s">
        <v>17</v>
      </c>
      <c r="AC5" s="10" t="s">
        <v>10</v>
      </c>
      <c r="AD5" s="10" t="s">
        <v>19</v>
      </c>
      <c r="AE5" s="10" t="s">
        <v>16</v>
      </c>
      <c r="AF5" s="13" t="s">
        <v>21</v>
      </c>
      <c r="AG5" s="13" t="s">
        <v>54</v>
      </c>
      <c r="AH5" s="16">
        <v>1</v>
      </c>
      <c r="AI5" s="178">
        <f>COUNTA(B5:AG5)</f>
        <v>32</v>
      </c>
      <c r="AM5" s="8"/>
      <c r="AN5" s="8"/>
      <c r="AO5" s="8"/>
      <c r="AP5" s="8"/>
      <c r="AQ5" s="8"/>
      <c r="AR5" s="8"/>
      <c r="AS5" s="8"/>
      <c r="AT5" s="8"/>
      <c r="AU5" s="8"/>
      <c r="AX5" s="9" t="s">
        <v>122</v>
      </c>
      <c r="AY5" s="9" t="s">
        <v>128</v>
      </c>
      <c r="BC5" s="9" t="s">
        <v>131</v>
      </c>
    </row>
    <row r="6" spans="2:55">
      <c r="B6" s="18" t="s">
        <v>29</v>
      </c>
      <c r="C6" s="18" t="s">
        <v>30</v>
      </c>
      <c r="D6" s="18" t="s">
        <v>31</v>
      </c>
      <c r="E6" s="18" t="s">
        <v>32</v>
      </c>
      <c r="F6" s="18" t="s">
        <v>30</v>
      </c>
      <c r="G6" s="18" t="s">
        <v>30</v>
      </c>
      <c r="H6" s="19" t="s">
        <v>33</v>
      </c>
      <c r="I6" s="20" t="s">
        <v>34</v>
      </c>
      <c r="J6" s="18" t="s">
        <v>35</v>
      </c>
      <c r="K6" s="18" t="s">
        <v>29</v>
      </c>
      <c r="L6" s="21" t="s">
        <v>31</v>
      </c>
      <c r="M6" s="21" t="s">
        <v>36</v>
      </c>
      <c r="N6" s="22" t="s">
        <v>30</v>
      </c>
      <c r="O6" s="23" t="s">
        <v>34</v>
      </c>
      <c r="P6" s="21" t="s">
        <v>37</v>
      </c>
      <c r="Q6" s="21" t="s">
        <v>38</v>
      </c>
      <c r="R6" s="21" t="s">
        <v>39</v>
      </c>
      <c r="S6" s="21" t="s">
        <v>40</v>
      </c>
      <c r="T6" s="21" t="s">
        <v>33</v>
      </c>
      <c r="U6" s="22" t="s">
        <v>41</v>
      </c>
      <c r="V6" s="20" t="s">
        <v>38</v>
      </c>
      <c r="W6" s="18" t="s">
        <v>33</v>
      </c>
      <c r="X6" s="19" t="s">
        <v>39</v>
      </c>
      <c r="Y6" s="20" t="s">
        <v>31</v>
      </c>
      <c r="Z6" s="18" t="s">
        <v>37</v>
      </c>
      <c r="AA6" s="19" t="s">
        <v>30</v>
      </c>
      <c r="AB6" s="20" t="s">
        <v>38</v>
      </c>
      <c r="AC6" s="18" t="s">
        <v>29</v>
      </c>
      <c r="AD6" s="18" t="s">
        <v>34</v>
      </c>
      <c r="AE6" s="18" t="s">
        <v>30</v>
      </c>
      <c r="AF6" s="21" t="s">
        <v>33</v>
      </c>
      <c r="AG6" s="21" t="s">
        <v>42</v>
      </c>
      <c r="AH6" s="24">
        <v>1</v>
      </c>
      <c r="AI6" s="179">
        <f>AI5+AI4</f>
        <v>32</v>
      </c>
      <c r="AM6" s="8"/>
      <c r="AN6" s="8"/>
      <c r="AO6" s="8"/>
      <c r="AP6" s="8"/>
      <c r="AQ6" s="8"/>
      <c r="AR6" s="8"/>
      <c r="AS6" s="8"/>
      <c r="AT6" s="8"/>
      <c r="AU6" s="8"/>
      <c r="AX6" s="9" t="s">
        <v>24</v>
      </c>
      <c r="AY6" s="9" t="s">
        <v>132</v>
      </c>
      <c r="BC6" s="9" t="s">
        <v>133</v>
      </c>
    </row>
    <row r="7" spans="2:55" ht="15">
      <c r="B7" s="26" t="s">
        <v>2</v>
      </c>
      <c r="C7" s="27" t="s">
        <v>20</v>
      </c>
      <c r="D7" s="28" t="s">
        <v>4</v>
      </c>
      <c r="E7" s="29" t="s">
        <v>20</v>
      </c>
      <c r="F7" s="30" t="s">
        <v>11</v>
      </c>
      <c r="G7" s="30" t="s">
        <v>23</v>
      </c>
      <c r="H7" s="30" t="s">
        <v>20</v>
      </c>
      <c r="I7" s="28" t="s">
        <v>7</v>
      </c>
      <c r="J7" s="31" t="s">
        <v>20</v>
      </c>
      <c r="K7" s="32" t="s">
        <v>21</v>
      </c>
      <c r="L7" s="32" t="s">
        <v>2</v>
      </c>
      <c r="M7" s="33" t="s">
        <v>11</v>
      </c>
      <c r="N7" s="31" t="s">
        <v>21</v>
      </c>
      <c r="O7" s="32" t="s">
        <v>12</v>
      </c>
      <c r="P7" s="34" t="s">
        <v>12</v>
      </c>
      <c r="Q7" s="31" t="s">
        <v>4</v>
      </c>
      <c r="R7" s="32" t="s">
        <v>1</v>
      </c>
      <c r="S7" s="32" t="s">
        <v>8</v>
      </c>
      <c r="T7" s="30" t="s">
        <v>21</v>
      </c>
      <c r="U7" s="30" t="s">
        <v>54</v>
      </c>
      <c r="V7" s="28" t="s">
        <v>2</v>
      </c>
      <c r="W7" s="29" t="s">
        <v>20</v>
      </c>
      <c r="X7" s="28" t="s">
        <v>4</v>
      </c>
      <c r="Y7" s="29" t="s">
        <v>22</v>
      </c>
      <c r="Z7" s="35" t="s">
        <v>0</v>
      </c>
      <c r="AA7" s="30" t="s">
        <v>2</v>
      </c>
      <c r="AB7" s="30" t="s">
        <v>1</v>
      </c>
      <c r="AC7" s="30" t="s">
        <v>15</v>
      </c>
      <c r="AD7" s="32" t="s">
        <v>22</v>
      </c>
      <c r="AE7" s="32" t="s">
        <v>19</v>
      </c>
      <c r="AF7" s="33" t="s">
        <v>15</v>
      </c>
      <c r="AG7" s="29"/>
      <c r="AH7" s="36">
        <v>2</v>
      </c>
      <c r="AI7" s="180">
        <f>COUNTA(B7:AG7)</f>
        <v>31</v>
      </c>
      <c r="AM7" s="37" t="s">
        <v>97</v>
      </c>
      <c r="AN7" s="37"/>
      <c r="AO7" s="38"/>
      <c r="AP7" s="38"/>
      <c r="AQ7" s="38"/>
      <c r="AR7" s="38"/>
      <c r="AS7" s="38"/>
      <c r="AT7" s="38"/>
      <c r="AU7" s="37"/>
      <c r="AV7" s="37"/>
      <c r="AX7" s="9" t="s">
        <v>25</v>
      </c>
      <c r="AY7" s="9" t="s">
        <v>134</v>
      </c>
      <c r="BC7" s="9" t="s">
        <v>135</v>
      </c>
    </row>
    <row r="8" spans="2:55" ht="15.75" thickBot="1">
      <c r="B8" s="39" t="s">
        <v>30</v>
      </c>
      <c r="C8" s="40" t="s">
        <v>43</v>
      </c>
      <c r="D8" s="41" t="s">
        <v>44</v>
      </c>
      <c r="E8" s="42" t="s">
        <v>36</v>
      </c>
      <c r="F8" s="43" t="s">
        <v>40</v>
      </c>
      <c r="G8" s="43" t="s">
        <v>41</v>
      </c>
      <c r="H8" s="43" t="s">
        <v>37</v>
      </c>
      <c r="I8" s="41" t="s">
        <v>31</v>
      </c>
      <c r="J8" s="44" t="s">
        <v>36</v>
      </c>
      <c r="K8" s="45" t="s">
        <v>40</v>
      </c>
      <c r="L8" s="45" t="s">
        <v>30</v>
      </c>
      <c r="M8" s="46" t="s">
        <v>34</v>
      </c>
      <c r="N8" s="44" t="s">
        <v>31</v>
      </c>
      <c r="O8" s="45" t="s">
        <v>37</v>
      </c>
      <c r="P8" s="47" t="s">
        <v>30</v>
      </c>
      <c r="Q8" s="44" t="s">
        <v>33</v>
      </c>
      <c r="R8" s="45" t="s">
        <v>35</v>
      </c>
      <c r="S8" s="45" t="s">
        <v>38</v>
      </c>
      <c r="T8" s="43" t="s">
        <v>33</v>
      </c>
      <c r="U8" s="43" t="s">
        <v>42</v>
      </c>
      <c r="V8" s="41" t="s">
        <v>30</v>
      </c>
      <c r="W8" s="42" t="s">
        <v>43</v>
      </c>
      <c r="X8" s="41" t="s">
        <v>44</v>
      </c>
      <c r="Y8" s="42" t="s">
        <v>40</v>
      </c>
      <c r="Z8" s="48" t="s">
        <v>45</v>
      </c>
      <c r="AA8" s="43" t="s">
        <v>36</v>
      </c>
      <c r="AB8" s="43" t="s">
        <v>35</v>
      </c>
      <c r="AC8" s="43" t="s">
        <v>34</v>
      </c>
      <c r="AD8" s="45" t="s">
        <v>40</v>
      </c>
      <c r="AE8" s="45" t="s">
        <v>43</v>
      </c>
      <c r="AF8" s="46" t="s">
        <v>33</v>
      </c>
      <c r="AG8" s="42"/>
      <c r="AH8" s="49">
        <v>2</v>
      </c>
      <c r="AI8" s="181">
        <f>AI7+AI6</f>
        <v>63</v>
      </c>
      <c r="AM8" s="37"/>
      <c r="AN8" s="37" t="s">
        <v>74</v>
      </c>
      <c r="AO8" s="38"/>
      <c r="AP8" s="38"/>
      <c r="AQ8" s="38"/>
      <c r="AR8" s="38"/>
      <c r="AS8" s="38"/>
      <c r="AT8" s="38"/>
      <c r="AU8" s="37"/>
      <c r="AV8" s="37"/>
      <c r="AX8" s="9" t="s">
        <v>123</v>
      </c>
      <c r="AY8" s="9" t="s">
        <v>136</v>
      </c>
      <c r="BC8" s="9" t="s">
        <v>137</v>
      </c>
    </row>
    <row r="9" spans="2:55" ht="15">
      <c r="B9" s="50" t="s">
        <v>21</v>
      </c>
      <c r="C9" s="51" t="s">
        <v>19</v>
      </c>
      <c r="D9" s="52" t="s">
        <v>3</v>
      </c>
      <c r="E9" s="50" t="s">
        <v>54</v>
      </c>
      <c r="F9" s="51" t="s">
        <v>11</v>
      </c>
      <c r="G9" s="52" t="s">
        <v>15</v>
      </c>
      <c r="H9" s="50" t="s">
        <v>8</v>
      </c>
      <c r="I9" s="50" t="s">
        <v>8</v>
      </c>
      <c r="J9" s="53" t="s">
        <v>13</v>
      </c>
      <c r="K9" s="53" t="s">
        <v>53</v>
      </c>
      <c r="L9" s="53" t="s">
        <v>9</v>
      </c>
      <c r="M9" s="54" t="s">
        <v>8</v>
      </c>
      <c r="N9" s="55" t="s">
        <v>4</v>
      </c>
      <c r="O9" s="53" t="s">
        <v>53</v>
      </c>
      <c r="P9" s="53" t="s">
        <v>2</v>
      </c>
      <c r="Q9" s="53" t="s">
        <v>21</v>
      </c>
      <c r="R9" s="50" t="s">
        <v>17</v>
      </c>
      <c r="S9" s="50" t="s">
        <v>9</v>
      </c>
      <c r="T9" s="50" t="s">
        <v>13</v>
      </c>
      <c r="U9" s="50" t="s">
        <v>0</v>
      </c>
      <c r="V9" s="51" t="s">
        <v>0</v>
      </c>
      <c r="W9" s="52" t="s">
        <v>20</v>
      </c>
      <c r="X9" s="50" t="s">
        <v>8</v>
      </c>
      <c r="Y9" s="50" t="s">
        <v>4</v>
      </c>
      <c r="Z9" s="54" t="s">
        <v>17</v>
      </c>
      <c r="AA9" s="55" t="s">
        <v>19</v>
      </c>
      <c r="AB9" s="53" t="s">
        <v>20</v>
      </c>
      <c r="AC9" s="53" t="s">
        <v>54</v>
      </c>
      <c r="AD9" s="54" t="s">
        <v>10</v>
      </c>
      <c r="AE9" s="55" t="s">
        <v>18</v>
      </c>
      <c r="AF9" s="53" t="s">
        <v>8</v>
      </c>
      <c r="AG9" s="56"/>
      <c r="AH9" s="57">
        <v>3</v>
      </c>
      <c r="AI9" s="175">
        <f>COUNTA(B9:AG9)</f>
        <v>31</v>
      </c>
      <c r="AM9" s="58"/>
      <c r="AN9" s="58"/>
      <c r="AO9" s="59"/>
      <c r="AP9" s="59"/>
      <c r="AQ9" s="59"/>
      <c r="AR9" s="59"/>
      <c r="AS9" s="59"/>
      <c r="AT9" s="59"/>
      <c r="AU9" s="59"/>
      <c r="AV9" s="59"/>
      <c r="AX9" s="9" t="s">
        <v>124</v>
      </c>
      <c r="AY9" s="9" t="s">
        <v>138</v>
      </c>
      <c r="BC9" s="9" t="s">
        <v>139</v>
      </c>
    </row>
    <row r="10" spans="2:55" ht="15">
      <c r="B10" s="60" t="s">
        <v>40</v>
      </c>
      <c r="C10" s="61" t="s">
        <v>31</v>
      </c>
      <c r="D10" s="62" t="s">
        <v>32</v>
      </c>
      <c r="E10" s="60" t="s">
        <v>38</v>
      </c>
      <c r="F10" s="61" t="s">
        <v>34</v>
      </c>
      <c r="G10" s="62" t="s">
        <v>31</v>
      </c>
      <c r="H10" s="60" t="s">
        <v>43</v>
      </c>
      <c r="I10" s="60" t="s">
        <v>31</v>
      </c>
      <c r="J10" s="63" t="s">
        <v>38</v>
      </c>
      <c r="K10" s="63" t="s">
        <v>36</v>
      </c>
      <c r="L10" s="63" t="s">
        <v>36</v>
      </c>
      <c r="M10" s="64" t="s">
        <v>46</v>
      </c>
      <c r="N10" s="65" t="s">
        <v>40</v>
      </c>
      <c r="O10" s="63" t="s">
        <v>33</v>
      </c>
      <c r="P10" s="63" t="s">
        <v>47</v>
      </c>
      <c r="Q10" s="63" t="s">
        <v>40</v>
      </c>
      <c r="R10" s="60" t="s">
        <v>34</v>
      </c>
      <c r="S10" s="60" t="s">
        <v>40</v>
      </c>
      <c r="T10" s="60" t="s">
        <v>29</v>
      </c>
      <c r="U10" s="60" t="s">
        <v>36</v>
      </c>
      <c r="V10" s="61" t="s">
        <v>30</v>
      </c>
      <c r="W10" s="62" t="s">
        <v>37</v>
      </c>
      <c r="X10" s="60" t="s">
        <v>43</v>
      </c>
      <c r="Y10" s="60" t="s">
        <v>32</v>
      </c>
      <c r="Z10" s="64" t="s">
        <v>34</v>
      </c>
      <c r="AA10" s="65" t="s">
        <v>31</v>
      </c>
      <c r="AB10" s="63" t="s">
        <v>37</v>
      </c>
      <c r="AC10" s="63" t="s">
        <v>38</v>
      </c>
      <c r="AD10" s="64" t="s">
        <v>31</v>
      </c>
      <c r="AE10" s="65" t="s">
        <v>48</v>
      </c>
      <c r="AF10" s="63" t="s">
        <v>43</v>
      </c>
      <c r="AG10" s="63"/>
      <c r="AH10" s="66">
        <v>3</v>
      </c>
      <c r="AI10" s="25">
        <f>AI9</f>
        <v>31</v>
      </c>
      <c r="AM10" s="67" t="s">
        <v>21</v>
      </c>
      <c r="AN10" s="67" t="s">
        <v>54</v>
      </c>
      <c r="AO10" s="67" t="s">
        <v>2</v>
      </c>
      <c r="AP10" s="67" t="s">
        <v>20</v>
      </c>
      <c r="AQ10" s="67" t="s">
        <v>4</v>
      </c>
      <c r="AR10" s="67" t="s">
        <v>22</v>
      </c>
      <c r="AS10" s="68" t="s">
        <v>0</v>
      </c>
      <c r="AT10" s="67" t="s">
        <v>2</v>
      </c>
      <c r="AU10" s="67" t="s">
        <v>1</v>
      </c>
      <c r="AV10" s="67" t="s">
        <v>15</v>
      </c>
      <c r="AX10" s="9" t="s">
        <v>71</v>
      </c>
      <c r="AY10" s="9" t="s">
        <v>140</v>
      </c>
      <c r="BC10" s="9" t="s">
        <v>142</v>
      </c>
    </row>
    <row r="11" spans="2:55" ht="15.75" thickBot="1">
      <c r="B11" s="69" t="s">
        <v>17</v>
      </c>
      <c r="C11" s="70" t="s">
        <v>17</v>
      </c>
      <c r="D11" s="70" t="s">
        <v>9</v>
      </c>
      <c r="E11" s="70" t="s">
        <v>13</v>
      </c>
      <c r="F11" s="70" t="s">
        <v>0</v>
      </c>
      <c r="G11" s="71" t="s">
        <v>0</v>
      </c>
      <c r="H11" s="171">
        <v>37</v>
      </c>
      <c r="I11" s="72" t="s">
        <v>15</v>
      </c>
      <c r="J11" s="70" t="s">
        <v>20</v>
      </c>
      <c r="K11" s="70" t="s">
        <v>22</v>
      </c>
      <c r="L11" s="73" t="s">
        <v>18</v>
      </c>
      <c r="M11" s="74" t="s">
        <v>3</v>
      </c>
      <c r="N11" s="69" t="s">
        <v>19</v>
      </c>
      <c r="O11" s="69" t="s">
        <v>20</v>
      </c>
      <c r="P11" s="73" t="s">
        <v>53</v>
      </c>
      <c r="Q11" s="74" t="s">
        <v>15</v>
      </c>
      <c r="R11" s="69" t="s">
        <v>20</v>
      </c>
      <c r="S11" s="73" t="s">
        <v>22</v>
      </c>
      <c r="T11" s="72" t="s">
        <v>22</v>
      </c>
      <c r="U11" s="70" t="s">
        <v>16</v>
      </c>
      <c r="V11" s="70" t="s">
        <v>14</v>
      </c>
      <c r="W11" s="70" t="s">
        <v>17</v>
      </c>
      <c r="X11" s="70" t="s">
        <v>3</v>
      </c>
      <c r="Y11" s="71" t="s">
        <v>19</v>
      </c>
      <c r="Z11" s="72" t="s">
        <v>23</v>
      </c>
      <c r="AA11" s="70" t="s">
        <v>13</v>
      </c>
      <c r="AB11" s="69" t="s">
        <v>20</v>
      </c>
      <c r="AC11" s="69" t="s">
        <v>1</v>
      </c>
      <c r="AD11" s="69" t="s">
        <v>12</v>
      </c>
      <c r="AE11" s="69" t="s">
        <v>17</v>
      </c>
      <c r="AF11" s="69"/>
      <c r="AG11" s="69"/>
      <c r="AH11" s="75">
        <v>4</v>
      </c>
      <c r="AI11" s="164">
        <f>COUNTA(B11:AG11)-COUNTA(H11)</f>
        <v>29</v>
      </c>
      <c r="AM11" s="76" t="s">
        <v>33</v>
      </c>
      <c r="AN11" s="76" t="s">
        <v>42</v>
      </c>
      <c r="AO11" s="76" t="s">
        <v>30</v>
      </c>
      <c r="AP11" s="76" t="s">
        <v>43</v>
      </c>
      <c r="AQ11" s="76" t="s">
        <v>44</v>
      </c>
      <c r="AR11" s="76" t="s">
        <v>40</v>
      </c>
      <c r="AS11" s="77" t="s">
        <v>45</v>
      </c>
      <c r="AT11" s="76" t="s">
        <v>36</v>
      </c>
      <c r="AU11" s="76" t="s">
        <v>35</v>
      </c>
      <c r="AV11" s="76" t="s">
        <v>34</v>
      </c>
      <c r="AX11" s="9" t="s">
        <v>72</v>
      </c>
      <c r="AY11" s="9" t="s">
        <v>141</v>
      </c>
      <c r="BC11" s="9" t="s">
        <v>143</v>
      </c>
    </row>
    <row r="12" spans="2:55">
      <c r="B12" s="63" t="s">
        <v>34</v>
      </c>
      <c r="C12" s="60" t="s">
        <v>34</v>
      </c>
      <c r="D12" s="60" t="s">
        <v>40</v>
      </c>
      <c r="E12" s="60" t="s">
        <v>29</v>
      </c>
      <c r="F12" s="60" t="s">
        <v>36</v>
      </c>
      <c r="G12" s="61" t="s">
        <v>30</v>
      </c>
      <c r="H12" s="172" t="s">
        <v>55</v>
      </c>
      <c r="I12" s="62" t="s">
        <v>31</v>
      </c>
      <c r="J12" s="60" t="s">
        <v>37</v>
      </c>
      <c r="K12" s="60" t="s">
        <v>30</v>
      </c>
      <c r="L12" s="64" t="s">
        <v>46</v>
      </c>
      <c r="M12" s="65" t="s">
        <v>35</v>
      </c>
      <c r="N12" s="63" t="s">
        <v>34</v>
      </c>
      <c r="O12" s="63" t="s">
        <v>30</v>
      </c>
      <c r="P12" s="64" t="s">
        <v>39</v>
      </c>
      <c r="Q12" s="65" t="s">
        <v>31</v>
      </c>
      <c r="R12" s="63" t="s">
        <v>37</v>
      </c>
      <c r="S12" s="64" t="s">
        <v>30</v>
      </c>
      <c r="T12" s="62" t="s">
        <v>30</v>
      </c>
      <c r="U12" s="60" t="s">
        <v>38</v>
      </c>
      <c r="V12" s="60" t="s">
        <v>49</v>
      </c>
      <c r="W12" s="60" t="s">
        <v>31</v>
      </c>
      <c r="X12" s="60" t="s">
        <v>37</v>
      </c>
      <c r="Y12" s="61" t="s">
        <v>34</v>
      </c>
      <c r="Z12" s="62" t="s">
        <v>50</v>
      </c>
      <c r="AA12" s="60" t="s">
        <v>38</v>
      </c>
      <c r="AB12" s="63" t="s">
        <v>41</v>
      </c>
      <c r="AC12" s="63" t="s">
        <v>33</v>
      </c>
      <c r="AD12" s="63" t="s">
        <v>30</v>
      </c>
      <c r="AE12" s="63" t="s">
        <v>31</v>
      </c>
      <c r="AF12" s="63"/>
      <c r="AG12" s="63"/>
      <c r="AH12" s="66">
        <v>4</v>
      </c>
      <c r="AI12" s="25">
        <f>AI11+AI10</f>
        <v>60</v>
      </c>
      <c r="AJ12" s="174" t="s">
        <v>99</v>
      </c>
      <c r="AK12" s="163" t="s">
        <v>71</v>
      </c>
      <c r="AO12" s="78" t="s">
        <v>75</v>
      </c>
      <c r="AP12" s="59"/>
      <c r="AQ12" s="59"/>
      <c r="AR12" s="59"/>
      <c r="AS12" s="59"/>
      <c r="AT12" s="59"/>
      <c r="AU12" s="59"/>
      <c r="AV12" s="59"/>
      <c r="AX12" s="9" t="s">
        <v>73</v>
      </c>
      <c r="AY12" s="9" t="s">
        <v>144</v>
      </c>
      <c r="BC12" s="9" t="s">
        <v>145</v>
      </c>
    </row>
    <row r="13" spans="2:55" ht="15">
      <c r="B13" s="69" t="s">
        <v>4</v>
      </c>
      <c r="C13" s="73" t="s">
        <v>16</v>
      </c>
      <c r="D13" s="74" t="s">
        <v>22</v>
      </c>
      <c r="E13" s="69" t="s">
        <v>21</v>
      </c>
      <c r="F13" s="70" t="s">
        <v>22</v>
      </c>
      <c r="G13" s="70" t="s">
        <v>53</v>
      </c>
      <c r="H13" s="71" t="s">
        <v>54</v>
      </c>
      <c r="I13" s="71" t="s">
        <v>14</v>
      </c>
      <c r="J13" s="72" t="s">
        <v>10</v>
      </c>
      <c r="K13" s="70" t="s">
        <v>20</v>
      </c>
      <c r="L13" s="71" t="s">
        <v>12</v>
      </c>
      <c r="M13" s="72" t="s">
        <v>21</v>
      </c>
      <c r="N13" s="69" t="s">
        <v>0</v>
      </c>
      <c r="O13" s="69" t="s">
        <v>20</v>
      </c>
      <c r="P13" s="69" t="s">
        <v>8</v>
      </c>
      <c r="Q13" s="69" t="s">
        <v>15</v>
      </c>
      <c r="R13" s="69" t="s">
        <v>14</v>
      </c>
      <c r="S13" s="69" t="s">
        <v>17</v>
      </c>
      <c r="T13" s="69" t="s">
        <v>15</v>
      </c>
      <c r="U13" s="69" t="s">
        <v>21</v>
      </c>
      <c r="V13" s="70" t="s">
        <v>19</v>
      </c>
      <c r="W13" s="71" t="s">
        <v>1</v>
      </c>
      <c r="X13" s="72" t="s">
        <v>3</v>
      </c>
      <c r="Y13" s="70" t="s">
        <v>54</v>
      </c>
      <c r="Z13" s="79" t="s">
        <v>11</v>
      </c>
      <c r="AA13" s="72" t="s">
        <v>10</v>
      </c>
      <c r="AB13" s="70" t="s">
        <v>17</v>
      </c>
      <c r="AC13" s="70" t="s">
        <v>8</v>
      </c>
      <c r="AD13" s="69" t="s">
        <v>11</v>
      </c>
      <c r="AE13" s="69" t="s">
        <v>10</v>
      </c>
      <c r="AF13" s="69" t="s">
        <v>14</v>
      </c>
      <c r="AG13" s="69"/>
      <c r="AH13" s="75">
        <v>5</v>
      </c>
      <c r="AI13" s="7">
        <f>COUNTA(B13:AG13)</f>
        <v>31</v>
      </c>
      <c r="AK13" s="163"/>
      <c r="AM13" s="58"/>
      <c r="AN13" s="58"/>
      <c r="AO13" s="59"/>
      <c r="AP13" s="59"/>
      <c r="AQ13" s="59"/>
      <c r="AR13" s="59"/>
      <c r="AS13" s="59"/>
      <c r="AT13" s="59"/>
      <c r="AU13" s="59"/>
      <c r="AV13" s="59"/>
      <c r="AX13" s="9" t="s">
        <v>125</v>
      </c>
      <c r="AY13" s="9" t="s">
        <v>146</v>
      </c>
      <c r="BC13" s="9" t="s">
        <v>147</v>
      </c>
    </row>
    <row r="14" spans="2:55">
      <c r="B14" s="63" t="s">
        <v>40</v>
      </c>
      <c r="C14" s="64" t="s">
        <v>42</v>
      </c>
      <c r="D14" s="65" t="s">
        <v>44</v>
      </c>
      <c r="E14" s="63" t="s">
        <v>40</v>
      </c>
      <c r="F14" s="60" t="s">
        <v>30</v>
      </c>
      <c r="G14" s="60" t="s">
        <v>36</v>
      </c>
      <c r="H14" s="61" t="s">
        <v>39</v>
      </c>
      <c r="I14" s="61" t="s">
        <v>51</v>
      </c>
      <c r="J14" s="62" t="s">
        <v>31</v>
      </c>
      <c r="K14" s="60" t="s">
        <v>37</v>
      </c>
      <c r="L14" s="61" t="s">
        <v>30</v>
      </c>
      <c r="M14" s="62" t="s">
        <v>40</v>
      </c>
      <c r="N14" s="63" t="s">
        <v>33</v>
      </c>
      <c r="O14" s="63" t="s">
        <v>44</v>
      </c>
      <c r="P14" s="63" t="s">
        <v>43</v>
      </c>
      <c r="Q14" s="63" t="s">
        <v>49</v>
      </c>
      <c r="R14" s="63" t="s">
        <v>50</v>
      </c>
      <c r="S14" s="63" t="s">
        <v>38</v>
      </c>
      <c r="T14" s="63" t="s">
        <v>31</v>
      </c>
      <c r="U14" s="63" t="s">
        <v>40</v>
      </c>
      <c r="V14" s="60" t="s">
        <v>43</v>
      </c>
      <c r="W14" s="61" t="s">
        <v>33</v>
      </c>
      <c r="X14" s="62" t="s">
        <v>32</v>
      </c>
      <c r="Y14" s="60" t="s">
        <v>38</v>
      </c>
      <c r="Z14" s="80" t="s">
        <v>34</v>
      </c>
      <c r="AA14" s="62" t="s">
        <v>41</v>
      </c>
      <c r="AB14" s="60" t="s">
        <v>38</v>
      </c>
      <c r="AC14" s="60" t="s">
        <v>31</v>
      </c>
      <c r="AD14" s="63" t="s">
        <v>37</v>
      </c>
      <c r="AE14" s="63" t="s">
        <v>30</v>
      </c>
      <c r="AF14" s="63" t="s">
        <v>49</v>
      </c>
      <c r="AG14" s="63"/>
      <c r="AH14" s="66">
        <v>5</v>
      </c>
      <c r="AI14" s="25">
        <f>AI13+AI12</f>
        <v>91</v>
      </c>
      <c r="AK14" s="163"/>
      <c r="AM14" s="58"/>
      <c r="AN14" s="58"/>
      <c r="AO14" s="59"/>
      <c r="AP14" s="59"/>
      <c r="AQ14" s="59"/>
      <c r="AR14" s="59"/>
      <c r="AS14" s="59"/>
      <c r="AT14" s="59"/>
      <c r="AU14" s="59"/>
      <c r="AV14" s="59"/>
      <c r="AX14" s="9" t="s">
        <v>126</v>
      </c>
      <c r="AY14" s="9" t="s">
        <v>148</v>
      </c>
      <c r="BC14" s="9" t="s">
        <v>149</v>
      </c>
    </row>
    <row r="15" spans="2:55" ht="15">
      <c r="B15" s="69" t="s">
        <v>20</v>
      </c>
      <c r="C15" s="73" t="s">
        <v>53</v>
      </c>
      <c r="D15" s="74" t="s">
        <v>17</v>
      </c>
      <c r="E15" s="69" t="s">
        <v>53</v>
      </c>
      <c r="F15" s="73" t="s">
        <v>12</v>
      </c>
      <c r="G15" s="72" t="s">
        <v>8</v>
      </c>
      <c r="H15" s="70" t="s">
        <v>18</v>
      </c>
      <c r="I15" s="70" t="s">
        <v>17</v>
      </c>
      <c r="J15" s="70" t="s">
        <v>2</v>
      </c>
      <c r="K15" s="70" t="s">
        <v>11</v>
      </c>
      <c r="L15" s="70" t="s">
        <v>23</v>
      </c>
      <c r="M15" s="70" t="s">
        <v>11</v>
      </c>
      <c r="N15" s="70" t="s">
        <v>8</v>
      </c>
      <c r="O15" s="69" t="s">
        <v>8</v>
      </c>
      <c r="P15" s="69" t="s">
        <v>10</v>
      </c>
      <c r="Q15" s="73" t="s">
        <v>54</v>
      </c>
      <c r="R15" s="74" t="s">
        <v>4</v>
      </c>
      <c r="S15" s="69" t="s">
        <v>7</v>
      </c>
      <c r="T15" s="69" t="s">
        <v>54</v>
      </c>
      <c r="U15" s="69" t="s">
        <v>12</v>
      </c>
      <c r="V15" s="69" t="s">
        <v>7</v>
      </c>
      <c r="W15" s="70" t="s">
        <v>20</v>
      </c>
      <c r="X15" s="70" t="s">
        <v>18</v>
      </c>
      <c r="Y15" s="81" t="s">
        <v>1</v>
      </c>
      <c r="Z15" s="70" t="s">
        <v>4</v>
      </c>
      <c r="AA15" s="70" t="s">
        <v>7</v>
      </c>
      <c r="AB15" s="71" t="s">
        <v>54</v>
      </c>
      <c r="AC15" s="72" t="s">
        <v>15</v>
      </c>
      <c r="AD15" s="71" t="s">
        <v>19</v>
      </c>
      <c r="AE15" s="74" t="s">
        <v>13</v>
      </c>
      <c r="AF15" s="73" t="s">
        <v>1</v>
      </c>
      <c r="AG15" s="74" t="s">
        <v>1</v>
      </c>
      <c r="AH15" s="75">
        <v>6</v>
      </c>
      <c r="AI15" s="7">
        <f>COUNTA(B15:AG15)</f>
        <v>32</v>
      </c>
      <c r="AK15" s="163"/>
      <c r="AM15" s="82" t="s">
        <v>98</v>
      </c>
      <c r="AN15" s="82"/>
      <c r="AO15" s="83"/>
      <c r="AP15" s="83"/>
      <c r="AQ15" s="83"/>
      <c r="AR15" s="83"/>
      <c r="AS15" s="83"/>
      <c r="AT15" s="83"/>
      <c r="AU15" s="82"/>
      <c r="AV15" s="82"/>
      <c r="AX15" s="9" t="s">
        <v>127</v>
      </c>
      <c r="AY15" s="9" t="s">
        <v>150</v>
      </c>
    </row>
    <row r="16" spans="2:55" ht="15">
      <c r="B16" s="63" t="s">
        <v>30</v>
      </c>
      <c r="C16" s="64" t="s">
        <v>39</v>
      </c>
      <c r="D16" s="65" t="s">
        <v>38</v>
      </c>
      <c r="E16" s="63" t="s">
        <v>33</v>
      </c>
      <c r="F16" s="64" t="s">
        <v>39</v>
      </c>
      <c r="G16" s="62" t="s">
        <v>31</v>
      </c>
      <c r="H16" s="60" t="s">
        <v>49</v>
      </c>
      <c r="I16" s="60" t="s">
        <v>38</v>
      </c>
      <c r="J16" s="60" t="s">
        <v>33</v>
      </c>
      <c r="K16" s="60" t="s">
        <v>34</v>
      </c>
      <c r="L16" s="60" t="s">
        <v>50</v>
      </c>
      <c r="M16" s="60" t="s">
        <v>40</v>
      </c>
      <c r="N16" s="60" t="s">
        <v>31</v>
      </c>
      <c r="O16" s="63" t="s">
        <v>31</v>
      </c>
      <c r="P16" s="63" t="s">
        <v>30</v>
      </c>
      <c r="Q16" s="64" t="s">
        <v>39</v>
      </c>
      <c r="R16" s="65" t="s">
        <v>35</v>
      </c>
      <c r="S16" s="63" t="s">
        <v>33</v>
      </c>
      <c r="T16" s="63" t="s">
        <v>39</v>
      </c>
      <c r="U16" s="63" t="s">
        <v>30</v>
      </c>
      <c r="V16" s="63" t="s">
        <v>49</v>
      </c>
      <c r="W16" s="60" t="s">
        <v>41</v>
      </c>
      <c r="X16" s="60" t="s">
        <v>49</v>
      </c>
      <c r="Y16" s="84" t="s">
        <v>35</v>
      </c>
      <c r="Z16" s="60" t="s">
        <v>35</v>
      </c>
      <c r="AA16" s="60" t="s">
        <v>33</v>
      </c>
      <c r="AB16" s="61" t="s">
        <v>39</v>
      </c>
      <c r="AC16" s="62" t="s">
        <v>31</v>
      </c>
      <c r="AD16" s="61" t="s">
        <v>43</v>
      </c>
      <c r="AE16" s="65" t="s">
        <v>38</v>
      </c>
      <c r="AF16" s="64" t="s">
        <v>33</v>
      </c>
      <c r="AG16" s="65" t="s">
        <v>35</v>
      </c>
      <c r="AH16" s="66">
        <v>6</v>
      </c>
      <c r="AI16" s="25">
        <f>AI15+AI14</f>
        <v>123</v>
      </c>
      <c r="AK16" s="163"/>
      <c r="AM16" s="82"/>
      <c r="AN16" s="82" t="s">
        <v>76</v>
      </c>
      <c r="AO16" s="83"/>
      <c r="AP16" s="83"/>
      <c r="AQ16" s="83"/>
      <c r="AR16" s="83"/>
      <c r="AS16" s="83"/>
      <c r="AT16" s="83"/>
      <c r="AU16" s="82"/>
      <c r="AV16" s="82"/>
      <c r="AX16" s="206" t="s">
        <v>127</v>
      </c>
      <c r="AY16" s="9" t="s">
        <v>151</v>
      </c>
      <c r="BC16" s="9" t="s">
        <v>152</v>
      </c>
    </row>
    <row r="17" spans="2:48" ht="15">
      <c r="B17" s="69" t="s">
        <v>2</v>
      </c>
      <c r="C17" s="69" t="s">
        <v>16</v>
      </c>
      <c r="D17" s="69" t="s">
        <v>53</v>
      </c>
      <c r="E17" s="69" t="s">
        <v>8</v>
      </c>
      <c r="F17" s="69" t="s">
        <v>4</v>
      </c>
      <c r="G17" s="71" t="s">
        <v>0</v>
      </c>
      <c r="H17" s="72" t="s">
        <v>53</v>
      </c>
      <c r="I17" s="70" t="s">
        <v>8</v>
      </c>
      <c r="J17" s="70" t="s">
        <v>22</v>
      </c>
      <c r="K17" s="70" t="s">
        <v>21</v>
      </c>
      <c r="L17" s="70" t="s">
        <v>15</v>
      </c>
      <c r="M17" s="70" t="s">
        <v>11</v>
      </c>
      <c r="N17" s="85" t="s">
        <v>19</v>
      </c>
      <c r="O17" s="73" t="s">
        <v>0</v>
      </c>
      <c r="P17" s="73" t="s">
        <v>6</v>
      </c>
      <c r="Q17" s="74" t="s">
        <v>54</v>
      </c>
      <c r="R17" s="69" t="s">
        <v>13</v>
      </c>
      <c r="S17" s="69" t="s">
        <v>0</v>
      </c>
      <c r="T17" s="73" t="s">
        <v>19</v>
      </c>
      <c r="U17" s="74" t="s">
        <v>9</v>
      </c>
      <c r="V17" s="69" t="s">
        <v>13</v>
      </c>
      <c r="W17" s="70" t="s">
        <v>0</v>
      </c>
      <c r="X17" s="70" t="s">
        <v>11</v>
      </c>
      <c r="Y17" s="70" t="s">
        <v>9</v>
      </c>
      <c r="Z17" s="70" t="s">
        <v>20</v>
      </c>
      <c r="AA17" s="71" t="s">
        <v>12</v>
      </c>
      <c r="AB17" s="72" t="s">
        <v>6</v>
      </c>
      <c r="AC17" s="70" t="s">
        <v>53</v>
      </c>
      <c r="AD17" s="70" t="s">
        <v>19</v>
      </c>
      <c r="AE17" s="73" t="s">
        <v>4</v>
      </c>
      <c r="AF17" s="74" t="s">
        <v>16</v>
      </c>
      <c r="AG17" s="69"/>
      <c r="AH17" s="75">
        <v>7</v>
      </c>
      <c r="AI17" s="7">
        <f>COUNTA(B17:AG17)</f>
        <v>31</v>
      </c>
      <c r="AK17" s="163"/>
      <c r="AM17" s="82"/>
      <c r="AN17" s="82" t="s">
        <v>65</v>
      </c>
      <c r="AO17" s="83"/>
      <c r="AP17" s="83"/>
      <c r="AQ17" s="83"/>
      <c r="AR17" s="83"/>
      <c r="AS17" s="83"/>
      <c r="AT17" s="83"/>
      <c r="AU17" s="82"/>
      <c r="AV17" s="82"/>
    </row>
    <row r="18" spans="2:48" ht="15">
      <c r="B18" s="63" t="s">
        <v>33</v>
      </c>
      <c r="C18" s="63" t="s">
        <v>52</v>
      </c>
      <c r="D18" s="63" t="s">
        <v>33</v>
      </c>
      <c r="E18" s="63" t="s">
        <v>43</v>
      </c>
      <c r="F18" s="63" t="s">
        <v>32</v>
      </c>
      <c r="G18" s="61" t="s">
        <v>33</v>
      </c>
      <c r="H18" s="62" t="s">
        <v>36</v>
      </c>
      <c r="I18" s="60" t="s">
        <v>43</v>
      </c>
      <c r="J18" s="60" t="s">
        <v>42</v>
      </c>
      <c r="K18" s="60" t="s">
        <v>38</v>
      </c>
      <c r="L18" s="60" t="s">
        <v>31</v>
      </c>
      <c r="M18" s="60" t="s">
        <v>40</v>
      </c>
      <c r="N18" s="86" t="s">
        <v>43</v>
      </c>
      <c r="O18" s="64" t="s">
        <v>33</v>
      </c>
      <c r="P18" s="64" t="s">
        <v>51</v>
      </c>
      <c r="Q18" s="65" t="s">
        <v>39</v>
      </c>
      <c r="R18" s="63" t="s">
        <v>43</v>
      </c>
      <c r="S18" s="63" t="s">
        <v>30</v>
      </c>
      <c r="T18" s="64" t="s">
        <v>34</v>
      </c>
      <c r="U18" s="65" t="s">
        <v>36</v>
      </c>
      <c r="V18" s="63" t="s">
        <v>38</v>
      </c>
      <c r="W18" s="60" t="s">
        <v>33</v>
      </c>
      <c r="X18" s="60" t="s">
        <v>41</v>
      </c>
      <c r="Y18" s="60" t="s">
        <v>36</v>
      </c>
      <c r="Z18" s="60" t="s">
        <v>30</v>
      </c>
      <c r="AA18" s="61" t="s">
        <v>46</v>
      </c>
      <c r="AB18" s="62" t="s">
        <v>52</v>
      </c>
      <c r="AC18" s="60" t="s">
        <v>33</v>
      </c>
      <c r="AD18" s="60" t="s">
        <v>43</v>
      </c>
      <c r="AE18" s="64" t="s">
        <v>32</v>
      </c>
      <c r="AF18" s="65" t="s">
        <v>38</v>
      </c>
      <c r="AG18" s="63"/>
      <c r="AH18" s="66">
        <v>7</v>
      </c>
      <c r="AI18" s="25">
        <f>AI17+AI16</f>
        <v>154</v>
      </c>
      <c r="AK18" s="163"/>
      <c r="AM18" s="82"/>
      <c r="AN18" s="82" t="s">
        <v>77</v>
      </c>
      <c r="AO18" s="83"/>
      <c r="AP18" s="83"/>
      <c r="AQ18" s="83"/>
      <c r="AR18" s="83"/>
      <c r="AS18" s="83"/>
      <c r="AT18" s="83"/>
      <c r="AU18" s="82"/>
      <c r="AV18" s="82"/>
    </row>
    <row r="19" spans="2:48" ht="15">
      <c r="B19" s="69" t="s">
        <v>13</v>
      </c>
      <c r="C19" s="69" t="s">
        <v>13</v>
      </c>
      <c r="D19" s="69" t="s">
        <v>15</v>
      </c>
      <c r="E19" s="73" t="s">
        <v>15</v>
      </c>
      <c r="F19" s="74" t="s">
        <v>15</v>
      </c>
      <c r="G19" s="69" t="s">
        <v>11</v>
      </c>
      <c r="H19" s="70" t="s">
        <v>21</v>
      </c>
      <c r="I19" s="71" t="s">
        <v>13</v>
      </c>
      <c r="J19" s="171">
        <v>125</v>
      </c>
      <c r="K19" s="72" t="s">
        <v>15</v>
      </c>
      <c r="L19" s="70" t="s">
        <v>9</v>
      </c>
      <c r="M19" s="70" t="s">
        <v>0</v>
      </c>
      <c r="N19" s="71" t="s">
        <v>7</v>
      </c>
      <c r="O19" s="72" t="s">
        <v>19</v>
      </c>
      <c r="P19" s="70" t="s">
        <v>11</v>
      </c>
      <c r="Q19" s="69" t="s">
        <v>19</v>
      </c>
      <c r="R19" s="69" t="s">
        <v>3</v>
      </c>
      <c r="S19" s="69" t="s">
        <v>9</v>
      </c>
      <c r="T19" s="73" t="s">
        <v>10</v>
      </c>
      <c r="U19" s="74" t="s">
        <v>4</v>
      </c>
      <c r="V19" s="69" t="s">
        <v>15</v>
      </c>
      <c r="W19" s="73" t="s">
        <v>19</v>
      </c>
      <c r="X19" s="74" t="s">
        <v>16</v>
      </c>
      <c r="Y19" s="70" t="s">
        <v>2</v>
      </c>
      <c r="Z19" s="70" t="s">
        <v>18</v>
      </c>
      <c r="AA19" s="70" t="s">
        <v>11</v>
      </c>
      <c r="AB19" s="70" t="s">
        <v>20</v>
      </c>
      <c r="AC19" s="71" t="s">
        <v>53</v>
      </c>
      <c r="AD19" s="72" t="s">
        <v>8</v>
      </c>
      <c r="AE19" s="70" t="s">
        <v>1</v>
      </c>
      <c r="AF19" s="71" t="s">
        <v>8</v>
      </c>
      <c r="AG19" s="74"/>
      <c r="AH19" s="75">
        <v>8</v>
      </c>
      <c r="AI19" s="164">
        <f>COUNTA(B19:AG19)-COUNTA(J19)</f>
        <v>30</v>
      </c>
      <c r="AJ19" s="157"/>
      <c r="AK19" s="163"/>
      <c r="AM19" s="59"/>
      <c r="AN19" s="59"/>
      <c r="AO19" s="59"/>
      <c r="AP19" s="59"/>
      <c r="AQ19" s="59"/>
      <c r="AR19" s="59"/>
      <c r="AS19" s="59"/>
      <c r="AT19" s="59"/>
      <c r="AU19" s="59"/>
    </row>
    <row r="20" spans="2:48">
      <c r="B20" s="63" t="s">
        <v>29</v>
      </c>
      <c r="C20" s="63" t="s">
        <v>43</v>
      </c>
      <c r="D20" s="63" t="s">
        <v>35</v>
      </c>
      <c r="E20" s="64" t="s">
        <v>31</v>
      </c>
      <c r="F20" s="65" t="s">
        <v>31</v>
      </c>
      <c r="G20" s="63" t="s">
        <v>37</v>
      </c>
      <c r="H20" s="60" t="s">
        <v>40</v>
      </c>
      <c r="I20" s="61" t="s">
        <v>34</v>
      </c>
      <c r="J20" s="172" t="s">
        <v>55</v>
      </c>
      <c r="K20" s="62" t="s">
        <v>31</v>
      </c>
      <c r="L20" s="60" t="s">
        <v>37</v>
      </c>
      <c r="M20" s="60" t="s">
        <v>30</v>
      </c>
      <c r="N20" s="61" t="s">
        <v>46</v>
      </c>
      <c r="O20" s="62" t="s">
        <v>34</v>
      </c>
      <c r="P20" s="60" t="s">
        <v>37</v>
      </c>
      <c r="Q20" s="63" t="s">
        <v>43</v>
      </c>
      <c r="R20" s="63" t="s">
        <v>35</v>
      </c>
      <c r="S20" s="63" t="s">
        <v>36</v>
      </c>
      <c r="T20" s="64" t="s">
        <v>39</v>
      </c>
      <c r="U20" s="65" t="s">
        <v>40</v>
      </c>
      <c r="V20" s="63" t="s">
        <v>31</v>
      </c>
      <c r="W20" s="64" t="s">
        <v>34</v>
      </c>
      <c r="X20" s="65" t="s">
        <v>29</v>
      </c>
      <c r="Y20" s="60" t="s">
        <v>35</v>
      </c>
      <c r="Z20" s="60" t="s">
        <v>49</v>
      </c>
      <c r="AA20" s="60" t="s">
        <v>40</v>
      </c>
      <c r="AB20" s="60" t="s">
        <v>30</v>
      </c>
      <c r="AC20" s="61" t="s">
        <v>39</v>
      </c>
      <c r="AD20" s="62" t="s">
        <v>43</v>
      </c>
      <c r="AE20" s="60" t="s">
        <v>35</v>
      </c>
      <c r="AF20" s="61" t="s">
        <v>31</v>
      </c>
      <c r="AG20" s="65"/>
      <c r="AH20" s="66">
        <v>8</v>
      </c>
      <c r="AI20" s="25">
        <f>AI19+AI18</f>
        <v>184</v>
      </c>
      <c r="AJ20" s="174" t="s">
        <v>101</v>
      </c>
      <c r="AK20" s="163" t="s">
        <v>72</v>
      </c>
      <c r="AM20" s="59"/>
      <c r="AN20" s="59"/>
      <c r="AO20" s="59"/>
      <c r="AP20" s="59"/>
      <c r="AQ20" s="59"/>
      <c r="AR20" s="59"/>
      <c r="AS20" s="59"/>
      <c r="AT20" s="59"/>
      <c r="AU20" s="59"/>
    </row>
    <row r="21" spans="2:48" ht="15">
      <c r="B21" s="69" t="s">
        <v>8</v>
      </c>
      <c r="C21" s="69" t="s">
        <v>21</v>
      </c>
      <c r="D21" s="69" t="s">
        <v>12</v>
      </c>
      <c r="E21" s="69" t="s">
        <v>15</v>
      </c>
      <c r="F21" s="73" t="s">
        <v>0</v>
      </c>
      <c r="G21" s="74" t="s">
        <v>19</v>
      </c>
      <c r="H21" s="69" t="s">
        <v>8</v>
      </c>
      <c r="I21" s="69" t="s">
        <v>53</v>
      </c>
      <c r="J21" s="70" t="s">
        <v>22</v>
      </c>
      <c r="K21" s="70" t="s">
        <v>5</v>
      </c>
      <c r="L21" s="70" t="s">
        <v>20</v>
      </c>
      <c r="M21" s="70" t="s">
        <v>20</v>
      </c>
      <c r="N21" s="70" t="s">
        <v>54</v>
      </c>
      <c r="O21" s="71" t="s">
        <v>12</v>
      </c>
      <c r="P21" s="71" t="s">
        <v>4</v>
      </c>
      <c r="Q21" s="72" t="s">
        <v>4</v>
      </c>
      <c r="R21" s="69" t="s">
        <v>11</v>
      </c>
      <c r="S21" s="73" t="s">
        <v>17</v>
      </c>
      <c r="T21" s="74" t="s">
        <v>6</v>
      </c>
      <c r="U21" s="69" t="s">
        <v>2</v>
      </c>
      <c r="V21" s="69" t="s">
        <v>20</v>
      </c>
      <c r="W21" s="69" t="s">
        <v>3</v>
      </c>
      <c r="X21" s="73" t="s">
        <v>19</v>
      </c>
      <c r="Y21" s="74" t="s">
        <v>8</v>
      </c>
      <c r="Z21" s="70" t="s">
        <v>11</v>
      </c>
      <c r="AA21" s="71" t="s">
        <v>10</v>
      </c>
      <c r="AB21" s="72" t="s">
        <v>12</v>
      </c>
      <c r="AC21" s="70" t="s">
        <v>14</v>
      </c>
      <c r="AD21" s="70" t="s">
        <v>21</v>
      </c>
      <c r="AE21" s="70" t="s">
        <v>16</v>
      </c>
      <c r="AF21" s="71" t="s">
        <v>15</v>
      </c>
      <c r="AG21" s="72" t="s">
        <v>23</v>
      </c>
      <c r="AH21" s="87">
        <v>9</v>
      </c>
      <c r="AI21" s="7">
        <f>COUNTA(B21:AG21)</f>
        <v>32</v>
      </c>
      <c r="AJ21" s="157"/>
      <c r="AK21" s="163"/>
      <c r="AN21" s="70" t="s">
        <v>20</v>
      </c>
      <c r="AO21" s="70" t="s">
        <v>18</v>
      </c>
      <c r="AP21" s="81" t="s">
        <v>1</v>
      </c>
      <c r="AQ21" s="70" t="s">
        <v>4</v>
      </c>
      <c r="AR21" s="70" t="s">
        <v>7</v>
      </c>
      <c r="AS21" s="70" t="s">
        <v>54</v>
      </c>
      <c r="AT21" s="70" t="s">
        <v>15</v>
      </c>
      <c r="AU21" s="70" t="s">
        <v>19</v>
      </c>
    </row>
    <row r="22" spans="2:48">
      <c r="B22" s="63" t="s">
        <v>31</v>
      </c>
      <c r="C22" s="63" t="s">
        <v>37</v>
      </c>
      <c r="D22" s="63" t="s">
        <v>30</v>
      </c>
      <c r="E22" s="63" t="s">
        <v>49</v>
      </c>
      <c r="F22" s="64" t="s">
        <v>30</v>
      </c>
      <c r="G22" s="65" t="s">
        <v>34</v>
      </c>
      <c r="H22" s="63" t="s">
        <v>43</v>
      </c>
      <c r="I22" s="63" t="s">
        <v>50</v>
      </c>
      <c r="J22" s="60" t="s">
        <v>30</v>
      </c>
      <c r="K22" s="60" t="s">
        <v>32</v>
      </c>
      <c r="L22" s="60" t="s">
        <v>37</v>
      </c>
      <c r="M22" s="60" t="s">
        <v>30</v>
      </c>
      <c r="N22" s="60" t="s">
        <v>49</v>
      </c>
      <c r="O22" s="61" t="s">
        <v>30</v>
      </c>
      <c r="P22" s="61" t="s">
        <v>51</v>
      </c>
      <c r="Q22" s="62" t="s">
        <v>32</v>
      </c>
      <c r="R22" s="63" t="s">
        <v>37</v>
      </c>
      <c r="S22" s="64" t="s">
        <v>43</v>
      </c>
      <c r="T22" s="65" t="s">
        <v>52</v>
      </c>
      <c r="U22" s="63" t="s">
        <v>33</v>
      </c>
      <c r="V22" s="63" t="s">
        <v>43</v>
      </c>
      <c r="W22" s="63" t="s">
        <v>32</v>
      </c>
      <c r="X22" s="64" t="s">
        <v>34</v>
      </c>
      <c r="Y22" s="65" t="s">
        <v>31</v>
      </c>
      <c r="Z22" s="60" t="s">
        <v>37</v>
      </c>
      <c r="AA22" s="61" t="s">
        <v>30</v>
      </c>
      <c r="AB22" s="62" t="s">
        <v>30</v>
      </c>
      <c r="AC22" s="60" t="s">
        <v>51</v>
      </c>
      <c r="AD22" s="60" t="s">
        <v>38</v>
      </c>
      <c r="AE22" s="60" t="s">
        <v>42</v>
      </c>
      <c r="AF22" s="61" t="s">
        <v>31</v>
      </c>
      <c r="AG22" s="62" t="s">
        <v>36</v>
      </c>
      <c r="AH22" s="88">
        <v>9</v>
      </c>
      <c r="AI22" s="25">
        <f>AI21+AI20</f>
        <v>216</v>
      </c>
      <c r="AK22" s="163"/>
      <c r="AN22" s="60" t="s">
        <v>41</v>
      </c>
      <c r="AO22" s="60" t="s">
        <v>49</v>
      </c>
      <c r="AP22" s="84" t="s">
        <v>35</v>
      </c>
      <c r="AQ22" s="60" t="s">
        <v>35</v>
      </c>
      <c r="AR22" s="60" t="s">
        <v>33</v>
      </c>
      <c r="AS22" s="60" t="s">
        <v>39</v>
      </c>
      <c r="AT22" s="60" t="s">
        <v>31</v>
      </c>
      <c r="AU22" s="60" t="s">
        <v>43</v>
      </c>
    </row>
    <row r="23" spans="2:48" ht="15">
      <c r="B23" s="69" t="s">
        <v>19</v>
      </c>
      <c r="C23" s="69" t="s">
        <v>12</v>
      </c>
      <c r="D23" s="69" t="s">
        <v>17</v>
      </c>
      <c r="E23" s="69" t="s">
        <v>17</v>
      </c>
      <c r="F23" s="69" t="s">
        <v>4</v>
      </c>
      <c r="G23" s="69" t="s">
        <v>8</v>
      </c>
      <c r="H23" s="73" t="s">
        <v>53</v>
      </c>
      <c r="I23" s="171">
        <v>61</v>
      </c>
      <c r="J23" s="74" t="s">
        <v>19</v>
      </c>
      <c r="K23" s="70" t="s">
        <v>0</v>
      </c>
      <c r="L23" s="70" t="s">
        <v>53</v>
      </c>
      <c r="M23" s="71" t="s">
        <v>7</v>
      </c>
      <c r="N23" s="71" t="s">
        <v>6</v>
      </c>
      <c r="O23" s="71" t="s">
        <v>19</v>
      </c>
      <c r="P23" s="72" t="s">
        <v>15</v>
      </c>
      <c r="Q23" s="70" t="s">
        <v>20</v>
      </c>
      <c r="R23" s="70" t="s">
        <v>21</v>
      </c>
      <c r="S23" s="73" t="s">
        <v>17</v>
      </c>
      <c r="T23" s="74" t="s">
        <v>5</v>
      </c>
      <c r="U23" s="69" t="s">
        <v>17</v>
      </c>
      <c r="V23" s="73" t="s">
        <v>16</v>
      </c>
      <c r="W23" s="74" t="s">
        <v>3</v>
      </c>
      <c r="X23" s="69" t="s">
        <v>11</v>
      </c>
      <c r="Y23" s="73" t="s">
        <v>19</v>
      </c>
      <c r="Z23" s="74" t="s">
        <v>23</v>
      </c>
      <c r="AA23" s="70" t="s">
        <v>13</v>
      </c>
      <c r="AB23" s="70" t="s">
        <v>13</v>
      </c>
      <c r="AC23" s="71" t="s">
        <v>15</v>
      </c>
      <c r="AD23" s="72" t="s">
        <v>1</v>
      </c>
      <c r="AE23" s="70" t="s">
        <v>0</v>
      </c>
      <c r="AF23" s="70" t="s">
        <v>19</v>
      </c>
      <c r="AG23" s="69"/>
      <c r="AH23" s="75">
        <v>10</v>
      </c>
      <c r="AI23" s="164">
        <f>COUNTA(B23:AG23)-COUNTA(I23)</f>
        <v>30</v>
      </c>
      <c r="AK23" s="163"/>
      <c r="AN23" s="9"/>
      <c r="AO23" s="89" t="s">
        <v>78</v>
      </c>
      <c r="AP23" s="1"/>
    </row>
    <row r="24" spans="2:48">
      <c r="B24" s="63" t="s">
        <v>43</v>
      </c>
      <c r="C24" s="63" t="s">
        <v>42</v>
      </c>
      <c r="D24" s="63" t="s">
        <v>38</v>
      </c>
      <c r="E24" s="63" t="s">
        <v>31</v>
      </c>
      <c r="F24" s="63" t="s">
        <v>40</v>
      </c>
      <c r="G24" s="63" t="s">
        <v>43</v>
      </c>
      <c r="H24" s="64" t="s">
        <v>33</v>
      </c>
      <c r="I24" s="172" t="s">
        <v>55</v>
      </c>
      <c r="J24" s="65" t="s">
        <v>43</v>
      </c>
      <c r="K24" s="60" t="s">
        <v>33</v>
      </c>
      <c r="L24" s="60" t="s">
        <v>36</v>
      </c>
      <c r="M24" s="61" t="s">
        <v>46</v>
      </c>
      <c r="N24" s="61" t="s">
        <v>32</v>
      </c>
      <c r="O24" s="61" t="s">
        <v>32</v>
      </c>
      <c r="P24" s="62" t="s">
        <v>31</v>
      </c>
      <c r="Q24" s="60" t="s">
        <v>37</v>
      </c>
      <c r="R24" s="60" t="s">
        <v>40</v>
      </c>
      <c r="S24" s="64" t="s">
        <v>34</v>
      </c>
      <c r="T24" s="65" t="s">
        <v>32</v>
      </c>
      <c r="U24" s="63" t="s">
        <v>38</v>
      </c>
      <c r="V24" s="64" t="s">
        <v>34</v>
      </c>
      <c r="W24" s="65" t="s">
        <v>37</v>
      </c>
      <c r="X24" s="63" t="s">
        <v>40</v>
      </c>
      <c r="Y24" s="64" t="s">
        <v>34</v>
      </c>
      <c r="Z24" s="65" t="s">
        <v>36</v>
      </c>
      <c r="AA24" s="60" t="s">
        <v>38</v>
      </c>
      <c r="AB24" s="60" t="s">
        <v>34</v>
      </c>
      <c r="AC24" s="61" t="s">
        <v>31</v>
      </c>
      <c r="AD24" s="62" t="s">
        <v>50</v>
      </c>
      <c r="AE24" s="60" t="s">
        <v>30</v>
      </c>
      <c r="AF24" s="60" t="s">
        <v>34</v>
      </c>
      <c r="AG24" s="63"/>
      <c r="AH24" s="66">
        <v>10</v>
      </c>
      <c r="AI24" s="25">
        <f>AI23+AI22</f>
        <v>246</v>
      </c>
      <c r="AJ24" s="174" t="s">
        <v>102</v>
      </c>
      <c r="AK24" s="163" t="s">
        <v>73</v>
      </c>
      <c r="AM24" s="9"/>
      <c r="AN24" s="9"/>
      <c r="AO24" s="9"/>
    </row>
    <row r="25" spans="2:48" ht="15">
      <c r="B25" s="70" t="s">
        <v>19</v>
      </c>
      <c r="C25" s="70" t="s">
        <v>13</v>
      </c>
      <c r="D25" s="69" t="s">
        <v>20</v>
      </c>
      <c r="E25" s="73" t="s">
        <v>10</v>
      </c>
      <c r="F25" s="73" t="s">
        <v>4</v>
      </c>
      <c r="G25" s="74" t="s">
        <v>17</v>
      </c>
      <c r="H25" s="69" t="s">
        <v>3</v>
      </c>
      <c r="I25" s="69" t="s">
        <v>11</v>
      </c>
      <c r="J25" s="69" t="s">
        <v>14</v>
      </c>
      <c r="K25" s="69" t="s">
        <v>8</v>
      </c>
      <c r="L25" s="70" t="s">
        <v>18</v>
      </c>
      <c r="M25" s="70" t="s">
        <v>10</v>
      </c>
      <c r="N25" s="70" t="s">
        <v>11</v>
      </c>
      <c r="O25" s="70" t="s">
        <v>21</v>
      </c>
      <c r="P25" s="70" t="s">
        <v>3</v>
      </c>
      <c r="Q25" s="71" t="s">
        <v>15</v>
      </c>
      <c r="R25" s="72" t="s">
        <v>54</v>
      </c>
      <c r="S25" s="70" t="s">
        <v>22</v>
      </c>
      <c r="T25" s="69" t="s">
        <v>20</v>
      </c>
      <c r="U25" s="69" t="s">
        <v>18</v>
      </c>
      <c r="V25" s="69" t="s">
        <v>12</v>
      </c>
      <c r="W25" s="69" t="s">
        <v>20</v>
      </c>
      <c r="X25" s="73" t="s">
        <v>11</v>
      </c>
      <c r="Y25" s="74" t="s">
        <v>22</v>
      </c>
      <c r="Z25" s="69" t="s">
        <v>11</v>
      </c>
      <c r="AA25" s="69" t="s">
        <v>10</v>
      </c>
      <c r="AB25" s="70" t="s">
        <v>8</v>
      </c>
      <c r="AC25" s="70" t="s">
        <v>15</v>
      </c>
      <c r="AD25" s="70" t="s">
        <v>19</v>
      </c>
      <c r="AE25" s="70" t="s">
        <v>20</v>
      </c>
      <c r="AF25" s="69"/>
      <c r="AG25" s="69"/>
      <c r="AH25" s="75">
        <v>11</v>
      </c>
      <c r="AI25" s="7">
        <f>COUNTA(B25:AG25)</f>
        <v>30</v>
      </c>
      <c r="AK25" s="163"/>
      <c r="AN25" s="9"/>
      <c r="AO25" s="9"/>
    </row>
    <row r="26" spans="2:48">
      <c r="B26" s="60" t="s">
        <v>34</v>
      </c>
      <c r="C26" s="60" t="s">
        <v>38</v>
      </c>
      <c r="D26" s="63" t="s">
        <v>41</v>
      </c>
      <c r="E26" s="64" t="s">
        <v>30</v>
      </c>
      <c r="F26" s="64" t="s">
        <v>51</v>
      </c>
      <c r="G26" s="65" t="s">
        <v>31</v>
      </c>
      <c r="H26" s="63" t="s">
        <v>37</v>
      </c>
      <c r="I26" s="63" t="s">
        <v>40</v>
      </c>
      <c r="J26" s="63" t="s">
        <v>49</v>
      </c>
      <c r="K26" s="63" t="s">
        <v>31</v>
      </c>
      <c r="L26" s="60" t="s">
        <v>46</v>
      </c>
      <c r="M26" s="60" t="s">
        <v>30</v>
      </c>
      <c r="N26" s="60" t="s">
        <v>40</v>
      </c>
      <c r="O26" s="60" t="s">
        <v>41</v>
      </c>
      <c r="P26" s="60" t="s">
        <v>37</v>
      </c>
      <c r="Q26" s="61" t="s">
        <v>31</v>
      </c>
      <c r="R26" s="62" t="s">
        <v>39</v>
      </c>
      <c r="S26" s="60" t="s">
        <v>30</v>
      </c>
      <c r="T26" s="63" t="s">
        <v>41</v>
      </c>
      <c r="U26" s="63" t="s">
        <v>49</v>
      </c>
      <c r="V26" s="63" t="s">
        <v>30</v>
      </c>
      <c r="W26" s="63" t="s">
        <v>30</v>
      </c>
      <c r="X26" s="64" t="s">
        <v>34</v>
      </c>
      <c r="Y26" s="65" t="s">
        <v>44</v>
      </c>
      <c r="Z26" s="63" t="s">
        <v>40</v>
      </c>
      <c r="AA26" s="63" t="s">
        <v>44</v>
      </c>
      <c r="AB26" s="60" t="s">
        <v>31</v>
      </c>
      <c r="AC26" s="60" t="s">
        <v>46</v>
      </c>
      <c r="AD26" s="60" t="s">
        <v>34</v>
      </c>
      <c r="AE26" s="60" t="s">
        <v>30</v>
      </c>
      <c r="AF26" s="63"/>
      <c r="AG26" s="63"/>
      <c r="AH26" s="66">
        <v>11</v>
      </c>
      <c r="AI26" s="25">
        <f>AI25+AI24</f>
        <v>276</v>
      </c>
      <c r="AK26" s="163"/>
      <c r="AN26" s="9"/>
      <c r="AO26" s="9"/>
    </row>
    <row r="27" spans="2:48" ht="15">
      <c r="B27" s="70" t="s">
        <v>8</v>
      </c>
      <c r="C27" s="70" t="s">
        <v>12</v>
      </c>
      <c r="D27" s="71" t="s">
        <v>53</v>
      </c>
      <c r="E27" s="72" t="s">
        <v>53</v>
      </c>
      <c r="F27" s="69" t="s">
        <v>21</v>
      </c>
      <c r="G27" s="69" t="s">
        <v>1</v>
      </c>
      <c r="H27" s="69" t="s">
        <v>1</v>
      </c>
      <c r="I27" s="69" t="s">
        <v>17</v>
      </c>
      <c r="J27" s="69" t="s">
        <v>0</v>
      </c>
      <c r="K27" s="73" t="s">
        <v>19</v>
      </c>
      <c r="L27" s="74" t="s">
        <v>19</v>
      </c>
      <c r="M27" s="69" t="s">
        <v>21</v>
      </c>
      <c r="N27" s="71" t="s">
        <v>5</v>
      </c>
      <c r="O27" s="72" t="s">
        <v>8</v>
      </c>
      <c r="P27" s="70" t="s">
        <v>8</v>
      </c>
      <c r="Q27" s="70" t="s">
        <v>23</v>
      </c>
      <c r="R27" s="70" t="s">
        <v>7</v>
      </c>
      <c r="S27" s="71" t="s">
        <v>15</v>
      </c>
      <c r="T27" s="72" t="s">
        <v>22</v>
      </c>
      <c r="U27" s="70" t="s">
        <v>21</v>
      </c>
      <c r="V27" s="69" t="s">
        <v>3</v>
      </c>
      <c r="W27" s="73" t="s">
        <v>10</v>
      </c>
      <c r="X27" s="74" t="s">
        <v>19</v>
      </c>
      <c r="Y27" s="69" t="s">
        <v>20</v>
      </c>
      <c r="Z27" s="69" t="s">
        <v>23</v>
      </c>
      <c r="AA27" s="69" t="s">
        <v>8</v>
      </c>
      <c r="AB27" s="69" t="s">
        <v>53</v>
      </c>
      <c r="AC27" s="69" t="s">
        <v>12</v>
      </c>
      <c r="AD27" s="71" t="s">
        <v>17</v>
      </c>
      <c r="AE27" s="72" t="s">
        <v>1</v>
      </c>
      <c r="AF27" s="70" t="s">
        <v>8</v>
      </c>
      <c r="AG27" s="171">
        <v>147</v>
      </c>
      <c r="AH27" s="75">
        <v>12</v>
      </c>
      <c r="AI27" s="164">
        <f>COUNTA(B27:AG27)-COUNTA(AG27)</f>
        <v>31</v>
      </c>
      <c r="AK27" s="163"/>
      <c r="AM27" s="9"/>
      <c r="AN27" s="9"/>
      <c r="AO27" s="9"/>
    </row>
    <row r="28" spans="2:48" ht="15" thickBot="1">
      <c r="B28" s="90" t="s">
        <v>47</v>
      </c>
      <c r="C28" s="90" t="s">
        <v>30</v>
      </c>
      <c r="D28" s="91" t="s">
        <v>33</v>
      </c>
      <c r="E28" s="92" t="s">
        <v>50</v>
      </c>
      <c r="F28" s="93" t="s">
        <v>40</v>
      </c>
      <c r="G28" s="93" t="s">
        <v>33</v>
      </c>
      <c r="H28" s="93" t="s">
        <v>35</v>
      </c>
      <c r="I28" s="93" t="s">
        <v>31</v>
      </c>
      <c r="J28" s="93" t="s">
        <v>30</v>
      </c>
      <c r="K28" s="94" t="s">
        <v>34</v>
      </c>
      <c r="L28" s="95" t="s">
        <v>34</v>
      </c>
      <c r="M28" s="93" t="s">
        <v>40</v>
      </c>
      <c r="N28" s="91" t="s">
        <v>51</v>
      </c>
      <c r="O28" s="92" t="s">
        <v>48</v>
      </c>
      <c r="P28" s="90" t="s">
        <v>43</v>
      </c>
      <c r="Q28" s="90" t="s">
        <v>40</v>
      </c>
      <c r="R28" s="90" t="s">
        <v>33</v>
      </c>
      <c r="S28" s="91" t="s">
        <v>31</v>
      </c>
      <c r="T28" s="92" t="s">
        <v>44</v>
      </c>
      <c r="U28" s="90" t="s">
        <v>40</v>
      </c>
      <c r="V28" s="93" t="s">
        <v>47</v>
      </c>
      <c r="W28" s="94" t="s">
        <v>30</v>
      </c>
      <c r="X28" s="95" t="s">
        <v>34</v>
      </c>
      <c r="Y28" s="93" t="s">
        <v>30</v>
      </c>
      <c r="Z28" s="93" t="s">
        <v>42</v>
      </c>
      <c r="AA28" s="93" t="s">
        <v>43</v>
      </c>
      <c r="AB28" s="93" t="s">
        <v>33</v>
      </c>
      <c r="AC28" s="93" t="s">
        <v>39</v>
      </c>
      <c r="AD28" s="91" t="s">
        <v>34</v>
      </c>
      <c r="AE28" s="92" t="s">
        <v>33</v>
      </c>
      <c r="AF28" s="90" t="s">
        <v>43</v>
      </c>
      <c r="AG28" s="173" t="s">
        <v>104</v>
      </c>
      <c r="AH28" s="96">
        <v>12</v>
      </c>
      <c r="AI28" s="25">
        <f>AI27+AI26</f>
        <v>307</v>
      </c>
      <c r="AJ28" s="174" t="s">
        <v>103</v>
      </c>
      <c r="AK28" s="163" t="s">
        <v>100</v>
      </c>
      <c r="AM28" s="9"/>
      <c r="AN28" s="9"/>
      <c r="AO28" s="9"/>
    </row>
    <row r="29" spans="2:48" ht="15">
      <c r="B29" s="97" t="s">
        <v>15</v>
      </c>
      <c r="C29" s="97" t="s">
        <v>10</v>
      </c>
      <c r="D29" s="98" t="s">
        <v>20</v>
      </c>
      <c r="E29" s="99" t="s">
        <v>19</v>
      </c>
      <c r="F29" s="97" t="s">
        <v>22</v>
      </c>
      <c r="G29" s="100" t="s">
        <v>3</v>
      </c>
      <c r="H29" s="100" t="s">
        <v>10</v>
      </c>
      <c r="I29" s="100" t="s">
        <v>53</v>
      </c>
      <c r="J29" s="100" t="s">
        <v>17</v>
      </c>
      <c r="K29" s="100" t="s">
        <v>12</v>
      </c>
      <c r="L29" s="100" t="s">
        <v>19</v>
      </c>
      <c r="M29" s="100" t="s">
        <v>12</v>
      </c>
      <c r="N29" s="100" t="s">
        <v>3</v>
      </c>
      <c r="O29" s="97" t="s">
        <v>22</v>
      </c>
      <c r="P29" s="98" t="s">
        <v>1</v>
      </c>
      <c r="Q29" s="99" t="s">
        <v>54</v>
      </c>
      <c r="R29" s="97" t="s">
        <v>20</v>
      </c>
      <c r="S29" s="97" t="s">
        <v>2</v>
      </c>
      <c r="T29" s="97" t="s">
        <v>14</v>
      </c>
      <c r="U29" s="97" t="s">
        <v>12</v>
      </c>
      <c r="V29" s="97" t="s">
        <v>22</v>
      </c>
      <c r="W29" s="101" t="s">
        <v>17</v>
      </c>
      <c r="X29" s="102" t="s">
        <v>10</v>
      </c>
      <c r="Y29" s="100" t="s">
        <v>11</v>
      </c>
      <c r="Z29" s="100" t="s">
        <v>21</v>
      </c>
      <c r="AA29" s="100" t="s">
        <v>3</v>
      </c>
      <c r="AB29" s="101" t="s">
        <v>15</v>
      </c>
      <c r="AC29" s="102" t="s">
        <v>23</v>
      </c>
      <c r="AD29" s="100" t="s">
        <v>21</v>
      </c>
      <c r="AE29" s="97" t="s">
        <v>0</v>
      </c>
      <c r="AF29" s="97" t="s">
        <v>3</v>
      </c>
      <c r="AG29" s="100"/>
      <c r="AH29" s="103">
        <v>13</v>
      </c>
      <c r="AI29" s="7">
        <f>COUNTA(B29:AG29)</f>
        <v>31</v>
      </c>
      <c r="AM29" s="9"/>
      <c r="AN29" s="9"/>
      <c r="AO29" s="9"/>
    </row>
    <row r="30" spans="2:48">
      <c r="B30" s="104" t="s">
        <v>49</v>
      </c>
      <c r="C30" s="104" t="s">
        <v>31</v>
      </c>
      <c r="D30" s="105" t="s">
        <v>37</v>
      </c>
      <c r="E30" s="106" t="s">
        <v>34</v>
      </c>
      <c r="F30" s="104" t="s">
        <v>30</v>
      </c>
      <c r="G30" s="107" t="s">
        <v>47</v>
      </c>
      <c r="H30" s="107" t="s">
        <v>30</v>
      </c>
      <c r="I30" s="107" t="s">
        <v>33</v>
      </c>
      <c r="J30" s="107" t="s">
        <v>31</v>
      </c>
      <c r="K30" s="107" t="s">
        <v>46</v>
      </c>
      <c r="L30" s="107" t="s">
        <v>34</v>
      </c>
      <c r="M30" s="107" t="s">
        <v>30</v>
      </c>
      <c r="N30" s="107" t="s">
        <v>47</v>
      </c>
      <c r="O30" s="104" t="s">
        <v>30</v>
      </c>
      <c r="P30" s="105" t="s">
        <v>33</v>
      </c>
      <c r="Q30" s="106" t="s">
        <v>39</v>
      </c>
      <c r="R30" s="104" t="s">
        <v>30</v>
      </c>
      <c r="S30" s="104" t="s">
        <v>41</v>
      </c>
      <c r="T30" s="104" t="s">
        <v>49</v>
      </c>
      <c r="U30" s="104" t="s">
        <v>30</v>
      </c>
      <c r="V30" s="104" t="s">
        <v>30</v>
      </c>
      <c r="W30" s="108" t="s">
        <v>34</v>
      </c>
      <c r="X30" s="109" t="s">
        <v>30</v>
      </c>
      <c r="Y30" s="107" t="s">
        <v>40</v>
      </c>
      <c r="Z30" s="107" t="s">
        <v>41</v>
      </c>
      <c r="AA30" s="107" t="s">
        <v>37</v>
      </c>
      <c r="AB30" s="108" t="s">
        <v>31</v>
      </c>
      <c r="AC30" s="109" t="s">
        <v>50</v>
      </c>
      <c r="AD30" s="107" t="s">
        <v>40</v>
      </c>
      <c r="AE30" s="104" t="s">
        <v>33</v>
      </c>
      <c r="AF30" s="104" t="s">
        <v>35</v>
      </c>
      <c r="AG30" s="107"/>
      <c r="AH30" s="110">
        <v>13</v>
      </c>
      <c r="AI30" s="25">
        <f>AI29+AI28</f>
        <v>338</v>
      </c>
      <c r="AM30" s="9"/>
      <c r="AN30" s="9"/>
      <c r="AO30" s="9"/>
    </row>
    <row r="31" spans="2:48" ht="15">
      <c r="B31" s="111" t="s">
        <v>15</v>
      </c>
      <c r="C31" s="111" t="s">
        <v>20</v>
      </c>
      <c r="D31" s="112" t="s">
        <v>11</v>
      </c>
      <c r="E31" s="113" t="s">
        <v>22</v>
      </c>
      <c r="F31" s="111" t="s">
        <v>8</v>
      </c>
      <c r="G31" s="111" t="s">
        <v>7</v>
      </c>
      <c r="H31" s="114" t="s">
        <v>8</v>
      </c>
      <c r="I31" s="114" t="s">
        <v>15</v>
      </c>
      <c r="J31" s="114" t="s">
        <v>22</v>
      </c>
      <c r="K31" s="114" t="s">
        <v>13</v>
      </c>
      <c r="L31" s="114" t="s">
        <v>15</v>
      </c>
      <c r="M31" s="115" t="s">
        <v>14</v>
      </c>
      <c r="N31" s="116" t="s">
        <v>19</v>
      </c>
      <c r="O31" s="114" t="s">
        <v>22</v>
      </c>
      <c r="P31" s="111" t="s">
        <v>54</v>
      </c>
      <c r="Q31" s="111" t="s">
        <v>17</v>
      </c>
      <c r="R31" s="111" t="s">
        <v>53</v>
      </c>
      <c r="S31" s="111" t="s">
        <v>10</v>
      </c>
      <c r="T31" s="112" t="s">
        <v>11</v>
      </c>
      <c r="U31" s="113" t="s">
        <v>3</v>
      </c>
      <c r="V31" s="111" t="s">
        <v>12</v>
      </c>
      <c r="W31" s="111" t="s">
        <v>17</v>
      </c>
      <c r="X31" s="115" t="s">
        <v>8</v>
      </c>
      <c r="Y31" s="154" t="s">
        <v>6</v>
      </c>
      <c r="Z31" s="116" t="s">
        <v>9</v>
      </c>
      <c r="AA31" s="114" t="s">
        <v>54</v>
      </c>
      <c r="AB31" s="114" t="s">
        <v>12</v>
      </c>
      <c r="AC31" s="114" t="s">
        <v>12</v>
      </c>
      <c r="AD31" s="115" t="s">
        <v>14</v>
      </c>
      <c r="AE31" s="116" t="s">
        <v>8</v>
      </c>
      <c r="AF31" s="111" t="s">
        <v>4</v>
      </c>
      <c r="AG31" s="111" t="s">
        <v>17</v>
      </c>
      <c r="AH31" s="117">
        <v>14</v>
      </c>
      <c r="AI31" s="118">
        <f>COUNTA(B31:AG31)</f>
        <v>32</v>
      </c>
      <c r="AJ31" s="159" t="s">
        <v>67</v>
      </c>
      <c r="AM31" s="9"/>
      <c r="AN31" s="9"/>
      <c r="AO31" s="9"/>
    </row>
    <row r="32" spans="2:48" ht="15" thickBot="1">
      <c r="B32" s="119" t="s">
        <v>31</v>
      </c>
      <c r="C32" s="119" t="s">
        <v>30</v>
      </c>
      <c r="D32" s="120" t="s">
        <v>34</v>
      </c>
      <c r="E32" s="121" t="s">
        <v>44</v>
      </c>
      <c r="F32" s="119" t="s">
        <v>43</v>
      </c>
      <c r="G32" s="119" t="s">
        <v>49</v>
      </c>
      <c r="H32" s="122" t="s">
        <v>31</v>
      </c>
      <c r="I32" s="122" t="s">
        <v>46</v>
      </c>
      <c r="J32" s="122" t="s">
        <v>44</v>
      </c>
      <c r="K32" s="122" t="s">
        <v>43</v>
      </c>
      <c r="L32" s="122" t="s">
        <v>35</v>
      </c>
      <c r="M32" s="123" t="s">
        <v>49</v>
      </c>
      <c r="N32" s="124" t="s">
        <v>34</v>
      </c>
      <c r="O32" s="122" t="s">
        <v>30</v>
      </c>
      <c r="P32" s="119" t="s">
        <v>42</v>
      </c>
      <c r="Q32" s="119" t="s">
        <v>43</v>
      </c>
      <c r="R32" s="119" t="s">
        <v>33</v>
      </c>
      <c r="S32" s="119" t="s">
        <v>39</v>
      </c>
      <c r="T32" s="120" t="s">
        <v>34</v>
      </c>
      <c r="U32" s="121" t="s">
        <v>32</v>
      </c>
      <c r="V32" s="119" t="s">
        <v>30</v>
      </c>
      <c r="W32" s="119" t="s">
        <v>34</v>
      </c>
      <c r="X32" s="123" t="s">
        <v>31</v>
      </c>
      <c r="Y32" s="155" t="s">
        <v>51</v>
      </c>
      <c r="Z32" s="124" t="s">
        <v>36</v>
      </c>
      <c r="AA32" s="122" t="s">
        <v>38</v>
      </c>
      <c r="AB32" s="122" t="s">
        <v>46</v>
      </c>
      <c r="AC32" s="122" t="s">
        <v>30</v>
      </c>
      <c r="AD32" s="123" t="s">
        <v>49</v>
      </c>
      <c r="AE32" s="124" t="s">
        <v>31</v>
      </c>
      <c r="AF32" s="119" t="s">
        <v>32</v>
      </c>
      <c r="AG32" s="119" t="s">
        <v>43</v>
      </c>
      <c r="AH32" s="125">
        <v>14</v>
      </c>
      <c r="AI32" s="126">
        <f>AI31+AI30</f>
        <v>370</v>
      </c>
      <c r="AJ32" s="161" t="s">
        <v>68</v>
      </c>
      <c r="AM32" s="9"/>
      <c r="AN32" s="9"/>
      <c r="AO32" s="9"/>
    </row>
    <row r="34" spans="2:42" ht="15">
      <c r="B34" s="127" t="s">
        <v>83</v>
      </c>
      <c r="C34" s="128" t="s">
        <v>24</v>
      </c>
      <c r="D34" s="128"/>
      <c r="F34" s="129" t="s">
        <v>85</v>
      </c>
      <c r="G34" s="128" t="s">
        <v>26</v>
      </c>
      <c r="H34" s="128"/>
      <c r="I34" s="128"/>
      <c r="K34" s="130" t="s">
        <v>105</v>
      </c>
      <c r="L34" s="131"/>
      <c r="M34" s="131"/>
      <c r="N34" s="132">
        <f>47</f>
        <v>47</v>
      </c>
      <c r="P34" s="130" t="s">
        <v>108</v>
      </c>
      <c r="R34" s="133"/>
      <c r="S34" s="134">
        <v>47</v>
      </c>
      <c r="T34" s="131"/>
      <c r="U34" s="131"/>
      <c r="V34" s="131"/>
      <c r="W34" s="131"/>
      <c r="X34" s="128"/>
      <c r="Y34" s="135" t="s">
        <v>56</v>
      </c>
      <c r="Z34" s="136"/>
      <c r="AA34" s="136"/>
      <c r="AB34" s="136"/>
      <c r="AC34" s="137">
        <v>115</v>
      </c>
      <c r="AD34" s="136"/>
      <c r="AE34" s="135" t="s">
        <v>79</v>
      </c>
      <c r="AF34" s="136"/>
      <c r="AG34" s="138"/>
      <c r="AJ34" s="162"/>
      <c r="AM34" s="139"/>
    </row>
    <row r="35" spans="2:42" ht="15">
      <c r="B35" s="140" t="s">
        <v>84</v>
      </c>
      <c r="C35" s="128" t="s">
        <v>25</v>
      </c>
      <c r="D35" s="128"/>
      <c r="F35" s="141" t="s">
        <v>86</v>
      </c>
      <c r="G35" s="128" t="s">
        <v>27</v>
      </c>
      <c r="H35" s="128"/>
      <c r="I35" s="128"/>
      <c r="K35" s="130" t="s">
        <v>106</v>
      </c>
      <c r="L35" s="131"/>
      <c r="M35" s="131"/>
      <c r="N35" s="132">
        <f>51</f>
        <v>51</v>
      </c>
      <c r="P35" s="130" t="s">
        <v>109</v>
      </c>
      <c r="R35" s="133"/>
      <c r="S35" s="134" t="s">
        <v>80</v>
      </c>
      <c r="T35" s="131"/>
      <c r="U35" s="131"/>
      <c r="V35" s="131"/>
      <c r="W35" s="131"/>
      <c r="X35" s="128"/>
      <c r="Y35" s="135" t="s">
        <v>57</v>
      </c>
      <c r="Z35" s="136"/>
      <c r="AA35" s="136"/>
      <c r="AB35" s="136"/>
      <c r="AC35" s="137">
        <v>136</v>
      </c>
      <c r="AD35" s="136"/>
      <c r="AE35" s="136"/>
      <c r="AF35" s="136"/>
      <c r="AG35" s="138"/>
      <c r="AI35" s="165">
        <v>100</v>
      </c>
      <c r="AJ35" s="166" t="s">
        <v>111</v>
      </c>
      <c r="AK35" s="167"/>
      <c r="AM35" s="139"/>
    </row>
    <row r="36" spans="2:42" ht="15">
      <c r="B36" s="142"/>
      <c r="C36" s="142"/>
      <c r="D36" s="128"/>
      <c r="F36" s="143" t="s">
        <v>87</v>
      </c>
      <c r="G36" s="128" t="s">
        <v>28</v>
      </c>
      <c r="H36" s="128"/>
      <c r="I36" s="128"/>
      <c r="K36" s="130" t="s">
        <v>107</v>
      </c>
      <c r="L36" s="131"/>
      <c r="M36" s="131"/>
      <c r="N36" s="132">
        <f>370-178</f>
        <v>192</v>
      </c>
      <c r="P36" s="130" t="s">
        <v>110</v>
      </c>
      <c r="R36" s="133"/>
      <c r="S36" s="134" t="s">
        <v>81</v>
      </c>
      <c r="T36" s="131"/>
      <c r="U36" s="131"/>
      <c r="V36" s="131"/>
      <c r="W36" s="131"/>
      <c r="X36" s="128"/>
      <c r="Y36" s="135" t="s">
        <v>58</v>
      </c>
      <c r="Z36" s="136"/>
      <c r="AA36" s="136"/>
      <c r="AB36" s="136"/>
      <c r="AC36" s="137">
        <v>85</v>
      </c>
      <c r="AD36" s="136"/>
      <c r="AE36" s="135" t="s">
        <v>82</v>
      </c>
      <c r="AF36" s="136"/>
      <c r="AG36" s="138"/>
      <c r="AI36" s="168"/>
      <c r="AJ36" s="169"/>
      <c r="AK36" s="167"/>
      <c r="AM36" s="139"/>
    </row>
    <row r="37" spans="2:42">
      <c r="J37" s="9"/>
      <c r="K37" s="9"/>
      <c r="L37" s="9"/>
      <c r="M37" s="9"/>
      <c r="N37" s="9"/>
      <c r="O37" s="9"/>
      <c r="P37" s="9"/>
      <c r="AI37" s="165">
        <f>AI35+J19</f>
        <v>225</v>
      </c>
      <c r="AJ37" s="166" t="s">
        <v>112</v>
      </c>
      <c r="AK37" s="167"/>
      <c r="AM37" s="139"/>
    </row>
    <row r="38" spans="2:42">
      <c r="AI38" s="170"/>
      <c r="AJ38" s="169"/>
      <c r="AK38" s="167"/>
      <c r="AM38" s="139"/>
    </row>
    <row r="39" spans="2:42">
      <c r="B39" s="144" t="s">
        <v>94</v>
      </c>
      <c r="C39" s="142"/>
      <c r="D39" s="142"/>
      <c r="F39" s="142" t="s">
        <v>91</v>
      </c>
      <c r="G39" s="142"/>
      <c r="H39" s="128"/>
      <c r="I39" s="128"/>
      <c r="J39" s="128"/>
      <c r="K39" s="130" t="s">
        <v>64</v>
      </c>
      <c r="L39" s="131"/>
      <c r="M39" s="131"/>
      <c r="N39" s="131"/>
      <c r="O39" s="131"/>
      <c r="P39" s="131"/>
      <c r="Q39" s="131"/>
      <c r="R39" s="131"/>
      <c r="S39" s="131"/>
      <c r="T39" s="131"/>
      <c r="U39" s="131"/>
      <c r="V39" s="131"/>
      <c r="W39" s="131"/>
      <c r="X39" s="128"/>
      <c r="Y39" s="135" t="s">
        <v>62</v>
      </c>
      <c r="Z39" s="138"/>
      <c r="AA39" s="138"/>
      <c r="AB39" s="138"/>
      <c r="AC39" s="138"/>
      <c r="AD39" s="136"/>
      <c r="AE39" s="136"/>
      <c r="AF39" s="136"/>
      <c r="AG39" s="136"/>
      <c r="AI39" s="165">
        <f>AI37+I23</f>
        <v>286</v>
      </c>
      <c r="AJ39" s="166" t="s">
        <v>113</v>
      </c>
      <c r="AK39" s="167"/>
      <c r="AM39" s="139"/>
    </row>
    <row r="40" spans="2:42">
      <c r="B40" s="145" t="s">
        <v>95</v>
      </c>
      <c r="C40" s="142"/>
      <c r="D40" s="142"/>
      <c r="F40" s="142" t="s">
        <v>92</v>
      </c>
      <c r="G40" s="142"/>
      <c r="H40" s="128"/>
      <c r="I40" s="128"/>
      <c r="J40" s="128"/>
      <c r="K40" s="130" t="s">
        <v>88</v>
      </c>
      <c r="L40" s="131"/>
      <c r="M40" s="131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28"/>
      <c r="Y40" s="135" t="s">
        <v>59</v>
      </c>
      <c r="Z40" s="138"/>
      <c r="AA40" s="138"/>
      <c r="AB40" s="138"/>
      <c r="AC40" s="138"/>
      <c r="AD40" s="136"/>
      <c r="AE40" s="136"/>
      <c r="AF40" s="136"/>
      <c r="AG40" s="136"/>
      <c r="AI40" s="168"/>
      <c r="AJ40" s="169"/>
      <c r="AK40" s="167"/>
      <c r="AM40" s="139"/>
    </row>
    <row r="41" spans="2:42">
      <c r="B41" s="145"/>
      <c r="C41" s="142"/>
      <c r="D41" s="142"/>
      <c r="F41" s="142" t="s">
        <v>93</v>
      </c>
      <c r="G41" s="142"/>
      <c r="H41" s="128"/>
      <c r="I41" s="128"/>
      <c r="J41" s="128"/>
      <c r="K41" s="130" t="s">
        <v>89</v>
      </c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28"/>
      <c r="Y41" s="135" t="s">
        <v>60</v>
      </c>
      <c r="Z41" s="136"/>
      <c r="AA41" s="136"/>
      <c r="AB41" s="136"/>
      <c r="AC41" s="136"/>
      <c r="AD41" s="136"/>
      <c r="AE41" s="136"/>
      <c r="AF41" s="136"/>
      <c r="AG41" s="136"/>
      <c r="AI41" s="165">
        <f>AI39+AG27</f>
        <v>433</v>
      </c>
      <c r="AJ41" s="166" t="s">
        <v>114</v>
      </c>
      <c r="AK41" s="167"/>
      <c r="AM41" s="139"/>
    </row>
    <row r="42" spans="2:42">
      <c r="B42" s="145"/>
      <c r="C42" s="142"/>
      <c r="D42" s="142"/>
      <c r="E42" s="142"/>
      <c r="F42" s="142"/>
      <c r="G42" s="128"/>
      <c r="H42" s="128"/>
      <c r="I42" s="128"/>
      <c r="J42" s="128"/>
      <c r="K42" s="130" t="s">
        <v>90</v>
      </c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28"/>
      <c r="Y42" s="135" t="s">
        <v>61</v>
      </c>
      <c r="Z42" s="136"/>
      <c r="AA42" s="136"/>
      <c r="AB42" s="136"/>
      <c r="AC42" s="136"/>
      <c r="AD42" s="136"/>
      <c r="AE42" s="136"/>
      <c r="AF42" s="136"/>
      <c r="AG42" s="136"/>
    </row>
    <row r="43" spans="2:42">
      <c r="B43" s="89"/>
      <c r="K43" s="130" t="s">
        <v>63</v>
      </c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Y43" s="135" t="s">
        <v>70</v>
      </c>
      <c r="Z43" s="147"/>
      <c r="AA43" s="147"/>
      <c r="AB43" s="147"/>
      <c r="AC43" s="147"/>
      <c r="AD43" s="147"/>
      <c r="AE43" s="147"/>
      <c r="AF43" s="147"/>
      <c r="AG43" s="147"/>
    </row>
    <row r="44" spans="2:42">
      <c r="B44" s="89"/>
      <c r="K44" s="130" t="s">
        <v>66</v>
      </c>
      <c r="Y44" s="148"/>
    </row>
    <row r="45" spans="2:42">
      <c r="B45" s="89"/>
      <c r="K45" s="130"/>
      <c r="Y45" s="148"/>
    </row>
    <row r="46" spans="2:42">
      <c r="AM46" s="17"/>
      <c r="AP46" s="1"/>
    </row>
    <row r="47" spans="2:42">
      <c r="AM47" s="17"/>
      <c r="AP47" s="1"/>
    </row>
    <row r="48" spans="2:42">
      <c r="AM48" s="17"/>
      <c r="AP48" s="1"/>
    </row>
    <row r="49" spans="2:42">
      <c r="AM49" s="17"/>
      <c r="AP49" s="1"/>
    </row>
    <row r="50" spans="2:42" ht="15" thickBot="1">
      <c r="B50" s="182">
        <v>1</v>
      </c>
      <c r="C50" s="182">
        <v>2</v>
      </c>
      <c r="D50" s="182">
        <v>3</v>
      </c>
      <c r="E50" s="182">
        <v>4</v>
      </c>
      <c r="F50" s="182">
        <v>5</v>
      </c>
      <c r="G50" s="182">
        <v>6</v>
      </c>
      <c r="H50" s="182">
        <v>7</v>
      </c>
      <c r="I50" s="182">
        <v>8</v>
      </c>
      <c r="J50" s="182">
        <v>9</v>
      </c>
      <c r="K50" s="182">
        <v>10</v>
      </c>
      <c r="L50" s="182">
        <v>11</v>
      </c>
      <c r="M50" s="182">
        <v>12</v>
      </c>
      <c r="N50" s="182">
        <v>13</v>
      </c>
      <c r="O50" s="182">
        <v>14</v>
      </c>
      <c r="P50" s="182">
        <v>15</v>
      </c>
      <c r="Q50" s="182">
        <v>16</v>
      </c>
      <c r="R50" s="182">
        <v>17</v>
      </c>
      <c r="S50" s="182">
        <v>18</v>
      </c>
      <c r="T50" s="182">
        <v>19</v>
      </c>
      <c r="U50" s="182">
        <v>20</v>
      </c>
      <c r="V50" s="182">
        <v>21</v>
      </c>
      <c r="W50" s="182">
        <v>22</v>
      </c>
      <c r="X50" s="182">
        <v>23</v>
      </c>
      <c r="Y50" s="182">
        <v>24</v>
      </c>
      <c r="Z50" s="182">
        <v>25</v>
      </c>
      <c r="AA50" s="182">
        <v>26</v>
      </c>
      <c r="AB50" s="182">
        <v>27</v>
      </c>
      <c r="AC50" s="182">
        <v>28</v>
      </c>
      <c r="AD50" s="182">
        <v>29</v>
      </c>
      <c r="AE50" s="182">
        <v>30</v>
      </c>
      <c r="AF50" s="182">
        <v>31</v>
      </c>
      <c r="AG50" s="182">
        <v>32</v>
      </c>
      <c r="AH50" s="182">
        <v>33</v>
      </c>
      <c r="AI50" s="159"/>
      <c r="AM50" s="17"/>
      <c r="AP50" s="1"/>
    </row>
    <row r="51" spans="2:42" ht="15">
      <c r="B51" s="183" t="s">
        <v>8</v>
      </c>
      <c r="C51" s="183" t="s">
        <v>10</v>
      </c>
      <c r="D51" s="183" t="s">
        <v>15</v>
      </c>
      <c r="E51" s="198" t="s">
        <v>2</v>
      </c>
      <c r="F51" s="198" t="s">
        <v>14</v>
      </c>
      <c r="G51" s="183" t="s">
        <v>13</v>
      </c>
      <c r="H51" s="198" t="s">
        <v>1</v>
      </c>
      <c r="I51" s="183" t="s">
        <v>5</v>
      </c>
      <c r="J51" s="183" t="s">
        <v>13</v>
      </c>
      <c r="K51" s="183" t="s">
        <v>10</v>
      </c>
      <c r="L51" s="201" t="s">
        <v>12</v>
      </c>
      <c r="M51" s="183" t="s">
        <v>6</v>
      </c>
      <c r="N51" s="183" t="s">
        <v>1</v>
      </c>
      <c r="O51" s="183" t="s">
        <v>13</v>
      </c>
      <c r="P51" s="201" t="s">
        <v>8</v>
      </c>
      <c r="Q51" s="183" t="s">
        <v>5</v>
      </c>
      <c r="R51" s="183" t="s">
        <v>18</v>
      </c>
      <c r="S51" s="183" t="s">
        <v>3</v>
      </c>
      <c r="T51" s="183" t="s">
        <v>4</v>
      </c>
      <c r="U51" s="183" t="s">
        <v>8</v>
      </c>
      <c r="V51" s="183" t="s">
        <v>5</v>
      </c>
      <c r="W51" s="183" t="s">
        <v>16</v>
      </c>
      <c r="X51" s="183" t="s">
        <v>7</v>
      </c>
      <c r="Y51" s="183" t="s">
        <v>16</v>
      </c>
      <c r="Z51" s="183" t="s">
        <v>15</v>
      </c>
      <c r="AA51" s="183" t="s">
        <v>2</v>
      </c>
      <c r="AB51" s="183" t="s">
        <v>6</v>
      </c>
      <c r="AC51" s="183" t="s">
        <v>13</v>
      </c>
      <c r="AD51" s="183" t="s">
        <v>10</v>
      </c>
      <c r="AE51" s="183" t="s">
        <v>14</v>
      </c>
      <c r="AF51" s="183" t="s">
        <v>16</v>
      </c>
      <c r="AG51" s="183" t="s">
        <v>14</v>
      </c>
      <c r="AH51" s="183"/>
      <c r="AI51" s="202">
        <f>COUNTA(B51:AH51)</f>
        <v>32</v>
      </c>
      <c r="AM51" s="17"/>
      <c r="AP51" s="1"/>
    </row>
    <row r="52" spans="2:42">
      <c r="B52" s="186" t="s">
        <v>34</v>
      </c>
      <c r="C52" s="186" t="s">
        <v>36</v>
      </c>
      <c r="D52" s="186" t="s">
        <v>43</v>
      </c>
      <c r="E52" s="185" t="s">
        <v>32</v>
      </c>
      <c r="F52" s="185" t="s">
        <v>36</v>
      </c>
      <c r="G52" s="185" t="s">
        <v>46</v>
      </c>
      <c r="H52" s="185" t="s">
        <v>39</v>
      </c>
      <c r="I52" s="185" t="s">
        <v>30</v>
      </c>
      <c r="J52" s="185" t="s">
        <v>34</v>
      </c>
      <c r="K52" s="185" t="s">
        <v>48</v>
      </c>
      <c r="L52" s="184" t="s">
        <v>38</v>
      </c>
      <c r="M52" s="185" t="s">
        <v>49</v>
      </c>
      <c r="N52" s="185" t="s">
        <v>38</v>
      </c>
      <c r="O52" s="185" t="s">
        <v>31</v>
      </c>
      <c r="P52" s="184" t="s">
        <v>36</v>
      </c>
      <c r="Q52" s="185" t="s">
        <v>46</v>
      </c>
      <c r="R52" s="185" t="s">
        <v>34</v>
      </c>
      <c r="S52" s="185" t="s">
        <v>36</v>
      </c>
      <c r="T52" s="185" t="s">
        <v>43</v>
      </c>
      <c r="U52" s="185" t="s">
        <v>32</v>
      </c>
      <c r="V52" s="185" t="s">
        <v>36</v>
      </c>
      <c r="W52" s="185" t="s">
        <v>46</v>
      </c>
      <c r="X52" s="185" t="s">
        <v>31</v>
      </c>
      <c r="Y52" s="185" t="s">
        <v>37</v>
      </c>
      <c r="Z52" s="185" t="s">
        <v>30</v>
      </c>
      <c r="AA52" s="185" t="s">
        <v>49</v>
      </c>
      <c r="AB52" s="185" t="s">
        <v>30</v>
      </c>
      <c r="AC52" s="185" t="s">
        <v>50</v>
      </c>
      <c r="AD52" s="185" t="s">
        <v>38</v>
      </c>
      <c r="AE52" s="185" t="s">
        <v>40</v>
      </c>
      <c r="AF52" s="185" t="s">
        <v>33</v>
      </c>
      <c r="AG52" s="185" t="s">
        <v>34</v>
      </c>
      <c r="AH52" s="185"/>
      <c r="AI52" s="203">
        <f>AI51+AI50</f>
        <v>32</v>
      </c>
      <c r="AM52" s="17"/>
      <c r="AP52" s="1"/>
    </row>
    <row r="53" spans="2:42" ht="15">
      <c r="B53" s="187" t="s">
        <v>18</v>
      </c>
      <c r="C53" s="187" t="s">
        <v>13</v>
      </c>
      <c r="D53" s="187" t="s">
        <v>4</v>
      </c>
      <c r="E53" s="187" t="s">
        <v>10</v>
      </c>
      <c r="F53" s="187" t="s">
        <v>1</v>
      </c>
      <c r="G53" s="187" t="s">
        <v>8</v>
      </c>
      <c r="H53" s="187" t="s">
        <v>2</v>
      </c>
      <c r="I53" s="187" t="s">
        <v>11</v>
      </c>
      <c r="J53" s="187" t="s">
        <v>12</v>
      </c>
      <c r="K53" s="187" t="s">
        <v>15</v>
      </c>
      <c r="L53" s="187" t="s">
        <v>6</v>
      </c>
      <c r="M53" s="187" t="s">
        <v>12</v>
      </c>
      <c r="N53" s="187" t="s">
        <v>12</v>
      </c>
      <c r="O53" s="187" t="s">
        <v>6</v>
      </c>
      <c r="P53" s="187" t="s">
        <v>12</v>
      </c>
      <c r="Q53" s="187" t="s">
        <v>12</v>
      </c>
      <c r="R53" s="187" t="s">
        <v>10</v>
      </c>
      <c r="S53" s="187" t="s">
        <v>5</v>
      </c>
      <c r="T53" s="187" t="s">
        <v>13</v>
      </c>
      <c r="U53" s="187" t="s">
        <v>6</v>
      </c>
      <c r="V53" s="187" t="s">
        <v>10</v>
      </c>
      <c r="W53" s="187" t="s">
        <v>5</v>
      </c>
      <c r="X53" s="187" t="s">
        <v>6</v>
      </c>
      <c r="Y53" s="187" t="s">
        <v>22</v>
      </c>
      <c r="Z53" s="187" t="s">
        <v>1</v>
      </c>
      <c r="AA53" s="187" t="s">
        <v>9</v>
      </c>
      <c r="AB53" s="187" t="s">
        <v>23</v>
      </c>
      <c r="AC53" s="187" t="s">
        <v>22</v>
      </c>
      <c r="AD53" s="187" t="s">
        <v>10</v>
      </c>
      <c r="AE53" s="187" t="s">
        <v>8</v>
      </c>
      <c r="AF53" s="187"/>
      <c r="AG53" s="187"/>
      <c r="AH53" s="187"/>
      <c r="AI53" s="202">
        <f>COUNTA(B53:AH53)</f>
        <v>30</v>
      </c>
      <c r="AM53" s="17"/>
      <c r="AP53" s="1"/>
    </row>
    <row r="54" spans="2:42">
      <c r="B54" s="185" t="s">
        <v>43</v>
      </c>
      <c r="C54" s="185" t="s">
        <v>44</v>
      </c>
      <c r="D54" s="185" t="s">
        <v>48</v>
      </c>
      <c r="E54" s="185" t="s">
        <v>38</v>
      </c>
      <c r="F54" s="185" t="s">
        <v>34</v>
      </c>
      <c r="G54" s="185" t="s">
        <v>34</v>
      </c>
      <c r="H54" s="185" t="s">
        <v>38</v>
      </c>
      <c r="I54" s="185" t="s">
        <v>41</v>
      </c>
      <c r="J54" s="185" t="s">
        <v>30</v>
      </c>
      <c r="K54" s="185" t="s">
        <v>39</v>
      </c>
      <c r="L54" s="185" t="s">
        <v>30</v>
      </c>
      <c r="M54" s="185" t="s">
        <v>29</v>
      </c>
      <c r="N54" s="185" t="s">
        <v>49</v>
      </c>
      <c r="O54" s="185" t="s">
        <v>40</v>
      </c>
      <c r="P54" s="185" t="s">
        <v>34</v>
      </c>
      <c r="Q54" s="185" t="s">
        <v>31</v>
      </c>
      <c r="R54" s="185" t="s">
        <v>37</v>
      </c>
      <c r="S54" s="185" t="s">
        <v>38</v>
      </c>
      <c r="T54" s="185" t="s">
        <v>31</v>
      </c>
      <c r="U54" s="185" t="s">
        <v>30</v>
      </c>
      <c r="V54" s="185" t="s">
        <v>33</v>
      </c>
      <c r="W54" s="185" t="s">
        <v>42</v>
      </c>
      <c r="X54" s="185" t="s">
        <v>35</v>
      </c>
      <c r="Y54" s="185" t="s">
        <v>50</v>
      </c>
      <c r="Z54" s="185" t="s">
        <v>29</v>
      </c>
      <c r="AA54" s="185" t="s">
        <v>30</v>
      </c>
      <c r="AB54" s="185" t="s">
        <v>49</v>
      </c>
      <c r="AC54" s="185" t="s">
        <v>30</v>
      </c>
      <c r="AD54" s="185" t="s">
        <v>39</v>
      </c>
      <c r="AE54" s="185" t="s">
        <v>31</v>
      </c>
      <c r="AF54" s="185"/>
      <c r="AG54" s="185"/>
      <c r="AH54" s="185"/>
      <c r="AI54" s="203">
        <f>AI53+AI52</f>
        <v>62</v>
      </c>
      <c r="AL54" s="159"/>
      <c r="AM54" s="17"/>
      <c r="AP54" s="1"/>
    </row>
    <row r="55" spans="2:42" ht="15">
      <c r="B55" s="187" t="s">
        <v>4</v>
      </c>
      <c r="C55" s="187" t="s">
        <v>3</v>
      </c>
      <c r="D55" s="187" t="s">
        <v>1</v>
      </c>
      <c r="E55" s="187" t="s">
        <v>10</v>
      </c>
      <c r="F55" s="187" t="s">
        <v>17</v>
      </c>
      <c r="G55" s="187" t="s">
        <v>14</v>
      </c>
      <c r="H55" s="187" t="s">
        <v>4</v>
      </c>
      <c r="I55" s="187" t="s">
        <v>16</v>
      </c>
      <c r="J55" s="187" t="s">
        <v>13</v>
      </c>
      <c r="K55" s="187" t="s">
        <v>10</v>
      </c>
      <c r="L55" s="187" t="s">
        <v>1</v>
      </c>
      <c r="M55" s="187" t="s">
        <v>14</v>
      </c>
      <c r="N55" s="187" t="s">
        <v>1</v>
      </c>
      <c r="O55" s="187" t="s">
        <v>3</v>
      </c>
      <c r="P55" s="187" t="s">
        <v>8</v>
      </c>
      <c r="Q55" s="187" t="s">
        <v>6</v>
      </c>
      <c r="R55" s="187" t="s">
        <v>12</v>
      </c>
      <c r="S55" s="187" t="s">
        <v>10</v>
      </c>
      <c r="T55" s="187" t="s">
        <v>10</v>
      </c>
      <c r="U55" s="187" t="s">
        <v>8</v>
      </c>
      <c r="V55" s="187" t="s">
        <v>12</v>
      </c>
      <c r="W55" s="187" t="s">
        <v>8</v>
      </c>
      <c r="X55" s="187" t="s">
        <v>7</v>
      </c>
      <c r="Y55" s="187" t="s">
        <v>12</v>
      </c>
      <c r="Z55" s="187" t="s">
        <v>3</v>
      </c>
      <c r="AA55" s="187" t="s">
        <v>16</v>
      </c>
      <c r="AB55" s="187" t="s">
        <v>16</v>
      </c>
      <c r="AC55" s="187" t="s">
        <v>14</v>
      </c>
      <c r="AD55" s="187" t="s">
        <v>18</v>
      </c>
      <c r="AE55" s="187" t="s">
        <v>14</v>
      </c>
      <c r="AF55" s="187" t="s">
        <v>8</v>
      </c>
      <c r="AG55" s="187"/>
      <c r="AH55" s="187"/>
      <c r="AI55" s="202">
        <f>COUNTA(B55:AH55)</f>
        <v>31</v>
      </c>
      <c r="AM55" s="17"/>
      <c r="AP55" s="1"/>
    </row>
    <row r="56" spans="2:42">
      <c r="B56" s="185" t="s">
        <v>37</v>
      </c>
      <c r="C56" s="185" t="s">
        <v>30</v>
      </c>
      <c r="D56" s="185" t="s">
        <v>36</v>
      </c>
      <c r="E56" s="185" t="s">
        <v>43</v>
      </c>
      <c r="F56" s="185" t="s">
        <v>32</v>
      </c>
      <c r="G56" s="185" t="s">
        <v>30</v>
      </c>
      <c r="H56" s="185" t="s">
        <v>49</v>
      </c>
      <c r="I56" s="185" t="s">
        <v>48</v>
      </c>
      <c r="J56" s="185" t="s">
        <v>38</v>
      </c>
      <c r="K56" s="199" t="s">
        <v>49</v>
      </c>
      <c r="L56" s="185" t="s">
        <v>31</v>
      </c>
      <c r="M56" s="185" t="s">
        <v>43</v>
      </c>
      <c r="N56" s="185" t="s">
        <v>44</v>
      </c>
      <c r="O56" s="185" t="s">
        <v>31</v>
      </c>
      <c r="P56" s="185" t="s">
        <v>37</v>
      </c>
      <c r="Q56" s="185" t="s">
        <v>30</v>
      </c>
      <c r="R56" s="186" t="s">
        <v>39</v>
      </c>
      <c r="S56" s="185" t="s">
        <v>43</v>
      </c>
      <c r="T56" s="185" t="s">
        <v>43</v>
      </c>
      <c r="U56" s="185" t="s">
        <v>49</v>
      </c>
      <c r="V56" s="185" t="s">
        <v>32</v>
      </c>
      <c r="W56" s="185" t="s">
        <v>38</v>
      </c>
      <c r="X56" s="185" t="s">
        <v>46</v>
      </c>
      <c r="Y56" s="185" t="s">
        <v>32</v>
      </c>
      <c r="Z56" s="185" t="s">
        <v>38</v>
      </c>
      <c r="AA56" s="185" t="s">
        <v>34</v>
      </c>
      <c r="AB56" s="185" t="s">
        <v>49</v>
      </c>
      <c r="AC56" s="185" t="s">
        <v>30</v>
      </c>
      <c r="AD56" s="185" t="s">
        <v>50</v>
      </c>
      <c r="AE56" s="185" t="s">
        <v>43</v>
      </c>
      <c r="AF56" s="185" t="s">
        <v>47</v>
      </c>
      <c r="AG56" s="185"/>
      <c r="AH56" s="185"/>
      <c r="AI56" s="203">
        <f>AI55+AI54</f>
        <v>93</v>
      </c>
      <c r="AM56" s="17"/>
      <c r="AP56" s="1"/>
    </row>
    <row r="57" spans="2:42" ht="15">
      <c r="B57" s="187" t="s">
        <v>9</v>
      </c>
      <c r="C57" s="187" t="s">
        <v>22</v>
      </c>
      <c r="D57" s="187" t="s">
        <v>4</v>
      </c>
      <c r="E57" s="187" t="s">
        <v>9</v>
      </c>
      <c r="F57" s="187" t="s">
        <v>10</v>
      </c>
      <c r="G57" s="187" t="s">
        <v>15</v>
      </c>
      <c r="H57" s="187" t="s">
        <v>16</v>
      </c>
      <c r="I57" s="187" t="s">
        <v>4</v>
      </c>
      <c r="J57" s="187" t="s">
        <v>8</v>
      </c>
      <c r="K57" s="187" t="s">
        <v>8</v>
      </c>
      <c r="L57" s="187" t="s">
        <v>10</v>
      </c>
      <c r="M57" s="187" t="s">
        <v>1</v>
      </c>
      <c r="N57" s="187" t="s">
        <v>14</v>
      </c>
      <c r="O57" s="187" t="s">
        <v>13</v>
      </c>
      <c r="P57" s="187" t="s">
        <v>18</v>
      </c>
      <c r="Q57" s="187" t="s">
        <v>4</v>
      </c>
      <c r="R57" s="187" t="s">
        <v>8</v>
      </c>
      <c r="S57" s="187" t="s">
        <v>10</v>
      </c>
      <c r="T57" s="187" t="s">
        <v>8</v>
      </c>
      <c r="U57" s="187" t="s">
        <v>11</v>
      </c>
      <c r="V57" s="187" t="s">
        <v>15</v>
      </c>
      <c r="W57" s="187" t="s">
        <v>1</v>
      </c>
      <c r="X57" s="187" t="s">
        <v>8</v>
      </c>
      <c r="Y57" s="187" t="s">
        <v>4</v>
      </c>
      <c r="Z57" s="187" t="s">
        <v>10</v>
      </c>
      <c r="AA57" s="187" t="s">
        <v>13</v>
      </c>
      <c r="AB57" s="187" t="s">
        <v>14</v>
      </c>
      <c r="AC57" s="187" t="s">
        <v>8</v>
      </c>
      <c r="AD57" s="187" t="s">
        <v>5</v>
      </c>
      <c r="AE57" s="187" t="s">
        <v>8</v>
      </c>
      <c r="AF57" s="187"/>
      <c r="AG57" s="187"/>
      <c r="AH57" s="187"/>
      <c r="AI57" s="202">
        <f>COUNTA(B57:AH57)</f>
        <v>30</v>
      </c>
      <c r="AM57" s="17"/>
      <c r="AP57" s="1"/>
    </row>
    <row r="58" spans="2:42">
      <c r="B58" s="185" t="s">
        <v>30</v>
      </c>
      <c r="C58" s="185" t="s">
        <v>39</v>
      </c>
      <c r="D58" s="185" t="s">
        <v>32</v>
      </c>
      <c r="E58" s="185" t="s">
        <v>40</v>
      </c>
      <c r="F58" s="185" t="s">
        <v>31</v>
      </c>
      <c r="G58" s="185" t="s">
        <v>37</v>
      </c>
      <c r="H58" s="185" t="s">
        <v>31</v>
      </c>
      <c r="I58" s="185" t="s">
        <v>49</v>
      </c>
      <c r="J58" s="185" t="s">
        <v>30</v>
      </c>
      <c r="K58" s="185" t="s">
        <v>50</v>
      </c>
      <c r="L58" s="185" t="s">
        <v>29</v>
      </c>
      <c r="M58" s="185" t="s">
        <v>36</v>
      </c>
      <c r="N58" s="185" t="s">
        <v>40</v>
      </c>
      <c r="O58" s="185" t="s">
        <v>33</v>
      </c>
      <c r="P58" s="185" t="s">
        <v>41</v>
      </c>
      <c r="Q58" s="185" t="s">
        <v>37</v>
      </c>
      <c r="R58" s="185" t="s">
        <v>38</v>
      </c>
      <c r="S58" s="185" t="s">
        <v>33</v>
      </c>
      <c r="T58" s="185" t="s">
        <v>39</v>
      </c>
      <c r="U58" s="185" t="s">
        <v>34</v>
      </c>
      <c r="V58" s="185" t="s">
        <v>40</v>
      </c>
      <c r="W58" s="185" t="s">
        <v>50</v>
      </c>
      <c r="X58" s="185" t="s">
        <v>38</v>
      </c>
      <c r="Y58" s="185" t="s">
        <v>39</v>
      </c>
      <c r="Z58" s="185" t="s">
        <v>30</v>
      </c>
      <c r="AA58" s="185" t="s">
        <v>38</v>
      </c>
      <c r="AB58" s="185" t="s">
        <v>31</v>
      </c>
      <c r="AC58" s="185" t="s">
        <v>40</v>
      </c>
      <c r="AD58" s="185" t="s">
        <v>33</v>
      </c>
      <c r="AE58" s="185" t="s">
        <v>46</v>
      </c>
      <c r="AF58" s="185"/>
      <c r="AG58" s="185"/>
      <c r="AH58" s="185"/>
      <c r="AI58" s="203">
        <f>AI57+AI56</f>
        <v>123</v>
      </c>
      <c r="AM58" s="17"/>
      <c r="AP58" s="1"/>
    </row>
    <row r="59" spans="2:42" ht="15">
      <c r="B59" s="187" t="s">
        <v>4</v>
      </c>
      <c r="C59" s="187" t="s">
        <v>19</v>
      </c>
      <c r="D59" s="187" t="s">
        <v>5</v>
      </c>
      <c r="E59" s="187" t="s">
        <v>12</v>
      </c>
      <c r="F59" s="187" t="s">
        <v>6</v>
      </c>
      <c r="G59" s="187" t="s">
        <v>8</v>
      </c>
      <c r="H59" s="187" t="s">
        <v>15</v>
      </c>
      <c r="I59" s="187" t="s">
        <v>4</v>
      </c>
      <c r="J59" s="187" t="s">
        <v>16</v>
      </c>
      <c r="K59" s="187" t="s">
        <v>9</v>
      </c>
      <c r="L59" s="187" t="s">
        <v>8</v>
      </c>
      <c r="M59" s="187" t="s">
        <v>10</v>
      </c>
      <c r="N59" s="187" t="s">
        <v>13</v>
      </c>
      <c r="O59" s="187" t="s">
        <v>14</v>
      </c>
      <c r="P59" s="187" t="s">
        <v>8</v>
      </c>
      <c r="Q59" s="187" t="s">
        <v>16</v>
      </c>
      <c r="R59" s="187" t="s">
        <v>5</v>
      </c>
      <c r="S59" s="187" t="s">
        <v>2</v>
      </c>
      <c r="T59" s="187" t="s">
        <v>4</v>
      </c>
      <c r="U59" s="187" t="s">
        <v>8</v>
      </c>
      <c r="V59" s="187" t="s">
        <v>2</v>
      </c>
      <c r="W59" s="187" t="s">
        <v>20</v>
      </c>
      <c r="X59" s="187" t="s">
        <v>13</v>
      </c>
      <c r="Y59" s="187" t="s">
        <v>8</v>
      </c>
      <c r="Z59" s="187" t="s">
        <v>8</v>
      </c>
      <c r="AA59" s="187" t="s">
        <v>10</v>
      </c>
      <c r="AB59" s="187" t="s">
        <v>18</v>
      </c>
      <c r="AC59" s="187" t="s">
        <v>4</v>
      </c>
      <c r="AD59" s="187" t="s">
        <v>14</v>
      </c>
      <c r="AE59" s="187" t="s">
        <v>2</v>
      </c>
      <c r="AF59" s="187" t="s">
        <v>18</v>
      </c>
      <c r="AG59" s="187" t="s">
        <v>1</v>
      </c>
      <c r="AH59" s="187"/>
      <c r="AI59" s="202">
        <f>COUNTA(B59:AH59)</f>
        <v>32</v>
      </c>
      <c r="AM59" s="17"/>
      <c r="AP59" s="1"/>
    </row>
    <row r="60" spans="2:42">
      <c r="B60" s="185" t="s">
        <v>29</v>
      </c>
      <c r="C60" s="185" t="s">
        <v>49</v>
      </c>
      <c r="D60" s="185" t="s">
        <v>30</v>
      </c>
      <c r="E60" s="185" t="s">
        <v>38</v>
      </c>
      <c r="F60" s="185" t="s">
        <v>42</v>
      </c>
      <c r="G60" s="185" t="s">
        <v>37</v>
      </c>
      <c r="H60" s="185" t="s">
        <v>40</v>
      </c>
      <c r="I60" s="185" t="s">
        <v>33</v>
      </c>
      <c r="J60" s="185" t="s">
        <v>31</v>
      </c>
      <c r="K60" s="185" t="s">
        <v>37</v>
      </c>
      <c r="L60" s="185" t="s">
        <v>30</v>
      </c>
      <c r="M60" s="185" t="s">
        <v>35</v>
      </c>
      <c r="N60" s="185" t="s">
        <v>48</v>
      </c>
      <c r="O60" s="185" t="s">
        <v>48</v>
      </c>
      <c r="P60" s="185" t="s">
        <v>30</v>
      </c>
      <c r="Q60" s="185" t="s">
        <v>49</v>
      </c>
      <c r="R60" s="185" t="s">
        <v>36</v>
      </c>
      <c r="S60" s="185" t="s">
        <v>30</v>
      </c>
      <c r="T60" s="185" t="s">
        <v>44</v>
      </c>
      <c r="U60" s="185" t="s">
        <v>31</v>
      </c>
      <c r="V60" s="185" t="s">
        <v>37</v>
      </c>
      <c r="W60" s="185" t="s">
        <v>38</v>
      </c>
      <c r="X60" s="185" t="s">
        <v>33</v>
      </c>
      <c r="Y60" s="185" t="s">
        <v>39</v>
      </c>
      <c r="Z60" s="185" t="s">
        <v>42</v>
      </c>
      <c r="AA60" s="185" t="s">
        <v>43</v>
      </c>
      <c r="AB60" s="185" t="s">
        <v>49</v>
      </c>
      <c r="AC60" s="185" t="s">
        <v>33</v>
      </c>
      <c r="AD60" s="185" t="s">
        <v>30</v>
      </c>
      <c r="AE60" s="185" t="s">
        <v>49</v>
      </c>
      <c r="AF60" s="185" t="s">
        <v>38</v>
      </c>
      <c r="AG60" s="185" t="s">
        <v>33</v>
      </c>
      <c r="AH60" s="185"/>
      <c r="AI60" s="203">
        <f>AI59+AI58</f>
        <v>155</v>
      </c>
      <c r="AM60" s="17"/>
      <c r="AP60" s="1"/>
    </row>
    <row r="61" spans="2:42" ht="15">
      <c r="B61" s="187" t="s">
        <v>8</v>
      </c>
      <c r="C61" s="187" t="s">
        <v>16</v>
      </c>
      <c r="D61" s="187" t="s">
        <v>19</v>
      </c>
      <c r="E61" s="187" t="s">
        <v>4</v>
      </c>
      <c r="F61" s="187" t="s">
        <v>7</v>
      </c>
      <c r="G61" s="187" t="s">
        <v>1</v>
      </c>
      <c r="H61" s="187" t="s">
        <v>6</v>
      </c>
      <c r="I61" s="187" t="s">
        <v>3</v>
      </c>
      <c r="J61" s="187" t="s">
        <v>14</v>
      </c>
      <c r="K61" s="187" t="s">
        <v>22</v>
      </c>
      <c r="L61" s="187" t="s">
        <v>13</v>
      </c>
      <c r="M61" s="187" t="s">
        <v>10</v>
      </c>
      <c r="N61" s="187" t="s">
        <v>8</v>
      </c>
      <c r="O61" s="187" t="s">
        <v>9</v>
      </c>
      <c r="P61" s="187" t="s">
        <v>8</v>
      </c>
      <c r="Q61" s="187" t="s">
        <v>10</v>
      </c>
      <c r="R61" s="187" t="s">
        <v>14</v>
      </c>
      <c r="S61" s="187" t="s">
        <v>4</v>
      </c>
      <c r="T61" s="187" t="s">
        <v>14</v>
      </c>
      <c r="U61" s="187" t="s">
        <v>22</v>
      </c>
      <c r="V61" s="187" t="s">
        <v>14</v>
      </c>
      <c r="W61" s="187" t="s">
        <v>4</v>
      </c>
      <c r="X61" s="187" t="s">
        <v>8</v>
      </c>
      <c r="Y61" s="187" t="s">
        <v>17</v>
      </c>
      <c r="Z61" s="187" t="s">
        <v>2</v>
      </c>
      <c r="AA61" s="187" t="s">
        <v>8</v>
      </c>
      <c r="AB61" s="187" t="s">
        <v>8</v>
      </c>
      <c r="AC61" s="187" t="s">
        <v>1</v>
      </c>
      <c r="AD61" s="187" t="s">
        <v>12</v>
      </c>
      <c r="AE61" s="187" t="s">
        <v>7</v>
      </c>
      <c r="AF61" s="187"/>
      <c r="AG61" s="187"/>
      <c r="AH61" s="187"/>
      <c r="AI61" s="202">
        <f>COUNTA(B61:AH61)</f>
        <v>30</v>
      </c>
      <c r="AM61" s="17"/>
      <c r="AP61" s="1"/>
    </row>
    <row r="62" spans="2:42">
      <c r="B62" s="185" t="s">
        <v>39</v>
      </c>
      <c r="C62" s="185" t="s">
        <v>31</v>
      </c>
      <c r="D62" s="185" t="s">
        <v>37</v>
      </c>
      <c r="E62" s="185" t="s">
        <v>30</v>
      </c>
      <c r="F62" s="185" t="s">
        <v>33</v>
      </c>
      <c r="G62" s="185" t="s">
        <v>32</v>
      </c>
      <c r="H62" s="185" t="s">
        <v>40</v>
      </c>
      <c r="I62" s="185" t="s">
        <v>39</v>
      </c>
      <c r="J62" s="185" t="s">
        <v>30</v>
      </c>
      <c r="K62" s="186" t="s">
        <v>33</v>
      </c>
      <c r="L62" s="185" t="s">
        <v>40</v>
      </c>
      <c r="M62" s="185" t="s">
        <v>33</v>
      </c>
      <c r="N62" s="185" t="s">
        <v>41</v>
      </c>
      <c r="O62" s="185" t="s">
        <v>31</v>
      </c>
      <c r="P62" s="185" t="s">
        <v>37</v>
      </c>
      <c r="Q62" s="185" t="s">
        <v>30</v>
      </c>
      <c r="R62" s="185" t="s">
        <v>37</v>
      </c>
      <c r="S62" s="185" t="s">
        <v>43</v>
      </c>
      <c r="T62" s="185" t="s">
        <v>36</v>
      </c>
      <c r="U62" s="185" t="s">
        <v>30</v>
      </c>
      <c r="V62" s="185" t="s">
        <v>38</v>
      </c>
      <c r="W62" s="185" t="s">
        <v>36</v>
      </c>
      <c r="X62" s="185" t="s">
        <v>40</v>
      </c>
      <c r="Y62" s="185" t="s">
        <v>31</v>
      </c>
      <c r="Z62" s="185" t="s">
        <v>31</v>
      </c>
      <c r="AA62" s="185" t="s">
        <v>36</v>
      </c>
      <c r="AB62" s="185" t="s">
        <v>30</v>
      </c>
      <c r="AC62" s="185" t="s">
        <v>40</v>
      </c>
      <c r="AD62" s="185" t="s">
        <v>40</v>
      </c>
      <c r="AE62" s="185" t="s">
        <v>33</v>
      </c>
      <c r="AF62" s="185"/>
      <c r="AG62" s="185"/>
      <c r="AH62" s="185"/>
      <c r="AI62" s="203">
        <f>AI61+AI60</f>
        <v>185</v>
      </c>
      <c r="AM62" s="17"/>
      <c r="AP62" s="1"/>
    </row>
    <row r="63" spans="2:42" ht="15">
      <c r="B63" s="187" t="s">
        <v>4</v>
      </c>
      <c r="C63" s="187" t="s">
        <v>8</v>
      </c>
      <c r="D63" s="187" t="s">
        <v>8</v>
      </c>
      <c r="E63" s="187" t="s">
        <v>19</v>
      </c>
      <c r="F63" s="187" t="s">
        <v>5</v>
      </c>
      <c r="G63" s="187" t="s">
        <v>14</v>
      </c>
      <c r="H63" s="187" t="s">
        <v>6</v>
      </c>
      <c r="I63" s="187" t="s">
        <v>19</v>
      </c>
      <c r="J63" s="187" t="s">
        <v>16</v>
      </c>
      <c r="K63" s="187" t="s">
        <v>5</v>
      </c>
      <c r="L63" s="187" t="s">
        <v>4</v>
      </c>
      <c r="M63" s="187" t="s">
        <v>11</v>
      </c>
      <c r="N63" s="187" t="s">
        <v>8</v>
      </c>
      <c r="O63" s="187" t="s">
        <v>4</v>
      </c>
      <c r="P63" s="187" t="s">
        <v>11</v>
      </c>
      <c r="Q63" s="187" t="s">
        <v>14</v>
      </c>
      <c r="R63" s="187" t="s">
        <v>8</v>
      </c>
      <c r="S63" s="187" t="s">
        <v>5</v>
      </c>
      <c r="T63" s="187" t="s">
        <v>4</v>
      </c>
      <c r="U63" s="187" t="s">
        <v>5</v>
      </c>
      <c r="V63" s="187" t="s">
        <v>14</v>
      </c>
      <c r="W63" s="187" t="s">
        <v>1</v>
      </c>
      <c r="X63" s="187" t="s">
        <v>22</v>
      </c>
      <c r="Y63" s="187" t="s">
        <v>14</v>
      </c>
      <c r="Z63" s="187" t="s">
        <v>8</v>
      </c>
      <c r="AA63" s="187" t="s">
        <v>8</v>
      </c>
      <c r="AB63" s="187" t="s">
        <v>1</v>
      </c>
      <c r="AC63" s="187" t="s">
        <v>4</v>
      </c>
      <c r="AD63" s="187" t="s">
        <v>10</v>
      </c>
      <c r="AE63" s="187" t="s">
        <v>1</v>
      </c>
      <c r="AF63" s="187" t="s">
        <v>4</v>
      </c>
      <c r="AG63" s="187" t="s">
        <v>16</v>
      </c>
      <c r="AH63" s="187"/>
      <c r="AI63" s="202">
        <f>COUNTA(B63:AH63)</f>
        <v>32</v>
      </c>
      <c r="AM63" s="17"/>
      <c r="AP63" s="1"/>
    </row>
    <row r="64" spans="2:42">
      <c r="B64" s="185" t="s">
        <v>34</v>
      </c>
      <c r="C64" s="185" t="s">
        <v>30</v>
      </c>
      <c r="D64" s="185" t="s">
        <v>49</v>
      </c>
      <c r="E64" s="185" t="s">
        <v>31</v>
      </c>
      <c r="F64" s="185" t="s">
        <v>30</v>
      </c>
      <c r="G64" s="185" t="s">
        <v>39</v>
      </c>
      <c r="H64" s="185" t="s">
        <v>31</v>
      </c>
      <c r="I64" s="185" t="s">
        <v>37</v>
      </c>
      <c r="J64" s="185" t="s">
        <v>30</v>
      </c>
      <c r="K64" s="185" t="s">
        <v>42</v>
      </c>
      <c r="L64" s="185" t="s">
        <v>38</v>
      </c>
      <c r="M64" s="185" t="s">
        <v>33</v>
      </c>
      <c r="N64" s="185" t="s">
        <v>39</v>
      </c>
      <c r="O64" s="185" t="s">
        <v>36</v>
      </c>
      <c r="P64" s="185" t="s">
        <v>30</v>
      </c>
      <c r="Q64" s="185" t="s">
        <v>38</v>
      </c>
      <c r="R64" s="185" t="s">
        <v>33</v>
      </c>
      <c r="S64" s="185" t="s">
        <v>39</v>
      </c>
      <c r="T64" s="185" t="s">
        <v>48</v>
      </c>
      <c r="U64" s="185" t="s">
        <v>30</v>
      </c>
      <c r="V64" s="185" t="s">
        <v>30</v>
      </c>
      <c r="W64" s="185" t="s">
        <v>49</v>
      </c>
      <c r="X64" s="185" t="s">
        <v>30</v>
      </c>
      <c r="Y64" s="185" t="s">
        <v>39</v>
      </c>
      <c r="Z64" s="185" t="s">
        <v>40</v>
      </c>
      <c r="AA64" s="185" t="s">
        <v>33</v>
      </c>
      <c r="AB64" s="185" t="s">
        <v>31</v>
      </c>
      <c r="AC64" s="185" t="s">
        <v>37</v>
      </c>
      <c r="AD64" s="185" t="s">
        <v>30</v>
      </c>
      <c r="AE64" s="185" t="s">
        <v>37</v>
      </c>
      <c r="AF64" s="185" t="s">
        <v>43</v>
      </c>
      <c r="AG64" s="185" t="s">
        <v>31</v>
      </c>
      <c r="AH64" s="185"/>
      <c r="AI64" s="203">
        <f>AI63+AI62</f>
        <v>217</v>
      </c>
      <c r="AM64" s="17"/>
      <c r="AP64" s="1"/>
    </row>
    <row r="65" spans="2:42" ht="15">
      <c r="B65" s="187" t="s">
        <v>7</v>
      </c>
      <c r="C65" s="187" t="s">
        <v>6</v>
      </c>
      <c r="D65" s="187" t="s">
        <v>8</v>
      </c>
      <c r="E65" s="187" t="s">
        <v>15</v>
      </c>
      <c r="F65" s="187" t="s">
        <v>15</v>
      </c>
      <c r="G65" s="187" t="s">
        <v>10</v>
      </c>
      <c r="H65" s="187" t="s">
        <v>16</v>
      </c>
      <c r="I65" s="187" t="s">
        <v>14</v>
      </c>
      <c r="J65" s="187" t="s">
        <v>14</v>
      </c>
      <c r="K65" s="187" t="s">
        <v>13</v>
      </c>
      <c r="L65" s="187" t="s">
        <v>4</v>
      </c>
      <c r="M65" s="187" t="s">
        <v>4</v>
      </c>
      <c r="N65" s="187" t="s">
        <v>22</v>
      </c>
      <c r="O65" s="187" t="s">
        <v>6</v>
      </c>
      <c r="P65" s="187" t="s">
        <v>4</v>
      </c>
      <c r="Q65" s="187" t="s">
        <v>8</v>
      </c>
      <c r="R65" s="187" t="s">
        <v>9</v>
      </c>
      <c r="S65" s="187" t="s">
        <v>3</v>
      </c>
      <c r="T65" s="187" t="s">
        <v>16</v>
      </c>
      <c r="U65" s="187" t="s">
        <v>8</v>
      </c>
      <c r="V65" s="187" t="s">
        <v>1</v>
      </c>
      <c r="W65" s="187" t="s">
        <v>5</v>
      </c>
      <c r="X65" s="187" t="s">
        <v>14</v>
      </c>
      <c r="Y65" s="187" t="s">
        <v>17</v>
      </c>
      <c r="Z65" s="187" t="s">
        <v>1</v>
      </c>
      <c r="AA65" s="187" t="s">
        <v>16</v>
      </c>
      <c r="AB65" s="187" t="s">
        <v>8</v>
      </c>
      <c r="AC65" s="187" t="s">
        <v>9</v>
      </c>
      <c r="AD65" s="187" t="s">
        <v>19</v>
      </c>
      <c r="AE65" s="187" t="s">
        <v>8</v>
      </c>
      <c r="AF65" s="187" t="s">
        <v>7</v>
      </c>
      <c r="AG65" s="187"/>
      <c r="AH65" s="187"/>
      <c r="AI65" s="202">
        <f>COUNTA(B65:AH65)</f>
        <v>31</v>
      </c>
      <c r="AM65" s="17"/>
      <c r="AP65" s="1"/>
    </row>
    <row r="66" spans="2:42">
      <c r="B66" s="185" t="s">
        <v>38</v>
      </c>
      <c r="C66" s="185" t="s">
        <v>40</v>
      </c>
      <c r="D66" s="185" t="s">
        <v>49</v>
      </c>
      <c r="E66" s="185" t="s">
        <v>30</v>
      </c>
      <c r="F66" s="185" t="s">
        <v>34</v>
      </c>
      <c r="G66" s="185" t="s">
        <v>42</v>
      </c>
      <c r="H66" s="199" t="s">
        <v>38</v>
      </c>
      <c r="I66" s="185" t="s">
        <v>48</v>
      </c>
      <c r="J66" s="185" t="s">
        <v>40</v>
      </c>
      <c r="K66" s="185" t="s">
        <v>33</v>
      </c>
      <c r="L66" s="185" t="s">
        <v>41</v>
      </c>
      <c r="M66" s="185" t="s">
        <v>44</v>
      </c>
      <c r="N66" s="185" t="s">
        <v>49</v>
      </c>
      <c r="O66" s="185" t="s">
        <v>43</v>
      </c>
      <c r="P66" s="185" t="s">
        <v>50</v>
      </c>
      <c r="Q66" s="185" t="s">
        <v>31</v>
      </c>
      <c r="R66" s="185" t="s">
        <v>37</v>
      </c>
      <c r="S66" s="185" t="s">
        <v>30</v>
      </c>
      <c r="T66" s="185" t="s">
        <v>42</v>
      </c>
      <c r="U66" s="185" t="s">
        <v>37</v>
      </c>
      <c r="V66" s="185" t="s">
        <v>38</v>
      </c>
      <c r="W66" s="185" t="s">
        <v>50</v>
      </c>
      <c r="X66" s="185" t="s">
        <v>29</v>
      </c>
      <c r="Y66" s="185" t="s">
        <v>30</v>
      </c>
      <c r="Z66" s="185" t="s">
        <v>49</v>
      </c>
      <c r="AA66" s="185" t="s">
        <v>42</v>
      </c>
      <c r="AB66" s="185" t="s">
        <v>38</v>
      </c>
      <c r="AC66" s="185" t="s">
        <v>35</v>
      </c>
      <c r="AD66" s="185" t="s">
        <v>34</v>
      </c>
      <c r="AE66" s="185" t="s">
        <v>30</v>
      </c>
      <c r="AF66" s="185" t="s">
        <v>39</v>
      </c>
      <c r="AG66" s="185"/>
      <c r="AH66" s="185"/>
      <c r="AI66" s="203">
        <f>AI65+AI64</f>
        <v>248</v>
      </c>
      <c r="AM66" s="17"/>
      <c r="AP66" s="1"/>
    </row>
    <row r="67" spans="2:42" ht="15">
      <c r="B67" s="187" t="s">
        <v>14</v>
      </c>
      <c r="C67" s="187" t="s">
        <v>8</v>
      </c>
      <c r="D67" s="187" t="s">
        <v>18</v>
      </c>
      <c r="E67" s="187" t="s">
        <v>4</v>
      </c>
      <c r="F67" s="187" t="s">
        <v>15</v>
      </c>
      <c r="G67" s="187" t="s">
        <v>15</v>
      </c>
      <c r="H67" s="187" t="s">
        <v>13</v>
      </c>
      <c r="I67" s="187" t="s">
        <v>16</v>
      </c>
      <c r="J67" s="187" t="s">
        <v>12</v>
      </c>
      <c r="K67" s="187" t="s">
        <v>18</v>
      </c>
      <c r="L67" s="187" t="s">
        <v>8</v>
      </c>
      <c r="M67" s="187" t="s">
        <v>16</v>
      </c>
      <c r="N67" s="187" t="s">
        <v>13</v>
      </c>
      <c r="O67" s="187" t="s">
        <v>6</v>
      </c>
      <c r="P67" s="187" t="s">
        <v>16</v>
      </c>
      <c r="Q67" s="187" t="s">
        <v>4</v>
      </c>
      <c r="R67" s="187" t="s">
        <v>8</v>
      </c>
      <c r="S67" s="187" t="s">
        <v>17</v>
      </c>
      <c r="T67" s="187" t="s">
        <v>5</v>
      </c>
      <c r="U67" s="187" t="s">
        <v>8</v>
      </c>
      <c r="V67" s="187" t="s">
        <v>14</v>
      </c>
      <c r="W67" s="187" t="s">
        <v>5</v>
      </c>
      <c r="X67" s="187" t="s">
        <v>6</v>
      </c>
      <c r="Y67" s="187" t="s">
        <v>15</v>
      </c>
      <c r="Z67" s="187" t="s">
        <v>15</v>
      </c>
      <c r="AA67" s="187" t="s">
        <v>1</v>
      </c>
      <c r="AB67" s="187" t="s">
        <v>2</v>
      </c>
      <c r="AC67" s="187" t="s">
        <v>15</v>
      </c>
      <c r="AD67" s="187" t="s">
        <v>12</v>
      </c>
      <c r="AE67" s="187" t="s">
        <v>5</v>
      </c>
      <c r="AF67" s="187" t="s">
        <v>1</v>
      </c>
      <c r="AG67" s="187" t="s">
        <v>16</v>
      </c>
      <c r="AH67" s="187" t="s">
        <v>4</v>
      </c>
      <c r="AI67" s="202">
        <f>COUNTA(B67:AH67)</f>
        <v>33</v>
      </c>
      <c r="AM67" s="17"/>
      <c r="AP67" s="1"/>
    </row>
    <row r="68" spans="2:42">
      <c r="B68" s="185" t="s">
        <v>31</v>
      </c>
      <c r="C68" s="185" t="s">
        <v>37</v>
      </c>
      <c r="D68" s="186" t="s">
        <v>30</v>
      </c>
      <c r="E68" s="185" t="s">
        <v>44</v>
      </c>
      <c r="F68" s="185" t="s">
        <v>36</v>
      </c>
      <c r="G68" s="185" t="s">
        <v>38</v>
      </c>
      <c r="H68" s="185" t="s">
        <v>50</v>
      </c>
      <c r="I68" s="185" t="s">
        <v>30</v>
      </c>
      <c r="J68" s="185" t="s">
        <v>31</v>
      </c>
      <c r="K68" s="185" t="s">
        <v>43</v>
      </c>
      <c r="L68" s="185" t="s">
        <v>44</v>
      </c>
      <c r="M68" s="185" t="s">
        <v>36</v>
      </c>
      <c r="N68" s="185" t="s">
        <v>40</v>
      </c>
      <c r="O68" s="185" t="s">
        <v>42</v>
      </c>
      <c r="P68" s="185" t="s">
        <v>52</v>
      </c>
      <c r="Q68" s="185" t="s">
        <v>30</v>
      </c>
      <c r="R68" s="185" t="s">
        <v>49</v>
      </c>
      <c r="S68" s="185" t="s">
        <v>29</v>
      </c>
      <c r="T68" s="185" t="s">
        <v>35</v>
      </c>
      <c r="U68" s="185" t="s">
        <v>31</v>
      </c>
      <c r="V68" s="185" t="s">
        <v>48</v>
      </c>
      <c r="W68" s="185" t="s">
        <v>49</v>
      </c>
      <c r="X68" s="185" t="s">
        <v>30</v>
      </c>
      <c r="Y68" s="185" t="s">
        <v>34</v>
      </c>
      <c r="Z68" s="185" t="s">
        <v>30</v>
      </c>
      <c r="AA68" s="185" t="s">
        <v>33</v>
      </c>
      <c r="AB68" s="185" t="s">
        <v>31</v>
      </c>
      <c r="AC68" s="185" t="s">
        <v>36</v>
      </c>
      <c r="AD68" s="185" t="s">
        <v>46</v>
      </c>
      <c r="AE68" s="185" t="s">
        <v>39</v>
      </c>
      <c r="AF68" s="185" t="s">
        <v>30</v>
      </c>
      <c r="AG68" s="185" t="s">
        <v>31</v>
      </c>
      <c r="AH68" s="185" t="s">
        <v>38</v>
      </c>
      <c r="AI68" s="203">
        <f>AI67+AI66</f>
        <v>281</v>
      </c>
      <c r="AM68" s="17"/>
      <c r="AP68" s="1"/>
    </row>
    <row r="69" spans="2:42" ht="15">
      <c r="B69" s="187" t="s">
        <v>1</v>
      </c>
      <c r="C69" s="187" t="s">
        <v>0</v>
      </c>
      <c r="D69" s="187" t="s">
        <v>12</v>
      </c>
      <c r="E69" s="187" t="s">
        <v>22</v>
      </c>
      <c r="F69" s="187" t="s">
        <v>12</v>
      </c>
      <c r="G69" s="187" t="s">
        <v>8</v>
      </c>
      <c r="H69" s="187" t="s">
        <v>13</v>
      </c>
      <c r="I69" s="187" t="s">
        <v>14</v>
      </c>
      <c r="J69" s="187" t="s">
        <v>17</v>
      </c>
      <c r="K69" s="187" t="s">
        <v>4</v>
      </c>
      <c r="L69" s="187" t="s">
        <v>15</v>
      </c>
      <c r="M69" s="187" t="s">
        <v>13</v>
      </c>
      <c r="N69" s="187" t="s">
        <v>14</v>
      </c>
      <c r="O69" s="187" t="s">
        <v>1</v>
      </c>
      <c r="P69" s="187" t="s">
        <v>15</v>
      </c>
      <c r="Q69" s="187" t="s">
        <v>3</v>
      </c>
      <c r="R69" s="187" t="s">
        <v>10</v>
      </c>
      <c r="S69" s="187" t="s">
        <v>8</v>
      </c>
      <c r="T69" s="187" t="s">
        <v>5</v>
      </c>
      <c r="U69" s="187" t="s">
        <v>13</v>
      </c>
      <c r="V69" s="187" t="s">
        <v>22</v>
      </c>
      <c r="W69" s="187" t="s">
        <v>17</v>
      </c>
      <c r="X69" s="187" t="s">
        <v>19</v>
      </c>
      <c r="Y69" s="187" t="s">
        <v>22</v>
      </c>
      <c r="Z69" s="187" t="s">
        <v>19</v>
      </c>
      <c r="AA69" s="187" t="s">
        <v>8</v>
      </c>
      <c r="AB69" s="187" t="s">
        <v>11</v>
      </c>
      <c r="AC69" s="187" t="s">
        <v>13</v>
      </c>
      <c r="AD69" s="187" t="s">
        <v>8</v>
      </c>
      <c r="AE69" s="187"/>
      <c r="AF69" s="187"/>
      <c r="AG69" s="187"/>
      <c r="AH69" s="187"/>
      <c r="AI69" s="202">
        <f>COUNTA(B69:AH69)</f>
        <v>29</v>
      </c>
      <c r="AM69" s="17"/>
      <c r="AP69" s="1"/>
    </row>
    <row r="70" spans="2:42" ht="15" thickBot="1">
      <c r="B70" s="188" t="s">
        <v>40</v>
      </c>
      <c r="C70" s="188" t="s">
        <v>36</v>
      </c>
      <c r="D70" s="185" t="s">
        <v>34</v>
      </c>
      <c r="E70" s="188" t="s">
        <v>43</v>
      </c>
      <c r="F70" s="188" t="s">
        <v>44</v>
      </c>
      <c r="G70" s="188" t="s">
        <v>31</v>
      </c>
      <c r="H70" s="188" t="s">
        <v>37</v>
      </c>
      <c r="I70" s="188" t="s">
        <v>30</v>
      </c>
      <c r="J70" s="188" t="s">
        <v>49</v>
      </c>
      <c r="K70" s="188" t="s">
        <v>43</v>
      </c>
      <c r="L70" s="188" t="s">
        <v>43</v>
      </c>
      <c r="M70" s="188" t="s">
        <v>50</v>
      </c>
      <c r="N70" s="188" t="s">
        <v>32</v>
      </c>
      <c r="O70" s="188" t="s">
        <v>40</v>
      </c>
      <c r="P70" s="188" t="s">
        <v>31</v>
      </c>
      <c r="Q70" s="188" t="s">
        <v>37</v>
      </c>
      <c r="R70" s="188" t="s">
        <v>40</v>
      </c>
      <c r="S70" s="188" t="s">
        <v>33</v>
      </c>
      <c r="T70" s="188" t="s">
        <v>30</v>
      </c>
      <c r="U70" s="188" t="s">
        <v>50</v>
      </c>
      <c r="V70" s="188" t="s">
        <v>30</v>
      </c>
      <c r="W70" s="188" t="s">
        <v>49</v>
      </c>
      <c r="X70" s="188" t="s">
        <v>41</v>
      </c>
      <c r="Y70" s="188" t="s">
        <v>30</v>
      </c>
      <c r="Z70" s="188" t="s">
        <v>39</v>
      </c>
      <c r="AA70" s="188" t="s">
        <v>44</v>
      </c>
      <c r="AB70" s="189" t="s">
        <v>49</v>
      </c>
      <c r="AC70" s="189" t="s">
        <v>43</v>
      </c>
      <c r="AD70" s="189" t="s">
        <v>50</v>
      </c>
      <c r="AE70" s="189"/>
      <c r="AF70" s="189"/>
      <c r="AG70" s="189"/>
      <c r="AH70" s="189"/>
      <c r="AI70" s="203">
        <f>AI69+AI68</f>
        <v>310</v>
      </c>
      <c r="AM70" s="17"/>
      <c r="AP70" s="1"/>
    </row>
    <row r="71" spans="2:42" ht="15">
      <c r="B71" s="190" t="s">
        <v>8</v>
      </c>
      <c r="C71" s="190" t="s">
        <v>18</v>
      </c>
      <c r="D71" s="190" t="s">
        <v>15</v>
      </c>
      <c r="E71" s="190" t="s">
        <v>22</v>
      </c>
      <c r="F71" s="190" t="s">
        <v>1</v>
      </c>
      <c r="G71" s="190" t="s">
        <v>16</v>
      </c>
      <c r="H71" s="190" t="s">
        <v>3</v>
      </c>
      <c r="I71" s="190" t="s">
        <v>19</v>
      </c>
      <c r="J71" s="190" t="s">
        <v>8</v>
      </c>
      <c r="K71" s="190" t="s">
        <v>16</v>
      </c>
      <c r="L71" s="190" t="s">
        <v>22</v>
      </c>
      <c r="M71" s="190" t="s">
        <v>8</v>
      </c>
      <c r="N71" s="190" t="s">
        <v>13</v>
      </c>
      <c r="O71" s="190" t="s">
        <v>10</v>
      </c>
      <c r="P71" s="190" t="s">
        <v>12</v>
      </c>
      <c r="Q71" s="190" t="s">
        <v>6</v>
      </c>
      <c r="R71" s="190" t="s">
        <v>6</v>
      </c>
      <c r="S71" s="190" t="s">
        <v>4</v>
      </c>
      <c r="T71" s="190" t="s">
        <v>4</v>
      </c>
      <c r="U71" s="190" t="s">
        <v>1</v>
      </c>
      <c r="V71" s="190" t="s">
        <v>4</v>
      </c>
      <c r="W71" s="190" t="s">
        <v>21</v>
      </c>
      <c r="X71" s="190" t="s">
        <v>15</v>
      </c>
      <c r="Y71" s="190" t="s">
        <v>5</v>
      </c>
      <c r="Z71" s="190" t="s">
        <v>13</v>
      </c>
      <c r="AA71" s="190" t="s">
        <v>9</v>
      </c>
      <c r="AB71" s="149" t="s">
        <v>55</v>
      </c>
      <c r="AC71" s="191" t="s">
        <v>5</v>
      </c>
      <c r="AD71" s="191" t="s">
        <v>7</v>
      </c>
      <c r="AE71" s="191" t="s">
        <v>0</v>
      </c>
      <c r="AF71" s="191" t="s">
        <v>1</v>
      </c>
      <c r="AG71" s="192"/>
      <c r="AH71" s="192"/>
      <c r="AI71" s="202">
        <f>COUNTA(B71:AB71)</f>
        <v>27</v>
      </c>
      <c r="AJ71" s="204">
        <f>COUNTA(AC71:AH71)</f>
        <v>4</v>
      </c>
      <c r="AM71" s="17"/>
      <c r="AP71" s="1"/>
    </row>
    <row r="72" spans="2:42" ht="15" thickBot="1">
      <c r="B72" s="189" t="s">
        <v>31</v>
      </c>
      <c r="C72" s="189" t="s">
        <v>37</v>
      </c>
      <c r="D72" s="189" t="s">
        <v>30</v>
      </c>
      <c r="E72" s="189" t="s">
        <v>50</v>
      </c>
      <c r="F72" s="189" t="s">
        <v>40</v>
      </c>
      <c r="G72" s="189" t="s">
        <v>34</v>
      </c>
      <c r="H72" s="189" t="s">
        <v>31</v>
      </c>
      <c r="I72" s="189" t="s">
        <v>51</v>
      </c>
      <c r="J72" s="189" t="s">
        <v>42</v>
      </c>
      <c r="K72" s="189" t="s">
        <v>38</v>
      </c>
      <c r="L72" s="189" t="s">
        <v>33</v>
      </c>
      <c r="M72" s="189" t="s">
        <v>46</v>
      </c>
      <c r="N72" s="189" t="s">
        <v>43</v>
      </c>
      <c r="O72" s="189" t="s">
        <v>35</v>
      </c>
      <c r="P72" s="189" t="s">
        <v>34</v>
      </c>
      <c r="Q72" s="189" t="s">
        <v>30</v>
      </c>
      <c r="R72" s="189" t="s">
        <v>30</v>
      </c>
      <c r="S72" s="189" t="s">
        <v>38</v>
      </c>
      <c r="T72" s="189" t="s">
        <v>33</v>
      </c>
      <c r="U72" s="200" t="s">
        <v>46</v>
      </c>
      <c r="V72" s="189" t="s">
        <v>31</v>
      </c>
      <c r="W72" s="189" t="s">
        <v>37</v>
      </c>
      <c r="X72" s="189" t="s">
        <v>40</v>
      </c>
      <c r="Y72" s="189" t="s">
        <v>33</v>
      </c>
      <c r="Z72" s="189" t="s">
        <v>41</v>
      </c>
      <c r="AA72" s="189" t="s">
        <v>45</v>
      </c>
      <c r="AB72" s="150" t="s">
        <v>55</v>
      </c>
      <c r="AC72" s="193"/>
      <c r="AD72" s="193"/>
      <c r="AE72" s="193"/>
      <c r="AF72" s="193"/>
      <c r="AG72" s="194"/>
      <c r="AH72" s="194"/>
      <c r="AI72" s="203">
        <f>AI71+AI70</f>
        <v>337</v>
      </c>
      <c r="AJ72" s="205">
        <f>AJ71+AJ70</f>
        <v>4</v>
      </c>
      <c r="AM72" s="17"/>
      <c r="AP72" s="1"/>
    </row>
    <row r="73" spans="2:42" ht="15">
      <c r="B73" s="191" t="s">
        <v>11</v>
      </c>
      <c r="C73" s="191" t="s">
        <v>5</v>
      </c>
      <c r="D73" s="191" t="s">
        <v>23</v>
      </c>
      <c r="E73" s="191" t="s">
        <v>5</v>
      </c>
      <c r="F73" s="191" t="s">
        <v>17</v>
      </c>
      <c r="G73" s="191" t="s">
        <v>13</v>
      </c>
      <c r="H73" s="191" t="s">
        <v>11</v>
      </c>
      <c r="I73" s="191" t="s">
        <v>12</v>
      </c>
      <c r="J73" s="191" t="s">
        <v>7</v>
      </c>
      <c r="K73" s="191" t="s">
        <v>6</v>
      </c>
      <c r="L73" s="191" t="s">
        <v>5</v>
      </c>
      <c r="M73" s="191" t="s">
        <v>12</v>
      </c>
      <c r="N73" s="191" t="s">
        <v>16</v>
      </c>
      <c r="O73" s="191" t="s">
        <v>19</v>
      </c>
      <c r="P73" s="191" t="s">
        <v>7</v>
      </c>
      <c r="Q73" s="191" t="s">
        <v>7</v>
      </c>
      <c r="R73" s="191" t="s">
        <v>9</v>
      </c>
      <c r="S73" s="191" t="s">
        <v>19</v>
      </c>
      <c r="T73" s="191" t="s">
        <v>12</v>
      </c>
      <c r="U73" s="191" t="s">
        <v>1</v>
      </c>
      <c r="V73" s="191" t="s">
        <v>21</v>
      </c>
      <c r="W73" s="191" t="s">
        <v>20</v>
      </c>
      <c r="X73" s="191" t="s">
        <v>20</v>
      </c>
      <c r="Y73" s="191" t="s">
        <v>3</v>
      </c>
      <c r="Z73" s="191" t="s">
        <v>1</v>
      </c>
      <c r="AA73" s="191" t="s">
        <v>10</v>
      </c>
      <c r="AB73" s="191" t="s">
        <v>17</v>
      </c>
      <c r="AC73" s="195" t="s">
        <v>0</v>
      </c>
      <c r="AD73" s="195" t="s">
        <v>6</v>
      </c>
      <c r="AE73" s="195" t="s">
        <v>6</v>
      </c>
      <c r="AF73" s="195" t="s">
        <v>5</v>
      </c>
      <c r="AG73" s="196"/>
      <c r="AH73" s="196"/>
      <c r="AI73" s="9"/>
      <c r="AJ73" s="204">
        <f>COUNTA(B73:AH73)</f>
        <v>31</v>
      </c>
      <c r="AM73" s="17"/>
      <c r="AP73" s="1"/>
    </row>
    <row r="74" spans="2:42">
      <c r="B74" s="193"/>
      <c r="C74" s="193"/>
      <c r="D74" s="193"/>
      <c r="E74" s="193"/>
      <c r="F74" s="193"/>
      <c r="G74" s="193"/>
      <c r="H74" s="193"/>
      <c r="I74" s="193"/>
      <c r="J74" s="193"/>
      <c r="K74" s="193"/>
      <c r="L74" s="193"/>
      <c r="M74" s="193"/>
      <c r="N74" s="193"/>
      <c r="O74" s="193"/>
      <c r="P74" s="193"/>
      <c r="Q74" s="193"/>
      <c r="R74" s="193"/>
      <c r="S74" s="193"/>
      <c r="T74" s="193"/>
      <c r="U74" s="193"/>
      <c r="V74" s="193"/>
      <c r="W74" s="193"/>
      <c r="X74" s="193"/>
      <c r="Y74" s="193"/>
      <c r="Z74" s="193"/>
      <c r="AA74" s="193"/>
      <c r="AB74" s="193"/>
      <c r="AC74" s="193"/>
      <c r="AD74" s="193"/>
      <c r="AE74" s="193"/>
      <c r="AF74" s="193"/>
      <c r="AG74" s="194"/>
      <c r="AH74" s="194"/>
      <c r="AI74" s="9"/>
      <c r="AJ74" s="205">
        <f>AJ73+AJ72</f>
        <v>35</v>
      </c>
      <c r="AM74" s="17"/>
      <c r="AP74" s="1"/>
    </row>
    <row r="75" spans="2:42" ht="15">
      <c r="B75" s="195" t="s">
        <v>4</v>
      </c>
      <c r="C75" s="195" t="s">
        <v>9</v>
      </c>
      <c r="D75" s="195" t="s">
        <v>4</v>
      </c>
      <c r="E75" s="195" t="s">
        <v>20</v>
      </c>
      <c r="F75" s="195" t="s">
        <v>6</v>
      </c>
      <c r="G75" s="195" t="s">
        <v>54</v>
      </c>
      <c r="H75" s="195" t="s">
        <v>20</v>
      </c>
      <c r="I75" s="195" t="s">
        <v>6</v>
      </c>
      <c r="J75" s="195" t="s">
        <v>6</v>
      </c>
      <c r="K75" s="195" t="s">
        <v>8</v>
      </c>
      <c r="L75" s="195" t="s">
        <v>0</v>
      </c>
      <c r="M75" s="195" t="s">
        <v>53</v>
      </c>
      <c r="N75" s="195" t="s">
        <v>53</v>
      </c>
      <c r="O75" s="195" t="s">
        <v>9</v>
      </c>
      <c r="P75" s="195" t="s">
        <v>14</v>
      </c>
      <c r="Q75" s="195" t="s">
        <v>4</v>
      </c>
      <c r="R75" s="195" t="s">
        <v>54</v>
      </c>
      <c r="S75" s="195" t="s">
        <v>0</v>
      </c>
      <c r="T75" s="195" t="s">
        <v>12</v>
      </c>
      <c r="U75" s="195" t="s">
        <v>11</v>
      </c>
      <c r="V75" s="195" t="s">
        <v>15</v>
      </c>
      <c r="W75" s="195" t="s">
        <v>16</v>
      </c>
      <c r="X75" s="195" t="s">
        <v>14</v>
      </c>
      <c r="Y75" s="195" t="s">
        <v>9</v>
      </c>
      <c r="Z75" s="195" t="s">
        <v>16</v>
      </c>
      <c r="AA75" s="195" t="s">
        <v>10</v>
      </c>
      <c r="AB75" s="195" t="s">
        <v>19</v>
      </c>
      <c r="AC75" s="195" t="s">
        <v>7</v>
      </c>
      <c r="AD75" s="195" t="s">
        <v>10</v>
      </c>
      <c r="AE75" s="195" t="s">
        <v>2</v>
      </c>
      <c r="AF75" s="195" t="s">
        <v>3</v>
      </c>
      <c r="AG75" s="196"/>
      <c r="AH75" s="196"/>
      <c r="AI75" s="9"/>
      <c r="AJ75" s="204">
        <f>COUNTA(B75:AH75)</f>
        <v>31</v>
      </c>
    </row>
    <row r="76" spans="2:42">
      <c r="B76" s="193"/>
      <c r="C76" s="193"/>
      <c r="D76" s="193"/>
      <c r="E76" s="193"/>
      <c r="F76" s="193"/>
      <c r="G76" s="193"/>
      <c r="H76" s="193"/>
      <c r="I76" s="193"/>
      <c r="J76" s="193"/>
      <c r="K76" s="193"/>
      <c r="L76" s="193"/>
      <c r="M76" s="193"/>
      <c r="N76" s="193"/>
      <c r="O76" s="193"/>
      <c r="P76" s="193"/>
      <c r="Q76" s="193"/>
      <c r="R76" s="193"/>
      <c r="S76" s="193"/>
      <c r="T76" s="193"/>
      <c r="U76" s="193"/>
      <c r="V76" s="193"/>
      <c r="W76" s="193"/>
      <c r="X76" s="193"/>
      <c r="Y76" s="193"/>
      <c r="Z76" s="193"/>
      <c r="AA76" s="193"/>
      <c r="AB76" s="193"/>
      <c r="AC76" s="193"/>
      <c r="AD76" s="193"/>
      <c r="AE76" s="193"/>
      <c r="AF76" s="193"/>
      <c r="AG76" s="194"/>
      <c r="AH76" s="194"/>
      <c r="AI76" s="9"/>
      <c r="AJ76" s="205">
        <f>AJ75+AJ74</f>
        <v>66</v>
      </c>
    </row>
    <row r="77" spans="2:42" ht="15">
      <c r="B77" s="195" t="s">
        <v>21</v>
      </c>
      <c r="C77" s="195" t="s">
        <v>4</v>
      </c>
      <c r="D77" s="195" t="s">
        <v>4</v>
      </c>
      <c r="E77" s="195" t="s">
        <v>22</v>
      </c>
      <c r="F77" s="195" t="s">
        <v>53</v>
      </c>
      <c r="G77" s="195" t="s">
        <v>19</v>
      </c>
      <c r="H77" s="195" t="s">
        <v>3</v>
      </c>
      <c r="I77" s="195" t="s">
        <v>0</v>
      </c>
      <c r="J77" s="195" t="s">
        <v>9</v>
      </c>
      <c r="K77" s="195" t="s">
        <v>17</v>
      </c>
      <c r="L77" s="195" t="s">
        <v>15</v>
      </c>
      <c r="M77" s="195" t="s">
        <v>0</v>
      </c>
      <c r="N77" s="195" t="s">
        <v>53</v>
      </c>
      <c r="O77" s="195" t="s">
        <v>23</v>
      </c>
      <c r="P77" s="195" t="s">
        <v>4</v>
      </c>
      <c r="Q77" s="195" t="s">
        <v>54</v>
      </c>
      <c r="R77" s="195" t="s">
        <v>18</v>
      </c>
      <c r="S77" s="195" t="s">
        <v>15</v>
      </c>
      <c r="T77" s="195" t="s">
        <v>16</v>
      </c>
      <c r="U77" s="195" t="s">
        <v>17</v>
      </c>
      <c r="V77" s="195" t="s">
        <v>0</v>
      </c>
      <c r="W77" s="195" t="s">
        <v>11</v>
      </c>
      <c r="X77" s="195" t="s">
        <v>13</v>
      </c>
      <c r="Y77" s="195" t="s">
        <v>11</v>
      </c>
      <c r="Z77" s="195" t="s">
        <v>14</v>
      </c>
      <c r="AA77" s="195" t="s">
        <v>11</v>
      </c>
      <c r="AB77" s="195" t="s">
        <v>8</v>
      </c>
      <c r="AC77" s="195" t="s">
        <v>0</v>
      </c>
      <c r="AD77" s="195" t="s">
        <v>18</v>
      </c>
      <c r="AE77" s="195" t="s">
        <v>14</v>
      </c>
      <c r="AF77" s="195" t="s">
        <v>1</v>
      </c>
      <c r="AG77" s="196"/>
      <c r="AH77" s="196"/>
      <c r="AI77" s="9"/>
      <c r="AJ77" s="204">
        <f>COUNTA(B77:AH77)</f>
        <v>31</v>
      </c>
    </row>
    <row r="78" spans="2:42" ht="15" thickBot="1">
      <c r="B78" s="197"/>
      <c r="C78" s="197"/>
      <c r="D78" s="197"/>
      <c r="E78" s="197"/>
      <c r="F78" s="197"/>
      <c r="G78" s="197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197"/>
      <c r="Y78" s="197"/>
      <c r="Z78" s="197"/>
      <c r="AA78" s="197"/>
      <c r="AB78" s="197"/>
      <c r="AC78" s="197"/>
      <c r="AD78" s="197"/>
      <c r="AE78" s="197"/>
      <c r="AF78" s="197"/>
      <c r="AG78" s="197"/>
      <c r="AH78" s="197"/>
      <c r="AI78" s="9"/>
      <c r="AJ78" s="205">
        <f>AJ77+AJ76</f>
        <v>97</v>
      </c>
    </row>
  </sheetData>
  <pageMargins left="0.25" right="0.25" top="0.75" bottom="0.75" header="0.3" footer="0.3"/>
  <pageSetup orientation="landscape" r:id="rId1"/>
  <ignoredErrors>
    <ignoredError sqref="AI6 AI8:AI9 AI12:AI18 AI20:AI22 AI24:AI26 AI28:AI3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S64"/>
  <sheetViews>
    <sheetView showGridLines="0" workbookViewId="0"/>
  </sheetViews>
  <sheetFormatPr defaultColWidth="10.7109375" defaultRowHeight="15.75" customHeight="1"/>
  <cols>
    <col min="1" max="5" width="10.7109375" style="152"/>
    <col min="6" max="6" width="12.7109375" style="152" customWidth="1"/>
    <col min="7" max="8" width="4.7109375" style="152" customWidth="1"/>
    <col min="9" max="9" width="5.7109375" style="152" customWidth="1"/>
    <col min="10" max="11" width="6.28515625" style="152" customWidth="1"/>
    <col min="12" max="24" width="5.5703125" style="152" customWidth="1"/>
    <col min="25" max="25" width="6.28515625" style="152" customWidth="1"/>
    <col min="26" max="26" width="10.7109375" style="152" customWidth="1"/>
    <col min="27" max="27" width="6.28515625" style="152" customWidth="1"/>
    <col min="28" max="28" width="6.28515625" style="333" customWidth="1"/>
    <col min="29" max="31" width="6.28515625" style="152" customWidth="1"/>
    <col min="32" max="32" width="6.28515625" style="156" customWidth="1"/>
    <col min="33" max="33" width="6.28515625" style="152" customWidth="1"/>
    <col min="34" max="34" width="6.28515625" style="153" customWidth="1"/>
    <col min="35" max="46" width="6.28515625" style="152" customWidth="1"/>
    <col min="47" max="16384" width="10.7109375" style="152"/>
  </cols>
  <sheetData>
    <row r="1" spans="1:45" ht="15.75" customHeight="1">
      <c r="L1" s="152">
        <v>87</v>
      </c>
    </row>
    <row r="3" spans="1:45" ht="15.75" customHeight="1">
      <c r="E3" s="207" t="s">
        <v>174</v>
      </c>
      <c r="F3" s="207" t="s">
        <v>175</v>
      </c>
      <c r="AE3" s="308"/>
      <c r="AF3" s="308"/>
      <c r="AG3" s="309"/>
      <c r="AH3" s="309"/>
      <c r="AI3" s="309"/>
      <c r="AJ3" s="309"/>
      <c r="AK3" s="309"/>
      <c r="AL3" s="309"/>
      <c r="AM3" s="309"/>
      <c r="AN3" s="309"/>
      <c r="AO3" s="309"/>
      <c r="AP3" s="309"/>
      <c r="AQ3" s="309"/>
      <c r="AR3" s="309"/>
      <c r="AS3" s="309"/>
    </row>
    <row r="4" spans="1:45" ht="15.75" customHeight="1">
      <c r="J4" s="227"/>
      <c r="K4" s="234"/>
      <c r="L4" s="235" t="s">
        <v>26</v>
      </c>
      <c r="M4" s="235" t="s">
        <v>24</v>
      </c>
      <c r="N4" s="235" t="s">
        <v>125</v>
      </c>
      <c r="O4" s="236" t="s">
        <v>71</v>
      </c>
      <c r="P4" s="235" t="s">
        <v>27</v>
      </c>
      <c r="Q4" s="235" t="s">
        <v>25</v>
      </c>
      <c r="R4" s="235" t="s">
        <v>28</v>
      </c>
      <c r="S4" s="235" t="s">
        <v>72</v>
      </c>
      <c r="T4" s="235" t="s">
        <v>73</v>
      </c>
      <c r="U4" s="235" t="s">
        <v>127</v>
      </c>
      <c r="V4" s="290" t="s">
        <v>126</v>
      </c>
      <c r="W4" s="291" t="s">
        <v>123</v>
      </c>
      <c r="X4" s="247" t="s">
        <v>124</v>
      </c>
      <c r="Z4" s="227"/>
      <c r="AE4" s="308"/>
      <c r="AF4" s="308"/>
      <c r="AG4" s="310"/>
      <c r="AH4" s="310"/>
      <c r="AI4" s="310"/>
      <c r="AJ4" s="310"/>
      <c r="AK4" s="310"/>
      <c r="AL4" s="310"/>
      <c r="AM4" s="310"/>
      <c r="AN4" s="310"/>
      <c r="AO4" s="310"/>
      <c r="AP4" s="310"/>
      <c r="AQ4" s="310"/>
      <c r="AR4" s="310"/>
      <c r="AS4" s="310"/>
    </row>
    <row r="5" spans="1:45" ht="15.75" customHeight="1">
      <c r="A5" s="208" t="s">
        <v>24</v>
      </c>
      <c r="B5" s="219" t="s">
        <v>132</v>
      </c>
      <c r="C5" s="220"/>
      <c r="D5" s="209" t="s">
        <v>133</v>
      </c>
      <c r="E5" s="209">
        <v>57</v>
      </c>
      <c r="F5" s="210">
        <v>57</v>
      </c>
      <c r="I5" s="227"/>
      <c r="J5" s="227"/>
      <c r="K5" s="237"/>
      <c r="L5" s="238">
        <v>47</v>
      </c>
      <c r="M5" s="238">
        <v>57</v>
      </c>
      <c r="N5" s="238">
        <v>63</v>
      </c>
      <c r="O5" s="238">
        <v>100</v>
      </c>
      <c r="P5" s="238">
        <v>148</v>
      </c>
      <c r="Q5" s="238">
        <v>178</v>
      </c>
      <c r="R5" s="238">
        <v>199</v>
      </c>
      <c r="S5" s="238">
        <v>225</v>
      </c>
      <c r="T5" s="238">
        <v>286</v>
      </c>
      <c r="U5" s="238">
        <v>370</v>
      </c>
      <c r="V5" s="292">
        <v>433</v>
      </c>
      <c r="W5" s="293">
        <v>444</v>
      </c>
      <c r="X5" s="248">
        <v>448</v>
      </c>
      <c r="Z5" s="227"/>
      <c r="AE5" s="311"/>
      <c r="AF5" s="312"/>
      <c r="AG5" s="313"/>
      <c r="AH5" s="314"/>
      <c r="AI5" s="314"/>
      <c r="AJ5" s="314"/>
      <c r="AK5" s="314"/>
      <c r="AL5" s="314"/>
      <c r="AM5" s="314"/>
      <c r="AN5" s="314"/>
      <c r="AO5" s="314"/>
      <c r="AP5" s="314"/>
      <c r="AQ5" s="314"/>
      <c r="AR5" s="314"/>
      <c r="AS5" s="314"/>
    </row>
    <row r="6" spans="1:45" ht="15.75" customHeight="1">
      <c r="A6" s="211" t="s">
        <v>25</v>
      </c>
      <c r="B6" s="221" t="s">
        <v>134</v>
      </c>
      <c r="C6" s="222"/>
      <c r="D6" s="212" t="s">
        <v>135</v>
      </c>
      <c r="E6" s="212">
        <v>115</v>
      </c>
      <c r="F6" s="213">
        <v>178</v>
      </c>
      <c r="J6" s="232" t="s">
        <v>170</v>
      </c>
      <c r="K6" s="233">
        <v>0</v>
      </c>
      <c r="L6" s="245">
        <f>L5-K6</f>
        <v>47</v>
      </c>
      <c r="M6" s="243">
        <f>M5-K6</f>
        <v>57</v>
      </c>
      <c r="N6" s="230">
        <f>N5-K6</f>
        <v>63</v>
      </c>
      <c r="O6" s="239">
        <f>O5-K6</f>
        <v>100</v>
      </c>
      <c r="P6" s="245">
        <f>P5-K6</f>
        <v>148</v>
      </c>
      <c r="Q6" s="243">
        <f>Q5-K6</f>
        <v>178</v>
      </c>
      <c r="R6" s="245">
        <f>R5-K6</f>
        <v>199</v>
      </c>
      <c r="S6" s="241">
        <f>S5-K6</f>
        <v>225</v>
      </c>
      <c r="T6" s="241">
        <f>T5-K6</f>
        <v>286</v>
      </c>
      <c r="U6" s="230">
        <f>U5-K6</f>
        <v>370</v>
      </c>
      <c r="V6" s="294">
        <f>V5-K6</f>
        <v>433</v>
      </c>
      <c r="W6" s="295">
        <f>W5-K6</f>
        <v>444</v>
      </c>
      <c r="X6" s="283">
        <f>X5-K6</f>
        <v>448</v>
      </c>
      <c r="Z6" s="227"/>
      <c r="AE6" s="311"/>
      <c r="AF6" s="312"/>
      <c r="AG6" s="314"/>
      <c r="AH6" s="314"/>
      <c r="AI6" s="314"/>
      <c r="AJ6" s="314"/>
      <c r="AK6" s="314"/>
      <c r="AL6" s="314"/>
      <c r="AM6" s="314"/>
      <c r="AN6" s="314"/>
      <c r="AO6" s="314"/>
      <c r="AP6" s="314"/>
      <c r="AQ6" s="314"/>
      <c r="AR6" s="314"/>
      <c r="AS6" s="314"/>
    </row>
    <row r="7" spans="1:45" ht="15.75" customHeight="1">
      <c r="A7" s="211" t="s">
        <v>123</v>
      </c>
      <c r="B7" s="221" t="s">
        <v>136</v>
      </c>
      <c r="C7" s="222"/>
      <c r="D7" s="212" t="s">
        <v>137</v>
      </c>
      <c r="E7" s="212">
        <v>11</v>
      </c>
      <c r="F7" s="213">
        <v>444</v>
      </c>
      <c r="J7" s="251" t="s">
        <v>164</v>
      </c>
      <c r="K7" s="252">
        <v>47</v>
      </c>
      <c r="L7" s="253"/>
      <c r="M7" s="254">
        <f>M5-K7</f>
        <v>10</v>
      </c>
      <c r="N7" s="255">
        <f>N5-K7</f>
        <v>16</v>
      </c>
      <c r="O7" s="256">
        <f>O5-K7</f>
        <v>53</v>
      </c>
      <c r="P7" s="257">
        <f>P5-K7</f>
        <v>101</v>
      </c>
      <c r="Q7" s="254">
        <f>Q5-K7</f>
        <v>131</v>
      </c>
      <c r="R7" s="257">
        <f>R5-K7</f>
        <v>152</v>
      </c>
      <c r="S7" s="258">
        <f>S5-K7</f>
        <v>178</v>
      </c>
      <c r="T7" s="258">
        <f>T5-K7</f>
        <v>239</v>
      </c>
      <c r="U7" s="255">
        <f>U5-K7</f>
        <v>323</v>
      </c>
      <c r="V7" s="296">
        <f>V5-K7</f>
        <v>386</v>
      </c>
      <c r="W7" s="297">
        <f>W5-K7</f>
        <v>397</v>
      </c>
      <c r="X7" s="284">
        <f>X5-K7</f>
        <v>401</v>
      </c>
      <c r="Z7" s="227"/>
      <c r="AE7" s="311"/>
      <c r="AF7" s="312"/>
      <c r="AG7" s="314"/>
      <c r="AH7" s="314"/>
      <c r="AI7" s="313"/>
      <c r="AJ7" s="314"/>
      <c r="AK7" s="314"/>
      <c r="AL7" s="314"/>
      <c r="AM7" s="314"/>
      <c r="AN7" s="314"/>
      <c r="AO7" s="314"/>
      <c r="AP7" s="314"/>
      <c r="AQ7" s="314"/>
      <c r="AR7" s="314"/>
      <c r="AS7" s="314"/>
    </row>
    <row r="8" spans="1:45" ht="15.75" customHeight="1">
      <c r="A8" s="211" t="s">
        <v>125</v>
      </c>
      <c r="B8" s="221" t="s">
        <v>146</v>
      </c>
      <c r="C8" s="222"/>
      <c r="D8" s="212" t="s">
        <v>147</v>
      </c>
      <c r="E8" s="212">
        <v>63</v>
      </c>
      <c r="F8" s="213">
        <v>63</v>
      </c>
      <c r="J8" s="260" t="s">
        <v>24</v>
      </c>
      <c r="K8" s="261">
        <v>57</v>
      </c>
      <c r="L8" s="262"/>
      <c r="M8" s="263"/>
      <c r="N8" s="264">
        <f>N5-K8</f>
        <v>6</v>
      </c>
      <c r="O8" s="265">
        <f>O5-K8</f>
        <v>43</v>
      </c>
      <c r="P8" s="266">
        <f>P5-K8</f>
        <v>91</v>
      </c>
      <c r="Q8" s="267">
        <f>Q5-K8</f>
        <v>121</v>
      </c>
      <c r="R8" s="266">
        <f>R5-K8</f>
        <v>142</v>
      </c>
      <c r="S8" s="268">
        <f>S5-K8</f>
        <v>168</v>
      </c>
      <c r="T8" s="268">
        <f>T5-K8</f>
        <v>229</v>
      </c>
      <c r="U8" s="264">
        <f>U5-K8</f>
        <v>313</v>
      </c>
      <c r="V8" s="298">
        <f>V5-K8</f>
        <v>376</v>
      </c>
      <c r="W8" s="299">
        <f>W5-K8</f>
        <v>387</v>
      </c>
      <c r="X8" s="285">
        <f>X5-K8</f>
        <v>391</v>
      </c>
      <c r="Z8" s="227"/>
      <c r="AE8" s="311"/>
      <c r="AF8" s="312"/>
      <c r="AG8" s="314"/>
      <c r="AH8" s="314"/>
      <c r="AI8" s="314"/>
      <c r="AJ8" s="313"/>
      <c r="AK8" s="314"/>
      <c r="AL8" s="314"/>
      <c r="AM8" s="314"/>
      <c r="AN8" s="314"/>
      <c r="AO8" s="314"/>
      <c r="AP8" s="314"/>
      <c r="AQ8" s="314"/>
      <c r="AR8" s="314"/>
      <c r="AS8" s="314"/>
    </row>
    <row r="9" spans="1:45" ht="15.75" customHeight="1">
      <c r="A9" s="211" t="s">
        <v>126</v>
      </c>
      <c r="B9" s="221" t="s">
        <v>148</v>
      </c>
      <c r="C9" s="222"/>
      <c r="D9" s="212" t="s">
        <v>149</v>
      </c>
      <c r="E9" s="212">
        <v>370</v>
      </c>
      <c r="F9" s="213">
        <v>433</v>
      </c>
      <c r="J9" s="228" t="s">
        <v>161</v>
      </c>
      <c r="K9" s="229">
        <v>63</v>
      </c>
      <c r="L9" s="250"/>
      <c r="M9" s="250"/>
      <c r="N9" s="249"/>
      <c r="O9" s="240">
        <f>O5-K9</f>
        <v>37</v>
      </c>
      <c r="P9" s="246">
        <f>P5-K9</f>
        <v>85</v>
      </c>
      <c r="Q9" s="244">
        <f>Q5-K9</f>
        <v>115</v>
      </c>
      <c r="R9" s="246">
        <f>R5-K9</f>
        <v>136</v>
      </c>
      <c r="S9" s="242">
        <f>S5-K9</f>
        <v>162</v>
      </c>
      <c r="T9" s="242">
        <f>T5-K9</f>
        <v>223</v>
      </c>
      <c r="U9" s="231">
        <f>U5-K9</f>
        <v>307</v>
      </c>
      <c r="V9" s="300">
        <f>V5-K9</f>
        <v>370</v>
      </c>
      <c r="W9" s="301">
        <f>W5-K9</f>
        <v>381</v>
      </c>
      <c r="X9" s="286">
        <f>X5-K9</f>
        <v>385</v>
      </c>
      <c r="Z9" s="227"/>
      <c r="AE9" s="311"/>
      <c r="AF9" s="312"/>
      <c r="AG9" s="314"/>
      <c r="AH9" s="314"/>
      <c r="AI9" s="314"/>
      <c r="AJ9" s="314"/>
      <c r="AK9" s="313"/>
      <c r="AL9" s="314"/>
      <c r="AM9" s="314"/>
      <c r="AN9" s="314"/>
      <c r="AO9" s="314"/>
      <c r="AP9" s="314"/>
      <c r="AQ9" s="314"/>
      <c r="AR9" s="314"/>
      <c r="AS9" s="314"/>
    </row>
    <row r="10" spans="1:45" ht="15.75" customHeight="1">
      <c r="A10" s="214" t="s">
        <v>127</v>
      </c>
      <c r="B10" s="223" t="s">
        <v>150</v>
      </c>
      <c r="C10" s="224"/>
      <c r="D10" s="215"/>
      <c r="E10" s="215"/>
      <c r="F10" s="217"/>
      <c r="J10" s="270" t="s">
        <v>167</v>
      </c>
      <c r="K10" s="271">
        <v>100</v>
      </c>
      <c r="L10" s="272"/>
      <c r="M10" s="272"/>
      <c r="N10" s="272"/>
      <c r="O10" s="273"/>
      <c r="P10" s="274">
        <f>P5-K10</f>
        <v>48</v>
      </c>
      <c r="Q10" s="275">
        <f>Q5-K10</f>
        <v>78</v>
      </c>
      <c r="R10" s="274">
        <f>R5-K10</f>
        <v>99</v>
      </c>
      <c r="S10" s="276">
        <f>S5-K10</f>
        <v>125</v>
      </c>
      <c r="T10" s="277">
        <f>T5-K10</f>
        <v>186</v>
      </c>
      <c r="U10" s="278">
        <f>U5-K10</f>
        <v>270</v>
      </c>
      <c r="V10" s="302">
        <f>V5-K10</f>
        <v>333</v>
      </c>
      <c r="W10" s="303">
        <f>W5-K10</f>
        <v>344</v>
      </c>
      <c r="X10" s="287">
        <f>X5-K10</f>
        <v>348</v>
      </c>
      <c r="Z10" s="227"/>
      <c r="AE10" s="311"/>
      <c r="AF10" s="312"/>
      <c r="AG10" s="314"/>
      <c r="AH10" s="314"/>
      <c r="AI10" s="314"/>
      <c r="AJ10" s="314"/>
      <c r="AK10" s="314"/>
      <c r="AL10" s="313"/>
      <c r="AM10" s="314"/>
      <c r="AN10" s="314"/>
      <c r="AO10" s="314"/>
      <c r="AP10" s="314"/>
      <c r="AQ10" s="314"/>
      <c r="AR10" s="314"/>
      <c r="AS10" s="314"/>
    </row>
    <row r="11" spans="1:45" ht="15.75" customHeight="1">
      <c r="A11" s="218" t="s">
        <v>127</v>
      </c>
      <c r="B11" s="219" t="s">
        <v>151</v>
      </c>
      <c r="C11" s="220"/>
      <c r="D11" s="209" t="s">
        <v>152</v>
      </c>
      <c r="E11" s="209">
        <v>307</v>
      </c>
      <c r="F11" s="210">
        <v>370</v>
      </c>
      <c r="J11" s="251" t="s">
        <v>165</v>
      </c>
      <c r="K11" s="252">
        <v>148</v>
      </c>
      <c r="L11" s="259"/>
      <c r="M11" s="259"/>
      <c r="N11" s="259"/>
      <c r="O11" s="259"/>
      <c r="P11" s="253"/>
      <c r="Q11" s="254">
        <f>Q5-K11</f>
        <v>30</v>
      </c>
      <c r="R11" s="257">
        <f>R5-K11</f>
        <v>51</v>
      </c>
      <c r="S11" s="258">
        <f>S5-K11</f>
        <v>77</v>
      </c>
      <c r="T11" s="258">
        <f>T5-K11</f>
        <v>138</v>
      </c>
      <c r="U11" s="255">
        <f>U5-K11</f>
        <v>222</v>
      </c>
      <c r="V11" s="296">
        <f>V5-K11</f>
        <v>285</v>
      </c>
      <c r="W11" s="297">
        <f>W5-K11</f>
        <v>296</v>
      </c>
      <c r="X11" s="284">
        <f>X5-K11</f>
        <v>300</v>
      </c>
      <c r="Z11" s="227"/>
      <c r="AE11" s="311"/>
      <c r="AF11" s="312"/>
      <c r="AG11" s="314"/>
      <c r="AH11" s="314"/>
      <c r="AI11" s="314"/>
      <c r="AJ11" s="314"/>
      <c r="AK11" s="314"/>
      <c r="AL11" s="314"/>
      <c r="AM11" s="313"/>
      <c r="AN11" s="314"/>
      <c r="AO11" s="314"/>
      <c r="AP11" s="314"/>
      <c r="AQ11" s="314"/>
      <c r="AR11" s="314"/>
      <c r="AS11" s="314"/>
    </row>
    <row r="12" spans="1:45" ht="15.75" customHeight="1">
      <c r="A12" s="211" t="s">
        <v>124</v>
      </c>
      <c r="B12" s="221" t="s">
        <v>138</v>
      </c>
      <c r="C12" s="222"/>
      <c r="D12" s="212" t="s">
        <v>139</v>
      </c>
      <c r="E12" s="212">
        <v>15</v>
      </c>
      <c r="F12" s="213">
        <v>448</v>
      </c>
      <c r="J12" s="260" t="s">
        <v>159</v>
      </c>
      <c r="K12" s="261">
        <v>178</v>
      </c>
      <c r="L12" s="262"/>
      <c r="M12" s="262"/>
      <c r="N12" s="262"/>
      <c r="O12" s="262"/>
      <c r="P12" s="262"/>
      <c r="Q12" s="269"/>
      <c r="R12" s="266">
        <f>R5-K12</f>
        <v>21</v>
      </c>
      <c r="S12" s="268">
        <f>S5-K12</f>
        <v>47</v>
      </c>
      <c r="T12" s="268">
        <f>T5-K12</f>
        <v>108</v>
      </c>
      <c r="U12" s="264">
        <f>U5-K12</f>
        <v>192</v>
      </c>
      <c r="V12" s="298">
        <f>V5-K12</f>
        <v>255</v>
      </c>
      <c r="W12" s="299">
        <f>W5-K12</f>
        <v>266</v>
      </c>
      <c r="X12" s="285">
        <f>X5-K12</f>
        <v>270</v>
      </c>
      <c r="Z12" s="227"/>
      <c r="AE12" s="311"/>
      <c r="AF12" s="312"/>
      <c r="AG12" s="314"/>
      <c r="AH12" s="314"/>
      <c r="AI12" s="314"/>
      <c r="AJ12" s="314"/>
      <c r="AK12" s="314"/>
      <c r="AL12" s="314"/>
      <c r="AM12" s="314"/>
      <c r="AN12" s="313"/>
      <c r="AO12" s="314"/>
      <c r="AP12" s="314"/>
      <c r="AQ12" s="314"/>
      <c r="AR12" s="314"/>
      <c r="AS12" s="314"/>
    </row>
    <row r="13" spans="1:45" ht="15.75" customHeight="1">
      <c r="A13" s="211" t="s">
        <v>26</v>
      </c>
      <c r="B13" s="225" t="s">
        <v>153</v>
      </c>
      <c r="C13" s="226"/>
      <c r="D13" s="212" t="s">
        <v>154</v>
      </c>
      <c r="E13" s="212">
        <v>47</v>
      </c>
      <c r="F13" s="213">
        <v>47</v>
      </c>
      <c r="J13" s="251" t="s">
        <v>166</v>
      </c>
      <c r="K13" s="252">
        <v>199</v>
      </c>
      <c r="L13" s="259"/>
      <c r="M13" s="259"/>
      <c r="N13" s="259"/>
      <c r="O13" s="259"/>
      <c r="P13" s="259"/>
      <c r="Q13" s="259"/>
      <c r="R13" s="253"/>
      <c r="S13" s="258">
        <f>S5-K13</f>
        <v>26</v>
      </c>
      <c r="T13" s="258">
        <f>T5-K13</f>
        <v>87</v>
      </c>
      <c r="U13" s="255">
        <f>U5-K13</f>
        <v>171</v>
      </c>
      <c r="V13" s="296">
        <f>V5-K13</f>
        <v>234</v>
      </c>
      <c r="W13" s="297">
        <f>W5-K13</f>
        <v>245</v>
      </c>
      <c r="X13" s="284">
        <f>X5-K13</f>
        <v>249</v>
      </c>
      <c r="AE13" s="311"/>
      <c r="AF13" s="312"/>
      <c r="AG13" s="314"/>
      <c r="AH13" s="314"/>
      <c r="AI13" s="314"/>
      <c r="AJ13" s="314"/>
      <c r="AK13" s="314"/>
      <c r="AL13" s="314"/>
      <c r="AM13" s="314"/>
      <c r="AN13" s="314"/>
      <c r="AO13" s="313"/>
      <c r="AP13" s="314"/>
      <c r="AQ13" s="314"/>
      <c r="AR13" s="314"/>
      <c r="AS13" s="314"/>
    </row>
    <row r="14" spans="1:45" ht="15.75" customHeight="1">
      <c r="A14" s="211" t="s">
        <v>27</v>
      </c>
      <c r="B14" s="225" t="s">
        <v>155</v>
      </c>
      <c r="C14" s="226"/>
      <c r="D14" s="212" t="s">
        <v>156</v>
      </c>
      <c r="E14" s="212">
        <v>85</v>
      </c>
      <c r="F14" s="213">
        <v>148</v>
      </c>
      <c r="J14" s="279" t="s">
        <v>168</v>
      </c>
      <c r="K14" s="280">
        <v>225</v>
      </c>
      <c r="L14" s="281"/>
      <c r="M14" s="281"/>
      <c r="N14" s="281"/>
      <c r="O14" s="281"/>
      <c r="P14" s="281"/>
      <c r="Q14" s="281"/>
      <c r="R14" s="281"/>
      <c r="S14" s="273"/>
      <c r="T14" s="276">
        <f>T5-K14</f>
        <v>61</v>
      </c>
      <c r="U14" s="282">
        <f>U5-K14</f>
        <v>145</v>
      </c>
      <c r="V14" s="304">
        <f>V5-K14</f>
        <v>208</v>
      </c>
      <c r="W14" s="305">
        <f>W5-K14</f>
        <v>219</v>
      </c>
      <c r="X14" s="288">
        <f>X5-K14</f>
        <v>223</v>
      </c>
      <c r="AE14" s="311"/>
      <c r="AF14" s="312"/>
      <c r="AG14" s="314"/>
      <c r="AH14" s="314"/>
      <c r="AI14" s="314"/>
      <c r="AJ14" s="314"/>
      <c r="AK14" s="314"/>
      <c r="AL14" s="314"/>
      <c r="AM14" s="314"/>
      <c r="AN14" s="314"/>
      <c r="AO14" s="314"/>
      <c r="AP14" s="313"/>
      <c r="AQ14" s="314"/>
      <c r="AR14" s="314"/>
      <c r="AS14" s="314"/>
    </row>
    <row r="15" spans="1:45" ht="15.75" customHeight="1">
      <c r="A15" s="211" t="s">
        <v>28</v>
      </c>
      <c r="B15" s="225" t="s">
        <v>157</v>
      </c>
      <c r="C15" s="226"/>
      <c r="D15" s="212" t="s">
        <v>158</v>
      </c>
      <c r="E15" s="212">
        <v>136</v>
      </c>
      <c r="F15" s="213">
        <v>199</v>
      </c>
      <c r="J15" s="279" t="s">
        <v>169</v>
      </c>
      <c r="K15" s="280">
        <v>286</v>
      </c>
      <c r="L15" s="281"/>
      <c r="M15" s="281"/>
      <c r="N15" s="281"/>
      <c r="O15" s="281"/>
      <c r="P15" s="281"/>
      <c r="Q15" s="281"/>
      <c r="R15" s="281"/>
      <c r="S15" s="281"/>
      <c r="T15" s="273"/>
      <c r="U15" s="282">
        <f>U5-K15</f>
        <v>84</v>
      </c>
      <c r="V15" s="304">
        <f>V5-K15</f>
        <v>147</v>
      </c>
      <c r="W15" s="305">
        <f>W5-K15</f>
        <v>158</v>
      </c>
      <c r="X15" s="288">
        <f>X5-K15</f>
        <v>162</v>
      </c>
      <c r="AE15" s="311"/>
      <c r="AF15" s="312"/>
      <c r="AG15" s="314"/>
      <c r="AH15" s="314"/>
      <c r="AI15" s="314"/>
      <c r="AJ15" s="314"/>
      <c r="AK15" s="314"/>
      <c r="AL15" s="314"/>
      <c r="AM15" s="314"/>
      <c r="AN15" s="314"/>
      <c r="AO15" s="314"/>
      <c r="AP15" s="314"/>
      <c r="AQ15" s="313"/>
      <c r="AR15" s="314"/>
      <c r="AS15" s="314"/>
    </row>
    <row r="16" spans="1:45" ht="15.75" customHeight="1">
      <c r="A16" s="211" t="s">
        <v>71</v>
      </c>
      <c r="B16" s="221" t="s">
        <v>140</v>
      </c>
      <c r="C16" s="222"/>
      <c r="D16" s="212" t="s">
        <v>142</v>
      </c>
      <c r="E16" s="212">
        <v>37</v>
      </c>
      <c r="F16" s="213">
        <v>100</v>
      </c>
      <c r="J16" s="228" t="s">
        <v>163</v>
      </c>
      <c r="K16" s="229">
        <v>370</v>
      </c>
      <c r="L16" s="250"/>
      <c r="M16" s="250"/>
      <c r="N16" s="250"/>
      <c r="O16" s="250"/>
      <c r="P16" s="250"/>
      <c r="Q16" s="250"/>
      <c r="R16" s="250"/>
      <c r="S16" s="250"/>
      <c r="T16" s="250"/>
      <c r="U16" s="249"/>
      <c r="V16" s="300">
        <f>V5-K16</f>
        <v>63</v>
      </c>
      <c r="W16" s="306">
        <f>W5-K16</f>
        <v>74</v>
      </c>
      <c r="X16" s="289">
        <f>X5-K16</f>
        <v>78</v>
      </c>
      <c r="AE16" s="311"/>
      <c r="AF16" s="312"/>
      <c r="AG16" s="314"/>
      <c r="AH16" s="314"/>
      <c r="AI16" s="314"/>
      <c r="AJ16" s="314"/>
      <c r="AK16" s="314"/>
      <c r="AL16" s="314"/>
      <c r="AM16" s="314"/>
      <c r="AN16" s="314"/>
      <c r="AO16" s="314"/>
      <c r="AP16" s="314"/>
      <c r="AQ16" s="314"/>
      <c r="AR16" s="313"/>
      <c r="AS16" s="314"/>
    </row>
    <row r="17" spans="1:45" ht="15.75" customHeight="1">
      <c r="A17" s="211" t="s">
        <v>72</v>
      </c>
      <c r="B17" s="221" t="s">
        <v>141</v>
      </c>
      <c r="C17" s="222"/>
      <c r="D17" s="212" t="s">
        <v>143</v>
      </c>
      <c r="E17" s="212">
        <v>162</v>
      </c>
      <c r="F17" s="213">
        <v>225</v>
      </c>
      <c r="J17" s="228" t="s">
        <v>162</v>
      </c>
      <c r="K17" s="229">
        <v>433</v>
      </c>
      <c r="L17" s="250"/>
      <c r="M17" s="250"/>
      <c r="N17" s="250"/>
      <c r="O17" s="250"/>
      <c r="P17" s="250"/>
      <c r="Q17" s="250"/>
      <c r="R17" s="250"/>
      <c r="S17" s="250"/>
      <c r="T17" s="250"/>
      <c r="U17" s="250"/>
      <c r="V17" s="307"/>
      <c r="W17" s="306">
        <f>W5-K17</f>
        <v>11</v>
      </c>
      <c r="X17" s="289">
        <f>X5-K17</f>
        <v>15</v>
      </c>
      <c r="AE17" s="311"/>
      <c r="AF17" s="312"/>
      <c r="AG17" s="314"/>
      <c r="AH17" s="314"/>
      <c r="AI17" s="314"/>
      <c r="AJ17" s="314"/>
      <c r="AK17" s="314"/>
      <c r="AL17" s="314"/>
      <c r="AM17" s="314"/>
      <c r="AN17" s="314"/>
      <c r="AO17" s="314"/>
      <c r="AP17" s="314"/>
      <c r="AQ17" s="314"/>
      <c r="AR17" s="314"/>
      <c r="AS17" s="313"/>
    </row>
    <row r="18" spans="1:45" ht="15.75" customHeight="1">
      <c r="A18" s="214" t="s">
        <v>73</v>
      </c>
      <c r="B18" s="223" t="s">
        <v>144</v>
      </c>
      <c r="C18" s="224"/>
      <c r="D18" s="215" t="s">
        <v>145</v>
      </c>
      <c r="E18" s="216">
        <v>223</v>
      </c>
      <c r="F18" s="217">
        <v>286</v>
      </c>
      <c r="G18" s="227"/>
      <c r="H18" s="227"/>
      <c r="I18" s="227"/>
      <c r="J18" s="334" t="s">
        <v>160</v>
      </c>
      <c r="K18" s="335">
        <v>444</v>
      </c>
      <c r="L18" s="336"/>
      <c r="M18" s="336"/>
      <c r="N18" s="336"/>
      <c r="O18" s="336"/>
      <c r="P18" s="336"/>
      <c r="Q18" s="336"/>
      <c r="R18" s="336"/>
      <c r="S18" s="336"/>
      <c r="T18" s="336"/>
      <c r="U18" s="336"/>
      <c r="V18" s="337"/>
      <c r="W18" s="338"/>
      <c r="X18" s="339">
        <f>X5-K18</f>
        <v>4</v>
      </c>
      <c r="Y18" s="227"/>
    </row>
    <row r="19" spans="1:45" ht="15.75" customHeight="1">
      <c r="A19" s="227"/>
      <c r="B19" s="227"/>
      <c r="C19" s="227"/>
      <c r="D19" s="59"/>
      <c r="E19" s="227"/>
      <c r="F19" s="227"/>
      <c r="G19" s="227"/>
      <c r="H19" s="227"/>
      <c r="I19" s="227"/>
      <c r="J19" s="227"/>
      <c r="K19" s="227"/>
      <c r="L19" s="227"/>
      <c r="M19" s="227"/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AF19" s="152"/>
    </row>
    <row r="20" spans="1:45" ht="15.75" customHeight="1">
      <c r="D20" s="9"/>
      <c r="V20" s="227"/>
      <c r="W20" s="227"/>
      <c r="X20" s="227"/>
    </row>
    <row r="21" spans="1:45" ht="15.75" customHeight="1">
      <c r="D21" s="9"/>
    </row>
    <row r="23" spans="1:45" ht="15.75" customHeight="1">
      <c r="B23" s="321">
        <v>1</v>
      </c>
      <c r="C23" s="322">
        <v>47</v>
      </c>
      <c r="D23" s="323">
        <f t="shared" ref="D23:D25" si="0">MOD(C23,337)</f>
        <v>47</v>
      </c>
      <c r="E23" s="329">
        <v>47</v>
      </c>
      <c r="F23" s="340">
        <v>47</v>
      </c>
      <c r="G23" s="329" t="s">
        <v>6</v>
      </c>
      <c r="J23" s="362"/>
      <c r="L23" s="368">
        <v>2</v>
      </c>
      <c r="M23" s="368" t="s">
        <v>202</v>
      </c>
      <c r="N23" s="368">
        <v>9</v>
      </c>
      <c r="O23" s="367" t="s">
        <v>203</v>
      </c>
      <c r="P23" s="369">
        <f>(L23*L23)+(N23*N23)</f>
        <v>85</v>
      </c>
    </row>
    <row r="24" spans="1:45" ht="15.75" customHeight="1">
      <c r="B24" s="321">
        <v>2</v>
      </c>
      <c r="C24" s="322">
        <f>C23+192</f>
        <v>239</v>
      </c>
      <c r="D24" s="323">
        <f t="shared" si="0"/>
        <v>239</v>
      </c>
      <c r="E24" s="332">
        <f>192+47</f>
        <v>239</v>
      </c>
      <c r="F24" s="329" t="s">
        <v>181</v>
      </c>
      <c r="G24" s="329" t="s">
        <v>12</v>
      </c>
      <c r="L24" s="368">
        <v>4</v>
      </c>
      <c r="M24" s="368" t="s">
        <v>202</v>
      </c>
      <c r="N24" s="368">
        <v>9</v>
      </c>
      <c r="O24" s="368" t="s">
        <v>203</v>
      </c>
      <c r="P24" s="369">
        <f>(L24*L24)+(N24*N24)</f>
        <v>97</v>
      </c>
    </row>
    <row r="25" spans="1:45" ht="15.75" customHeight="1">
      <c r="B25" s="321">
        <v>3</v>
      </c>
      <c r="C25" s="322">
        <f t="shared" ref="C25:C39" si="1">C24+192</f>
        <v>431</v>
      </c>
      <c r="D25" s="323">
        <f t="shared" si="0"/>
        <v>94</v>
      </c>
      <c r="E25" s="326">
        <f>286-192</f>
        <v>94</v>
      </c>
      <c r="F25" s="327" t="s">
        <v>180</v>
      </c>
      <c r="G25" s="327" t="s">
        <v>5</v>
      </c>
      <c r="L25" s="368">
        <v>3</v>
      </c>
      <c r="M25" s="368" t="s">
        <v>202</v>
      </c>
      <c r="N25" s="368">
        <v>13</v>
      </c>
      <c r="O25" s="368" t="s">
        <v>203</v>
      </c>
      <c r="P25" s="369">
        <f>(L25*L25)+(N25*N25)</f>
        <v>178</v>
      </c>
    </row>
    <row r="26" spans="1:45" ht="15.75" customHeight="1">
      <c r="B26" s="315">
        <v>4</v>
      </c>
      <c r="C26" s="316">
        <f t="shared" si="1"/>
        <v>623</v>
      </c>
      <c r="D26" s="317">
        <f>MOD(C26,337)</f>
        <v>286</v>
      </c>
      <c r="E26" s="331">
        <v>286</v>
      </c>
      <c r="F26" s="328">
        <v>286</v>
      </c>
      <c r="G26" s="327" t="s">
        <v>9</v>
      </c>
      <c r="L26" s="368">
        <v>9</v>
      </c>
      <c r="M26" s="368" t="s">
        <v>202</v>
      </c>
      <c r="N26" s="368">
        <v>16</v>
      </c>
      <c r="O26" s="368" t="s">
        <v>203</v>
      </c>
      <c r="P26" s="369">
        <f t="shared" ref="P26:P34" si="2">(L26*L26)+(N26*N26)</f>
        <v>337</v>
      </c>
    </row>
    <row r="27" spans="1:45" ht="15.75" customHeight="1">
      <c r="B27" s="318">
        <v>5</v>
      </c>
      <c r="C27" s="319">
        <f t="shared" si="1"/>
        <v>815</v>
      </c>
      <c r="D27" s="320">
        <f t="shared" ref="D27:D39" si="3">MOD(C27,337)</f>
        <v>141</v>
      </c>
      <c r="E27" s="324">
        <f>178-37</f>
        <v>141</v>
      </c>
      <c r="F27" s="325" t="s">
        <v>115</v>
      </c>
      <c r="G27" s="325" t="s">
        <v>12</v>
      </c>
      <c r="L27" s="370">
        <v>3</v>
      </c>
      <c r="M27" s="371" t="s">
        <v>202</v>
      </c>
      <c r="N27" s="371">
        <v>19</v>
      </c>
      <c r="O27" s="371" t="s">
        <v>203</v>
      </c>
      <c r="P27" s="372">
        <f t="shared" si="2"/>
        <v>370</v>
      </c>
    </row>
    <row r="28" spans="1:45" ht="15.75" customHeight="1">
      <c r="B28" s="321">
        <v>6</v>
      </c>
      <c r="C28" s="322">
        <f t="shared" si="1"/>
        <v>1007</v>
      </c>
      <c r="D28" s="323">
        <f t="shared" si="3"/>
        <v>333</v>
      </c>
      <c r="E28" s="326">
        <f>370-37</f>
        <v>333</v>
      </c>
      <c r="F28" s="329" t="s">
        <v>116</v>
      </c>
      <c r="G28" s="329" t="s">
        <v>2</v>
      </c>
      <c r="L28" s="373">
        <v>9</v>
      </c>
      <c r="M28" s="374" t="s">
        <v>202</v>
      </c>
      <c r="N28" s="374">
        <v>17</v>
      </c>
      <c r="O28" s="374" t="s">
        <v>203</v>
      </c>
      <c r="P28" s="375">
        <f t="shared" si="2"/>
        <v>370</v>
      </c>
    </row>
    <row r="29" spans="1:45" ht="15.75" customHeight="1">
      <c r="B29" s="315">
        <v>7</v>
      </c>
      <c r="C29" s="316">
        <f t="shared" si="1"/>
        <v>1199</v>
      </c>
      <c r="D29" s="317">
        <f t="shared" si="3"/>
        <v>188</v>
      </c>
      <c r="E29" s="330">
        <f>225-37</f>
        <v>188</v>
      </c>
      <c r="F29" s="331" t="s">
        <v>117</v>
      </c>
      <c r="G29" s="331" t="s">
        <v>15</v>
      </c>
      <c r="L29" s="368">
        <v>14</v>
      </c>
      <c r="M29" s="368" t="s">
        <v>202</v>
      </c>
      <c r="N29" s="368">
        <v>15</v>
      </c>
      <c r="O29" s="368" t="s">
        <v>203</v>
      </c>
      <c r="P29" s="369">
        <f t="shared" si="2"/>
        <v>421</v>
      </c>
    </row>
    <row r="30" spans="1:45" ht="15.75" customHeight="1">
      <c r="B30" s="318">
        <v>8</v>
      </c>
      <c r="C30" s="319">
        <f t="shared" si="1"/>
        <v>1391</v>
      </c>
      <c r="D30" s="320">
        <f t="shared" si="3"/>
        <v>43</v>
      </c>
      <c r="E30" s="324">
        <f>100-57</f>
        <v>43</v>
      </c>
      <c r="F30" s="325" t="s">
        <v>118</v>
      </c>
      <c r="G30" s="325" t="s">
        <v>8</v>
      </c>
      <c r="L30" s="368">
        <v>12</v>
      </c>
      <c r="M30" s="368" t="s">
        <v>202</v>
      </c>
      <c r="N30" s="368">
        <v>17</v>
      </c>
      <c r="O30" s="368" t="s">
        <v>203</v>
      </c>
      <c r="P30" s="369">
        <f t="shared" si="2"/>
        <v>433</v>
      </c>
    </row>
    <row r="31" spans="1:45" ht="15.75" customHeight="1">
      <c r="B31" s="321">
        <v>9</v>
      </c>
      <c r="C31" s="322">
        <f t="shared" si="1"/>
        <v>1583</v>
      </c>
      <c r="D31" s="323">
        <f t="shared" si="3"/>
        <v>235</v>
      </c>
      <c r="E31" s="332">
        <f>178+57</f>
        <v>235</v>
      </c>
      <c r="F31" s="329" t="s">
        <v>171</v>
      </c>
      <c r="G31" s="329" t="s">
        <v>6</v>
      </c>
      <c r="L31" s="368">
        <v>4</v>
      </c>
      <c r="M31" s="368" t="s">
        <v>202</v>
      </c>
      <c r="N31" s="368">
        <v>21</v>
      </c>
      <c r="O31" s="368" t="s">
        <v>203</v>
      </c>
      <c r="P31" s="369">
        <f t="shared" si="2"/>
        <v>457</v>
      </c>
    </row>
    <row r="32" spans="1:45" ht="15.75" customHeight="1">
      <c r="B32" s="321">
        <v>10</v>
      </c>
      <c r="C32" s="322">
        <f t="shared" si="1"/>
        <v>1775</v>
      </c>
      <c r="D32" s="323">
        <f t="shared" si="3"/>
        <v>90</v>
      </c>
      <c r="E32" s="332">
        <f>147-57</f>
        <v>90</v>
      </c>
      <c r="F32" s="329" t="s">
        <v>176</v>
      </c>
      <c r="G32" s="329" t="s">
        <v>3</v>
      </c>
      <c r="L32" s="368">
        <v>20</v>
      </c>
      <c r="M32" s="368" t="s">
        <v>202</v>
      </c>
      <c r="N32" s="368">
        <v>21</v>
      </c>
      <c r="O32" s="368" t="s">
        <v>203</v>
      </c>
      <c r="P32" s="369">
        <f t="shared" si="2"/>
        <v>841</v>
      </c>
    </row>
    <row r="33" spans="1:16" ht="15.75" customHeight="1">
      <c r="B33" s="315">
        <v>11</v>
      </c>
      <c r="C33" s="316">
        <f t="shared" si="1"/>
        <v>1967</v>
      </c>
      <c r="D33" s="317">
        <f t="shared" si="3"/>
        <v>282</v>
      </c>
      <c r="E33" s="330">
        <f>225+57</f>
        <v>282</v>
      </c>
      <c r="F33" s="331" t="s">
        <v>119</v>
      </c>
      <c r="G33" s="331" t="s">
        <v>14</v>
      </c>
      <c r="L33" s="368">
        <v>5</v>
      </c>
      <c r="M33" s="368" t="s">
        <v>202</v>
      </c>
      <c r="N33" s="368">
        <v>29</v>
      </c>
      <c r="O33" s="368" t="s">
        <v>203</v>
      </c>
      <c r="P33" s="369">
        <f t="shared" si="2"/>
        <v>866</v>
      </c>
    </row>
    <row r="34" spans="1:16" ht="15.75" customHeight="1">
      <c r="B34" s="321">
        <v>12</v>
      </c>
      <c r="C34" s="322">
        <f t="shared" si="1"/>
        <v>2159</v>
      </c>
      <c r="D34" s="323">
        <f t="shared" si="3"/>
        <v>137</v>
      </c>
      <c r="E34" s="332">
        <f>100+37</f>
        <v>137</v>
      </c>
      <c r="F34" s="329" t="s">
        <v>120</v>
      </c>
      <c r="G34" s="329" t="s">
        <v>1</v>
      </c>
      <c r="L34" s="368">
        <v>16</v>
      </c>
      <c r="M34" s="368" t="s">
        <v>202</v>
      </c>
      <c r="N34" s="368">
        <v>29</v>
      </c>
      <c r="O34" s="368" t="s">
        <v>203</v>
      </c>
      <c r="P34" s="369">
        <f t="shared" si="2"/>
        <v>1097</v>
      </c>
    </row>
    <row r="35" spans="1:16" ht="15.75" customHeight="1">
      <c r="B35" s="321">
        <v>13</v>
      </c>
      <c r="C35" s="322">
        <f t="shared" si="1"/>
        <v>2351</v>
      </c>
      <c r="D35" s="323">
        <f t="shared" si="3"/>
        <v>329</v>
      </c>
      <c r="E35" s="332">
        <f>192+100+37</f>
        <v>329</v>
      </c>
      <c r="F35" s="329" t="s">
        <v>172</v>
      </c>
      <c r="G35" s="329" t="s">
        <v>14</v>
      </c>
    </row>
    <row r="36" spans="1:16" ht="15.75" customHeight="1">
      <c r="B36" s="315">
        <v>14</v>
      </c>
      <c r="C36" s="316">
        <f t="shared" si="1"/>
        <v>2543</v>
      </c>
      <c r="D36" s="317">
        <f t="shared" si="3"/>
        <v>184</v>
      </c>
      <c r="E36" s="330">
        <f>147+37</f>
        <v>184</v>
      </c>
      <c r="F36" s="331" t="s">
        <v>177</v>
      </c>
      <c r="G36" s="331" t="s">
        <v>4</v>
      </c>
    </row>
    <row r="37" spans="1:16" ht="15.75" customHeight="1">
      <c r="B37" s="321">
        <v>15</v>
      </c>
      <c r="C37" s="322">
        <f t="shared" si="1"/>
        <v>2735</v>
      </c>
      <c r="D37" s="323">
        <f t="shared" si="3"/>
        <v>39</v>
      </c>
      <c r="E37" s="324">
        <f>100-61</f>
        <v>39</v>
      </c>
      <c r="F37" s="325" t="s">
        <v>178</v>
      </c>
      <c r="G37" s="325" t="s">
        <v>12</v>
      </c>
    </row>
    <row r="38" spans="1:16" ht="15.75" customHeight="1">
      <c r="B38" s="321">
        <v>16</v>
      </c>
      <c r="C38" s="322">
        <f t="shared" si="1"/>
        <v>2927</v>
      </c>
      <c r="D38" s="323">
        <f t="shared" si="3"/>
        <v>231</v>
      </c>
      <c r="E38" s="332">
        <f>192+100-61</f>
        <v>231</v>
      </c>
      <c r="F38" s="329" t="s">
        <v>173</v>
      </c>
      <c r="G38" s="329" t="s">
        <v>2</v>
      </c>
    </row>
    <row r="39" spans="1:16" ht="15.75" customHeight="1">
      <c r="B39" s="321">
        <v>17</v>
      </c>
      <c r="C39" s="322">
        <f t="shared" si="1"/>
        <v>3119</v>
      </c>
      <c r="D39" s="323">
        <f t="shared" si="3"/>
        <v>86</v>
      </c>
      <c r="E39" s="332">
        <f>147-61</f>
        <v>86</v>
      </c>
      <c r="F39" s="329" t="s">
        <v>179</v>
      </c>
      <c r="G39" s="329" t="s">
        <v>6</v>
      </c>
    </row>
    <row r="40" spans="1:16" ht="15.75" customHeight="1">
      <c r="B40" s="227"/>
      <c r="C40" s="227"/>
      <c r="D40" s="227"/>
      <c r="E40" s="227"/>
      <c r="F40" s="227"/>
    </row>
    <row r="43" spans="1:16" ht="15.75" customHeight="1">
      <c r="H43" s="359" t="s">
        <v>182</v>
      </c>
      <c r="J43" s="359" t="s">
        <v>190</v>
      </c>
    </row>
    <row r="44" spans="1:16" ht="15.75" customHeight="1">
      <c r="A44" s="341">
        <v>115</v>
      </c>
      <c r="B44" s="342" t="s">
        <v>185</v>
      </c>
      <c r="C44" s="342"/>
      <c r="D44" s="342"/>
      <c r="E44" s="342"/>
      <c r="F44" s="343">
        <f>SQRT(2*(A44*A44))</f>
        <v>162.63455967290594</v>
      </c>
      <c r="G44" s="343"/>
      <c r="H44" s="360">
        <v>162</v>
      </c>
      <c r="I44" s="343"/>
      <c r="J44" s="366">
        <v>163</v>
      </c>
    </row>
    <row r="45" spans="1:16" ht="15.75" customHeight="1">
      <c r="A45" s="344">
        <v>126</v>
      </c>
      <c r="B45" s="345" t="s">
        <v>185</v>
      </c>
      <c r="C45" s="345"/>
      <c r="D45" s="345"/>
      <c r="E45" s="345"/>
      <c r="F45" s="346">
        <f>SQRT(2*(A45*A45))</f>
        <v>178.19090885900997</v>
      </c>
      <c r="G45" s="346"/>
      <c r="H45" s="361">
        <v>178</v>
      </c>
      <c r="I45" s="346"/>
      <c r="J45" s="361">
        <v>178</v>
      </c>
    </row>
    <row r="46" spans="1:16" ht="15.75" customHeight="1">
      <c r="A46" s="341">
        <v>136</v>
      </c>
      <c r="B46" s="342" t="s">
        <v>185</v>
      </c>
      <c r="C46" s="342"/>
      <c r="D46" s="342"/>
      <c r="E46" s="342"/>
      <c r="F46" s="343">
        <f>SQRT(2*(A46*A46))</f>
        <v>192.33304448274092</v>
      </c>
      <c r="G46" s="343"/>
      <c r="H46" s="360">
        <v>192</v>
      </c>
      <c r="I46" s="343"/>
      <c r="J46" s="360">
        <v>192</v>
      </c>
    </row>
    <row r="47" spans="1:16" ht="15.75" customHeight="1">
      <c r="A47" s="341">
        <v>178</v>
      </c>
      <c r="B47" s="342" t="s">
        <v>186</v>
      </c>
      <c r="C47" s="342"/>
      <c r="D47" s="342"/>
      <c r="E47" s="342"/>
      <c r="F47" s="343">
        <f>SQRT(2*(A47*A47))</f>
        <v>251.73001410241091</v>
      </c>
      <c r="G47" s="343"/>
      <c r="H47" s="360">
        <v>251</v>
      </c>
      <c r="I47" s="343"/>
      <c r="J47" s="366">
        <v>252</v>
      </c>
    </row>
    <row r="48" spans="1:16" ht="15.75" customHeight="1">
      <c r="A48" s="344">
        <v>223</v>
      </c>
      <c r="B48" s="345" t="s">
        <v>185</v>
      </c>
      <c r="C48" s="345"/>
      <c r="D48" s="345"/>
      <c r="E48" s="345"/>
      <c r="F48" s="346">
        <f>SQRT(2*(A48*A48))</f>
        <v>315.36962440920018</v>
      </c>
      <c r="G48" s="346"/>
      <c r="H48" s="361">
        <v>315</v>
      </c>
      <c r="I48" s="346"/>
      <c r="J48" s="361">
        <v>315</v>
      </c>
      <c r="K48" s="361" t="s">
        <v>209</v>
      </c>
    </row>
    <row r="49" spans="1:14" ht="15.75" customHeight="1">
      <c r="A49" s="341">
        <v>239</v>
      </c>
      <c r="B49" s="342" t="s">
        <v>185</v>
      </c>
      <c r="C49" s="342"/>
      <c r="D49" s="342"/>
      <c r="E49" s="342"/>
      <c r="F49" s="343">
        <f>SQRT(2*(A49*A49))</f>
        <v>337.99704140716972</v>
      </c>
      <c r="G49" s="343"/>
      <c r="H49" s="360">
        <v>337</v>
      </c>
      <c r="I49" s="343"/>
      <c r="J49" s="366">
        <v>338</v>
      </c>
    </row>
    <row r="50" spans="1:14" ht="15.75" customHeight="1">
      <c r="A50" s="341">
        <v>307</v>
      </c>
      <c r="B50" s="342" t="s">
        <v>185</v>
      </c>
      <c r="C50" s="342"/>
      <c r="D50" s="342"/>
      <c r="E50" s="342"/>
      <c r="F50" s="343">
        <f>SQRT(2*(A50*A50))</f>
        <v>434.16356364854016</v>
      </c>
      <c r="G50" s="343"/>
      <c r="H50" s="360">
        <v>434</v>
      </c>
      <c r="I50" s="343"/>
      <c r="J50" s="360">
        <v>434</v>
      </c>
      <c r="K50" s="361" t="s">
        <v>210</v>
      </c>
    </row>
    <row r="51" spans="1:14" ht="15.75" customHeight="1">
      <c r="A51" s="347"/>
      <c r="B51" s="348"/>
      <c r="C51" s="348"/>
      <c r="D51" s="333"/>
      <c r="E51" s="333"/>
      <c r="F51" s="333"/>
      <c r="G51" s="333"/>
      <c r="H51" s="333"/>
      <c r="I51" s="333"/>
      <c r="J51" s="333"/>
      <c r="K51" s="333"/>
      <c r="L51" s="333"/>
    </row>
    <row r="52" spans="1:14" ht="15.75" customHeight="1">
      <c r="A52" s="349">
        <v>97</v>
      </c>
      <c r="B52" s="350" t="s">
        <v>187</v>
      </c>
      <c r="C52" s="350"/>
      <c r="D52" s="350"/>
      <c r="E52" s="350"/>
      <c r="F52" s="351">
        <v>125.1</v>
      </c>
      <c r="G52" s="351"/>
      <c r="H52" s="350" t="s">
        <v>183</v>
      </c>
      <c r="I52" s="351"/>
      <c r="J52" s="351"/>
      <c r="K52" s="352"/>
      <c r="L52" s="352"/>
    </row>
    <row r="53" spans="1:14" ht="15.75" customHeight="1">
      <c r="A53" s="349">
        <v>68.3</v>
      </c>
      <c r="B53" s="350" t="s">
        <v>188</v>
      </c>
      <c r="C53" s="350"/>
      <c r="D53" s="350"/>
      <c r="E53" s="350"/>
      <c r="F53" s="351">
        <v>307</v>
      </c>
      <c r="G53" s="351"/>
      <c r="H53" s="350" t="s">
        <v>192</v>
      </c>
      <c r="I53" s="351"/>
      <c r="J53" s="351"/>
      <c r="K53" s="352"/>
      <c r="L53" s="352"/>
      <c r="M53" s="361" t="s">
        <v>208</v>
      </c>
    </row>
    <row r="54" spans="1:14" ht="15.75" customHeight="1">
      <c r="A54" s="353">
        <v>136</v>
      </c>
      <c r="B54" s="354" t="s">
        <v>206</v>
      </c>
      <c r="C54" s="354"/>
      <c r="D54" s="354"/>
      <c r="E54" s="354"/>
      <c r="F54" s="355">
        <v>307.37961925931268</v>
      </c>
      <c r="G54" s="376" t="s">
        <v>211</v>
      </c>
      <c r="H54" s="354" t="s">
        <v>184</v>
      </c>
      <c r="I54" s="355"/>
      <c r="J54" s="355"/>
      <c r="K54" s="356"/>
      <c r="L54" s="356"/>
    </row>
    <row r="55" spans="1:14" ht="15.75" customHeight="1">
      <c r="A55" s="349">
        <v>192.333</v>
      </c>
      <c r="B55" s="350" t="s">
        <v>189</v>
      </c>
      <c r="C55" s="350"/>
      <c r="D55" s="350"/>
      <c r="E55" s="350"/>
      <c r="F55" s="351">
        <v>307.01217058774722</v>
      </c>
      <c r="G55" s="351"/>
      <c r="H55" s="350" t="s">
        <v>183</v>
      </c>
      <c r="I55" s="351"/>
      <c r="J55" s="351"/>
      <c r="K55" s="352"/>
      <c r="L55" s="352"/>
    </row>
    <row r="56" spans="1:14" ht="15.75" customHeight="1">
      <c r="A56" s="348"/>
      <c r="B56" s="348"/>
      <c r="C56" s="348"/>
      <c r="D56" s="333"/>
      <c r="E56" s="333"/>
      <c r="F56" s="357"/>
      <c r="G56" s="333"/>
      <c r="H56" s="333"/>
    </row>
    <row r="57" spans="1:14" ht="15.75" customHeight="1">
      <c r="A57" s="345"/>
      <c r="B57" s="345" t="s">
        <v>191</v>
      </c>
      <c r="C57" s="348"/>
      <c r="D57" s="333"/>
      <c r="E57" s="357"/>
      <c r="G57" s="377" t="s">
        <v>196</v>
      </c>
      <c r="H57" s="378" t="s">
        <v>197</v>
      </c>
      <c r="I57" s="379" t="s">
        <v>198</v>
      </c>
    </row>
    <row r="58" spans="1:14" ht="15.75" customHeight="1">
      <c r="B58" s="345" t="s">
        <v>204</v>
      </c>
      <c r="C58" s="348"/>
      <c r="D58" s="333"/>
      <c r="E58" s="357"/>
      <c r="F58" s="152" t="s">
        <v>200</v>
      </c>
      <c r="G58" s="226">
        <v>38</v>
      </c>
      <c r="H58" s="380">
        <v>57</v>
      </c>
      <c r="I58" s="381">
        <v>6.5</v>
      </c>
      <c r="J58" s="362" t="s">
        <v>193</v>
      </c>
    </row>
    <row r="59" spans="1:14" ht="15.75" customHeight="1">
      <c r="B59" s="358" t="s">
        <v>205</v>
      </c>
      <c r="C59" s="348"/>
      <c r="D59" s="333"/>
      <c r="E59" s="357"/>
      <c r="F59" s="152" t="s">
        <v>200</v>
      </c>
      <c r="G59" s="226">
        <v>77</v>
      </c>
      <c r="H59" s="380">
        <v>8</v>
      </c>
      <c r="I59" s="382">
        <v>44</v>
      </c>
      <c r="J59" s="362" t="s">
        <v>194</v>
      </c>
    </row>
    <row r="60" spans="1:14" ht="15.75" customHeight="1" thickBot="1">
      <c r="B60" s="345" t="s">
        <v>207</v>
      </c>
      <c r="C60" s="348"/>
      <c r="D60" s="333"/>
      <c r="E60" s="357"/>
      <c r="F60" s="365" t="s">
        <v>201</v>
      </c>
      <c r="G60" s="383">
        <v>63</v>
      </c>
      <c r="H60" s="384">
        <v>54</v>
      </c>
      <c r="I60" s="385">
        <v>9.5</v>
      </c>
      <c r="J60" s="130" t="s">
        <v>195</v>
      </c>
      <c r="L60" s="365"/>
    </row>
    <row r="61" spans="1:14" ht="15.75" customHeight="1" thickTop="1">
      <c r="B61" s="348"/>
      <c r="C61" s="348"/>
      <c r="D61" s="333"/>
      <c r="E61" s="357"/>
      <c r="F61" s="152" t="s">
        <v>199</v>
      </c>
      <c r="G61" s="364">
        <f>SUM(G58:G60)</f>
        <v>178</v>
      </c>
      <c r="H61" s="364">
        <f t="shared" ref="H61:I61" si="4">SUM(H58:H60)</f>
        <v>119</v>
      </c>
      <c r="I61" s="364">
        <f>SUM(I58:I60)</f>
        <v>60</v>
      </c>
    </row>
    <row r="62" spans="1:14" ht="15.75" customHeight="1">
      <c r="N62" s="363"/>
    </row>
    <row r="63" spans="1:14" ht="15.75" customHeight="1">
      <c r="N63" s="363"/>
    </row>
    <row r="64" spans="1:14" ht="15.75" customHeight="1">
      <c r="N64" s="363"/>
    </row>
  </sheetData>
  <sortState ref="I5:Y19">
    <sortCondition ref="J5:J19"/>
  </sortState>
  <pageMargins left="0.25" right="0.2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SCHEIDT_METHOD</vt:lpstr>
      <vt:lpstr>MISC._AND_ALTS.</vt:lpstr>
      <vt:lpstr>EXPLANATIONS</vt:lpstr>
      <vt:lpstr>SECTION_1</vt:lpstr>
      <vt:lpstr>SECTION_2</vt:lpstr>
      <vt:lpstr>SQ.SUMS</vt:lpstr>
      <vt:lpstr>STEPWISE</vt:lpstr>
      <vt:lpstr>TRIG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G. ELLIS</dc:creator>
  <cp:lastModifiedBy>CARL G. ELLIS</cp:lastModifiedBy>
  <cp:lastPrinted>2010-04-30T17:13:04Z</cp:lastPrinted>
  <dcterms:created xsi:type="dcterms:W3CDTF">2009-05-24T00:52:15Z</dcterms:created>
  <dcterms:modified xsi:type="dcterms:W3CDTF">2011-04-08T21:47:21Z</dcterms:modified>
</cp:coreProperties>
</file>