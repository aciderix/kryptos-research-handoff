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45" windowWidth="20775" windowHeight="9420" tabRatio="344"/>
  </bookViews>
  <sheets>
    <sheet name="Sheet2" sheetId="7" r:id="rId1"/>
  </sheets>
  <definedNames>
    <definedName name="AS_THE_RIVER_THAWS_EACH_SPRING">#REF!</definedName>
    <definedName name="BEGINS_ENDS" localSheetId="0">Sheet2!$A$46:$L$108</definedName>
    <definedName name="COMPLETE_TEXT" localSheetId="0">Sheet2!$A$1:$M$45</definedName>
    <definedName name="ENGINE_143">#REF!</definedName>
    <definedName name="MASSACHUSETS">#REF!</definedName>
    <definedName name="MASSASAUGAS">#REF!</definedName>
    <definedName name="MISSISSIPPI">#REF!,#REF!</definedName>
    <definedName name="SASSAFRAS">#REF!</definedName>
    <definedName name="SUCCESSES">#REF!</definedName>
    <definedName name="TEST_DEVICE_1">#REF!</definedName>
    <definedName name="TRESPASSERS">#REF!</definedName>
    <definedName name="UNUSED" localSheetId="0">Sheet2!$N$27:$AW$77</definedName>
    <definedName name="USED_ON_KRYPTOS" localSheetId="0">Sheet2!$N$1:$AW$26</definedName>
  </definedNames>
  <calcPr calcId="125725"/>
</workbook>
</file>

<file path=xl/calcChain.xml><?xml version="1.0" encoding="utf-8"?>
<calcChain xmlns="http://schemas.openxmlformats.org/spreadsheetml/2006/main">
  <c r="N76" i="7"/>
  <c r="AW75"/>
  <c r="AW73"/>
  <c r="AW71"/>
  <c r="AW69"/>
  <c r="AW67"/>
  <c r="AW65"/>
  <c r="AW63"/>
  <c r="AW76" s="1"/>
  <c r="N60"/>
  <c r="AW59"/>
  <c r="AW57"/>
  <c r="AW55"/>
  <c r="AW53"/>
  <c r="AW51"/>
  <c r="AW49"/>
  <c r="AW47"/>
  <c r="AW45"/>
  <c r="AW43"/>
  <c r="AW41"/>
  <c r="AW39"/>
  <c r="AW37"/>
  <c r="AW35"/>
  <c r="AW33"/>
  <c r="AW31"/>
  <c r="AW60" s="1"/>
  <c r="N25"/>
  <c r="AW24"/>
  <c r="AW22"/>
  <c r="AW20"/>
  <c r="AW18"/>
  <c r="AW16"/>
  <c r="AW14"/>
  <c r="AW12"/>
  <c r="AW10"/>
  <c r="AW8"/>
  <c r="AW6"/>
  <c r="AW4"/>
  <c r="AW25" s="1"/>
  <c r="AW78" l="1"/>
  <c r="AW80"/>
  <c r="AW82" s="1"/>
  <c r="AW83" s="1"/>
</calcChain>
</file>

<file path=xl/sharedStrings.xml><?xml version="1.0" encoding="utf-8"?>
<sst xmlns="http://schemas.openxmlformats.org/spreadsheetml/2006/main" count="1363" uniqueCount="119">
  <si>
    <t>F</t>
  </si>
  <si>
    <t>A</t>
  </si>
  <si>
    <t>E</t>
  </si>
  <si>
    <t>G</t>
  </si>
  <si>
    <t>I</t>
  </si>
  <si>
    <t>R</t>
  </si>
  <si>
    <t>T</t>
  </si>
  <si>
    <t>M</t>
  </si>
  <si>
    <t>N</t>
  </si>
  <si>
    <t>U</t>
  </si>
  <si>
    <t>V</t>
  </si>
  <si>
    <t>W</t>
  </si>
  <si>
    <t>K</t>
  </si>
  <si>
    <t>Y</t>
  </si>
  <si>
    <t>P</t>
  </si>
  <si>
    <t>O</t>
  </si>
  <si>
    <t>S</t>
  </si>
  <si>
    <t>B</t>
  </si>
  <si>
    <t>C</t>
  </si>
  <si>
    <t>D</t>
  </si>
  <si>
    <t>H</t>
  </si>
  <si>
    <t>J</t>
  </si>
  <si>
    <t>L</t>
  </si>
  <si>
    <t>"jfoulk1981" &lt;jfoulk1981@...&gt;</t>
  </si>
  <si>
    <t>Sun Dec 5, 2010 2:21 am</t>
  </si>
  <si>
    <t>s</t>
  </si>
  <si>
    <t>l</t>
  </si>
  <si>
    <t>o</t>
  </si>
  <si>
    <t>w</t>
  </si>
  <si>
    <t>y</t>
  </si>
  <si>
    <t>d</t>
  </si>
  <si>
    <t>e</t>
  </si>
  <si>
    <t>p</t>
  </si>
  <si>
    <t>a</t>
  </si>
  <si>
    <t>r</t>
  </si>
  <si>
    <t>t</t>
  </si>
  <si>
    <t>h</t>
  </si>
  <si>
    <t>m</t>
  </si>
  <si>
    <t>i</t>
  </si>
  <si>
    <t>n</t>
  </si>
  <si>
    <t>Someone may have already noticed this but I'll throw it out there. When I</t>
  </si>
  <si>
    <t>compared the deciphered text of K3 to the actual passage being paraphrased I</t>
  </si>
  <si>
    <t>f</t>
  </si>
  <si>
    <t>g</t>
  </si>
  <si>
    <t>b</t>
  </si>
  <si>
    <t>c</t>
  </si>
  <si>
    <t>u</t>
  </si>
  <si>
    <t>noticed something in the word count. The passage:</t>
  </si>
  <si>
    <t>v</t>
  </si>
  <si>
    <r>
      <t xml:space="preserve">"Slowly, desperately slowly </t>
    </r>
    <r>
      <rPr>
        <sz val="12"/>
        <color indexed="10"/>
        <rFont val="Verdana"/>
        <family val="2"/>
      </rPr>
      <t>it seemed to us as we watched</t>
    </r>
    <r>
      <rPr>
        <sz val="12"/>
        <rFont val="Verdana"/>
        <family val="2"/>
      </rPr>
      <t>, the remains of</t>
    </r>
  </si>
  <si>
    <r>
      <t xml:space="preserve">passage debris that encumbered the lower part of the doorway </t>
    </r>
    <r>
      <rPr>
        <sz val="12"/>
        <color indexed="14"/>
        <rFont val="Verdana"/>
        <family val="2"/>
      </rPr>
      <t>were</t>
    </r>
    <r>
      <rPr>
        <sz val="12"/>
        <rFont val="Verdana"/>
        <family val="2"/>
      </rPr>
      <t xml:space="preserve"> </t>
    </r>
    <r>
      <rPr>
        <sz val="12"/>
        <color indexed="12"/>
        <rFont val="Verdana"/>
        <family val="2"/>
      </rPr>
      <t>[was]</t>
    </r>
    <r>
      <rPr>
        <sz val="12"/>
        <rFont val="Verdana"/>
        <family val="2"/>
      </rPr>
      <t xml:space="preserve"> </t>
    </r>
  </si>
  <si>
    <r>
      <t xml:space="preserve">removed, </t>
    </r>
    <r>
      <rPr>
        <sz val="12"/>
        <color indexed="10"/>
        <rFont val="Verdana"/>
        <family val="2"/>
      </rPr>
      <t xml:space="preserve">until at last we had the whole door clear before us. The decisive moment </t>
    </r>
  </si>
  <si>
    <r>
      <rPr>
        <sz val="12"/>
        <color indexed="10"/>
        <rFont val="Verdana"/>
        <family val="2"/>
      </rPr>
      <t>had arrived.</t>
    </r>
    <r>
      <rPr>
        <sz val="12"/>
        <rFont val="Verdana"/>
        <family val="2"/>
      </rPr>
      <t xml:space="preserve">  With trembling hands I made a tiny breach in the upper left hand </t>
    </r>
  </si>
  <si>
    <r>
      <t xml:space="preserve">corner.  </t>
    </r>
    <r>
      <rPr>
        <sz val="12"/>
        <color indexed="10"/>
        <rFont val="Verdana"/>
        <family val="2"/>
      </rPr>
      <t xml:space="preserve">Darkness and blank space, as far as an iron testing-rod could reach, showed </t>
    </r>
  </si>
  <si>
    <t>that whatever lay beyond was empty, and not filled like the passage we had just</t>
  </si>
  <si>
    <t>cleared. Candle tests were applied as a precaution against possible foul gases,</t>
  </si>
  <si>
    <r>
      <t xml:space="preserve">and then, widening the hole a little, I inserted the candle and peered in, </t>
    </r>
    <r>
      <rPr>
        <sz val="12"/>
        <color indexed="10"/>
        <rFont val="Verdana"/>
        <family val="2"/>
      </rPr>
      <t>Lord</t>
    </r>
  </si>
  <si>
    <t>Carnarvon, Lady Evelyn [Lord Carnarvon's daughter] and Callender [an assistant]</t>
  </si>
  <si>
    <t>standing anxiously beside me to hear the verdict. At first I could see nothing,</t>
  </si>
  <si>
    <r>
      <t xml:space="preserve">the hot air escaping from the chamber </t>
    </r>
    <r>
      <rPr>
        <sz val="12"/>
        <color indexed="14"/>
        <rFont val="Verdana"/>
        <family val="2"/>
      </rPr>
      <t>causing</t>
    </r>
    <r>
      <rPr>
        <sz val="12"/>
        <rFont val="Verdana"/>
        <family val="2"/>
      </rPr>
      <t xml:space="preserve"> </t>
    </r>
    <r>
      <rPr>
        <sz val="12"/>
        <color indexed="12"/>
        <rFont val="Verdana"/>
        <family val="2"/>
      </rPr>
      <t>[caused]</t>
    </r>
    <r>
      <rPr>
        <sz val="12"/>
        <rFont val="Verdana"/>
        <family val="2"/>
      </rPr>
      <t xml:space="preserve"> the </t>
    </r>
    <r>
      <rPr>
        <sz val="12"/>
        <color indexed="10"/>
        <rFont val="Verdana"/>
        <family val="2"/>
      </rPr>
      <t>candle</t>
    </r>
    <r>
      <rPr>
        <sz val="12"/>
        <rFont val="Verdana"/>
        <family val="2"/>
      </rPr>
      <t xml:space="preserve"> flame to flicker, but</t>
    </r>
  </si>
  <si>
    <r>
      <t xml:space="preserve">presently, </t>
    </r>
    <r>
      <rPr>
        <sz val="12"/>
        <color indexed="10"/>
        <rFont val="Verdana"/>
        <family val="2"/>
      </rPr>
      <t>as my eyes grew accustomed to the light,</t>
    </r>
    <r>
      <rPr>
        <sz val="12"/>
        <rFont val="Verdana"/>
        <family val="2"/>
      </rPr>
      <t xml:space="preserve"> details of the room within</t>
    </r>
  </si>
  <si>
    <t>k</t>
  </si>
  <si>
    <r>
      <t xml:space="preserve">emerged </t>
    </r>
    <r>
      <rPr>
        <sz val="12"/>
        <color indexed="10"/>
        <rFont val="Verdana"/>
        <family val="2"/>
      </rPr>
      <t>slowly</t>
    </r>
    <r>
      <rPr>
        <sz val="12"/>
        <rFont val="Verdana"/>
        <family val="2"/>
      </rPr>
      <t xml:space="preserve"> from the mist</t>
    </r>
    <r>
      <rPr>
        <sz val="12"/>
        <color indexed="10"/>
        <rFont val="Verdana"/>
        <family val="2"/>
      </rPr>
      <t>, strange animals, statues, and gold - everywhere</t>
    </r>
  </si>
  <si>
    <t>the glint of gold. For the moment - an eternity it must have seemed to the</t>
  </si>
  <si>
    <t>others standing by - I was struck dumb with amazement, and when Lord Carnarvon,</t>
  </si>
  <si>
    <r>
      <rPr>
        <sz val="12"/>
        <color indexed="10"/>
        <rFont val="Verdana"/>
        <family val="2"/>
      </rPr>
      <t>unable to stand the suspense any longer, inquired anxiously,</t>
    </r>
    <r>
      <rPr>
        <sz val="12"/>
        <rFont val="Verdana"/>
        <family val="2"/>
      </rPr>
      <t xml:space="preserve"> 'Can you see</t>
    </r>
  </si>
  <si>
    <t>x</t>
  </si>
  <si>
    <t>q</t>
  </si>
  <si>
    <t>&lt;336</t>
  </si>
  <si>
    <t>anything?' "</t>
  </si>
  <si>
    <t>73 words, 2 punct.</t>
  </si>
  <si>
    <t>When you stop at the X in the deciphered paraphrasing and remove the words</t>
  </si>
  <si>
    <t>Sanborn chose to include you are left with exactly 97 words. Coincidence?</t>
  </si>
  <si>
    <t>Maybe. But maybe not.</t>
  </si>
  <si>
    <t>--- In Kryptos@yahoogroups.com, "Meg/Carl Ellis" &lt;megellis1@...&gt; wrote:</t>
  </si>
  <si>
    <t>&gt;</t>
  </si>
  <si>
    <t>&gt; I get One Hundred Thirty-five, not 97. How are you counting this?</t>
  </si>
  <si>
    <t>&gt; Carl Ellis</t>
  </si>
  <si>
    <t>jfoulk1981 &lt;jfoulk1981@yahoo.com&gt;</t>
  </si>
  <si>
    <t>Sunday, December 05, 2010 3:55 PM</t>
  </si>
  <si>
    <t xml:space="preserve">First remove the paraphrasing used in kryptos. Then remove all text after where </t>
  </si>
  <si>
    <t xml:space="preserve">the X would be in the paraphrase "XCanyouseeanythingQ?".  You are left with </t>
  </si>
  <si>
    <t xml:space="preserve">97 words. I triple checked the count in ms word. The reason why it might be </t>
  </si>
  <si>
    <t>j</t>
  </si>
  <si>
    <t>useful is there is a steganography method for natural language involving paraphrasing.</t>
  </si>
  <si>
    <t>INITIAL</t>
  </si>
  <si>
    <t>FINAL</t>
  </si>
  <si>
    <t>z</t>
  </si>
  <si>
    <t>K3 w/o the "x" &amp; "q" which are not part of Carter's passage:</t>
  </si>
  <si>
    <t>≡</t>
  </si>
  <si>
    <t>is identical to</t>
  </si>
  <si>
    <t>≅</t>
  </si>
  <si>
    <t>is approx'ly. equal to</t>
  </si>
  <si>
    <t>≒</t>
  </si>
  <si>
    <r>
      <t xml:space="preserve">" " " " </t>
    </r>
    <r>
      <rPr>
        <i/>
        <sz val="10"/>
        <color indexed="8"/>
        <rFont val="Verdana"/>
        <family val="2"/>
      </rPr>
      <t>or</t>
    </r>
    <r>
      <rPr>
        <sz val="10"/>
        <color indexed="8"/>
        <rFont val="Verdana"/>
        <family val="2"/>
      </rPr>
      <t xml:space="preserve"> image of</t>
    </r>
  </si>
  <si>
    <t>≙</t>
  </si>
  <si>
    <t>estimates</t>
  </si>
  <si>
    <t>≝</t>
  </si>
  <si>
    <t>equal by definition</t>
  </si>
  <si>
    <t>≈</t>
  </si>
  <si>
    <t>almost equal</t>
  </si>
  <si>
    <t>≠</t>
  </si>
  <si>
    <t>not equal</t>
  </si>
  <si>
    <t>∝</t>
  </si>
  <si>
    <t>proportional to</t>
  </si>
  <si>
    <t>≪</t>
  </si>
  <si>
    <t>much less than</t>
  </si>
  <si>
    <t>≫</t>
  </si>
  <si>
    <t>much greater than</t>
  </si>
  <si>
    <t>≃</t>
  </si>
  <si>
    <t>asymptotically equal</t>
  </si>
  <si>
    <t>∧</t>
  </si>
  <si>
    <t>and</t>
  </si>
  <si>
    <t>∨</t>
  </si>
  <si>
    <t>or</t>
  </si>
  <si>
    <t>∴</t>
  </si>
  <si>
    <t>Therefore</t>
  </si>
  <si>
    <t>∵</t>
  </si>
  <si>
    <t>Because</t>
  </si>
</sst>
</file>

<file path=xl/styles.xml><?xml version="1.0" encoding="utf-8"?>
<styleSheet xmlns="http://schemas.openxmlformats.org/spreadsheetml/2006/main">
  <numFmts count="2">
    <numFmt numFmtId="164" formatCode="0.0000000"/>
    <numFmt numFmtId="165" formatCode="0.00000"/>
  </numFmts>
  <fonts count="36">
    <font>
      <sz val="11"/>
      <color theme="1"/>
      <name val="Calibri"/>
      <family val="2"/>
      <scheme val="minor"/>
    </font>
    <font>
      <b/>
      <sz val="12"/>
      <color theme="9" tint="-0.249977111117893"/>
      <name val="Verdana"/>
      <family val="2"/>
    </font>
    <font>
      <b/>
      <sz val="10"/>
      <color rgb="FF00B050"/>
      <name val="Verdana"/>
      <family val="2"/>
    </font>
    <font>
      <b/>
      <sz val="12"/>
      <color rgb="FF00B050"/>
      <name val="Verdana"/>
      <family val="2"/>
    </font>
    <font>
      <b/>
      <sz val="10"/>
      <color theme="9" tint="-0.249977111117893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i/>
      <sz val="8"/>
      <color rgb="FF00B050"/>
      <name val="Verdana"/>
      <family val="2"/>
    </font>
    <font>
      <sz val="10"/>
      <color rgb="FF00B050"/>
      <name val="Verdana"/>
      <family val="2"/>
    </font>
    <font>
      <sz val="12"/>
      <color indexed="60"/>
      <name val="Verdana"/>
      <family val="2"/>
    </font>
    <font>
      <sz val="12"/>
      <color theme="3" tint="0.39997558519241921"/>
      <name val="Verdana"/>
      <family val="2"/>
    </font>
    <font>
      <sz val="12"/>
      <color indexed="10"/>
      <name val="Verdana"/>
      <family val="2"/>
    </font>
    <font>
      <sz val="12"/>
      <color indexed="14"/>
      <name val="Verdana"/>
      <family val="2"/>
    </font>
    <font>
      <sz val="12"/>
      <color indexed="12"/>
      <name val="Verdana"/>
      <family val="2"/>
    </font>
    <font>
      <sz val="12"/>
      <color rgb="FFFF0000"/>
      <name val="Verdana"/>
      <family val="2"/>
    </font>
    <font>
      <b/>
      <sz val="12"/>
      <color indexed="55"/>
      <name val="Verdana"/>
      <family val="2"/>
    </font>
    <font>
      <sz val="8"/>
      <color indexed="60"/>
      <name val="Verdana"/>
      <family val="2"/>
    </font>
    <font>
      <i/>
      <sz val="8"/>
      <color theme="9" tint="-0.249977111117893"/>
      <name val="Verdana"/>
      <family val="2"/>
    </font>
    <font>
      <sz val="10"/>
      <color theme="3" tint="0.39997558519241921"/>
      <name val="Verdana"/>
      <family val="2"/>
    </font>
    <font>
      <u/>
      <sz val="10"/>
      <color theme="10"/>
      <name val="Arial"/>
      <family val="2"/>
    </font>
    <font>
      <u/>
      <sz val="10"/>
      <color theme="10"/>
      <name val="Verdana"/>
      <family val="2"/>
    </font>
    <font>
      <sz val="11"/>
      <name val="Verdana"/>
      <family val="2"/>
    </font>
    <font>
      <b/>
      <i/>
      <sz val="12"/>
      <color rgb="FFD60093"/>
      <name val="Verdana"/>
      <family val="2"/>
    </font>
    <font>
      <b/>
      <sz val="10"/>
      <color rgb="FFD60093"/>
      <name val="Verdana"/>
      <family val="2"/>
    </font>
    <font>
      <b/>
      <i/>
      <sz val="12"/>
      <color theme="3" tint="0.39997558519241921"/>
      <name val="Verdana"/>
      <family val="2"/>
    </font>
    <font>
      <b/>
      <sz val="10"/>
      <color theme="3" tint="0.39997558519241921"/>
      <name val="Verdana"/>
      <family val="2"/>
    </font>
    <font>
      <b/>
      <sz val="12"/>
      <color rgb="FFC00000"/>
      <name val="Verdana"/>
      <family val="2"/>
    </font>
    <font>
      <b/>
      <sz val="12"/>
      <color rgb="FF3399FF"/>
      <name val="Verdana"/>
      <family val="2"/>
    </font>
    <font>
      <b/>
      <sz val="10"/>
      <color rgb="FF3399FF"/>
      <name val="Verdana"/>
      <family val="2"/>
    </font>
    <font>
      <b/>
      <sz val="12"/>
      <color theme="1"/>
      <name val="Verdana"/>
      <family val="2"/>
    </font>
    <font>
      <sz val="10"/>
      <color theme="1"/>
      <name val="Verdana"/>
      <family val="2"/>
    </font>
    <font>
      <sz val="8"/>
      <name val="Verdana"/>
      <family val="2"/>
    </font>
    <font>
      <i/>
      <sz val="10"/>
      <color indexed="8"/>
      <name val="Verdana"/>
      <family val="2"/>
    </font>
    <font>
      <sz val="10"/>
      <color indexed="8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7">
    <border>
      <left/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ck">
        <color rgb="FF00B050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5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52"/>
      </bottom>
      <diagonal/>
    </border>
    <border>
      <left style="hair">
        <color indexed="64"/>
      </left>
      <right/>
      <top style="hair">
        <color indexed="64"/>
      </top>
      <bottom style="thin">
        <color indexed="52"/>
      </bottom>
      <diagonal/>
    </border>
    <border>
      <left style="thick">
        <color rgb="FF00B050"/>
      </left>
      <right style="hair">
        <color indexed="64"/>
      </right>
      <top style="hair">
        <color indexed="64"/>
      </top>
      <bottom style="thin">
        <color indexed="5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52"/>
      </bottom>
      <diagonal/>
    </border>
    <border>
      <left style="thin">
        <color indexed="64"/>
      </left>
      <right/>
      <top/>
      <bottom style="thin">
        <color theme="9" tint="-0.499984740745262"/>
      </bottom>
      <diagonal/>
    </border>
    <border>
      <left/>
      <right style="hair">
        <color indexed="64"/>
      </right>
      <top style="thin">
        <color indexed="5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5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52"/>
      </top>
      <bottom style="hair">
        <color indexed="64"/>
      </bottom>
      <diagonal/>
    </border>
    <border>
      <left style="thin">
        <color indexed="64"/>
      </left>
      <right/>
      <top style="thin">
        <color indexed="52"/>
      </top>
      <bottom/>
      <diagonal/>
    </border>
    <border>
      <left/>
      <right/>
      <top style="thin">
        <color indexed="52"/>
      </top>
      <bottom/>
      <diagonal/>
    </border>
    <border>
      <left/>
      <right/>
      <top style="thin">
        <color theme="9" tint="-0.499984740745262"/>
      </top>
      <bottom/>
      <diagonal/>
    </border>
    <border>
      <left style="thin">
        <color indexed="64"/>
      </left>
      <right/>
      <top/>
      <bottom style="thin">
        <color indexed="52"/>
      </bottom>
      <diagonal/>
    </border>
    <border>
      <left/>
      <right/>
      <top/>
      <bottom style="thin">
        <color indexed="52"/>
      </bottom>
      <diagonal/>
    </border>
    <border>
      <left style="hair">
        <color indexed="64"/>
      </left>
      <right/>
      <top style="thin">
        <color indexed="52"/>
      </top>
      <bottom style="hair">
        <color indexed="64"/>
      </bottom>
      <diagonal/>
    </border>
    <border>
      <left style="thick">
        <color rgb="FF00B050"/>
      </left>
      <right style="hair">
        <color indexed="64"/>
      </right>
      <top style="thin">
        <color indexed="52"/>
      </top>
      <bottom style="hair">
        <color indexed="64"/>
      </bottom>
      <diagonal/>
    </border>
    <border>
      <left/>
      <right style="hair">
        <color indexed="64"/>
      </right>
      <top style="thin">
        <color indexed="52"/>
      </top>
      <bottom style="hair">
        <color indexed="52"/>
      </bottom>
      <diagonal/>
    </border>
    <border>
      <left style="hair">
        <color indexed="64"/>
      </left>
      <right style="hair">
        <color indexed="64"/>
      </right>
      <top style="thin">
        <color indexed="52"/>
      </top>
      <bottom style="hair">
        <color indexed="52"/>
      </bottom>
      <diagonal/>
    </border>
    <border>
      <left style="hair">
        <color indexed="64"/>
      </left>
      <right/>
      <top style="thin">
        <color indexed="52"/>
      </top>
      <bottom style="hair">
        <color indexed="52"/>
      </bottom>
      <diagonal/>
    </border>
    <border>
      <left style="thick">
        <color rgb="FF00B050"/>
      </left>
      <right style="hair">
        <color indexed="64"/>
      </right>
      <top style="thin">
        <color indexed="52"/>
      </top>
      <bottom style="hair">
        <color indexed="52"/>
      </bottom>
      <diagonal/>
    </border>
    <border>
      <left style="hair">
        <color indexed="64"/>
      </left>
      <right style="thin">
        <color indexed="64"/>
      </right>
      <top style="thin">
        <color indexed="52"/>
      </top>
      <bottom style="hair">
        <color indexed="52"/>
      </bottom>
      <diagonal/>
    </border>
    <border>
      <left style="thin">
        <color indexed="64"/>
      </left>
      <right/>
      <top/>
      <bottom/>
      <diagonal/>
    </border>
    <border>
      <left style="thick">
        <color rgb="FF00B050"/>
      </left>
      <right/>
      <top style="thin">
        <color indexed="52"/>
      </top>
      <bottom style="hair">
        <color indexed="64"/>
      </bottom>
      <diagonal/>
    </border>
    <border>
      <left style="thick">
        <color rgb="FF00B050"/>
      </left>
      <right style="thin">
        <color indexed="64"/>
      </right>
      <top style="thin">
        <color indexed="52"/>
      </top>
      <bottom style="hair">
        <color indexed="64"/>
      </bottom>
      <diagonal/>
    </border>
    <border>
      <left style="thick">
        <color rgb="FF00B050"/>
      </left>
      <right/>
      <top style="hair">
        <color indexed="64"/>
      </top>
      <bottom/>
      <diagonal/>
    </border>
    <border>
      <left style="thick">
        <color rgb="FF00B050"/>
      </left>
      <right style="hair">
        <color indexed="64"/>
      </right>
      <top style="hair">
        <color indexed="64"/>
      </top>
      <bottom/>
      <diagonal/>
    </border>
    <border>
      <left style="thick">
        <color rgb="FF00B050"/>
      </left>
      <right style="thin">
        <color indexed="64"/>
      </right>
      <top style="hair">
        <color indexed="64"/>
      </top>
      <bottom/>
      <diagonal/>
    </border>
    <border>
      <left/>
      <right/>
      <top style="double">
        <color rgb="FF00B050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medium">
        <color theme="9" tint="-0.499984740745262"/>
      </right>
      <top style="thin">
        <color indexed="52"/>
      </top>
      <bottom style="hair">
        <color indexed="64"/>
      </bottom>
      <diagonal/>
    </border>
    <border>
      <left style="medium">
        <color theme="9" tint="-0.499984740745262"/>
      </left>
      <right style="hair">
        <color indexed="64"/>
      </right>
      <top style="thin">
        <color indexed="52"/>
      </top>
      <bottom style="hair">
        <color indexed="64"/>
      </bottom>
      <diagonal/>
    </border>
    <border>
      <left style="hair">
        <color indexed="64"/>
      </left>
      <right style="medium">
        <color theme="9" tint="-0.499984740745262"/>
      </right>
      <top style="hair">
        <color indexed="64"/>
      </top>
      <bottom style="thin">
        <color indexed="52"/>
      </bottom>
      <diagonal/>
    </border>
    <border>
      <left style="medium">
        <color theme="9" tint="-0.499984740745262"/>
      </left>
      <right style="hair">
        <color indexed="64"/>
      </right>
      <top style="hair">
        <color indexed="64"/>
      </top>
      <bottom style="thin">
        <color indexed="52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double">
        <color theme="3" tint="0.39994506668294322"/>
      </top>
      <bottom/>
      <diagonal/>
    </border>
    <border>
      <left style="hair">
        <color indexed="64"/>
      </left>
      <right style="hair">
        <color indexed="64"/>
      </right>
      <top style="thin">
        <color rgb="FFC00000"/>
      </top>
      <bottom style="hair">
        <color indexed="64"/>
      </bottom>
      <diagonal/>
    </border>
    <border>
      <left style="hair">
        <color indexed="64"/>
      </left>
      <right/>
      <top style="thin">
        <color rgb="FFC0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C00000"/>
      </bottom>
      <diagonal/>
    </border>
    <border>
      <left style="hair">
        <color indexed="64"/>
      </left>
      <right/>
      <top style="hair">
        <color indexed="64"/>
      </top>
      <bottom style="thin">
        <color rgb="FFC0000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rgb="FF008000"/>
      </left>
      <right/>
      <top style="medium">
        <color rgb="FF008000"/>
      </top>
      <bottom/>
      <diagonal/>
    </border>
    <border>
      <left/>
      <right/>
      <top style="medium">
        <color rgb="FF008000"/>
      </top>
      <bottom/>
      <diagonal/>
    </border>
    <border>
      <left/>
      <right style="medium">
        <color rgb="FF008000"/>
      </right>
      <top style="medium">
        <color rgb="FF008000"/>
      </top>
      <bottom/>
      <diagonal/>
    </border>
    <border>
      <left style="medium">
        <color rgb="FF008000"/>
      </left>
      <right/>
      <top/>
      <bottom/>
      <diagonal/>
    </border>
    <border>
      <left/>
      <right style="medium">
        <color rgb="FF008000"/>
      </right>
      <top/>
      <bottom/>
      <diagonal/>
    </border>
    <border>
      <left style="medium">
        <color rgb="FF008000"/>
      </left>
      <right/>
      <top/>
      <bottom style="medium">
        <color rgb="FF008000"/>
      </bottom>
      <diagonal/>
    </border>
    <border>
      <left/>
      <right/>
      <top/>
      <bottom style="medium">
        <color rgb="FF008000"/>
      </bottom>
      <diagonal/>
    </border>
    <border>
      <left/>
      <right style="medium">
        <color rgb="FF008000"/>
      </right>
      <top/>
      <bottom style="medium">
        <color rgb="FF008000"/>
      </bottom>
      <diagonal/>
    </border>
    <border>
      <left/>
      <right style="hair">
        <color indexed="64"/>
      </right>
      <top style="hair">
        <color indexed="52"/>
      </top>
      <bottom style="thin">
        <color indexed="52"/>
      </bottom>
      <diagonal/>
    </border>
    <border>
      <left style="hair">
        <color indexed="64"/>
      </left>
      <right style="hair">
        <color indexed="64"/>
      </right>
      <top style="hair">
        <color indexed="52"/>
      </top>
      <bottom style="thin">
        <color indexed="52"/>
      </bottom>
      <diagonal/>
    </border>
    <border>
      <left style="hair">
        <color indexed="64"/>
      </left>
      <right/>
      <top style="hair">
        <color indexed="52"/>
      </top>
      <bottom style="thin">
        <color indexed="52"/>
      </bottom>
      <diagonal/>
    </border>
    <border>
      <left style="thick">
        <color rgb="FF00B050"/>
      </left>
      <right style="hair">
        <color indexed="64"/>
      </right>
      <top style="hair">
        <color indexed="52"/>
      </top>
      <bottom style="thin">
        <color indexed="52"/>
      </bottom>
      <diagonal/>
    </border>
    <border>
      <left style="hair">
        <color indexed="64"/>
      </left>
      <right style="thin">
        <color indexed="64"/>
      </right>
      <top style="hair">
        <color indexed="52"/>
      </top>
      <bottom style="thin">
        <color indexed="52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5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/>
    </xf>
    <xf numFmtId="0" fontId="12" fillId="0" borderId="0" xfId="0" applyFont="1" applyAlignment="1">
      <alignment horizontal="left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6" fillId="0" borderId="26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1" xfId="0" applyFont="1" applyBorder="1" applyAlignment="1">
      <alignment horizontal="right" vertical="center"/>
    </xf>
    <xf numFmtId="0" fontId="11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right" vertical="center"/>
    </xf>
    <xf numFmtId="0" fontId="6" fillId="0" borderId="32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7" fillId="3" borderId="0" xfId="0" applyFont="1" applyFill="1" applyBorder="1" applyAlignment="1">
      <alignment horizontal="right" vertical="center"/>
    </xf>
    <xf numFmtId="0" fontId="2" fillId="0" borderId="37" xfId="0" applyFont="1" applyBorder="1" applyAlignment="1">
      <alignment horizontal="right"/>
    </xf>
    <xf numFmtId="0" fontId="7" fillId="0" borderId="38" xfId="0" applyFont="1" applyBorder="1" applyAlignment="1">
      <alignment horizontal="right"/>
    </xf>
    <xf numFmtId="0" fontId="10" fillId="0" borderId="0" xfId="0" applyFont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7" fillId="0" borderId="0" xfId="0" applyFont="1" applyBorder="1"/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2" fillId="0" borderId="0" xfId="1" applyFont="1" applyAlignment="1" applyProtection="1"/>
    <xf numFmtId="0" fontId="23" fillId="0" borderId="0" xfId="0" applyFont="1"/>
    <xf numFmtId="0" fontId="1" fillId="0" borderId="12" xfId="0" applyFont="1" applyFill="1" applyBorder="1" applyAlignment="1">
      <alignment horizontal="center" vertical="center"/>
    </xf>
    <xf numFmtId="0" fontId="20" fillId="0" borderId="0" xfId="0" applyFont="1"/>
    <xf numFmtId="0" fontId="6" fillId="4" borderId="0" xfId="0" applyFont="1" applyFill="1" applyBorder="1" applyAlignment="1"/>
    <xf numFmtId="0" fontId="6" fillId="5" borderId="0" xfId="0" applyFont="1" applyFill="1" applyBorder="1" applyAlignment="1"/>
    <xf numFmtId="0" fontId="6" fillId="6" borderId="0" xfId="0" applyFont="1" applyFill="1" applyBorder="1" applyAlignment="1"/>
    <xf numFmtId="0" fontId="5" fillId="4" borderId="43" xfId="0" applyFont="1" applyFill="1" applyBorder="1" applyAlignment="1">
      <alignment horizontal="center"/>
    </xf>
    <xf numFmtId="0" fontId="7" fillId="4" borderId="43" xfId="0" applyFont="1" applyFill="1" applyBorder="1" applyAlignment="1">
      <alignment horizontal="center"/>
    </xf>
    <xf numFmtId="0" fontId="1" fillId="5" borderId="43" xfId="0" applyFont="1" applyFill="1" applyBorder="1" applyAlignment="1">
      <alignment horizontal="center"/>
    </xf>
    <xf numFmtId="0" fontId="4" fillId="5" borderId="43" xfId="0" applyFont="1" applyFill="1" applyBorder="1" applyAlignment="1">
      <alignment horizontal="center"/>
    </xf>
    <xf numFmtId="0" fontId="5" fillId="6" borderId="43" xfId="0" applyFont="1" applyFill="1" applyBorder="1" applyAlignment="1">
      <alignment horizontal="center"/>
    </xf>
    <xf numFmtId="0" fontId="7" fillId="6" borderId="43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4" fillId="4" borderId="44" xfId="0" applyFont="1" applyFill="1" applyBorder="1" applyAlignment="1">
      <alignment horizontal="center"/>
    </xf>
    <xf numFmtId="0" fontId="5" fillId="5" borderId="44" xfId="0" applyFont="1" applyFill="1" applyBorder="1" applyAlignment="1">
      <alignment horizontal="center"/>
    </xf>
    <xf numFmtId="0" fontId="7" fillId="5" borderId="44" xfId="0" applyFont="1" applyFill="1" applyBorder="1" applyAlignment="1">
      <alignment horizontal="center"/>
    </xf>
    <xf numFmtId="0" fontId="24" fillId="6" borderId="44" xfId="0" applyFont="1" applyFill="1" applyBorder="1" applyAlignment="1">
      <alignment horizontal="center"/>
    </xf>
    <xf numFmtId="0" fontId="25" fillId="6" borderId="44" xfId="0" applyFont="1" applyFill="1" applyBorder="1" applyAlignment="1">
      <alignment horizontal="center"/>
    </xf>
    <xf numFmtId="0" fontId="5" fillId="4" borderId="44" xfId="0" applyFont="1" applyFill="1" applyBorder="1" applyAlignment="1">
      <alignment horizontal="center"/>
    </xf>
    <xf numFmtId="0" fontId="7" fillId="4" borderId="44" xfId="0" applyFont="1" applyFill="1" applyBorder="1" applyAlignment="1">
      <alignment horizontal="center"/>
    </xf>
    <xf numFmtId="0" fontId="1" fillId="5" borderId="44" xfId="0" applyFont="1" applyFill="1" applyBorder="1" applyAlignment="1">
      <alignment horizontal="center"/>
    </xf>
    <xf numFmtId="0" fontId="4" fillId="5" borderId="44" xfId="0" applyFont="1" applyFill="1" applyBorder="1" applyAlignment="1">
      <alignment horizontal="center"/>
    </xf>
    <xf numFmtId="0" fontId="26" fillId="6" borderId="44" xfId="0" applyFont="1" applyFill="1" applyBorder="1" applyAlignment="1">
      <alignment horizontal="center"/>
    </xf>
    <xf numFmtId="0" fontId="7" fillId="6" borderId="44" xfId="0" applyFont="1" applyFill="1" applyBorder="1" applyAlignment="1">
      <alignment horizontal="center"/>
    </xf>
    <xf numFmtId="0" fontId="20" fillId="0" borderId="0" xfId="0" applyFont="1" applyBorder="1" applyAlignment="1">
      <alignment horizontal="right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/>
    </xf>
    <xf numFmtId="0" fontId="7" fillId="4" borderId="45" xfId="0" applyFont="1" applyFill="1" applyBorder="1" applyAlignment="1">
      <alignment horizontal="center"/>
    </xf>
    <xf numFmtId="0" fontId="1" fillId="5" borderId="45" xfId="0" applyFont="1" applyFill="1" applyBorder="1" applyAlignment="1">
      <alignment horizontal="center"/>
    </xf>
    <xf numFmtId="0" fontId="4" fillId="5" borderId="45" xfId="0" applyFont="1" applyFill="1" applyBorder="1" applyAlignment="1">
      <alignment horizontal="center"/>
    </xf>
    <xf numFmtId="0" fontId="5" fillId="6" borderId="45" xfId="0" applyFont="1" applyFill="1" applyBorder="1" applyAlignment="1">
      <alignment horizontal="center"/>
    </xf>
    <xf numFmtId="0" fontId="7" fillId="6" borderId="45" xfId="0" applyFont="1" applyFill="1" applyBorder="1" applyAlignment="1">
      <alignment horizontal="center"/>
    </xf>
    <xf numFmtId="0" fontId="1" fillId="4" borderId="43" xfId="0" applyFont="1" applyFill="1" applyBorder="1" applyAlignment="1">
      <alignment horizontal="center"/>
    </xf>
    <xf numFmtId="0" fontId="4" fillId="4" borderId="43" xfId="0" applyFont="1" applyFill="1" applyBorder="1" applyAlignment="1">
      <alignment horizontal="center"/>
    </xf>
    <xf numFmtId="0" fontId="5" fillId="5" borderId="43" xfId="0" applyFont="1" applyFill="1" applyBorder="1" applyAlignment="1">
      <alignment horizontal="center"/>
    </xf>
    <xf numFmtId="0" fontId="7" fillId="5" borderId="43" xfId="0" applyFont="1" applyFill="1" applyBorder="1" applyAlignment="1">
      <alignment horizontal="center"/>
    </xf>
    <xf numFmtId="0" fontId="1" fillId="6" borderId="43" xfId="0" applyFont="1" applyFill="1" applyBorder="1" applyAlignment="1">
      <alignment horizontal="center"/>
    </xf>
    <xf numFmtId="0" fontId="4" fillId="6" borderId="43" xfId="0" applyFont="1" applyFill="1" applyBorder="1" applyAlignment="1">
      <alignment horizontal="center"/>
    </xf>
    <xf numFmtId="0" fontId="5" fillId="6" borderId="44" xfId="0" applyFont="1" applyFill="1" applyBorder="1" applyAlignment="1">
      <alignment horizontal="center"/>
    </xf>
    <xf numFmtId="0" fontId="1" fillId="0" borderId="39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/>
    </xf>
    <xf numFmtId="0" fontId="4" fillId="4" borderId="45" xfId="0" applyFont="1" applyFill="1" applyBorder="1" applyAlignment="1">
      <alignment horizontal="center"/>
    </xf>
    <xf numFmtId="0" fontId="5" fillId="5" borderId="45" xfId="0" applyFont="1" applyFill="1" applyBorder="1" applyAlignment="1">
      <alignment horizontal="center"/>
    </xf>
    <xf numFmtId="0" fontId="7" fillId="5" borderId="45" xfId="0" applyFont="1" applyFill="1" applyBorder="1" applyAlignment="1">
      <alignment horizontal="center"/>
    </xf>
    <xf numFmtId="0" fontId="1" fillId="6" borderId="45" xfId="0" applyFont="1" applyFill="1" applyBorder="1" applyAlignment="1">
      <alignment horizontal="center"/>
    </xf>
    <xf numFmtId="0" fontId="4" fillId="6" borderId="45" xfId="0" applyFont="1" applyFill="1" applyBorder="1" applyAlignment="1">
      <alignment horizontal="center"/>
    </xf>
    <xf numFmtId="0" fontId="1" fillId="0" borderId="41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1" fillId="6" borderId="44" xfId="0" applyFont="1" applyFill="1" applyBorder="1" applyAlignment="1">
      <alignment horizontal="center"/>
    </xf>
    <xf numFmtId="0" fontId="4" fillId="6" borderId="44" xfId="0" applyFont="1" applyFill="1" applyBorder="1" applyAlignment="1">
      <alignment horizontal="center"/>
    </xf>
    <xf numFmtId="0" fontId="27" fillId="0" borderId="46" xfId="0" applyFont="1" applyBorder="1" applyAlignment="1">
      <alignment horizontal="right"/>
    </xf>
    <xf numFmtId="0" fontId="27" fillId="0" borderId="0" xfId="0" applyFont="1" applyBorder="1" applyAlignment="1">
      <alignment horizontal="right"/>
    </xf>
    <xf numFmtId="0" fontId="8" fillId="0" borderId="38" xfId="0" applyFont="1" applyBorder="1"/>
    <xf numFmtId="0" fontId="28" fillId="0" borderId="17" xfId="0" applyFont="1" applyFill="1" applyBorder="1" applyAlignment="1">
      <alignment horizontal="center" vertical="center"/>
    </xf>
    <xf numFmtId="0" fontId="7" fillId="0" borderId="47" xfId="0" applyFont="1" applyBorder="1"/>
    <xf numFmtId="0" fontId="7" fillId="0" borderId="48" xfId="0" applyFont="1" applyBorder="1"/>
    <xf numFmtId="0" fontId="28" fillId="0" borderId="11" xfId="0" applyFont="1" applyFill="1" applyBorder="1" applyAlignment="1">
      <alignment horizontal="center" vertical="center"/>
    </xf>
    <xf numFmtId="0" fontId="7" fillId="0" borderId="49" xfId="0" applyFont="1" applyBorder="1"/>
    <xf numFmtId="0" fontId="7" fillId="0" borderId="50" xfId="0" applyFont="1" applyBorder="1"/>
    <xf numFmtId="0" fontId="28" fillId="0" borderId="47" xfId="0" applyFont="1" applyFill="1" applyBorder="1" applyAlignment="1">
      <alignment horizontal="center" vertical="center"/>
    </xf>
    <xf numFmtId="0" fontId="28" fillId="0" borderId="49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/>
    </xf>
    <xf numFmtId="0" fontId="7" fillId="4" borderId="51" xfId="0" applyFont="1" applyFill="1" applyBorder="1" applyAlignment="1">
      <alignment horizontal="center"/>
    </xf>
    <xf numFmtId="0" fontId="1" fillId="5" borderId="51" xfId="0" applyFont="1" applyFill="1" applyBorder="1" applyAlignment="1">
      <alignment horizontal="center"/>
    </xf>
    <xf numFmtId="0" fontId="4" fillId="5" borderId="51" xfId="0" applyFont="1" applyFill="1" applyBorder="1" applyAlignment="1">
      <alignment horizontal="center"/>
    </xf>
    <xf numFmtId="0" fontId="7" fillId="0" borderId="38" xfId="0" applyFont="1" applyBorder="1"/>
    <xf numFmtId="0" fontId="7" fillId="0" borderId="52" xfId="0" applyFont="1" applyBorder="1"/>
    <xf numFmtId="0" fontId="5" fillId="4" borderId="53" xfId="0" applyFont="1" applyFill="1" applyBorder="1" applyAlignment="1">
      <alignment horizontal="center"/>
    </xf>
    <xf numFmtId="0" fontId="7" fillId="4" borderId="53" xfId="0" applyFont="1" applyFill="1" applyBorder="1" applyAlignment="1">
      <alignment horizontal="center"/>
    </xf>
    <xf numFmtId="0" fontId="1" fillId="5" borderId="53" xfId="0" applyFont="1" applyFill="1" applyBorder="1" applyAlignment="1">
      <alignment horizontal="center"/>
    </xf>
    <xf numFmtId="0" fontId="4" fillId="5" borderId="53" xfId="0" applyFont="1" applyFill="1" applyBorder="1" applyAlignment="1">
      <alignment horizontal="center"/>
    </xf>
    <xf numFmtId="0" fontId="5" fillId="6" borderId="53" xfId="0" applyFont="1" applyFill="1" applyBorder="1"/>
    <xf numFmtId="0" fontId="7" fillId="6" borderId="53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right"/>
    </xf>
    <xf numFmtId="0" fontId="6" fillId="8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center"/>
    </xf>
    <xf numFmtId="0" fontId="6" fillId="8" borderId="0" xfId="0" applyFont="1" applyFill="1" applyBorder="1" applyAlignment="1">
      <alignment horizontal="right"/>
    </xf>
    <xf numFmtId="0" fontId="5" fillId="7" borderId="43" xfId="0" applyFont="1" applyFill="1" applyBorder="1" applyAlignment="1">
      <alignment horizontal="center"/>
    </xf>
    <xf numFmtId="0" fontId="7" fillId="7" borderId="43" xfId="0" applyFont="1" applyFill="1" applyBorder="1" applyAlignment="1">
      <alignment horizontal="center"/>
    </xf>
    <xf numFmtId="0" fontId="29" fillId="8" borderId="43" xfId="0" applyFont="1" applyFill="1" applyBorder="1" applyAlignment="1">
      <alignment horizontal="center"/>
    </xf>
    <xf numFmtId="0" fontId="30" fillId="8" borderId="43" xfId="0" applyFont="1" applyFill="1" applyBorder="1" applyAlignment="1">
      <alignment horizontal="center"/>
    </xf>
    <xf numFmtId="0" fontId="29" fillId="7" borderId="44" xfId="0" applyFont="1" applyFill="1" applyBorder="1" applyAlignment="1">
      <alignment horizontal="center"/>
    </xf>
    <xf numFmtId="0" fontId="30" fillId="7" borderId="44" xfId="0" applyFont="1" applyFill="1" applyBorder="1" applyAlignment="1">
      <alignment horizontal="center"/>
    </xf>
    <xf numFmtId="0" fontId="5" fillId="8" borderId="44" xfId="0" applyFont="1" applyFill="1" applyBorder="1" applyAlignment="1">
      <alignment horizontal="center"/>
    </xf>
    <xf numFmtId="0" fontId="7" fillId="8" borderId="44" xfId="0" applyFont="1" applyFill="1" applyBorder="1" applyAlignment="1">
      <alignment horizontal="center"/>
    </xf>
    <xf numFmtId="0" fontId="5" fillId="7" borderId="44" xfId="0" applyFont="1" applyFill="1" applyBorder="1" applyAlignment="1">
      <alignment horizontal="center"/>
    </xf>
    <xf numFmtId="0" fontId="7" fillId="7" borderId="44" xfId="0" applyFont="1" applyFill="1" applyBorder="1" applyAlignment="1">
      <alignment horizontal="center"/>
    </xf>
    <xf numFmtId="0" fontId="29" fillId="8" borderId="44" xfId="0" applyFont="1" applyFill="1" applyBorder="1" applyAlignment="1">
      <alignment horizontal="center"/>
    </xf>
    <xf numFmtId="0" fontId="30" fillId="8" borderId="44" xfId="0" applyFont="1" applyFill="1" applyBorder="1" applyAlignment="1">
      <alignment horizontal="center"/>
    </xf>
    <xf numFmtId="0" fontId="31" fillId="0" borderId="54" xfId="0" applyFont="1" applyFill="1" applyBorder="1" applyAlignment="1">
      <alignment horizontal="center" vertical="center"/>
    </xf>
    <xf numFmtId="0" fontId="32" fillId="0" borderId="55" xfId="0" applyFont="1" applyFill="1" applyBorder="1" applyAlignment="1">
      <alignment horizontal="left" vertical="center"/>
    </xf>
    <xf numFmtId="0" fontId="7" fillId="0" borderId="55" xfId="0" applyFont="1" applyFill="1" applyBorder="1"/>
    <xf numFmtId="0" fontId="7" fillId="0" borderId="56" xfId="0" applyFont="1" applyFill="1" applyBorder="1"/>
    <xf numFmtId="164" fontId="33" fillId="0" borderId="0" xfId="0" applyNumberFormat="1" applyFont="1"/>
    <xf numFmtId="0" fontId="31" fillId="0" borderId="57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left" vertical="center"/>
    </xf>
    <xf numFmtId="0" fontId="7" fillId="0" borderId="0" xfId="0" applyFont="1" applyFill="1" applyBorder="1"/>
    <xf numFmtId="0" fontId="7" fillId="0" borderId="58" xfId="0" applyFont="1" applyFill="1" applyBorder="1"/>
    <xf numFmtId="165" fontId="33" fillId="0" borderId="0" xfId="0" applyNumberFormat="1" applyFont="1"/>
    <xf numFmtId="0" fontId="5" fillId="7" borderId="45" xfId="0" applyFont="1" applyFill="1" applyBorder="1" applyAlignment="1">
      <alignment horizontal="center"/>
    </xf>
    <xf numFmtId="0" fontId="7" fillId="7" borderId="45" xfId="0" applyFont="1" applyFill="1" applyBorder="1" applyAlignment="1">
      <alignment horizontal="center"/>
    </xf>
    <xf numFmtId="0" fontId="29" fillId="8" borderId="45" xfId="0" applyFont="1" applyFill="1" applyBorder="1" applyAlignment="1">
      <alignment horizontal="center"/>
    </xf>
    <xf numFmtId="0" fontId="30" fillId="8" borderId="45" xfId="0" applyFont="1" applyFill="1" applyBorder="1" applyAlignment="1">
      <alignment horizontal="center"/>
    </xf>
    <xf numFmtId="0" fontId="29" fillId="7" borderId="43" xfId="0" applyFont="1" applyFill="1" applyBorder="1" applyAlignment="1">
      <alignment horizontal="center"/>
    </xf>
    <xf numFmtId="0" fontId="30" fillId="7" borderId="43" xfId="0" applyFont="1" applyFill="1" applyBorder="1" applyAlignment="1">
      <alignment horizontal="center"/>
    </xf>
    <xf numFmtId="0" fontId="5" fillId="8" borderId="43" xfId="0" applyFont="1" applyFill="1" applyBorder="1" applyAlignment="1">
      <alignment horizontal="center"/>
    </xf>
    <xf numFmtId="0" fontId="7" fillId="8" borderId="43" xfId="0" applyFont="1" applyFill="1" applyBorder="1" applyAlignment="1">
      <alignment horizontal="center"/>
    </xf>
    <xf numFmtId="0" fontId="29" fillId="7" borderId="45" xfId="0" applyFont="1" applyFill="1" applyBorder="1" applyAlignment="1">
      <alignment horizontal="center"/>
    </xf>
    <xf numFmtId="0" fontId="30" fillId="7" borderId="45" xfId="0" applyFont="1" applyFill="1" applyBorder="1" applyAlignment="1">
      <alignment horizontal="center"/>
    </xf>
    <xf numFmtId="0" fontId="5" fillId="8" borderId="45" xfId="0" applyFont="1" applyFill="1" applyBorder="1" applyAlignment="1">
      <alignment horizontal="center"/>
    </xf>
    <xf numFmtId="0" fontId="7" fillId="8" borderId="45" xfId="0" applyFont="1" applyFill="1" applyBorder="1" applyAlignment="1">
      <alignment horizontal="center"/>
    </xf>
    <xf numFmtId="0" fontId="7" fillId="0" borderId="57" xfId="0" applyFont="1" applyBorder="1"/>
    <xf numFmtId="0" fontId="7" fillId="0" borderId="58" xfId="0" applyFont="1" applyBorder="1"/>
    <xf numFmtId="0" fontId="7" fillId="0" borderId="59" xfId="0" applyFont="1" applyBorder="1"/>
    <xf numFmtId="0" fontId="7" fillId="0" borderId="60" xfId="0" applyFont="1" applyBorder="1"/>
    <xf numFmtId="0" fontId="7" fillId="0" borderId="61" xfId="0" applyFont="1" applyBorder="1"/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3" xfId="0" applyFont="1" applyFill="1" applyBorder="1" applyAlignment="1">
      <alignment horizontal="center" vertical="center"/>
    </xf>
    <xf numFmtId="0" fontId="3" fillId="0" borderId="62" xfId="0" applyFont="1" applyFill="1" applyBorder="1" applyAlignment="1">
      <alignment horizontal="center" vertical="center"/>
    </xf>
    <xf numFmtId="0" fontId="3" fillId="0" borderId="63" xfId="0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0" fontId="11" fillId="0" borderId="65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CCFF"/>
      <color rgb="FFCCFFCC"/>
      <color rgb="FF9933FF"/>
      <color rgb="FFFFFFCC"/>
      <color rgb="FF99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ryptos%40yahoogrou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W107"/>
  <sheetViews>
    <sheetView showGridLines="0" tabSelected="1" topLeftCell="L73" zoomScaleNormal="100" workbookViewId="0">
      <selection activeCell="AP85" sqref="AP85:AW92"/>
    </sheetView>
  </sheetViews>
  <sheetFormatPr defaultRowHeight="15.75"/>
  <cols>
    <col min="1" max="10" width="9.140625" style="1"/>
    <col min="11" max="13" width="5" style="1" customWidth="1"/>
    <col min="14" max="15" width="5" style="2" customWidth="1"/>
    <col min="16" max="48" width="3.140625" style="3" customWidth="1"/>
    <col min="49" max="49" width="10.7109375" style="3" customWidth="1"/>
  </cols>
  <sheetData>
    <row r="2" spans="1:49" ht="16.5" thickBot="1">
      <c r="A2" s="4" t="s">
        <v>23</v>
      </c>
      <c r="J2" s="5" t="s">
        <v>24</v>
      </c>
      <c r="P2" s="6">
        <v>1</v>
      </c>
      <c r="Q2" s="6">
        <v>2</v>
      </c>
      <c r="R2" s="6">
        <v>3</v>
      </c>
      <c r="S2" s="6">
        <v>4</v>
      </c>
      <c r="T2" s="6">
        <v>5</v>
      </c>
      <c r="U2" s="6">
        <v>6</v>
      </c>
      <c r="V2" s="6">
        <v>7</v>
      </c>
      <c r="W2" s="6">
        <v>8</v>
      </c>
      <c r="X2" s="6">
        <v>9</v>
      </c>
      <c r="Y2" s="6">
        <v>10</v>
      </c>
      <c r="Z2" s="6">
        <v>11</v>
      </c>
      <c r="AA2" s="6">
        <v>12</v>
      </c>
      <c r="AB2" s="6">
        <v>13</v>
      </c>
      <c r="AC2" s="6">
        <v>14</v>
      </c>
      <c r="AD2" s="6">
        <v>15</v>
      </c>
      <c r="AE2" s="6">
        <v>16</v>
      </c>
      <c r="AF2" s="6">
        <v>17</v>
      </c>
      <c r="AG2" s="6">
        <v>18</v>
      </c>
      <c r="AH2" s="6">
        <v>19</v>
      </c>
      <c r="AI2" s="6">
        <v>20</v>
      </c>
      <c r="AJ2" s="6">
        <v>21</v>
      </c>
      <c r="AK2" s="6">
        <v>22</v>
      </c>
      <c r="AL2" s="6">
        <v>23</v>
      </c>
      <c r="AM2" s="6">
        <v>24</v>
      </c>
      <c r="AN2" s="6">
        <v>25</v>
      </c>
      <c r="AO2" s="6">
        <v>26</v>
      </c>
      <c r="AP2" s="6">
        <v>27</v>
      </c>
      <c r="AQ2" s="6">
        <v>28</v>
      </c>
      <c r="AR2" s="6">
        <v>29</v>
      </c>
      <c r="AS2" s="6">
        <v>30</v>
      </c>
      <c r="AT2" s="6">
        <v>31</v>
      </c>
      <c r="AU2" s="6">
        <v>32</v>
      </c>
      <c r="AV2" s="6">
        <v>33</v>
      </c>
      <c r="AW2" s="5"/>
    </row>
    <row r="3" spans="1:49">
      <c r="N3" s="7"/>
      <c r="P3" s="8"/>
      <c r="Q3" s="9"/>
      <c r="R3" s="9"/>
      <c r="S3" s="10"/>
      <c r="T3" s="10"/>
      <c r="U3" s="9"/>
      <c r="V3" s="10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1"/>
      <c r="AL3" s="12"/>
      <c r="AM3" s="9"/>
      <c r="AN3" s="9"/>
      <c r="AO3" s="9"/>
      <c r="AP3" s="9"/>
      <c r="AQ3" s="9"/>
      <c r="AR3" s="9"/>
      <c r="AS3" s="9"/>
      <c r="AT3" s="9"/>
      <c r="AU3" s="13"/>
      <c r="AV3" s="14"/>
      <c r="AW3" s="5"/>
    </row>
    <row r="4" spans="1:49">
      <c r="N4" s="7">
        <v>5</v>
      </c>
      <c r="P4" s="15" t="s">
        <v>25</v>
      </c>
      <c r="Q4" s="16" t="s">
        <v>26</v>
      </c>
      <c r="R4" s="16" t="s">
        <v>27</v>
      </c>
      <c r="S4" s="16" t="s">
        <v>28</v>
      </c>
      <c r="T4" s="16" t="s">
        <v>26</v>
      </c>
      <c r="U4" s="16" t="s">
        <v>29</v>
      </c>
      <c r="V4" s="17" t="s">
        <v>30</v>
      </c>
      <c r="W4" s="17" t="s">
        <v>31</v>
      </c>
      <c r="X4" s="17" t="s">
        <v>25</v>
      </c>
      <c r="Y4" s="17" t="s">
        <v>32</v>
      </c>
      <c r="Z4" s="17" t="s">
        <v>33</v>
      </c>
      <c r="AA4" s="17" t="s">
        <v>34</v>
      </c>
      <c r="AB4" s="17" t="s">
        <v>33</v>
      </c>
      <c r="AC4" s="17" t="s">
        <v>35</v>
      </c>
      <c r="AD4" s="17" t="s">
        <v>26</v>
      </c>
      <c r="AE4" s="17" t="s">
        <v>29</v>
      </c>
      <c r="AF4" s="16" t="s">
        <v>25</v>
      </c>
      <c r="AG4" s="16" t="s">
        <v>26</v>
      </c>
      <c r="AH4" s="16" t="s">
        <v>27</v>
      </c>
      <c r="AI4" s="16" t="s">
        <v>28</v>
      </c>
      <c r="AJ4" s="16" t="s">
        <v>26</v>
      </c>
      <c r="AK4" s="18" t="s">
        <v>29</v>
      </c>
      <c r="AL4" s="19" t="s">
        <v>35</v>
      </c>
      <c r="AM4" s="17" t="s">
        <v>36</v>
      </c>
      <c r="AN4" s="17" t="s">
        <v>31</v>
      </c>
      <c r="AO4" s="16" t="s">
        <v>34</v>
      </c>
      <c r="AP4" s="16" t="s">
        <v>31</v>
      </c>
      <c r="AQ4" s="16" t="s">
        <v>37</v>
      </c>
      <c r="AR4" s="16" t="s">
        <v>33</v>
      </c>
      <c r="AS4" s="16" t="s">
        <v>38</v>
      </c>
      <c r="AT4" s="18" t="s">
        <v>39</v>
      </c>
      <c r="AU4" s="20" t="s">
        <v>25</v>
      </c>
      <c r="AV4" s="21"/>
      <c r="AW4" s="22">
        <f>COUNTA(P4:AV4)</f>
        <v>32</v>
      </c>
    </row>
    <row r="5" spans="1:49">
      <c r="A5" s="23" t="s">
        <v>40</v>
      </c>
      <c r="N5" s="7"/>
      <c r="P5" s="24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6"/>
      <c r="AT5" s="27"/>
      <c r="AU5" s="28"/>
      <c r="AV5" s="29"/>
      <c r="AW5" s="30"/>
    </row>
    <row r="6" spans="1:49">
      <c r="A6" s="23" t="s">
        <v>41</v>
      </c>
      <c r="N6" s="7">
        <v>6</v>
      </c>
      <c r="P6" s="31" t="s">
        <v>27</v>
      </c>
      <c r="Q6" s="17" t="s">
        <v>42</v>
      </c>
      <c r="R6" s="16" t="s">
        <v>32</v>
      </c>
      <c r="S6" s="16" t="s">
        <v>33</v>
      </c>
      <c r="T6" s="16" t="s">
        <v>25</v>
      </c>
      <c r="U6" s="16" t="s">
        <v>25</v>
      </c>
      <c r="V6" s="16" t="s">
        <v>33</v>
      </c>
      <c r="W6" s="16" t="s">
        <v>43</v>
      </c>
      <c r="X6" s="16" t="s">
        <v>31</v>
      </c>
      <c r="Y6" s="17" t="s">
        <v>30</v>
      </c>
      <c r="Z6" s="17" t="s">
        <v>31</v>
      </c>
      <c r="AA6" s="17" t="s">
        <v>44</v>
      </c>
      <c r="AB6" s="17" t="s">
        <v>34</v>
      </c>
      <c r="AC6" s="17" t="s">
        <v>38</v>
      </c>
      <c r="AD6" s="17" t="s">
        <v>25</v>
      </c>
      <c r="AE6" s="16" t="s">
        <v>35</v>
      </c>
      <c r="AF6" s="16" t="s">
        <v>36</v>
      </c>
      <c r="AG6" s="16" t="s">
        <v>33</v>
      </c>
      <c r="AH6" s="16" t="s">
        <v>35</v>
      </c>
      <c r="AI6" s="17" t="s">
        <v>31</v>
      </c>
      <c r="AJ6" s="17" t="s">
        <v>39</v>
      </c>
      <c r="AK6" s="17" t="s">
        <v>45</v>
      </c>
      <c r="AL6" s="17" t="s">
        <v>46</v>
      </c>
      <c r="AM6" s="17" t="s">
        <v>37</v>
      </c>
      <c r="AN6" s="17" t="s">
        <v>44</v>
      </c>
      <c r="AO6" s="17" t="s">
        <v>31</v>
      </c>
      <c r="AP6" s="17" t="s">
        <v>34</v>
      </c>
      <c r="AQ6" s="17" t="s">
        <v>31</v>
      </c>
      <c r="AR6" s="17" t="s">
        <v>30</v>
      </c>
      <c r="AS6" s="20" t="s">
        <v>35</v>
      </c>
      <c r="AT6" s="32"/>
      <c r="AU6" s="33"/>
      <c r="AV6" s="33"/>
      <c r="AW6" s="22">
        <f>COUNTA(P6:AV6)</f>
        <v>30</v>
      </c>
    </row>
    <row r="7" spans="1:49">
      <c r="A7" s="23" t="s">
        <v>47</v>
      </c>
      <c r="N7" s="7"/>
      <c r="P7" s="24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6"/>
      <c r="AU7" s="34"/>
      <c r="AV7" s="35"/>
      <c r="AW7" s="30"/>
    </row>
    <row r="8" spans="1:49">
      <c r="A8" s="36"/>
      <c r="N8" s="7">
        <v>7</v>
      </c>
      <c r="P8" s="15" t="s">
        <v>36</v>
      </c>
      <c r="Q8" s="16" t="s">
        <v>31</v>
      </c>
      <c r="R8" s="17" t="s">
        <v>26</v>
      </c>
      <c r="S8" s="17" t="s">
        <v>27</v>
      </c>
      <c r="T8" s="37" t="s">
        <v>28</v>
      </c>
      <c r="U8" s="37" t="s">
        <v>31</v>
      </c>
      <c r="V8" s="31" t="s">
        <v>34</v>
      </c>
      <c r="W8" s="16" t="s">
        <v>32</v>
      </c>
      <c r="X8" s="16" t="s">
        <v>33</v>
      </c>
      <c r="Y8" s="16" t="s">
        <v>34</v>
      </c>
      <c r="Z8" s="16" t="s">
        <v>35</v>
      </c>
      <c r="AA8" s="17" t="s">
        <v>27</v>
      </c>
      <c r="AB8" s="17" t="s">
        <v>42</v>
      </c>
      <c r="AC8" s="16" t="s">
        <v>35</v>
      </c>
      <c r="AD8" s="16" t="s">
        <v>36</v>
      </c>
      <c r="AE8" s="16" t="s">
        <v>31</v>
      </c>
      <c r="AF8" s="17" t="s">
        <v>30</v>
      </c>
      <c r="AG8" s="17" t="s">
        <v>27</v>
      </c>
      <c r="AH8" s="17" t="s">
        <v>27</v>
      </c>
      <c r="AI8" s="17" t="s">
        <v>34</v>
      </c>
      <c r="AJ8" s="17" t="s">
        <v>28</v>
      </c>
      <c r="AK8" s="17" t="s">
        <v>33</v>
      </c>
      <c r="AL8" s="17" t="s">
        <v>29</v>
      </c>
      <c r="AM8" s="16" t="s">
        <v>28</v>
      </c>
      <c r="AN8" s="16" t="s">
        <v>33</v>
      </c>
      <c r="AO8" s="16" t="s">
        <v>25</v>
      </c>
      <c r="AP8" s="17" t="s">
        <v>34</v>
      </c>
      <c r="AQ8" s="17" t="s">
        <v>31</v>
      </c>
      <c r="AR8" s="17" t="s">
        <v>37</v>
      </c>
      <c r="AS8" s="17" t="s">
        <v>27</v>
      </c>
      <c r="AT8" s="38" t="s">
        <v>48</v>
      </c>
      <c r="AU8" s="39"/>
      <c r="AV8" s="40"/>
      <c r="AW8" s="22">
        <f>COUNTA(P8:AV8)</f>
        <v>31</v>
      </c>
    </row>
    <row r="9" spans="1:49">
      <c r="A9" s="36" t="s">
        <v>49</v>
      </c>
      <c r="N9" s="7"/>
      <c r="P9" s="24"/>
      <c r="Q9" s="41"/>
      <c r="R9" s="42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6"/>
      <c r="AT9" s="27"/>
      <c r="AW9" s="30"/>
    </row>
    <row r="10" spans="1:49">
      <c r="A10" s="36" t="s">
        <v>50</v>
      </c>
      <c r="N10" s="7">
        <v>7</v>
      </c>
      <c r="P10" s="31" t="s">
        <v>31</v>
      </c>
      <c r="Q10" s="37" t="s">
        <v>30</v>
      </c>
      <c r="R10" s="43" t="s">
        <v>28</v>
      </c>
      <c r="S10" s="44" t="s">
        <v>38</v>
      </c>
      <c r="T10" s="44" t="s">
        <v>35</v>
      </c>
      <c r="U10" s="44" t="s">
        <v>36</v>
      </c>
      <c r="V10" s="45" t="s">
        <v>35</v>
      </c>
      <c r="W10" s="45" t="s">
        <v>34</v>
      </c>
      <c r="X10" s="45" t="s">
        <v>31</v>
      </c>
      <c r="Y10" s="45" t="s">
        <v>37</v>
      </c>
      <c r="Z10" s="45" t="s">
        <v>44</v>
      </c>
      <c r="AA10" s="45" t="s">
        <v>26</v>
      </c>
      <c r="AB10" s="45" t="s">
        <v>38</v>
      </c>
      <c r="AC10" s="45" t="s">
        <v>39</v>
      </c>
      <c r="AD10" s="45" t="s">
        <v>43</v>
      </c>
      <c r="AE10" s="44" t="s">
        <v>36</v>
      </c>
      <c r="AF10" s="44" t="s">
        <v>33</v>
      </c>
      <c r="AG10" s="44" t="s">
        <v>39</v>
      </c>
      <c r="AH10" s="44" t="s">
        <v>30</v>
      </c>
      <c r="AI10" s="44" t="s">
        <v>25</v>
      </c>
      <c r="AJ10" s="45" t="s">
        <v>38</v>
      </c>
      <c r="AK10" s="44" t="s">
        <v>37</v>
      </c>
      <c r="AL10" s="44" t="s">
        <v>33</v>
      </c>
      <c r="AM10" s="44" t="s">
        <v>30</v>
      </c>
      <c r="AN10" s="44" t="s">
        <v>31</v>
      </c>
      <c r="AO10" s="45" t="s">
        <v>33</v>
      </c>
      <c r="AP10" s="44" t="s">
        <v>35</v>
      </c>
      <c r="AQ10" s="16" t="s">
        <v>38</v>
      </c>
      <c r="AR10" s="16" t="s">
        <v>39</v>
      </c>
      <c r="AS10" s="20" t="s">
        <v>29</v>
      </c>
      <c r="AT10" s="32"/>
      <c r="AU10" s="33"/>
      <c r="AV10" s="33"/>
      <c r="AW10" s="22">
        <f>COUNTA(P10:AV10)</f>
        <v>30</v>
      </c>
    </row>
    <row r="11" spans="1:49">
      <c r="A11" s="36" t="s">
        <v>51</v>
      </c>
      <c r="N11" s="7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41"/>
      <c r="AT11" s="42"/>
      <c r="AU11" s="26"/>
      <c r="AV11" s="27"/>
      <c r="AW11" s="30"/>
    </row>
    <row r="12" spans="1:49">
      <c r="A12" s="36" t="s">
        <v>52</v>
      </c>
      <c r="N12" s="7">
        <v>8</v>
      </c>
      <c r="P12" s="31" t="s">
        <v>44</v>
      </c>
      <c r="Q12" s="17" t="s">
        <v>34</v>
      </c>
      <c r="R12" s="45" t="s">
        <v>31</v>
      </c>
      <c r="S12" s="45" t="s">
        <v>33</v>
      </c>
      <c r="T12" s="45" t="s">
        <v>45</v>
      </c>
      <c r="U12" s="45" t="s">
        <v>36</v>
      </c>
      <c r="V12" s="46" t="s">
        <v>38</v>
      </c>
      <c r="W12" s="44" t="s">
        <v>39</v>
      </c>
      <c r="X12" s="45" t="s">
        <v>35</v>
      </c>
      <c r="Y12" s="45" t="s">
        <v>36</v>
      </c>
      <c r="Z12" s="45" t="s">
        <v>31</v>
      </c>
      <c r="AA12" s="44" t="s">
        <v>46</v>
      </c>
      <c r="AB12" s="44" t="s">
        <v>32</v>
      </c>
      <c r="AC12" s="44" t="s">
        <v>32</v>
      </c>
      <c r="AD12" s="44" t="s">
        <v>31</v>
      </c>
      <c r="AE12" s="44" t="s">
        <v>34</v>
      </c>
      <c r="AF12" s="45" t="s">
        <v>26</v>
      </c>
      <c r="AG12" s="45" t="s">
        <v>31</v>
      </c>
      <c r="AH12" s="45" t="s">
        <v>42</v>
      </c>
      <c r="AI12" s="45" t="s">
        <v>35</v>
      </c>
      <c r="AJ12" s="44" t="s">
        <v>36</v>
      </c>
      <c r="AK12" s="44" t="s">
        <v>33</v>
      </c>
      <c r="AL12" s="44" t="s">
        <v>39</v>
      </c>
      <c r="AM12" s="44" t="s">
        <v>30</v>
      </c>
      <c r="AN12" s="45" t="s">
        <v>45</v>
      </c>
      <c r="AO12" s="45" t="s">
        <v>27</v>
      </c>
      <c r="AP12" s="45" t="s">
        <v>34</v>
      </c>
      <c r="AQ12" s="17" t="s">
        <v>39</v>
      </c>
      <c r="AR12" s="17" t="s">
        <v>31</v>
      </c>
      <c r="AS12" s="37" t="s">
        <v>34</v>
      </c>
      <c r="AT12" s="47" t="s">
        <v>33</v>
      </c>
      <c r="AU12" s="20" t="s">
        <v>39</v>
      </c>
      <c r="AV12" s="32"/>
      <c r="AW12" s="22">
        <f>COUNTA(P12:AV12)</f>
        <v>32</v>
      </c>
    </row>
    <row r="13" spans="1:49">
      <c r="A13" s="36" t="s">
        <v>53</v>
      </c>
      <c r="N13" s="7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6"/>
      <c r="AT13" s="27"/>
      <c r="AU13" s="28"/>
      <c r="AV13" s="28"/>
      <c r="AW13" s="30"/>
    </row>
    <row r="14" spans="1:49">
      <c r="A14" s="48" t="s">
        <v>54</v>
      </c>
      <c r="N14" s="7">
        <v>8</v>
      </c>
      <c r="P14" s="15" t="s">
        <v>30</v>
      </c>
      <c r="Q14" s="17" t="s">
        <v>35</v>
      </c>
      <c r="R14" s="45" t="s">
        <v>36</v>
      </c>
      <c r="S14" s="45" t="s">
        <v>31</v>
      </c>
      <c r="T14" s="45" t="s">
        <v>39</v>
      </c>
      <c r="U14" s="44" t="s">
        <v>28</v>
      </c>
      <c r="V14" s="44" t="s">
        <v>38</v>
      </c>
      <c r="W14" s="44" t="s">
        <v>30</v>
      </c>
      <c r="X14" s="44" t="s">
        <v>31</v>
      </c>
      <c r="Y14" s="44" t="s">
        <v>39</v>
      </c>
      <c r="Z14" s="44" t="s">
        <v>38</v>
      </c>
      <c r="AA14" s="44" t="s">
        <v>39</v>
      </c>
      <c r="AB14" s="44" t="s">
        <v>43</v>
      </c>
      <c r="AC14" s="45" t="s">
        <v>35</v>
      </c>
      <c r="AD14" s="45" t="s">
        <v>36</v>
      </c>
      <c r="AE14" s="45" t="s">
        <v>31</v>
      </c>
      <c r="AF14" s="44" t="s">
        <v>36</v>
      </c>
      <c r="AG14" s="44" t="s">
        <v>27</v>
      </c>
      <c r="AH14" s="44" t="s">
        <v>26</v>
      </c>
      <c r="AI14" s="44" t="s">
        <v>31</v>
      </c>
      <c r="AJ14" s="45" t="s">
        <v>33</v>
      </c>
      <c r="AK14" s="44" t="s">
        <v>26</v>
      </c>
      <c r="AL14" s="44" t="s">
        <v>38</v>
      </c>
      <c r="AM14" s="44" t="s">
        <v>35</v>
      </c>
      <c r="AN14" s="44" t="s">
        <v>35</v>
      </c>
      <c r="AO14" s="44" t="s">
        <v>26</v>
      </c>
      <c r="AP14" s="44" t="s">
        <v>31</v>
      </c>
      <c r="AQ14" s="17" t="s">
        <v>38</v>
      </c>
      <c r="AR14" s="16" t="s">
        <v>38</v>
      </c>
      <c r="AS14" s="20" t="s">
        <v>39</v>
      </c>
      <c r="AT14" s="32"/>
      <c r="AU14" s="33"/>
      <c r="AV14" s="33"/>
      <c r="AW14" s="22">
        <f>COUNTA(P14:AV14)</f>
        <v>30</v>
      </c>
    </row>
    <row r="15" spans="1:49">
      <c r="A15" s="48" t="s">
        <v>55</v>
      </c>
      <c r="N15" s="7"/>
      <c r="P15" s="49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1"/>
      <c r="AP15" s="52"/>
      <c r="AQ15" s="50"/>
      <c r="AR15" s="50"/>
      <c r="AS15" s="50"/>
      <c r="AT15" s="50"/>
      <c r="AU15" s="53"/>
      <c r="AV15" s="54"/>
      <c r="AW15" s="30"/>
    </row>
    <row r="16" spans="1:49">
      <c r="A16" s="36" t="s">
        <v>56</v>
      </c>
      <c r="N16" s="7">
        <v>7</v>
      </c>
      <c r="P16" s="229" t="s">
        <v>25</v>
      </c>
      <c r="Q16" s="230" t="s">
        <v>31</v>
      </c>
      <c r="R16" s="231" t="s">
        <v>34</v>
      </c>
      <c r="S16" s="231" t="s">
        <v>35</v>
      </c>
      <c r="T16" s="231" t="s">
        <v>31</v>
      </c>
      <c r="U16" s="231" t="s">
        <v>30</v>
      </c>
      <c r="V16" s="232" t="s">
        <v>35</v>
      </c>
      <c r="W16" s="233" t="s">
        <v>36</v>
      </c>
      <c r="X16" s="233" t="s">
        <v>31</v>
      </c>
      <c r="Y16" s="231" t="s">
        <v>45</v>
      </c>
      <c r="Z16" s="231" t="s">
        <v>33</v>
      </c>
      <c r="AA16" s="231" t="s">
        <v>39</v>
      </c>
      <c r="AB16" s="231" t="s">
        <v>30</v>
      </c>
      <c r="AC16" s="231" t="s">
        <v>26</v>
      </c>
      <c r="AD16" s="231" t="s">
        <v>31</v>
      </c>
      <c r="AE16" s="233" t="s">
        <v>33</v>
      </c>
      <c r="AF16" s="233" t="s">
        <v>39</v>
      </c>
      <c r="AG16" s="233" t="s">
        <v>30</v>
      </c>
      <c r="AH16" s="231" t="s">
        <v>32</v>
      </c>
      <c r="AI16" s="231" t="s">
        <v>31</v>
      </c>
      <c r="AJ16" s="231" t="s">
        <v>31</v>
      </c>
      <c r="AK16" s="231" t="s">
        <v>34</v>
      </c>
      <c r="AL16" s="231" t="s">
        <v>31</v>
      </c>
      <c r="AM16" s="231" t="s">
        <v>30</v>
      </c>
      <c r="AN16" s="233" t="s">
        <v>38</v>
      </c>
      <c r="AO16" s="234" t="s">
        <v>39</v>
      </c>
      <c r="AP16" s="235" t="s">
        <v>35</v>
      </c>
      <c r="AQ16" s="230" t="s">
        <v>36</v>
      </c>
      <c r="AR16" s="230" t="s">
        <v>31</v>
      </c>
      <c r="AS16" s="236" t="s">
        <v>36</v>
      </c>
      <c r="AT16" s="236" t="s">
        <v>27</v>
      </c>
      <c r="AU16" s="237" t="s">
        <v>35</v>
      </c>
      <c r="AV16" s="55"/>
      <c r="AW16" s="22">
        <f>COUNTA(P16:AV16)</f>
        <v>32</v>
      </c>
    </row>
    <row r="17" spans="1:49">
      <c r="A17" s="48" t="s">
        <v>57</v>
      </c>
      <c r="N17" s="7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6"/>
      <c r="AU17" s="27"/>
      <c r="AV17" s="28"/>
      <c r="AW17" s="30"/>
    </row>
    <row r="18" spans="1:49">
      <c r="A18" s="48" t="s">
        <v>58</v>
      </c>
      <c r="N18" s="7">
        <v>6</v>
      </c>
      <c r="P18" s="15" t="s">
        <v>33</v>
      </c>
      <c r="Q18" s="16" t="s">
        <v>38</v>
      </c>
      <c r="R18" s="16" t="s">
        <v>34</v>
      </c>
      <c r="S18" s="17" t="s">
        <v>31</v>
      </c>
      <c r="T18" s="17" t="s">
        <v>25</v>
      </c>
      <c r="U18" s="17" t="s">
        <v>45</v>
      </c>
      <c r="V18" s="17" t="s">
        <v>33</v>
      </c>
      <c r="W18" s="17" t="s">
        <v>32</v>
      </c>
      <c r="X18" s="17" t="s">
        <v>38</v>
      </c>
      <c r="Y18" s="17" t="s">
        <v>39</v>
      </c>
      <c r="Z18" s="17" t="s">
        <v>43</v>
      </c>
      <c r="AA18" s="16" t="s">
        <v>42</v>
      </c>
      <c r="AB18" s="16" t="s">
        <v>34</v>
      </c>
      <c r="AC18" s="16" t="s">
        <v>27</v>
      </c>
      <c r="AD18" s="16" t="s">
        <v>37</v>
      </c>
      <c r="AE18" s="17" t="s">
        <v>35</v>
      </c>
      <c r="AF18" s="17" t="s">
        <v>36</v>
      </c>
      <c r="AG18" s="17" t="s">
        <v>31</v>
      </c>
      <c r="AH18" s="16" t="s">
        <v>45</v>
      </c>
      <c r="AI18" s="16" t="s">
        <v>36</v>
      </c>
      <c r="AJ18" s="16" t="s">
        <v>33</v>
      </c>
      <c r="AK18" s="16" t="s">
        <v>37</v>
      </c>
      <c r="AL18" s="16" t="s">
        <v>44</v>
      </c>
      <c r="AM18" s="16" t="s">
        <v>31</v>
      </c>
      <c r="AN18" s="16" t="s">
        <v>34</v>
      </c>
      <c r="AO18" s="17" t="s">
        <v>45</v>
      </c>
      <c r="AP18" s="17" t="s">
        <v>33</v>
      </c>
      <c r="AQ18" s="17" t="s">
        <v>46</v>
      </c>
      <c r="AR18" s="17" t="s">
        <v>25</v>
      </c>
      <c r="AS18" s="17" t="s">
        <v>31</v>
      </c>
      <c r="AT18" s="38" t="s">
        <v>30</v>
      </c>
      <c r="AU18" s="32"/>
      <c r="AV18" s="33"/>
      <c r="AW18" s="22">
        <f>COUNTA(P18:AV18)</f>
        <v>31</v>
      </c>
    </row>
    <row r="19" spans="1:49">
      <c r="A19" s="36" t="s">
        <v>59</v>
      </c>
      <c r="N19" s="7"/>
      <c r="P19" s="24"/>
      <c r="Q19" s="25"/>
      <c r="R19" s="41"/>
      <c r="S19" s="42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41"/>
      <c r="AS19" s="42"/>
      <c r="AT19" s="25"/>
      <c r="AU19" s="25"/>
      <c r="AV19" s="26"/>
      <c r="AW19" s="56"/>
    </row>
    <row r="20" spans="1:49">
      <c r="A20" s="36" t="s">
        <v>60</v>
      </c>
      <c r="N20" s="7">
        <v>7</v>
      </c>
      <c r="P20" s="46" t="s">
        <v>35</v>
      </c>
      <c r="Q20" s="44" t="s">
        <v>36</v>
      </c>
      <c r="R20" s="57" t="s">
        <v>31</v>
      </c>
      <c r="S20" s="58" t="s">
        <v>42</v>
      </c>
      <c r="T20" s="45" t="s">
        <v>26</v>
      </c>
      <c r="U20" s="45" t="s">
        <v>33</v>
      </c>
      <c r="V20" s="59" t="s">
        <v>37</v>
      </c>
      <c r="W20" s="45" t="s">
        <v>31</v>
      </c>
      <c r="X20" s="44" t="s">
        <v>35</v>
      </c>
      <c r="Y20" s="44" t="s">
        <v>27</v>
      </c>
      <c r="Z20" s="45" t="s">
        <v>42</v>
      </c>
      <c r="AA20" s="45" t="s">
        <v>26</v>
      </c>
      <c r="AB20" s="45" t="s">
        <v>38</v>
      </c>
      <c r="AC20" s="45" t="s">
        <v>45</v>
      </c>
      <c r="AD20" s="45" t="s">
        <v>61</v>
      </c>
      <c r="AE20" s="45" t="s">
        <v>31</v>
      </c>
      <c r="AF20" s="45" t="s">
        <v>34</v>
      </c>
      <c r="AG20" s="44" t="s">
        <v>44</v>
      </c>
      <c r="AH20" s="44" t="s">
        <v>46</v>
      </c>
      <c r="AI20" s="44" t="s">
        <v>35</v>
      </c>
      <c r="AJ20" s="45" t="s">
        <v>32</v>
      </c>
      <c r="AK20" s="45" t="s">
        <v>34</v>
      </c>
      <c r="AL20" s="45" t="s">
        <v>31</v>
      </c>
      <c r="AM20" s="45" t="s">
        <v>25</v>
      </c>
      <c r="AN20" s="45" t="s">
        <v>31</v>
      </c>
      <c r="AO20" s="45" t="s">
        <v>39</v>
      </c>
      <c r="AP20" s="45" t="s">
        <v>35</v>
      </c>
      <c r="AQ20" s="45" t="s">
        <v>26</v>
      </c>
      <c r="AR20" s="60" t="s">
        <v>29</v>
      </c>
      <c r="AS20" s="43" t="s">
        <v>30</v>
      </c>
      <c r="AT20" s="44" t="s">
        <v>31</v>
      </c>
      <c r="AU20" s="44" t="s">
        <v>35</v>
      </c>
      <c r="AV20" s="61" t="s">
        <v>33</v>
      </c>
      <c r="AW20" s="62">
        <f>COUNTA(P20:AV20)</f>
        <v>33</v>
      </c>
    </row>
    <row r="21" spans="1:49">
      <c r="A21" s="36" t="s">
        <v>62</v>
      </c>
      <c r="N21" s="7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41"/>
      <c r="AO21" s="42"/>
      <c r="AP21" s="25"/>
      <c r="AQ21" s="25"/>
      <c r="AR21" s="26"/>
      <c r="AS21" s="27"/>
      <c r="AT21" s="28"/>
      <c r="AU21" s="28"/>
      <c r="AV21" s="28"/>
      <c r="AW21" s="30"/>
    </row>
    <row r="22" spans="1:49">
      <c r="A22" s="48" t="s">
        <v>63</v>
      </c>
      <c r="N22" s="7">
        <v>6</v>
      </c>
      <c r="P22" s="15" t="s">
        <v>38</v>
      </c>
      <c r="Q22" s="16" t="s">
        <v>26</v>
      </c>
      <c r="R22" s="16" t="s">
        <v>25</v>
      </c>
      <c r="S22" s="17" t="s">
        <v>27</v>
      </c>
      <c r="T22" s="17" t="s">
        <v>42</v>
      </c>
      <c r="U22" s="16" t="s">
        <v>35</v>
      </c>
      <c r="V22" s="16" t="s">
        <v>36</v>
      </c>
      <c r="W22" s="16" t="s">
        <v>31</v>
      </c>
      <c r="X22" s="17" t="s">
        <v>34</v>
      </c>
      <c r="Y22" s="17" t="s">
        <v>27</v>
      </c>
      <c r="Z22" s="17" t="s">
        <v>27</v>
      </c>
      <c r="AA22" s="17" t="s">
        <v>37</v>
      </c>
      <c r="AB22" s="16" t="s">
        <v>28</v>
      </c>
      <c r="AC22" s="16" t="s">
        <v>38</v>
      </c>
      <c r="AD22" s="16" t="s">
        <v>35</v>
      </c>
      <c r="AE22" s="16" t="s">
        <v>36</v>
      </c>
      <c r="AF22" s="16" t="s">
        <v>38</v>
      </c>
      <c r="AG22" s="16" t="s">
        <v>39</v>
      </c>
      <c r="AH22" s="17" t="s">
        <v>31</v>
      </c>
      <c r="AI22" s="17" t="s">
        <v>37</v>
      </c>
      <c r="AJ22" s="17" t="s">
        <v>31</v>
      </c>
      <c r="AK22" s="17" t="s">
        <v>34</v>
      </c>
      <c r="AL22" s="17" t="s">
        <v>43</v>
      </c>
      <c r="AM22" s="17" t="s">
        <v>31</v>
      </c>
      <c r="AN22" s="37" t="s">
        <v>30</v>
      </c>
      <c r="AO22" s="47" t="s">
        <v>42</v>
      </c>
      <c r="AP22" s="16" t="s">
        <v>34</v>
      </c>
      <c r="AQ22" s="16" t="s">
        <v>27</v>
      </c>
      <c r="AR22" s="20" t="s">
        <v>37</v>
      </c>
      <c r="AS22" s="32"/>
      <c r="AT22" s="33"/>
      <c r="AU22" s="33"/>
      <c r="AV22" s="33"/>
      <c r="AW22" s="22">
        <f>COUNTA(P22:AV22)</f>
        <v>29</v>
      </c>
    </row>
    <row r="23" spans="1:49">
      <c r="A23" s="48" t="s">
        <v>64</v>
      </c>
      <c r="N23" s="7"/>
      <c r="P23" s="24"/>
      <c r="Q23" s="25"/>
      <c r="R23" s="25"/>
      <c r="S23" s="25"/>
      <c r="T23" s="25"/>
      <c r="U23" s="25"/>
      <c r="V23" s="41"/>
      <c r="W23" s="63"/>
      <c r="X23" s="42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41"/>
      <c r="AO23" s="63"/>
      <c r="AP23" s="64"/>
      <c r="AQ23" s="65"/>
      <c r="AR23" s="66"/>
      <c r="AS23" s="66"/>
      <c r="AT23" s="66"/>
      <c r="AU23" s="66"/>
      <c r="AV23" s="66"/>
      <c r="AW23" s="30"/>
    </row>
    <row r="24" spans="1:49" ht="16.5" thickBot="1">
      <c r="A24" s="36" t="s">
        <v>65</v>
      </c>
      <c r="N24" s="7">
        <v>8</v>
      </c>
      <c r="P24" s="67" t="s">
        <v>35</v>
      </c>
      <c r="Q24" s="68" t="s">
        <v>36</v>
      </c>
      <c r="R24" s="69" t="s">
        <v>31</v>
      </c>
      <c r="S24" s="70" t="s">
        <v>37</v>
      </c>
      <c r="T24" s="71" t="s">
        <v>38</v>
      </c>
      <c r="U24" s="71" t="s">
        <v>25</v>
      </c>
      <c r="V24" s="72" t="s">
        <v>35</v>
      </c>
      <c r="W24" s="73" t="s">
        <v>66</v>
      </c>
      <c r="X24" s="74" t="s">
        <v>45</v>
      </c>
      <c r="Y24" s="70" t="s">
        <v>33</v>
      </c>
      <c r="Z24" s="71" t="s">
        <v>39</v>
      </c>
      <c r="AA24" s="68" t="s">
        <v>29</v>
      </c>
      <c r="AB24" s="68" t="s">
        <v>27</v>
      </c>
      <c r="AC24" s="68" t="s">
        <v>46</v>
      </c>
      <c r="AD24" s="71" t="s">
        <v>25</v>
      </c>
      <c r="AE24" s="71" t="s">
        <v>31</v>
      </c>
      <c r="AF24" s="71" t="s">
        <v>31</v>
      </c>
      <c r="AG24" s="68" t="s">
        <v>33</v>
      </c>
      <c r="AH24" s="68" t="s">
        <v>39</v>
      </c>
      <c r="AI24" s="68" t="s">
        <v>29</v>
      </c>
      <c r="AJ24" s="68" t="s">
        <v>35</v>
      </c>
      <c r="AK24" s="68" t="s">
        <v>36</v>
      </c>
      <c r="AL24" s="68" t="s">
        <v>38</v>
      </c>
      <c r="AM24" s="68" t="s">
        <v>39</v>
      </c>
      <c r="AN24" s="69" t="s">
        <v>43</v>
      </c>
      <c r="AO24" s="75" t="s">
        <v>67</v>
      </c>
      <c r="AP24" s="76" t="s">
        <v>68</v>
      </c>
      <c r="AQ24" s="77"/>
      <c r="AR24" s="78"/>
      <c r="AS24" s="78"/>
      <c r="AT24" s="78"/>
      <c r="AU24" s="78"/>
      <c r="AW24" s="79">
        <f>COUNTA(P24:AV24)-1</f>
        <v>26</v>
      </c>
    </row>
    <row r="25" spans="1:49" ht="16.5" thickTop="1">
      <c r="A25" s="36" t="s">
        <v>69</v>
      </c>
      <c r="N25" s="80">
        <f>SUM(N3:N24)</f>
        <v>75</v>
      </c>
      <c r="AW25" s="81">
        <f>SUM(AW3:AW24)</f>
        <v>336</v>
      </c>
    </row>
    <row r="26" spans="1:49">
      <c r="A26" s="36"/>
      <c r="N26" s="82"/>
      <c r="P26" s="83" t="s">
        <v>70</v>
      </c>
    </row>
    <row r="27" spans="1:49">
      <c r="A27" s="23" t="s">
        <v>71</v>
      </c>
    </row>
    <row r="28" spans="1:49">
      <c r="A28" s="23" t="s">
        <v>72</v>
      </c>
    </row>
    <row r="29" spans="1:49">
      <c r="A29" s="23" t="s">
        <v>73</v>
      </c>
      <c r="P29" s="84">
        <v>1</v>
      </c>
      <c r="Q29" s="84">
        <v>2</v>
      </c>
      <c r="R29" s="84">
        <v>3</v>
      </c>
      <c r="S29" s="84">
        <v>4</v>
      </c>
      <c r="T29" s="84">
        <v>5</v>
      </c>
      <c r="U29" s="84">
        <v>6</v>
      </c>
      <c r="V29" s="84">
        <v>7</v>
      </c>
      <c r="W29" s="84">
        <v>8</v>
      </c>
      <c r="X29" s="84">
        <v>9</v>
      </c>
      <c r="Y29" s="84">
        <v>10</v>
      </c>
      <c r="Z29" s="84">
        <v>11</v>
      </c>
      <c r="AA29" s="84">
        <v>12</v>
      </c>
      <c r="AB29" s="84">
        <v>13</v>
      </c>
      <c r="AC29" s="84">
        <v>14</v>
      </c>
      <c r="AD29" s="84">
        <v>15</v>
      </c>
      <c r="AE29" s="84">
        <v>16</v>
      </c>
      <c r="AF29" s="84">
        <v>17</v>
      </c>
      <c r="AG29" s="84">
        <v>18</v>
      </c>
      <c r="AH29" s="84">
        <v>19</v>
      </c>
      <c r="AI29" s="84">
        <v>20</v>
      </c>
      <c r="AJ29" s="84">
        <v>21</v>
      </c>
      <c r="AK29" s="84">
        <v>22</v>
      </c>
      <c r="AL29" s="84">
        <v>23</v>
      </c>
      <c r="AM29" s="84">
        <v>24</v>
      </c>
      <c r="AN29" s="84">
        <v>25</v>
      </c>
      <c r="AO29" s="84">
        <v>26</v>
      </c>
      <c r="AP29" s="84">
        <v>27</v>
      </c>
      <c r="AQ29" s="84">
        <v>28</v>
      </c>
      <c r="AR29" s="84">
        <v>29</v>
      </c>
      <c r="AS29" s="84">
        <v>30</v>
      </c>
      <c r="AT29" s="84">
        <v>31</v>
      </c>
      <c r="AU29" s="84">
        <v>32</v>
      </c>
      <c r="AV29" s="84">
        <v>33</v>
      </c>
    </row>
    <row r="30" spans="1:49">
      <c r="N30" s="85"/>
      <c r="O30" s="85"/>
      <c r="P30" s="86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8"/>
      <c r="AM30" s="89"/>
      <c r="AN30" s="87"/>
      <c r="AO30" s="87"/>
      <c r="AP30" s="87"/>
      <c r="AQ30" s="87"/>
      <c r="AR30" s="87"/>
      <c r="AS30" s="87"/>
      <c r="AT30" s="87"/>
      <c r="AU30" s="87"/>
      <c r="AV30" s="90"/>
      <c r="AW30" s="91"/>
    </row>
    <row r="31" spans="1:49">
      <c r="N31" s="85">
        <v>9</v>
      </c>
      <c r="O31" s="85"/>
      <c r="P31" s="92" t="s">
        <v>38</v>
      </c>
      <c r="Q31" s="93" t="s">
        <v>35</v>
      </c>
      <c r="R31" s="94" t="s">
        <v>25</v>
      </c>
      <c r="S31" s="94" t="s">
        <v>31</v>
      </c>
      <c r="T31" s="94" t="s">
        <v>31</v>
      </c>
      <c r="U31" s="94" t="s">
        <v>37</v>
      </c>
      <c r="V31" s="95" t="s">
        <v>31</v>
      </c>
      <c r="W31" s="94" t="s">
        <v>30</v>
      </c>
      <c r="X31" s="93" t="s">
        <v>35</v>
      </c>
      <c r="Y31" s="93" t="s">
        <v>27</v>
      </c>
      <c r="Z31" s="94" t="s">
        <v>46</v>
      </c>
      <c r="AA31" s="94" t="s">
        <v>25</v>
      </c>
      <c r="AB31" s="93" t="s">
        <v>33</v>
      </c>
      <c r="AC31" s="93" t="s">
        <v>25</v>
      </c>
      <c r="AD31" s="94" t="s">
        <v>28</v>
      </c>
      <c r="AE31" s="94" t="s">
        <v>31</v>
      </c>
      <c r="AF31" s="93" t="s">
        <v>28</v>
      </c>
      <c r="AG31" s="93" t="s">
        <v>33</v>
      </c>
      <c r="AH31" s="93" t="s">
        <v>35</v>
      </c>
      <c r="AI31" s="93" t="s">
        <v>45</v>
      </c>
      <c r="AJ31" s="93" t="s">
        <v>36</v>
      </c>
      <c r="AK31" s="93" t="s">
        <v>31</v>
      </c>
      <c r="AL31" s="96" t="s">
        <v>30</v>
      </c>
      <c r="AM31" s="97" t="s">
        <v>46</v>
      </c>
      <c r="AN31" s="94" t="s">
        <v>39</v>
      </c>
      <c r="AO31" s="94" t="s">
        <v>35</v>
      </c>
      <c r="AP31" s="94" t="s">
        <v>38</v>
      </c>
      <c r="AQ31" s="94" t="s">
        <v>26</v>
      </c>
      <c r="AR31" s="93" t="s">
        <v>33</v>
      </c>
      <c r="AS31" s="93" t="s">
        <v>35</v>
      </c>
      <c r="AT31" s="93"/>
      <c r="AU31" s="93"/>
      <c r="AV31" s="98"/>
      <c r="AW31" s="99">
        <f>COUNTA(P31:AV31)</f>
        <v>30</v>
      </c>
    </row>
    <row r="32" spans="1:49">
      <c r="A32" s="100" t="s">
        <v>74</v>
      </c>
      <c r="N32" s="85"/>
      <c r="O32" s="85"/>
      <c r="P32" s="86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90"/>
      <c r="AW32" s="91"/>
    </row>
    <row r="33" spans="1:49">
      <c r="A33" s="101" t="s">
        <v>75</v>
      </c>
      <c r="N33" s="85">
        <v>8</v>
      </c>
      <c r="O33" s="85"/>
      <c r="P33" s="95" t="s">
        <v>26</v>
      </c>
      <c r="Q33" s="94" t="s">
        <v>33</v>
      </c>
      <c r="R33" s="94" t="s">
        <v>25</v>
      </c>
      <c r="S33" s="94" t="s">
        <v>35</v>
      </c>
      <c r="T33" s="93" t="s">
        <v>28</v>
      </c>
      <c r="U33" s="93" t="s">
        <v>31</v>
      </c>
      <c r="V33" s="95" t="s">
        <v>36</v>
      </c>
      <c r="W33" s="94" t="s">
        <v>33</v>
      </c>
      <c r="X33" s="94" t="s">
        <v>30</v>
      </c>
      <c r="Y33" s="93" t="s">
        <v>35</v>
      </c>
      <c r="Z33" s="93" t="s">
        <v>36</v>
      </c>
      <c r="AA33" s="93" t="s">
        <v>31</v>
      </c>
      <c r="AB33" s="94" t="s">
        <v>28</v>
      </c>
      <c r="AC33" s="94" t="s">
        <v>36</v>
      </c>
      <c r="AD33" s="94" t="s">
        <v>27</v>
      </c>
      <c r="AE33" s="94" t="s">
        <v>26</v>
      </c>
      <c r="AF33" s="94" t="s">
        <v>31</v>
      </c>
      <c r="AG33" s="93" t="s">
        <v>30</v>
      </c>
      <c r="AH33" s="93" t="s">
        <v>27</v>
      </c>
      <c r="AI33" s="93" t="s">
        <v>27</v>
      </c>
      <c r="AJ33" s="93" t="s">
        <v>34</v>
      </c>
      <c r="AK33" s="94" t="s">
        <v>45</v>
      </c>
      <c r="AL33" s="94" t="s">
        <v>26</v>
      </c>
      <c r="AM33" s="94" t="s">
        <v>31</v>
      </c>
      <c r="AN33" s="94" t="s">
        <v>33</v>
      </c>
      <c r="AO33" s="94" t="s">
        <v>34</v>
      </c>
      <c r="AP33" s="93" t="s">
        <v>44</v>
      </c>
      <c r="AQ33" s="93" t="s">
        <v>31</v>
      </c>
      <c r="AR33" s="93" t="s">
        <v>42</v>
      </c>
      <c r="AS33" s="93" t="s">
        <v>27</v>
      </c>
      <c r="AT33" s="93" t="s">
        <v>34</v>
      </c>
      <c r="AU33" s="93" t="s">
        <v>31</v>
      </c>
      <c r="AV33" s="98"/>
      <c r="AW33" s="99">
        <f>COUNTA(P33:AV33)</f>
        <v>32</v>
      </c>
    </row>
    <row r="34" spans="1:49">
      <c r="A34" s="101" t="s">
        <v>76</v>
      </c>
      <c r="N34" s="85"/>
      <c r="O34" s="85"/>
      <c r="P34" s="86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8"/>
      <c r="AS34" s="89"/>
      <c r="AT34" s="87"/>
      <c r="AU34" s="87"/>
      <c r="AV34" s="90"/>
      <c r="AW34" s="99"/>
    </row>
    <row r="35" spans="1:49">
      <c r="A35" s="101" t="s">
        <v>75</v>
      </c>
      <c r="N35" s="85">
        <v>7</v>
      </c>
      <c r="O35" s="85"/>
      <c r="P35" s="95" t="s">
        <v>46</v>
      </c>
      <c r="Q35" s="94" t="s">
        <v>25</v>
      </c>
      <c r="R35" s="93" t="s">
        <v>6</v>
      </c>
      <c r="S35" s="93" t="s">
        <v>36</v>
      </c>
      <c r="T35" s="93" t="s">
        <v>31</v>
      </c>
      <c r="U35" s="94" t="s">
        <v>30</v>
      </c>
      <c r="V35" s="95" t="s">
        <v>31</v>
      </c>
      <c r="W35" s="94" t="s">
        <v>45</v>
      </c>
      <c r="X35" s="94" t="s">
        <v>38</v>
      </c>
      <c r="Y35" s="94" t="s">
        <v>25</v>
      </c>
      <c r="Z35" s="94" t="s">
        <v>38</v>
      </c>
      <c r="AA35" s="94" t="s">
        <v>48</v>
      </c>
      <c r="AB35" s="94" t="s">
        <v>31</v>
      </c>
      <c r="AC35" s="93" t="s">
        <v>37</v>
      </c>
      <c r="AD35" s="93" t="s">
        <v>27</v>
      </c>
      <c r="AE35" s="93" t="s">
        <v>37</v>
      </c>
      <c r="AF35" s="93" t="s">
        <v>31</v>
      </c>
      <c r="AG35" s="93" t="s">
        <v>39</v>
      </c>
      <c r="AH35" s="93" t="s">
        <v>35</v>
      </c>
      <c r="AI35" s="94" t="s">
        <v>36</v>
      </c>
      <c r="AJ35" s="94" t="s">
        <v>33</v>
      </c>
      <c r="AK35" s="94" t="s">
        <v>30</v>
      </c>
      <c r="AL35" s="93" t="s">
        <v>33</v>
      </c>
      <c r="AM35" s="93" t="s">
        <v>34</v>
      </c>
      <c r="AN35" s="93" t="s">
        <v>34</v>
      </c>
      <c r="AO35" s="93" t="s">
        <v>38</v>
      </c>
      <c r="AP35" s="93" t="s">
        <v>48</v>
      </c>
      <c r="AQ35" s="93" t="s">
        <v>31</v>
      </c>
      <c r="AR35" s="96" t="s">
        <v>30</v>
      </c>
      <c r="AS35" s="97" t="s">
        <v>19</v>
      </c>
      <c r="AT35" s="94" t="s">
        <v>33</v>
      </c>
      <c r="AU35" s="94" t="s">
        <v>34</v>
      </c>
      <c r="AV35" s="102" t="s">
        <v>61</v>
      </c>
      <c r="AW35" s="99">
        <f>COUNTA(P35:AV35)</f>
        <v>33</v>
      </c>
    </row>
    <row r="36" spans="1:49">
      <c r="A36" s="101" t="s">
        <v>77</v>
      </c>
      <c r="N36" s="85"/>
      <c r="O36" s="85"/>
      <c r="P36" s="86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90"/>
      <c r="AW36" s="99"/>
    </row>
    <row r="37" spans="1:49">
      <c r="A37" s="101" t="s">
        <v>75</v>
      </c>
      <c r="N37" s="85">
        <v>8</v>
      </c>
      <c r="O37" s="85"/>
      <c r="P37" s="95" t="s">
        <v>39</v>
      </c>
      <c r="Q37" s="94" t="s">
        <v>31</v>
      </c>
      <c r="R37" s="94" t="s">
        <v>25</v>
      </c>
      <c r="S37" s="94" t="s">
        <v>25</v>
      </c>
      <c r="T37" s="93" t="s">
        <v>33</v>
      </c>
      <c r="U37" s="93" t="s">
        <v>39</v>
      </c>
      <c r="V37" s="92" t="s">
        <v>30</v>
      </c>
      <c r="W37" s="94" t="s">
        <v>44</v>
      </c>
      <c r="X37" s="94" t="s">
        <v>26</v>
      </c>
      <c r="Y37" s="94" t="s">
        <v>33</v>
      </c>
      <c r="Z37" s="94" t="s">
        <v>39</v>
      </c>
      <c r="AA37" s="94" t="s">
        <v>61</v>
      </c>
      <c r="AB37" s="93" t="s">
        <v>25</v>
      </c>
      <c r="AC37" s="93" t="s">
        <v>32</v>
      </c>
      <c r="AD37" s="93" t="s">
        <v>33</v>
      </c>
      <c r="AE37" s="93" t="s">
        <v>45</v>
      </c>
      <c r="AF37" s="93" t="s">
        <v>31</v>
      </c>
      <c r="AG37" s="94" t="s">
        <v>33</v>
      </c>
      <c r="AH37" s="94" t="s">
        <v>25</v>
      </c>
      <c r="AI37" s="93" t="s">
        <v>42</v>
      </c>
      <c r="AJ37" s="93" t="s">
        <v>33</v>
      </c>
      <c r="AK37" s="93" t="s">
        <v>34</v>
      </c>
      <c r="AL37" s="94" t="s">
        <v>33</v>
      </c>
      <c r="AM37" s="94" t="s">
        <v>25</v>
      </c>
      <c r="AN37" s="93" t="s">
        <v>33</v>
      </c>
      <c r="AO37" s="93" t="s">
        <v>39</v>
      </c>
      <c r="AP37" s="94" t="s">
        <v>38</v>
      </c>
      <c r="AQ37" s="94" t="s">
        <v>34</v>
      </c>
      <c r="AR37" s="94" t="s">
        <v>27</v>
      </c>
      <c r="AS37" s="94" t="s">
        <v>39</v>
      </c>
      <c r="AT37" s="93"/>
      <c r="AU37" s="93"/>
      <c r="AV37" s="98"/>
      <c r="AW37" s="99">
        <f>COUNTA(P37:AV37)</f>
        <v>30</v>
      </c>
    </row>
    <row r="38" spans="1:49">
      <c r="N38" s="85"/>
      <c r="O38" s="85"/>
      <c r="P38" s="86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90"/>
      <c r="AW38" s="99"/>
    </row>
    <row r="39" spans="1:49">
      <c r="A39" s="103" t="s">
        <v>78</v>
      </c>
      <c r="B39" s="103"/>
      <c r="C39" s="103"/>
      <c r="D39" s="103"/>
      <c r="E39" s="103"/>
      <c r="F39" s="103"/>
      <c r="G39" s="103"/>
      <c r="H39" s="103"/>
      <c r="I39" s="85" t="s">
        <v>79</v>
      </c>
      <c r="N39" s="85">
        <v>5</v>
      </c>
      <c r="O39" s="85"/>
      <c r="P39" s="92" t="s">
        <v>35</v>
      </c>
      <c r="Q39" s="93" t="s">
        <v>31</v>
      </c>
      <c r="R39" s="93" t="s">
        <v>25</v>
      </c>
      <c r="S39" s="93" t="s">
        <v>35</v>
      </c>
      <c r="T39" s="93" t="s">
        <v>38</v>
      </c>
      <c r="U39" s="93" t="s">
        <v>39</v>
      </c>
      <c r="V39" s="92" t="s">
        <v>43</v>
      </c>
      <c r="W39" s="93" t="s">
        <v>34</v>
      </c>
      <c r="X39" s="93" t="s">
        <v>27</v>
      </c>
      <c r="Y39" s="93" t="s">
        <v>30</v>
      </c>
      <c r="Z39" s="94" t="s">
        <v>45</v>
      </c>
      <c r="AA39" s="94" t="s">
        <v>27</v>
      </c>
      <c r="AB39" s="94" t="s">
        <v>46</v>
      </c>
      <c r="AC39" s="94" t="s">
        <v>26</v>
      </c>
      <c r="AD39" s="94" t="s">
        <v>30</v>
      </c>
      <c r="AE39" s="93" t="s">
        <v>34</v>
      </c>
      <c r="AF39" s="93" t="s">
        <v>31</v>
      </c>
      <c r="AG39" s="93" t="s">
        <v>33</v>
      </c>
      <c r="AH39" s="93" t="s">
        <v>45</v>
      </c>
      <c r="AI39" s="93" t="s">
        <v>36</v>
      </c>
      <c r="AJ39" s="94" t="s">
        <v>25</v>
      </c>
      <c r="AK39" s="94" t="s">
        <v>36</v>
      </c>
      <c r="AL39" s="94" t="s">
        <v>27</v>
      </c>
      <c r="AM39" s="94" t="s">
        <v>28</v>
      </c>
      <c r="AN39" s="94" t="s">
        <v>31</v>
      </c>
      <c r="AO39" s="94" t="s">
        <v>30</v>
      </c>
      <c r="AP39" s="93" t="s">
        <v>35</v>
      </c>
      <c r="AQ39" s="93" t="s">
        <v>36</v>
      </c>
      <c r="AR39" s="93" t="s">
        <v>33</v>
      </c>
      <c r="AS39" s="93" t="s">
        <v>35</v>
      </c>
      <c r="AT39" s="93"/>
      <c r="AU39" s="93"/>
      <c r="AV39" s="98"/>
      <c r="AW39" s="99">
        <f>COUNTA(P39:AV39)</f>
        <v>30</v>
      </c>
    </row>
    <row r="40" spans="1:49">
      <c r="N40" s="85"/>
      <c r="O40" s="85"/>
      <c r="P40" s="86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90"/>
      <c r="AW40" s="99"/>
    </row>
    <row r="41" spans="1:49">
      <c r="A41" s="101" t="s">
        <v>80</v>
      </c>
      <c r="N41" s="85">
        <v>7</v>
      </c>
      <c r="O41" s="85"/>
      <c r="P41" s="95" t="s">
        <v>28</v>
      </c>
      <c r="Q41" s="94" t="s">
        <v>36</v>
      </c>
      <c r="R41" s="94" t="s">
        <v>33</v>
      </c>
      <c r="S41" s="94" t="s">
        <v>35</v>
      </c>
      <c r="T41" s="94" t="s">
        <v>31</v>
      </c>
      <c r="U41" s="94" t="s">
        <v>48</v>
      </c>
      <c r="V41" s="95" t="s">
        <v>31</v>
      </c>
      <c r="W41" s="94" t="s">
        <v>34</v>
      </c>
      <c r="X41" s="93" t="s">
        <v>26</v>
      </c>
      <c r="Y41" s="93" t="s">
        <v>33</v>
      </c>
      <c r="Z41" s="93" t="s">
        <v>29</v>
      </c>
      <c r="AA41" s="94" t="s">
        <v>44</v>
      </c>
      <c r="AB41" s="94" t="s">
        <v>31</v>
      </c>
      <c r="AC41" s="94" t="s">
        <v>29</v>
      </c>
      <c r="AD41" s="94" t="s">
        <v>27</v>
      </c>
      <c r="AE41" s="94" t="s">
        <v>39</v>
      </c>
      <c r="AF41" s="94" t="s">
        <v>30</v>
      </c>
      <c r="AG41" s="93" t="s">
        <v>28</v>
      </c>
      <c r="AH41" s="93" t="s">
        <v>33</v>
      </c>
      <c r="AI41" s="93" t="s">
        <v>25</v>
      </c>
      <c r="AJ41" s="94" t="s">
        <v>31</v>
      </c>
      <c r="AK41" s="94" t="s">
        <v>37</v>
      </c>
      <c r="AL41" s="94" t="s">
        <v>32</v>
      </c>
      <c r="AM41" s="94" t="s">
        <v>35</v>
      </c>
      <c r="AN41" s="94" t="s">
        <v>29</v>
      </c>
      <c r="AO41" s="93" t="s">
        <v>33</v>
      </c>
      <c r="AP41" s="93" t="s">
        <v>39</v>
      </c>
      <c r="AQ41" s="93" t="s">
        <v>30</v>
      </c>
      <c r="AR41" s="94" t="s">
        <v>39</v>
      </c>
      <c r="AS41" s="94" t="s">
        <v>27</v>
      </c>
      <c r="AT41" s="94" t="s">
        <v>35</v>
      </c>
      <c r="AU41" s="93"/>
      <c r="AV41" s="98"/>
      <c r="AW41" s="99">
        <f>COUNTA(P41:AV41)</f>
        <v>31</v>
      </c>
    </row>
    <row r="42" spans="1:49">
      <c r="A42" s="101" t="s">
        <v>81</v>
      </c>
      <c r="N42" s="85"/>
      <c r="O42" s="85"/>
      <c r="P42" s="86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90"/>
      <c r="AW42" s="99"/>
    </row>
    <row r="43" spans="1:49">
      <c r="A43" s="101" t="s">
        <v>82</v>
      </c>
      <c r="N43" s="85">
        <v>7</v>
      </c>
      <c r="O43" s="85"/>
      <c r="P43" s="92" t="s">
        <v>42</v>
      </c>
      <c r="Q43" s="93" t="s">
        <v>38</v>
      </c>
      <c r="R43" s="93" t="s">
        <v>26</v>
      </c>
      <c r="S43" s="93" t="s">
        <v>26</v>
      </c>
      <c r="T43" s="93" t="s">
        <v>31</v>
      </c>
      <c r="U43" s="93" t="s">
        <v>30</v>
      </c>
      <c r="V43" s="95" t="s">
        <v>26</v>
      </c>
      <c r="W43" s="94" t="s">
        <v>38</v>
      </c>
      <c r="X43" s="94" t="s">
        <v>61</v>
      </c>
      <c r="Y43" s="94" t="s">
        <v>31</v>
      </c>
      <c r="Z43" s="93" t="s">
        <v>35</v>
      </c>
      <c r="AA43" s="93" t="s">
        <v>36</v>
      </c>
      <c r="AB43" s="93" t="s">
        <v>31</v>
      </c>
      <c r="AC43" s="94" t="s">
        <v>32</v>
      </c>
      <c r="AD43" s="94" t="s">
        <v>33</v>
      </c>
      <c r="AE43" s="94" t="s">
        <v>25</v>
      </c>
      <c r="AF43" s="94" t="s">
        <v>25</v>
      </c>
      <c r="AG43" s="94" t="s">
        <v>33</v>
      </c>
      <c r="AH43" s="94" t="s">
        <v>43</v>
      </c>
      <c r="AI43" s="94" t="s">
        <v>31</v>
      </c>
      <c r="AJ43" s="93" t="s">
        <v>28</v>
      </c>
      <c r="AK43" s="93" t="s">
        <v>31</v>
      </c>
      <c r="AL43" s="94" t="s">
        <v>36</v>
      </c>
      <c r="AM43" s="94" t="s">
        <v>33</v>
      </c>
      <c r="AN43" s="94" t="s">
        <v>30</v>
      </c>
      <c r="AO43" s="93" t="s">
        <v>83</v>
      </c>
      <c r="AP43" s="93" t="s">
        <v>46</v>
      </c>
      <c r="AQ43" s="93" t="s">
        <v>25</v>
      </c>
      <c r="AR43" s="93" t="s">
        <v>35</v>
      </c>
      <c r="AS43" s="93"/>
      <c r="AT43" s="93"/>
      <c r="AU43" s="93"/>
      <c r="AV43" s="98"/>
      <c r="AW43" s="99">
        <f>COUNTA(P43:AV43)</f>
        <v>29</v>
      </c>
    </row>
    <row r="44" spans="1:49">
      <c r="A44" s="101" t="s">
        <v>84</v>
      </c>
      <c r="N44" s="85"/>
      <c r="O44" s="85"/>
      <c r="P44" s="86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90"/>
      <c r="AW44" s="99"/>
    </row>
    <row r="45" spans="1:49">
      <c r="N45" s="85">
        <v>7</v>
      </c>
      <c r="O45" s="85"/>
      <c r="P45" s="95" t="s">
        <v>45</v>
      </c>
      <c r="Q45" s="94" t="s">
        <v>26</v>
      </c>
      <c r="R45" s="94" t="s">
        <v>31</v>
      </c>
      <c r="S45" s="94" t="s">
        <v>33</v>
      </c>
      <c r="T45" s="94" t="s">
        <v>34</v>
      </c>
      <c r="U45" s="94" t="s">
        <v>31</v>
      </c>
      <c r="V45" s="95" t="s">
        <v>30</v>
      </c>
      <c r="W45" s="93" t="s">
        <v>18</v>
      </c>
      <c r="X45" s="93" t="s">
        <v>33</v>
      </c>
      <c r="Y45" s="93" t="s">
        <v>39</v>
      </c>
      <c r="Z45" s="93" t="s">
        <v>30</v>
      </c>
      <c r="AA45" s="93" t="s">
        <v>26</v>
      </c>
      <c r="AB45" s="93" t="s">
        <v>31</v>
      </c>
      <c r="AC45" s="94" t="s">
        <v>35</v>
      </c>
      <c r="AD45" s="94" t="s">
        <v>31</v>
      </c>
      <c r="AE45" s="94" t="s">
        <v>25</v>
      </c>
      <c r="AF45" s="94" t="s">
        <v>35</v>
      </c>
      <c r="AG45" s="94" t="s">
        <v>25</v>
      </c>
      <c r="AH45" s="93" t="s">
        <v>28</v>
      </c>
      <c r="AI45" s="93" t="s">
        <v>31</v>
      </c>
      <c r="AJ45" s="93" t="s">
        <v>34</v>
      </c>
      <c r="AK45" s="93" t="s">
        <v>31</v>
      </c>
      <c r="AL45" s="94" t="s">
        <v>33</v>
      </c>
      <c r="AM45" s="94" t="s">
        <v>32</v>
      </c>
      <c r="AN45" s="94" t="s">
        <v>32</v>
      </c>
      <c r="AO45" s="94" t="s">
        <v>26</v>
      </c>
      <c r="AP45" s="94" t="s">
        <v>38</v>
      </c>
      <c r="AQ45" s="94" t="s">
        <v>31</v>
      </c>
      <c r="AR45" s="94" t="s">
        <v>30</v>
      </c>
      <c r="AS45" s="93" t="s">
        <v>33</v>
      </c>
      <c r="AT45" s="93" t="s">
        <v>25</v>
      </c>
      <c r="AU45" s="94" t="s">
        <v>33</v>
      </c>
      <c r="AV45" s="98"/>
      <c r="AW45" s="99">
        <f>COUNTA(P45:AV45)</f>
        <v>32</v>
      </c>
    </row>
    <row r="46" spans="1:49">
      <c r="N46" s="85"/>
      <c r="O46" s="85"/>
      <c r="P46" s="86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90"/>
      <c r="AW46" s="99"/>
    </row>
    <row r="47" spans="1:49">
      <c r="B47" s="104" t="s">
        <v>85</v>
      </c>
      <c r="C47" s="104"/>
      <c r="D47" s="104" t="s">
        <v>86</v>
      </c>
      <c r="E47" s="105" t="s">
        <v>85</v>
      </c>
      <c r="F47" s="105"/>
      <c r="G47" s="105" t="s">
        <v>86</v>
      </c>
      <c r="H47" s="106" t="s">
        <v>85</v>
      </c>
      <c r="I47" s="106"/>
      <c r="J47" s="106" t="s">
        <v>86</v>
      </c>
      <c r="N47" s="85">
        <v>4</v>
      </c>
      <c r="O47" s="85"/>
      <c r="P47" s="92" t="s">
        <v>32</v>
      </c>
      <c r="Q47" s="93" t="s">
        <v>34</v>
      </c>
      <c r="R47" s="93" t="s">
        <v>31</v>
      </c>
      <c r="S47" s="93" t="s">
        <v>45</v>
      </c>
      <c r="T47" s="93" t="s">
        <v>33</v>
      </c>
      <c r="U47" s="93" t="s">
        <v>46</v>
      </c>
      <c r="V47" s="92" t="s">
        <v>35</v>
      </c>
      <c r="W47" s="93" t="s">
        <v>38</v>
      </c>
      <c r="X47" s="93" t="s">
        <v>27</v>
      </c>
      <c r="Y47" s="93" t="s">
        <v>39</v>
      </c>
      <c r="Z47" s="94" t="s">
        <v>33</v>
      </c>
      <c r="AA47" s="94" t="s">
        <v>43</v>
      </c>
      <c r="AB47" s="94" t="s">
        <v>33</v>
      </c>
      <c r="AC47" s="94" t="s">
        <v>38</v>
      </c>
      <c r="AD47" s="94" t="s">
        <v>39</v>
      </c>
      <c r="AE47" s="94" t="s">
        <v>25</v>
      </c>
      <c r="AF47" s="94" t="s">
        <v>35</v>
      </c>
      <c r="AG47" s="93" t="s">
        <v>32</v>
      </c>
      <c r="AH47" s="93" t="s">
        <v>27</v>
      </c>
      <c r="AI47" s="93" t="s">
        <v>25</v>
      </c>
      <c r="AJ47" s="93" t="s">
        <v>25</v>
      </c>
      <c r="AK47" s="93" t="s">
        <v>38</v>
      </c>
      <c r="AL47" s="93" t="s">
        <v>44</v>
      </c>
      <c r="AM47" s="93" t="s">
        <v>26</v>
      </c>
      <c r="AN47" s="93" t="s">
        <v>31</v>
      </c>
      <c r="AO47" s="94" t="s">
        <v>42</v>
      </c>
      <c r="AP47" s="94" t="s">
        <v>27</v>
      </c>
      <c r="AQ47" s="94" t="s">
        <v>46</v>
      </c>
      <c r="AR47" s="94" t="s">
        <v>26</v>
      </c>
      <c r="AS47" s="93"/>
      <c r="AT47" s="93"/>
      <c r="AU47" s="93"/>
      <c r="AV47" s="98"/>
      <c r="AW47" s="99">
        <f>COUNTA(P47:AV47)</f>
        <v>29</v>
      </c>
    </row>
    <row r="48" spans="1:49">
      <c r="B48" s="107" t="s">
        <v>4</v>
      </c>
      <c r="C48" s="108">
        <v>1</v>
      </c>
      <c r="D48" s="107" t="s">
        <v>6</v>
      </c>
      <c r="E48" s="109" t="s">
        <v>18</v>
      </c>
      <c r="F48" s="110">
        <v>34</v>
      </c>
      <c r="G48" s="109" t="s">
        <v>19</v>
      </c>
      <c r="H48" s="111" t="s">
        <v>2</v>
      </c>
      <c r="I48" s="112">
        <v>67</v>
      </c>
      <c r="J48" s="111" t="s">
        <v>8</v>
      </c>
      <c r="N48" s="85"/>
      <c r="O48" s="85"/>
      <c r="P48" s="86"/>
      <c r="Q48" s="87"/>
      <c r="R48" s="87"/>
      <c r="S48" s="87"/>
      <c r="T48" s="88"/>
      <c r="U48" s="89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90"/>
      <c r="AW48" s="99"/>
    </row>
    <row r="49" spans="2:49">
      <c r="B49" s="113" t="s">
        <v>16</v>
      </c>
      <c r="C49" s="114">
        <v>2</v>
      </c>
      <c r="D49" s="113" t="s">
        <v>19</v>
      </c>
      <c r="E49" s="115" t="s">
        <v>5</v>
      </c>
      <c r="F49" s="116">
        <v>35</v>
      </c>
      <c r="G49" s="115" t="s">
        <v>20</v>
      </c>
      <c r="H49" s="117" t="s">
        <v>22</v>
      </c>
      <c r="I49" s="118">
        <v>68</v>
      </c>
      <c r="J49" s="117" t="s">
        <v>19</v>
      </c>
      <c r="N49" s="85">
        <v>6</v>
      </c>
      <c r="O49" s="85"/>
      <c r="P49" s="92" t="s">
        <v>43</v>
      </c>
      <c r="Q49" s="93" t="s">
        <v>33</v>
      </c>
      <c r="R49" s="93" t="s">
        <v>25</v>
      </c>
      <c r="S49" s="93" t="s">
        <v>31</v>
      </c>
      <c r="T49" s="96" t="s">
        <v>25</v>
      </c>
      <c r="U49" s="97" t="s">
        <v>22</v>
      </c>
      <c r="V49" s="94" t="s">
        <v>27</v>
      </c>
      <c r="W49" s="94" t="s">
        <v>34</v>
      </c>
      <c r="X49" s="94" t="s">
        <v>30</v>
      </c>
      <c r="Y49" s="93" t="s">
        <v>18</v>
      </c>
      <c r="Z49" s="93" t="s">
        <v>33</v>
      </c>
      <c r="AA49" s="93" t="s">
        <v>34</v>
      </c>
      <c r="AB49" s="93" t="s">
        <v>39</v>
      </c>
      <c r="AC49" s="93" t="s">
        <v>33</v>
      </c>
      <c r="AD49" s="93" t="s">
        <v>34</v>
      </c>
      <c r="AE49" s="93" t="s">
        <v>48</v>
      </c>
      <c r="AF49" s="93" t="s">
        <v>27</v>
      </c>
      <c r="AG49" s="93" t="s">
        <v>39</v>
      </c>
      <c r="AH49" s="94" t="s">
        <v>22</v>
      </c>
      <c r="AI49" s="94" t="s">
        <v>33</v>
      </c>
      <c r="AJ49" s="94" t="s">
        <v>30</v>
      </c>
      <c r="AK49" s="94" t="s">
        <v>29</v>
      </c>
      <c r="AL49" s="93" t="s">
        <v>2</v>
      </c>
      <c r="AM49" s="93" t="s">
        <v>48</v>
      </c>
      <c r="AN49" s="93" t="s">
        <v>31</v>
      </c>
      <c r="AO49" s="93" t="s">
        <v>26</v>
      </c>
      <c r="AP49" s="93" t="s">
        <v>29</v>
      </c>
      <c r="AQ49" s="93" t="s">
        <v>39</v>
      </c>
      <c r="AR49" s="94" t="s">
        <v>22</v>
      </c>
      <c r="AS49" s="94" t="s">
        <v>27</v>
      </c>
      <c r="AT49" s="94" t="s">
        <v>34</v>
      </c>
      <c r="AU49" s="94" t="s">
        <v>30</v>
      </c>
      <c r="AV49" s="98"/>
      <c r="AW49" s="99">
        <f>COUNTA(P49:AV49)</f>
        <v>32</v>
      </c>
    </row>
    <row r="50" spans="2:49">
      <c r="B50" s="119" t="s">
        <v>6</v>
      </c>
      <c r="C50" s="120">
        <v>3</v>
      </c>
      <c r="D50" s="119" t="s">
        <v>15</v>
      </c>
      <c r="E50" s="121" t="s">
        <v>16</v>
      </c>
      <c r="F50" s="122">
        <v>36</v>
      </c>
      <c r="G50" s="121" t="s">
        <v>19</v>
      </c>
      <c r="H50" s="123" t="s">
        <v>18</v>
      </c>
      <c r="I50" s="124">
        <v>69</v>
      </c>
      <c r="J50" s="123" t="s">
        <v>16</v>
      </c>
      <c r="N50" s="125"/>
      <c r="O50" s="125"/>
      <c r="P50" s="86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126"/>
      <c r="AL50" s="127"/>
      <c r="AM50" s="127"/>
      <c r="AN50" s="127"/>
      <c r="AO50" s="127"/>
      <c r="AP50" s="127"/>
      <c r="AQ50" s="127"/>
      <c r="AR50" s="127"/>
      <c r="AS50" s="127"/>
      <c r="AT50" s="87"/>
      <c r="AU50" s="87"/>
      <c r="AV50" s="90"/>
      <c r="AW50" s="99"/>
    </row>
    <row r="51" spans="2:49">
      <c r="B51" s="113" t="s">
        <v>9</v>
      </c>
      <c r="C51" s="114">
        <v>4</v>
      </c>
      <c r="D51" s="113" t="s">
        <v>16</v>
      </c>
      <c r="E51" s="115" t="s">
        <v>6</v>
      </c>
      <c r="F51" s="116">
        <v>37</v>
      </c>
      <c r="G51" s="115" t="s">
        <v>6</v>
      </c>
      <c r="H51" s="117" t="s">
        <v>19</v>
      </c>
      <c r="I51" s="118">
        <v>70</v>
      </c>
      <c r="J51" s="117" t="s">
        <v>5</v>
      </c>
      <c r="N51" s="125">
        <v>5</v>
      </c>
      <c r="O51" s="125"/>
      <c r="P51" s="92" t="s">
        <v>18</v>
      </c>
      <c r="Q51" s="93" t="s">
        <v>33</v>
      </c>
      <c r="R51" s="93" t="s">
        <v>34</v>
      </c>
      <c r="S51" s="93" t="s">
        <v>39</v>
      </c>
      <c r="T51" s="93" t="s">
        <v>33</v>
      </c>
      <c r="U51" s="93" t="s">
        <v>34</v>
      </c>
      <c r="V51" s="93" t="s">
        <v>48</v>
      </c>
      <c r="W51" s="93" t="s">
        <v>27</v>
      </c>
      <c r="X51" s="93" t="s">
        <v>39</v>
      </c>
      <c r="Y51" s="93" t="s">
        <v>25</v>
      </c>
      <c r="Z51" s="94" t="s">
        <v>30</v>
      </c>
      <c r="AA51" s="94" t="s">
        <v>33</v>
      </c>
      <c r="AB51" s="94" t="s">
        <v>46</v>
      </c>
      <c r="AC51" s="94" t="s">
        <v>43</v>
      </c>
      <c r="AD51" s="94" t="s">
        <v>36</v>
      </c>
      <c r="AE51" s="94" t="s">
        <v>35</v>
      </c>
      <c r="AF51" s="94" t="s">
        <v>31</v>
      </c>
      <c r="AG51" s="94" t="s">
        <v>34</v>
      </c>
      <c r="AH51" s="93" t="s">
        <v>33</v>
      </c>
      <c r="AI51" s="93" t="s">
        <v>39</v>
      </c>
      <c r="AJ51" s="93" t="s">
        <v>30</v>
      </c>
      <c r="AK51" s="95" t="s">
        <v>18</v>
      </c>
      <c r="AL51" s="94" t="s">
        <v>33</v>
      </c>
      <c r="AM51" s="94" t="s">
        <v>26</v>
      </c>
      <c r="AN51" s="94" t="s">
        <v>26</v>
      </c>
      <c r="AO51" s="94" t="s">
        <v>31</v>
      </c>
      <c r="AP51" s="94" t="s">
        <v>39</v>
      </c>
      <c r="AQ51" s="95" t="s">
        <v>30</v>
      </c>
      <c r="AR51" s="94" t="s">
        <v>31</v>
      </c>
      <c r="AS51" s="94" t="s">
        <v>34</v>
      </c>
      <c r="AT51" s="93" t="s">
        <v>33</v>
      </c>
      <c r="AU51" s="93" t="s">
        <v>39</v>
      </c>
      <c r="AV51" s="98"/>
      <c r="AW51" s="99">
        <f>COUNTA(P51:AV51)</f>
        <v>32</v>
      </c>
    </row>
    <row r="52" spans="2:49">
      <c r="B52" s="128" t="s">
        <v>1</v>
      </c>
      <c r="C52" s="129">
        <v>5</v>
      </c>
      <c r="D52" s="128" t="s">
        <v>16</v>
      </c>
      <c r="E52" s="130" t="s">
        <v>11</v>
      </c>
      <c r="F52" s="131">
        <v>38</v>
      </c>
      <c r="G52" s="130" t="s">
        <v>5</v>
      </c>
      <c r="H52" s="132" t="s">
        <v>1</v>
      </c>
      <c r="I52" s="133">
        <v>71</v>
      </c>
      <c r="J52" s="132" t="s">
        <v>19</v>
      </c>
      <c r="N52" s="125"/>
      <c r="O52" s="125"/>
      <c r="P52" s="126"/>
      <c r="Q52" s="127"/>
      <c r="R52" s="127"/>
      <c r="S52" s="127"/>
      <c r="T52" s="127"/>
      <c r="U52" s="127"/>
      <c r="V52" s="127"/>
      <c r="W52" s="127"/>
      <c r="X52" s="127"/>
      <c r="Y52" s="87"/>
      <c r="Z52" s="87"/>
      <c r="AA52" s="87"/>
      <c r="AB52" s="87"/>
      <c r="AC52" s="87"/>
      <c r="AD52" s="87"/>
      <c r="AE52" s="87"/>
      <c r="AF52" s="87"/>
      <c r="AG52" s="127"/>
      <c r="AH52" s="127"/>
      <c r="AI52" s="127"/>
      <c r="AJ52" s="127"/>
      <c r="AK52" s="127"/>
      <c r="AL52" s="127"/>
      <c r="AM52" s="127"/>
      <c r="AN52" s="127"/>
      <c r="AO52" s="127"/>
      <c r="AP52" s="87"/>
      <c r="AQ52" s="87"/>
      <c r="AR52" s="87"/>
      <c r="AS52" s="87"/>
      <c r="AT52" s="87"/>
      <c r="AU52" s="87"/>
      <c r="AV52" s="90"/>
      <c r="AW52" s="99"/>
    </row>
    <row r="53" spans="2:49">
      <c r="B53" s="134" t="s">
        <v>11</v>
      </c>
      <c r="C53" s="135">
        <v>6</v>
      </c>
      <c r="D53" s="134" t="s">
        <v>2</v>
      </c>
      <c r="E53" s="136" t="s">
        <v>22</v>
      </c>
      <c r="F53" s="137">
        <v>39</v>
      </c>
      <c r="G53" s="136" t="s">
        <v>13</v>
      </c>
      <c r="H53" s="138" t="s">
        <v>18</v>
      </c>
      <c r="I53" s="139">
        <v>72</v>
      </c>
      <c r="J53" s="138" t="s">
        <v>5</v>
      </c>
      <c r="N53" s="125">
        <v>4</v>
      </c>
      <c r="O53" s="125"/>
      <c r="P53" s="95" t="s">
        <v>33</v>
      </c>
      <c r="Q53" s="94" t="s">
        <v>25</v>
      </c>
      <c r="R53" s="94" t="s">
        <v>25</v>
      </c>
      <c r="S53" s="94" t="s">
        <v>38</v>
      </c>
      <c r="T53" s="94" t="s">
        <v>25</v>
      </c>
      <c r="U53" s="94" t="s">
        <v>35</v>
      </c>
      <c r="V53" s="94" t="s">
        <v>33</v>
      </c>
      <c r="W53" s="94" t="s">
        <v>39</v>
      </c>
      <c r="X53" s="94" t="s">
        <v>35</v>
      </c>
      <c r="Y53" s="93" t="s">
        <v>25</v>
      </c>
      <c r="Z53" s="93" t="s">
        <v>35</v>
      </c>
      <c r="AA53" s="93" t="s">
        <v>33</v>
      </c>
      <c r="AB53" s="93" t="s">
        <v>39</v>
      </c>
      <c r="AC53" s="93" t="s">
        <v>30</v>
      </c>
      <c r="AD53" s="93" t="s">
        <v>38</v>
      </c>
      <c r="AE53" s="93" t="s">
        <v>39</v>
      </c>
      <c r="AF53" s="93" t="s">
        <v>43</v>
      </c>
      <c r="AG53" s="94" t="s">
        <v>33</v>
      </c>
      <c r="AH53" s="94" t="s">
        <v>39</v>
      </c>
      <c r="AI53" s="94" t="s">
        <v>66</v>
      </c>
      <c r="AJ53" s="94" t="s">
        <v>38</v>
      </c>
      <c r="AK53" s="94" t="s">
        <v>27</v>
      </c>
      <c r="AL53" s="94" t="s">
        <v>46</v>
      </c>
      <c r="AM53" s="94" t="s">
        <v>25</v>
      </c>
      <c r="AN53" s="94" t="s">
        <v>26</v>
      </c>
      <c r="AO53" s="94" t="s">
        <v>29</v>
      </c>
      <c r="AP53" s="93" t="s">
        <v>44</v>
      </c>
      <c r="AQ53" s="93" t="s">
        <v>31</v>
      </c>
      <c r="AR53" s="93" t="s">
        <v>25</v>
      </c>
      <c r="AS53" s="93" t="s">
        <v>38</v>
      </c>
      <c r="AT53" s="93" t="s">
        <v>30</v>
      </c>
      <c r="AU53" s="93" t="s">
        <v>31</v>
      </c>
      <c r="AV53" s="98"/>
      <c r="AW53" s="99">
        <f>COUNTA(P53:AV53)</f>
        <v>32</v>
      </c>
    </row>
    <row r="54" spans="2:49">
      <c r="B54" s="119" t="s">
        <v>11</v>
      </c>
      <c r="C54" s="120">
        <v>7</v>
      </c>
      <c r="D54" s="119" t="s">
        <v>19</v>
      </c>
      <c r="E54" s="121" t="s">
        <v>17</v>
      </c>
      <c r="F54" s="122">
        <v>40</v>
      </c>
      <c r="G54" s="121" t="s">
        <v>19</v>
      </c>
      <c r="H54" s="123" t="s">
        <v>1</v>
      </c>
      <c r="I54" s="124">
        <v>73</v>
      </c>
      <c r="J54" s="123" t="s">
        <v>8</v>
      </c>
      <c r="N54" s="85"/>
      <c r="O54" s="85"/>
      <c r="P54" s="126"/>
      <c r="Q54" s="127"/>
      <c r="R54" s="87"/>
      <c r="S54" s="87"/>
      <c r="T54" s="127"/>
      <c r="U54" s="127"/>
      <c r="V54" s="127"/>
      <c r="W54" s="127"/>
      <c r="X54" s="87"/>
      <c r="Y54" s="87"/>
      <c r="Z54" s="87"/>
      <c r="AA54" s="127"/>
      <c r="AB54" s="127"/>
      <c r="AC54" s="127"/>
      <c r="AD54" s="127"/>
      <c r="AE54" s="127"/>
      <c r="AF54" s="127"/>
      <c r="AG54" s="127"/>
      <c r="AH54" s="87"/>
      <c r="AI54" s="87"/>
      <c r="AJ54" s="127"/>
      <c r="AK54" s="127"/>
      <c r="AL54" s="127"/>
      <c r="AM54" s="127"/>
      <c r="AN54" s="127"/>
      <c r="AO54" s="87"/>
      <c r="AP54" s="127"/>
      <c r="AQ54" s="127"/>
      <c r="AR54" s="127"/>
      <c r="AS54" s="127"/>
      <c r="AT54" s="127"/>
      <c r="AU54" s="87"/>
      <c r="AV54" s="90"/>
      <c r="AW54" s="99"/>
    </row>
    <row r="55" spans="2:49">
      <c r="B55" s="113" t="s">
        <v>9</v>
      </c>
      <c r="C55" s="114">
        <v>8</v>
      </c>
      <c r="D55" s="113" t="s">
        <v>22</v>
      </c>
      <c r="E55" s="115" t="s">
        <v>11</v>
      </c>
      <c r="F55" s="116">
        <v>41</v>
      </c>
      <c r="G55" s="115" t="s">
        <v>16</v>
      </c>
      <c r="H55" s="117" t="s">
        <v>1</v>
      </c>
      <c r="I55" s="118">
        <v>74</v>
      </c>
      <c r="J55" s="117" t="s">
        <v>6</v>
      </c>
      <c r="N55" s="85">
        <v>9</v>
      </c>
      <c r="O55" s="85"/>
      <c r="P55" s="95" t="s">
        <v>37</v>
      </c>
      <c r="Q55" s="94" t="s">
        <v>31</v>
      </c>
      <c r="R55" s="93" t="s">
        <v>35</v>
      </c>
      <c r="S55" s="93" t="s">
        <v>27</v>
      </c>
      <c r="T55" s="94" t="s">
        <v>36</v>
      </c>
      <c r="U55" s="94" t="s">
        <v>31</v>
      </c>
      <c r="V55" s="95" t="s">
        <v>33</v>
      </c>
      <c r="W55" s="94" t="s">
        <v>34</v>
      </c>
      <c r="X55" s="93" t="s">
        <v>35</v>
      </c>
      <c r="Y55" s="93" t="s">
        <v>36</v>
      </c>
      <c r="Z55" s="93" t="s">
        <v>31</v>
      </c>
      <c r="AA55" s="94" t="s">
        <v>48</v>
      </c>
      <c r="AB55" s="94" t="s">
        <v>31</v>
      </c>
      <c r="AC55" s="94" t="s">
        <v>34</v>
      </c>
      <c r="AD55" s="94" t="s">
        <v>30</v>
      </c>
      <c r="AE55" s="94" t="s">
        <v>38</v>
      </c>
      <c r="AF55" s="94" t="s">
        <v>45</v>
      </c>
      <c r="AG55" s="94" t="s">
        <v>35</v>
      </c>
      <c r="AH55" s="93" t="s">
        <v>1</v>
      </c>
      <c r="AI55" s="93" t="s">
        <v>35</v>
      </c>
      <c r="AJ55" s="94" t="s">
        <v>42</v>
      </c>
      <c r="AK55" s="94" t="s">
        <v>38</v>
      </c>
      <c r="AL55" s="94" t="s">
        <v>34</v>
      </c>
      <c r="AM55" s="94" t="s">
        <v>25</v>
      </c>
      <c r="AN55" s="94" t="s">
        <v>35</v>
      </c>
      <c r="AO55" s="93" t="s">
        <v>4</v>
      </c>
      <c r="AP55" s="94" t="s">
        <v>45</v>
      </c>
      <c r="AQ55" s="94" t="s">
        <v>27</v>
      </c>
      <c r="AR55" s="94" t="s">
        <v>46</v>
      </c>
      <c r="AS55" s="94" t="s">
        <v>26</v>
      </c>
      <c r="AT55" s="94" t="s">
        <v>30</v>
      </c>
      <c r="AU55" s="93"/>
      <c r="AV55" s="98"/>
      <c r="AW55" s="99">
        <f>COUNTA(P55:AV55)</f>
        <v>31</v>
      </c>
    </row>
    <row r="56" spans="2:49">
      <c r="B56" s="119" t="s">
        <v>1</v>
      </c>
      <c r="C56" s="120">
        <v>9</v>
      </c>
      <c r="D56" s="119" t="s">
        <v>6</v>
      </c>
      <c r="E56" s="121" t="s">
        <v>2</v>
      </c>
      <c r="F56" s="122">
        <v>42</v>
      </c>
      <c r="G56" s="121" t="s">
        <v>13</v>
      </c>
      <c r="H56" s="140" t="s">
        <v>16</v>
      </c>
      <c r="I56" s="124">
        <v>75</v>
      </c>
      <c r="J56" s="140" t="s">
        <v>3</v>
      </c>
      <c r="N56" s="125"/>
      <c r="O56" s="125"/>
      <c r="P56" s="86"/>
      <c r="Q56" s="87"/>
      <c r="R56" s="87"/>
      <c r="S56" s="127"/>
      <c r="T56" s="127"/>
      <c r="U56" s="127"/>
      <c r="V56" s="127"/>
      <c r="W56" s="127"/>
      <c r="X56" s="127"/>
      <c r="Y56" s="141"/>
      <c r="Z56" s="89"/>
      <c r="AA56" s="87"/>
      <c r="AB56" s="87"/>
      <c r="AC56" s="87"/>
      <c r="AD56" s="87"/>
      <c r="AE56" s="88"/>
      <c r="AF56" s="142"/>
      <c r="AG56" s="127"/>
      <c r="AH56" s="87"/>
      <c r="AI56" s="87"/>
      <c r="AJ56" s="127"/>
      <c r="AK56" s="127"/>
      <c r="AL56" s="127"/>
      <c r="AM56" s="127"/>
      <c r="AN56" s="87"/>
      <c r="AO56" s="87"/>
      <c r="AP56" s="87"/>
      <c r="AQ56" s="87"/>
      <c r="AR56" s="87"/>
      <c r="AS56" s="87"/>
      <c r="AT56" s="87"/>
      <c r="AU56" s="87"/>
      <c r="AV56" s="90"/>
    </row>
    <row r="57" spans="2:49">
      <c r="B57" s="143" t="s">
        <v>22</v>
      </c>
      <c r="C57" s="144">
        <v>10</v>
      </c>
      <c r="D57" s="143" t="s">
        <v>6</v>
      </c>
      <c r="E57" s="145" t="s">
        <v>1</v>
      </c>
      <c r="F57" s="146">
        <v>43</v>
      </c>
      <c r="G57" s="145" t="s">
        <v>19</v>
      </c>
      <c r="H57" s="147" t="s">
        <v>1</v>
      </c>
      <c r="I57" s="148">
        <v>76</v>
      </c>
      <c r="J57" s="147" t="s">
        <v>13</v>
      </c>
      <c r="N57" s="125">
        <v>7</v>
      </c>
      <c r="O57" s="125"/>
      <c r="P57" s="92" t="s">
        <v>25</v>
      </c>
      <c r="Q57" s="93" t="s">
        <v>31</v>
      </c>
      <c r="R57" s="93" t="s">
        <v>31</v>
      </c>
      <c r="S57" s="94" t="s">
        <v>39</v>
      </c>
      <c r="T57" s="94" t="s">
        <v>27</v>
      </c>
      <c r="U57" s="94" t="s">
        <v>35</v>
      </c>
      <c r="V57" s="95" t="s">
        <v>36</v>
      </c>
      <c r="W57" s="94" t="s">
        <v>38</v>
      </c>
      <c r="X57" s="94" t="s">
        <v>39</v>
      </c>
      <c r="Y57" s="149" t="s">
        <v>43</v>
      </c>
      <c r="Z57" s="150" t="s">
        <v>45</v>
      </c>
      <c r="AA57" s="93" t="s">
        <v>33</v>
      </c>
      <c r="AB57" s="93" t="s">
        <v>39</v>
      </c>
      <c r="AC57" s="93" t="s">
        <v>30</v>
      </c>
      <c r="AD57" s="93" t="s">
        <v>26</v>
      </c>
      <c r="AE57" s="96" t="s">
        <v>31</v>
      </c>
      <c r="AF57" s="97" t="s">
        <v>1</v>
      </c>
      <c r="AG57" s="94" t="s">
        <v>25</v>
      </c>
      <c r="AH57" s="93" t="s">
        <v>37</v>
      </c>
      <c r="AI57" s="93" t="s">
        <v>29</v>
      </c>
      <c r="AJ57" s="94" t="s">
        <v>31</v>
      </c>
      <c r="AK57" s="94" t="s">
        <v>29</v>
      </c>
      <c r="AL57" s="94" t="s">
        <v>31</v>
      </c>
      <c r="AM57" s="94" t="s">
        <v>25</v>
      </c>
      <c r="AN57" s="93" t="s">
        <v>43</v>
      </c>
      <c r="AO57" s="93" t="s">
        <v>34</v>
      </c>
      <c r="AP57" s="93" t="s">
        <v>31</v>
      </c>
      <c r="AQ57" s="93" t="s">
        <v>28</v>
      </c>
      <c r="AR57" s="93"/>
      <c r="AS57" s="93"/>
      <c r="AT57" s="93"/>
      <c r="AU57" s="93"/>
      <c r="AV57" s="98"/>
      <c r="AW57" s="99">
        <f>COUNTA(P57:AV57)</f>
        <v>28</v>
      </c>
    </row>
    <row r="58" spans="2:49">
      <c r="B58" s="107" t="s">
        <v>11</v>
      </c>
      <c r="C58" s="108">
        <v>11</v>
      </c>
      <c r="D58" s="107" t="s">
        <v>2</v>
      </c>
      <c r="E58" s="109" t="s">
        <v>8</v>
      </c>
      <c r="F58" s="110">
        <v>44</v>
      </c>
      <c r="G58" s="109" t="s">
        <v>6</v>
      </c>
      <c r="H58" s="111" t="s">
        <v>17</v>
      </c>
      <c r="I58" s="112">
        <v>77</v>
      </c>
      <c r="J58" s="111" t="s">
        <v>2</v>
      </c>
      <c r="N58" s="85"/>
      <c r="O58" s="85"/>
      <c r="P58" s="126"/>
      <c r="Q58" s="127"/>
      <c r="R58" s="127"/>
      <c r="S58" s="127"/>
      <c r="T58" s="127"/>
      <c r="U58" s="127"/>
      <c r="V58" s="127"/>
      <c r="W58" s="127"/>
      <c r="X58" s="127"/>
      <c r="Y58" s="127"/>
      <c r="Z58" s="86"/>
      <c r="AA58" s="87"/>
      <c r="AB58" s="127"/>
      <c r="AC58" s="127"/>
      <c r="AD58" s="127"/>
      <c r="AE58" s="87"/>
      <c r="AF58" s="87"/>
      <c r="AG58" s="87"/>
      <c r="AH58" s="87"/>
      <c r="AI58" s="88"/>
      <c r="AJ58" s="142"/>
      <c r="AK58" s="127"/>
      <c r="AL58" s="127"/>
      <c r="AM58" s="127"/>
      <c r="AN58" s="127"/>
      <c r="AO58" s="141"/>
      <c r="AP58" s="87"/>
      <c r="AQ58" s="87"/>
      <c r="AR58" s="87"/>
      <c r="AS58" s="87"/>
      <c r="AT58" s="87"/>
      <c r="AU58" s="87"/>
      <c r="AV58" s="90"/>
    </row>
    <row r="59" spans="2:49" ht="16.5" thickBot="1">
      <c r="B59" s="113" t="s">
        <v>20</v>
      </c>
      <c r="C59" s="114">
        <v>12</v>
      </c>
      <c r="D59" s="113" t="s">
        <v>19</v>
      </c>
      <c r="E59" s="115" t="s">
        <v>0</v>
      </c>
      <c r="F59" s="116">
        <v>45</v>
      </c>
      <c r="G59" s="115" t="s">
        <v>19</v>
      </c>
      <c r="H59" s="151" t="s">
        <v>7</v>
      </c>
      <c r="I59" s="152">
        <v>78</v>
      </c>
      <c r="J59" s="151" t="s">
        <v>2</v>
      </c>
      <c r="N59" s="85">
        <v>5</v>
      </c>
      <c r="O59" s="85"/>
      <c r="P59" s="95" t="s">
        <v>33</v>
      </c>
      <c r="Q59" s="94" t="s">
        <v>45</v>
      </c>
      <c r="R59" s="94" t="s">
        <v>45</v>
      </c>
      <c r="S59" s="94" t="s">
        <v>46</v>
      </c>
      <c r="T59" s="94" t="s">
        <v>25</v>
      </c>
      <c r="U59" s="94" t="s">
        <v>35</v>
      </c>
      <c r="V59" s="94" t="s">
        <v>27</v>
      </c>
      <c r="W59" s="94" t="s">
        <v>37</v>
      </c>
      <c r="X59" s="94" t="s">
        <v>31</v>
      </c>
      <c r="Y59" s="94" t="s">
        <v>30</v>
      </c>
      <c r="Z59" s="92" t="s">
        <v>35</v>
      </c>
      <c r="AA59" s="93" t="s">
        <v>27</v>
      </c>
      <c r="AB59" s="94" t="s">
        <v>35</v>
      </c>
      <c r="AC59" s="94" t="s">
        <v>36</v>
      </c>
      <c r="AD59" s="94" t="s">
        <v>31</v>
      </c>
      <c r="AE59" s="93" t="s">
        <v>26</v>
      </c>
      <c r="AF59" s="92" t="s">
        <v>38</v>
      </c>
      <c r="AG59" s="93" t="s">
        <v>43</v>
      </c>
      <c r="AH59" s="93" t="s">
        <v>36</v>
      </c>
      <c r="AI59" s="96" t="s">
        <v>35</v>
      </c>
      <c r="AJ59" s="97" t="s">
        <v>25</v>
      </c>
      <c r="AK59" s="94" t="s">
        <v>26</v>
      </c>
      <c r="AL59" s="94" t="s">
        <v>27</v>
      </c>
      <c r="AM59" s="94" t="s">
        <v>28</v>
      </c>
      <c r="AN59" s="94" t="s">
        <v>26</v>
      </c>
      <c r="AO59" s="149" t="s">
        <v>29</v>
      </c>
      <c r="AP59" s="93"/>
      <c r="AQ59" s="93"/>
      <c r="AR59" s="93"/>
      <c r="AS59" s="93"/>
      <c r="AT59" s="93"/>
      <c r="AU59" s="93"/>
      <c r="AV59" s="98"/>
      <c r="AW59" s="99">
        <f>COUNTA(P59:AV59)</f>
        <v>26</v>
      </c>
    </row>
    <row r="60" spans="2:49" ht="16.5" thickTop="1">
      <c r="B60" s="119" t="s">
        <v>6</v>
      </c>
      <c r="C60" s="120">
        <v>13</v>
      </c>
      <c r="D60" s="119" t="s">
        <v>2</v>
      </c>
      <c r="E60" s="121" t="s">
        <v>22</v>
      </c>
      <c r="F60" s="122">
        <v>46</v>
      </c>
      <c r="G60" s="121" t="s">
        <v>2</v>
      </c>
      <c r="H60" s="140" t="s">
        <v>6</v>
      </c>
      <c r="I60" s="124">
        <v>79</v>
      </c>
      <c r="J60" s="140" t="s">
        <v>15</v>
      </c>
      <c r="N60" s="153">
        <f>SUM(N30:N59)</f>
        <v>98</v>
      </c>
      <c r="O60" s="154"/>
      <c r="AW60" s="155">
        <f>SUM(AW30:AW59)</f>
        <v>457</v>
      </c>
    </row>
    <row r="61" spans="2:49">
      <c r="B61" s="113" t="s">
        <v>11</v>
      </c>
      <c r="C61" s="114">
        <v>14</v>
      </c>
      <c r="D61" s="113" t="s">
        <v>2</v>
      </c>
      <c r="E61" s="115" t="s">
        <v>6</v>
      </c>
      <c r="F61" s="116">
        <v>47</v>
      </c>
      <c r="G61" s="115" t="s">
        <v>2</v>
      </c>
      <c r="H61" s="151" t="s">
        <v>20</v>
      </c>
      <c r="I61" s="152">
        <v>80</v>
      </c>
      <c r="J61" s="151" t="s">
        <v>5</v>
      </c>
    </row>
    <row r="62" spans="2:49">
      <c r="B62" s="128" t="s">
        <v>19</v>
      </c>
      <c r="C62" s="129">
        <v>15</v>
      </c>
      <c r="D62" s="128" t="s">
        <v>5</v>
      </c>
      <c r="E62" s="130" t="s">
        <v>14</v>
      </c>
      <c r="F62" s="131">
        <v>48</v>
      </c>
      <c r="G62" s="130" t="s">
        <v>2</v>
      </c>
      <c r="H62" s="132" t="s">
        <v>6</v>
      </c>
      <c r="I62" s="133">
        <v>81</v>
      </c>
      <c r="J62" s="132" t="s">
        <v>2</v>
      </c>
      <c r="N62" s="125"/>
      <c r="O62" s="1"/>
      <c r="P62" s="89"/>
      <c r="Q62" s="87"/>
      <c r="R62" s="87"/>
      <c r="S62" s="87"/>
      <c r="T62" s="87"/>
      <c r="U62" s="87"/>
      <c r="V62" s="87"/>
      <c r="W62" s="156"/>
      <c r="X62" s="156"/>
      <c r="Y62" s="156"/>
      <c r="Z62" s="156"/>
      <c r="AA62" s="156"/>
      <c r="AB62" s="156"/>
      <c r="AC62" s="156"/>
      <c r="AD62" s="86"/>
      <c r="AE62" s="87"/>
      <c r="AF62" s="87"/>
      <c r="AG62" s="87"/>
      <c r="AH62" s="87"/>
      <c r="AI62" s="87"/>
      <c r="AJ62" s="87"/>
      <c r="AK62" s="156"/>
      <c r="AL62" s="156"/>
      <c r="AM62" s="156"/>
      <c r="AN62" s="87"/>
      <c r="AO62" s="87"/>
      <c r="AP62" s="87"/>
      <c r="AQ62" s="87"/>
      <c r="AR62" s="157"/>
      <c r="AS62" s="157"/>
      <c r="AT62" s="157"/>
      <c r="AU62" s="157"/>
      <c r="AV62" s="158"/>
    </row>
    <row r="63" spans="2:49">
      <c r="B63" s="134" t="s">
        <v>18</v>
      </c>
      <c r="C63" s="135">
        <v>16</v>
      </c>
      <c r="D63" s="134" t="s">
        <v>5</v>
      </c>
      <c r="E63" s="136" t="s">
        <v>11</v>
      </c>
      <c r="F63" s="137">
        <v>49</v>
      </c>
      <c r="G63" s="136" t="s">
        <v>2</v>
      </c>
      <c r="H63" s="138" t="s">
        <v>10</v>
      </c>
      <c r="I63" s="139">
        <v>82</v>
      </c>
      <c r="J63" s="138" t="s">
        <v>6</v>
      </c>
      <c r="N63" s="125">
        <v>5</v>
      </c>
      <c r="O63" s="1"/>
      <c r="P63" s="150" t="s">
        <v>25</v>
      </c>
      <c r="Q63" s="93" t="s">
        <v>35</v>
      </c>
      <c r="R63" s="93" t="s">
        <v>34</v>
      </c>
      <c r="S63" s="93" t="s">
        <v>33</v>
      </c>
      <c r="T63" s="93" t="s">
        <v>39</v>
      </c>
      <c r="U63" s="93" t="s">
        <v>43</v>
      </c>
      <c r="V63" s="93" t="s">
        <v>31</v>
      </c>
      <c r="W63" s="159" t="s">
        <v>33</v>
      </c>
      <c r="X63" s="159" t="s">
        <v>39</v>
      </c>
      <c r="Y63" s="159" t="s">
        <v>38</v>
      </c>
      <c r="Z63" s="159" t="s">
        <v>37</v>
      </c>
      <c r="AA63" s="159" t="s">
        <v>33</v>
      </c>
      <c r="AB63" s="159" t="s">
        <v>26</v>
      </c>
      <c r="AC63" s="159" t="s">
        <v>25</v>
      </c>
      <c r="AD63" s="92" t="s">
        <v>25</v>
      </c>
      <c r="AE63" s="93" t="s">
        <v>35</v>
      </c>
      <c r="AF63" s="93" t="s">
        <v>33</v>
      </c>
      <c r="AG63" s="93" t="s">
        <v>35</v>
      </c>
      <c r="AH63" s="93" t="s">
        <v>46</v>
      </c>
      <c r="AI63" s="93" t="s">
        <v>31</v>
      </c>
      <c r="AJ63" s="92" t="s">
        <v>25</v>
      </c>
      <c r="AK63" s="159" t="s">
        <v>33</v>
      </c>
      <c r="AL63" s="159" t="s">
        <v>39</v>
      </c>
      <c r="AM63" s="159" t="s">
        <v>30</v>
      </c>
      <c r="AN63" s="93" t="s">
        <v>43</v>
      </c>
      <c r="AO63" s="93" t="s">
        <v>27</v>
      </c>
      <c r="AP63" s="93" t="s">
        <v>26</v>
      </c>
      <c r="AQ63" s="93" t="s">
        <v>30</v>
      </c>
      <c r="AR63" s="160"/>
      <c r="AS63" s="160"/>
      <c r="AT63" s="160"/>
      <c r="AU63" s="160"/>
      <c r="AV63" s="161"/>
      <c r="AW63" s="99">
        <f>COUNTA(P63:AV63)</f>
        <v>28</v>
      </c>
    </row>
    <row r="64" spans="2:49">
      <c r="B64" s="119" t="s">
        <v>17</v>
      </c>
      <c r="C64" s="120">
        <v>17</v>
      </c>
      <c r="D64" s="119" t="s">
        <v>2</v>
      </c>
      <c r="E64" s="121" t="s">
        <v>20</v>
      </c>
      <c r="F64" s="122">
        <v>50</v>
      </c>
      <c r="G64" s="121" t="s">
        <v>19</v>
      </c>
      <c r="H64" s="140" t="s">
        <v>1</v>
      </c>
      <c r="I64" s="124">
        <v>83</v>
      </c>
      <c r="J64" s="140" t="s">
        <v>6</v>
      </c>
      <c r="N64" s="125"/>
      <c r="O64" s="1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87"/>
      <c r="AA64" s="87"/>
      <c r="AB64" s="87"/>
      <c r="AC64" s="156"/>
      <c r="AD64" s="156"/>
      <c r="AE64" s="156"/>
      <c r="AF64" s="156"/>
      <c r="AG64" s="156"/>
      <c r="AH64" s="86"/>
      <c r="AI64" s="87"/>
      <c r="AJ64" s="156"/>
      <c r="AK64" s="156"/>
      <c r="AL64" s="156"/>
      <c r="AM64" s="156"/>
      <c r="AN64" s="87"/>
      <c r="AO64" s="87"/>
      <c r="AP64" s="87"/>
      <c r="AQ64" s="156"/>
      <c r="AR64" s="162"/>
      <c r="AS64" s="162"/>
      <c r="AT64" s="157"/>
      <c r="AU64" s="157"/>
      <c r="AV64" s="158"/>
      <c r="AW64" s="99"/>
    </row>
    <row r="65" spans="2:49">
      <c r="B65" s="113" t="s">
        <v>9</v>
      </c>
      <c r="C65" s="114">
        <v>18</v>
      </c>
      <c r="D65" s="113" t="s">
        <v>16</v>
      </c>
      <c r="E65" s="115" t="s">
        <v>21</v>
      </c>
      <c r="F65" s="116">
        <v>51</v>
      </c>
      <c r="G65" s="115" t="s">
        <v>6</v>
      </c>
      <c r="H65" s="151" t="s">
        <v>0</v>
      </c>
      <c r="I65" s="152">
        <v>84</v>
      </c>
      <c r="J65" s="151" t="s">
        <v>6</v>
      </c>
      <c r="N65" s="125">
        <v>7</v>
      </c>
      <c r="O65" s="1"/>
      <c r="P65" s="159" t="s">
        <v>31</v>
      </c>
      <c r="Q65" s="159" t="s">
        <v>48</v>
      </c>
      <c r="R65" s="159" t="s">
        <v>31</v>
      </c>
      <c r="S65" s="159" t="s">
        <v>34</v>
      </c>
      <c r="T65" s="159" t="s">
        <v>29</v>
      </c>
      <c r="U65" s="159" t="s">
        <v>28</v>
      </c>
      <c r="V65" s="159" t="s">
        <v>36</v>
      </c>
      <c r="W65" s="159" t="s">
        <v>31</v>
      </c>
      <c r="X65" s="159" t="s">
        <v>34</v>
      </c>
      <c r="Y65" s="159" t="s">
        <v>31</v>
      </c>
      <c r="Z65" s="93" t="s">
        <v>35</v>
      </c>
      <c r="AA65" s="93" t="s">
        <v>36</v>
      </c>
      <c r="AB65" s="93" t="s">
        <v>31</v>
      </c>
      <c r="AC65" s="159" t="s">
        <v>43</v>
      </c>
      <c r="AD65" s="159" t="s">
        <v>26</v>
      </c>
      <c r="AE65" s="159" t="s">
        <v>38</v>
      </c>
      <c r="AF65" s="159" t="s">
        <v>39</v>
      </c>
      <c r="AG65" s="159" t="s">
        <v>35</v>
      </c>
      <c r="AH65" s="92" t="s">
        <v>27</v>
      </c>
      <c r="AI65" s="93" t="s">
        <v>42</v>
      </c>
      <c r="AJ65" s="159" t="s">
        <v>43</v>
      </c>
      <c r="AK65" s="159" t="s">
        <v>27</v>
      </c>
      <c r="AL65" s="159" t="s">
        <v>26</v>
      </c>
      <c r="AM65" s="159" t="s">
        <v>30</v>
      </c>
      <c r="AN65" s="92" t="s">
        <v>0</v>
      </c>
      <c r="AO65" s="93" t="s">
        <v>27</v>
      </c>
      <c r="AP65" s="93" t="s">
        <v>34</v>
      </c>
      <c r="AQ65" s="159" t="s">
        <v>35</v>
      </c>
      <c r="AR65" s="163" t="s">
        <v>36</v>
      </c>
      <c r="AS65" s="163" t="s">
        <v>31</v>
      </c>
      <c r="AT65" s="160"/>
      <c r="AU65" s="160"/>
      <c r="AV65" s="161"/>
      <c r="AW65" s="99">
        <f>COUNTA(P65:AV65)</f>
        <v>30</v>
      </c>
    </row>
    <row r="66" spans="2:49">
      <c r="B66" s="119" t="s">
        <v>6</v>
      </c>
      <c r="C66" s="120">
        <v>19</v>
      </c>
      <c r="D66" s="119" t="s">
        <v>2</v>
      </c>
      <c r="E66" s="121" t="s">
        <v>18</v>
      </c>
      <c r="F66" s="122">
        <v>52</v>
      </c>
      <c r="G66" s="121" t="s">
        <v>19</v>
      </c>
      <c r="H66" s="140" t="s">
        <v>4</v>
      </c>
      <c r="I66" s="124">
        <v>85</v>
      </c>
      <c r="J66" s="140" t="s">
        <v>4</v>
      </c>
      <c r="N66" s="125"/>
      <c r="O66" s="1"/>
      <c r="P66" s="87"/>
      <c r="Q66" s="87"/>
      <c r="R66" s="87"/>
      <c r="S66" s="87"/>
      <c r="T66" s="87"/>
      <c r="U66" s="87"/>
      <c r="V66" s="156"/>
      <c r="W66" s="156"/>
      <c r="X66" s="87"/>
      <c r="Y66" s="87"/>
      <c r="Z66" s="87"/>
      <c r="AA66" s="87"/>
      <c r="AB66" s="87"/>
      <c r="AC66" s="87"/>
      <c r="AD66" s="87"/>
      <c r="AE66" s="87"/>
      <c r="AF66" s="156"/>
      <c r="AG66" s="156"/>
      <c r="AH66" s="86"/>
      <c r="AI66" s="87"/>
      <c r="AJ66" s="87"/>
      <c r="AK66" s="87"/>
      <c r="AL66" s="156"/>
      <c r="AM66" s="156"/>
      <c r="AN66" s="156"/>
      <c r="AO66" s="156"/>
      <c r="AP66" s="87"/>
      <c r="AQ66" s="87"/>
      <c r="AR66" s="164"/>
      <c r="AS66" s="164"/>
      <c r="AT66" s="164"/>
      <c r="AU66" s="164"/>
      <c r="AV66" s="158"/>
      <c r="AW66" s="99"/>
    </row>
    <row r="67" spans="2:49">
      <c r="B67" s="143" t="s">
        <v>19</v>
      </c>
      <c r="C67" s="144">
        <v>20</v>
      </c>
      <c r="D67" s="143" t="s">
        <v>2</v>
      </c>
      <c r="E67" s="145" t="s">
        <v>18</v>
      </c>
      <c r="F67" s="146">
        <v>53</v>
      </c>
      <c r="G67" s="145" t="s">
        <v>2</v>
      </c>
      <c r="H67" s="147" t="s">
        <v>18</v>
      </c>
      <c r="I67" s="148">
        <v>86</v>
      </c>
      <c r="J67" s="147" t="s">
        <v>19</v>
      </c>
      <c r="N67" s="125">
        <v>7</v>
      </c>
      <c r="O67" s="1"/>
      <c r="P67" s="93" t="s">
        <v>37</v>
      </c>
      <c r="Q67" s="93" t="s">
        <v>27</v>
      </c>
      <c r="R67" s="93" t="s">
        <v>37</v>
      </c>
      <c r="S67" s="93" t="s">
        <v>31</v>
      </c>
      <c r="T67" s="93" t="s">
        <v>39</v>
      </c>
      <c r="U67" s="93" t="s">
        <v>35</v>
      </c>
      <c r="V67" s="159" t="s">
        <v>33</v>
      </c>
      <c r="W67" s="159" t="s">
        <v>39</v>
      </c>
      <c r="X67" s="93" t="s">
        <v>31</v>
      </c>
      <c r="Y67" s="93" t="s">
        <v>35</v>
      </c>
      <c r="Z67" s="93" t="s">
        <v>31</v>
      </c>
      <c r="AA67" s="93" t="s">
        <v>34</v>
      </c>
      <c r="AB67" s="93" t="s">
        <v>39</v>
      </c>
      <c r="AC67" s="93" t="s">
        <v>38</v>
      </c>
      <c r="AD67" s="93" t="s">
        <v>35</v>
      </c>
      <c r="AE67" s="93" t="s">
        <v>29</v>
      </c>
      <c r="AF67" s="159" t="s">
        <v>38</v>
      </c>
      <c r="AG67" s="159" t="s">
        <v>35</v>
      </c>
      <c r="AH67" s="92" t="s">
        <v>37</v>
      </c>
      <c r="AI67" s="93" t="s">
        <v>46</v>
      </c>
      <c r="AJ67" s="93" t="s">
        <v>25</v>
      </c>
      <c r="AK67" s="93" t="s">
        <v>35</v>
      </c>
      <c r="AL67" s="159" t="s">
        <v>36</v>
      </c>
      <c r="AM67" s="159" t="s">
        <v>33</v>
      </c>
      <c r="AN67" s="165" t="s">
        <v>48</v>
      </c>
      <c r="AO67" s="159" t="s">
        <v>31</v>
      </c>
      <c r="AP67" s="93" t="s">
        <v>25</v>
      </c>
      <c r="AQ67" s="93" t="s">
        <v>31</v>
      </c>
      <c r="AR67" s="166" t="s">
        <v>31</v>
      </c>
      <c r="AS67" s="166" t="s">
        <v>37</v>
      </c>
      <c r="AT67" s="166" t="s">
        <v>31</v>
      </c>
      <c r="AU67" s="166" t="s">
        <v>30</v>
      </c>
      <c r="AV67" s="161"/>
      <c r="AW67" s="99">
        <f>COUNTA(P67:AV67)</f>
        <v>32</v>
      </c>
    </row>
    <row r="68" spans="2:49">
      <c r="B68" s="107" t="s">
        <v>7</v>
      </c>
      <c r="C68" s="108">
        <v>21</v>
      </c>
      <c r="D68" s="107" t="s">
        <v>6</v>
      </c>
      <c r="E68" s="109" t="s">
        <v>6</v>
      </c>
      <c r="F68" s="110">
        <v>54</v>
      </c>
      <c r="G68" s="109" t="s">
        <v>16</v>
      </c>
      <c r="H68" s="111" t="s">
        <v>16</v>
      </c>
      <c r="I68" s="112">
        <v>87</v>
      </c>
      <c r="J68" s="111" t="s">
        <v>2</v>
      </c>
      <c r="N68" s="125"/>
      <c r="O68" s="1"/>
      <c r="P68" s="156"/>
      <c r="Q68" s="156"/>
      <c r="R68" s="87"/>
      <c r="S68" s="87"/>
      <c r="T68" s="87"/>
      <c r="U68" s="156"/>
      <c r="V68" s="156"/>
      <c r="W68" s="156"/>
      <c r="X68" s="156"/>
      <c r="Y68" s="156"/>
      <c r="Z68" s="156"/>
      <c r="AA68" s="87"/>
      <c r="AB68" s="87"/>
      <c r="AC68" s="87"/>
      <c r="AD68" s="87"/>
      <c r="AE68" s="87"/>
      <c r="AF68" s="87"/>
      <c r="AG68" s="87"/>
      <c r="AH68" s="90"/>
      <c r="AI68" s="167"/>
      <c r="AJ68" s="156"/>
      <c r="AK68" s="87"/>
      <c r="AL68" s="156"/>
      <c r="AM68" s="156"/>
      <c r="AN68" s="156"/>
      <c r="AO68" s="87"/>
      <c r="AP68" s="87"/>
      <c r="AQ68" s="87"/>
      <c r="AR68" s="164"/>
      <c r="AS68" s="164"/>
      <c r="AT68" s="164"/>
      <c r="AU68" s="157"/>
      <c r="AV68" s="158"/>
      <c r="AW68" s="99"/>
    </row>
    <row r="69" spans="2:49">
      <c r="B69" s="113" t="s">
        <v>20</v>
      </c>
      <c r="C69" s="114">
        <v>22</v>
      </c>
      <c r="D69" s="113" t="s">
        <v>19</v>
      </c>
      <c r="E69" s="115" t="s">
        <v>11</v>
      </c>
      <c r="F69" s="116">
        <v>55</v>
      </c>
      <c r="G69" s="115" t="s">
        <v>2</v>
      </c>
      <c r="H69" s="151" t="s">
        <v>8</v>
      </c>
      <c r="I69" s="152">
        <v>88</v>
      </c>
      <c r="J69" s="151" t="s">
        <v>3</v>
      </c>
      <c r="N69" s="125">
        <v>8</v>
      </c>
      <c r="O69" s="1"/>
      <c r="P69" s="159" t="s">
        <v>35</v>
      </c>
      <c r="Q69" s="159" t="s">
        <v>27</v>
      </c>
      <c r="R69" s="93" t="s">
        <v>35</v>
      </c>
      <c r="S69" s="93" t="s">
        <v>36</v>
      </c>
      <c r="T69" s="93" t="s">
        <v>31</v>
      </c>
      <c r="U69" s="159" t="s">
        <v>27</v>
      </c>
      <c r="V69" s="159" t="s">
        <v>35</v>
      </c>
      <c r="W69" s="159" t="s">
        <v>36</v>
      </c>
      <c r="X69" s="159" t="s">
        <v>31</v>
      </c>
      <c r="Y69" s="159" t="s">
        <v>34</v>
      </c>
      <c r="Z69" s="159" t="s">
        <v>25</v>
      </c>
      <c r="AA69" s="93" t="s">
        <v>25</v>
      </c>
      <c r="AB69" s="93" t="s">
        <v>35</v>
      </c>
      <c r="AC69" s="93" t="s">
        <v>33</v>
      </c>
      <c r="AD69" s="93" t="s">
        <v>39</v>
      </c>
      <c r="AE69" s="93" t="s">
        <v>30</v>
      </c>
      <c r="AF69" s="93" t="s">
        <v>38</v>
      </c>
      <c r="AG69" s="93" t="s">
        <v>39</v>
      </c>
      <c r="AH69" s="98" t="s">
        <v>43</v>
      </c>
      <c r="AI69" s="165" t="s">
        <v>44</v>
      </c>
      <c r="AJ69" s="159" t="s">
        <v>29</v>
      </c>
      <c r="AK69" s="93" t="s">
        <v>4</v>
      </c>
      <c r="AL69" s="159" t="s">
        <v>28</v>
      </c>
      <c r="AM69" s="159" t="s">
        <v>33</v>
      </c>
      <c r="AN69" s="159" t="s">
        <v>25</v>
      </c>
      <c r="AO69" s="92" t="s">
        <v>25</v>
      </c>
      <c r="AP69" s="93" t="s">
        <v>35</v>
      </c>
      <c r="AQ69" s="93" t="s">
        <v>34</v>
      </c>
      <c r="AR69" s="166" t="s">
        <v>46</v>
      </c>
      <c r="AS69" s="166" t="s">
        <v>45</v>
      </c>
      <c r="AT69" s="166" t="s">
        <v>61</v>
      </c>
      <c r="AU69" s="160"/>
      <c r="AV69" s="161"/>
      <c r="AW69" s="99">
        <f>COUNTA(P69:AV69)</f>
        <v>31</v>
      </c>
    </row>
    <row r="70" spans="2:49">
      <c r="B70" s="119" t="s">
        <v>1</v>
      </c>
      <c r="C70" s="120">
        <v>23</v>
      </c>
      <c r="D70" s="119" t="s">
        <v>19</v>
      </c>
      <c r="E70" s="121" t="s">
        <v>1</v>
      </c>
      <c r="F70" s="122">
        <v>56</v>
      </c>
      <c r="G70" s="121" t="s">
        <v>19</v>
      </c>
      <c r="H70" s="140" t="s">
        <v>18</v>
      </c>
      <c r="I70" s="124">
        <v>89</v>
      </c>
      <c r="J70" s="140" t="s">
        <v>2</v>
      </c>
      <c r="N70" s="125"/>
      <c r="O70" s="1"/>
      <c r="P70" s="156"/>
      <c r="Q70" s="156"/>
      <c r="R70" s="156"/>
      <c r="S70" s="156"/>
      <c r="T70" s="87"/>
      <c r="U70" s="87"/>
      <c r="V70" s="87"/>
      <c r="W70" s="87"/>
      <c r="X70" s="156"/>
      <c r="Y70" s="156"/>
      <c r="Z70" s="156"/>
      <c r="AA70" s="156"/>
      <c r="AB70" s="156"/>
      <c r="AC70" s="156"/>
      <c r="AD70" s="156"/>
      <c r="AE70" s="156"/>
      <c r="AF70" s="156"/>
      <c r="AG70" s="87"/>
      <c r="AH70" s="87"/>
      <c r="AI70" s="87"/>
      <c r="AJ70" s="167"/>
      <c r="AK70" s="156"/>
      <c r="AL70" s="156"/>
      <c r="AM70" s="156"/>
      <c r="AN70" s="87"/>
      <c r="AO70" s="87"/>
      <c r="AP70" s="87"/>
      <c r="AQ70" s="87"/>
      <c r="AR70" s="157"/>
      <c r="AS70" s="157"/>
      <c r="AT70" s="157"/>
      <c r="AU70" s="157"/>
      <c r="AV70" s="168"/>
      <c r="AW70" s="99"/>
    </row>
    <row r="71" spans="2:49">
      <c r="B71" s="113" t="s">
        <v>19</v>
      </c>
      <c r="C71" s="114">
        <v>24</v>
      </c>
      <c r="D71" s="113" t="s">
        <v>16</v>
      </c>
      <c r="E71" s="115" t="s">
        <v>1</v>
      </c>
      <c r="F71" s="116">
        <v>57</v>
      </c>
      <c r="G71" s="115" t="s">
        <v>16</v>
      </c>
      <c r="H71" s="151" t="s">
        <v>1</v>
      </c>
      <c r="I71" s="152">
        <v>90</v>
      </c>
      <c r="J71" s="151" t="s">
        <v>16</v>
      </c>
      <c r="N71" s="125">
        <v>6</v>
      </c>
      <c r="O71" s="1"/>
      <c r="P71" s="159" t="s">
        <v>30</v>
      </c>
      <c r="Q71" s="159" t="s">
        <v>46</v>
      </c>
      <c r="R71" s="159" t="s">
        <v>37</v>
      </c>
      <c r="S71" s="159" t="s">
        <v>44</v>
      </c>
      <c r="T71" s="93" t="s">
        <v>28</v>
      </c>
      <c r="U71" s="93" t="s">
        <v>38</v>
      </c>
      <c r="V71" s="93" t="s">
        <v>35</v>
      </c>
      <c r="W71" s="93" t="s">
        <v>36</v>
      </c>
      <c r="X71" s="159" t="s">
        <v>33</v>
      </c>
      <c r="Y71" s="159" t="s">
        <v>37</v>
      </c>
      <c r="Z71" s="159" t="s">
        <v>33</v>
      </c>
      <c r="AA71" s="159" t="s">
        <v>87</v>
      </c>
      <c r="AB71" s="159" t="s">
        <v>31</v>
      </c>
      <c r="AC71" s="159" t="s">
        <v>37</v>
      </c>
      <c r="AD71" s="159" t="s">
        <v>31</v>
      </c>
      <c r="AE71" s="159" t="s">
        <v>39</v>
      </c>
      <c r="AF71" s="159" t="s">
        <v>35</v>
      </c>
      <c r="AG71" s="93" t="s">
        <v>33</v>
      </c>
      <c r="AH71" s="93" t="s">
        <v>39</v>
      </c>
      <c r="AI71" s="93" t="s">
        <v>30</v>
      </c>
      <c r="AJ71" s="165" t="s">
        <v>28</v>
      </c>
      <c r="AK71" s="159" t="s">
        <v>36</v>
      </c>
      <c r="AL71" s="159" t="s">
        <v>31</v>
      </c>
      <c r="AM71" s="159" t="s">
        <v>39</v>
      </c>
      <c r="AN71" s="93" t="s">
        <v>22</v>
      </c>
      <c r="AO71" s="93" t="s">
        <v>27</v>
      </c>
      <c r="AP71" s="92" t="s">
        <v>34</v>
      </c>
      <c r="AQ71" s="93" t="s">
        <v>30</v>
      </c>
      <c r="AR71" s="160"/>
      <c r="AS71" s="160"/>
      <c r="AT71" s="160"/>
      <c r="AU71" s="160"/>
      <c r="AV71" s="169"/>
      <c r="AW71" s="99">
        <f>COUNTA(P71:AV71)</f>
        <v>28</v>
      </c>
    </row>
    <row r="72" spans="2:49">
      <c r="B72" s="128" t="s">
        <v>1</v>
      </c>
      <c r="C72" s="129">
        <v>25</v>
      </c>
      <c r="D72" s="128" t="s">
        <v>19</v>
      </c>
      <c r="E72" s="130" t="s">
        <v>1</v>
      </c>
      <c r="F72" s="131">
        <v>58</v>
      </c>
      <c r="G72" s="130" t="s">
        <v>1</v>
      </c>
      <c r="H72" s="132" t="s">
        <v>7</v>
      </c>
      <c r="I72" s="133">
        <v>91</v>
      </c>
      <c r="J72" s="132" t="s">
        <v>13</v>
      </c>
      <c r="N72" s="125"/>
      <c r="O72" s="1"/>
      <c r="P72" s="156"/>
      <c r="Q72" s="156"/>
      <c r="R72" s="156"/>
      <c r="S72" s="156"/>
      <c r="T72" s="156"/>
      <c r="U72" s="156"/>
      <c r="V72" s="156"/>
      <c r="W72" s="156"/>
      <c r="X72" s="156"/>
      <c r="Y72" s="87"/>
      <c r="Z72" s="87"/>
      <c r="AA72" s="87"/>
      <c r="AB72" s="87"/>
      <c r="AC72" s="87"/>
      <c r="AD72" s="87"/>
      <c r="AE72" s="156"/>
      <c r="AF72" s="156"/>
      <c r="AG72" s="87"/>
      <c r="AH72" s="87"/>
      <c r="AI72" s="87"/>
      <c r="AJ72" s="87"/>
      <c r="AK72" s="87"/>
      <c r="AL72" s="156"/>
      <c r="AM72" s="156"/>
      <c r="AN72" s="170"/>
      <c r="AO72" s="86"/>
      <c r="AP72" s="87"/>
      <c r="AQ72" s="87"/>
      <c r="AR72" s="164"/>
      <c r="AS72" s="164"/>
      <c r="AT72" s="164"/>
      <c r="AU72" s="164"/>
      <c r="AV72" s="168"/>
      <c r="AW72" s="99"/>
    </row>
    <row r="73" spans="2:49">
      <c r="B73" s="134" t="s">
        <v>17</v>
      </c>
      <c r="C73" s="135">
        <v>26</v>
      </c>
      <c r="D73" s="134" t="s">
        <v>12</v>
      </c>
      <c r="E73" s="136" t="s">
        <v>14</v>
      </c>
      <c r="F73" s="137">
        <v>59</v>
      </c>
      <c r="G73" s="136" t="s">
        <v>8</v>
      </c>
      <c r="H73" s="138" t="s">
        <v>2</v>
      </c>
      <c r="I73" s="139">
        <v>92</v>
      </c>
      <c r="J73" s="138" t="s">
        <v>16</v>
      </c>
      <c r="N73" s="125">
        <v>6</v>
      </c>
      <c r="O73" s="1"/>
      <c r="P73" s="159" t="s">
        <v>18</v>
      </c>
      <c r="Q73" s="159" t="s">
        <v>33</v>
      </c>
      <c r="R73" s="159" t="s">
        <v>34</v>
      </c>
      <c r="S73" s="159" t="s">
        <v>39</v>
      </c>
      <c r="T73" s="159" t="s">
        <v>33</v>
      </c>
      <c r="U73" s="159" t="s">
        <v>34</v>
      </c>
      <c r="V73" s="159" t="s">
        <v>48</v>
      </c>
      <c r="W73" s="159" t="s">
        <v>27</v>
      </c>
      <c r="X73" s="159" t="s">
        <v>39</v>
      </c>
      <c r="Y73" s="93" t="s">
        <v>46</v>
      </c>
      <c r="Z73" s="93" t="s">
        <v>39</v>
      </c>
      <c r="AA73" s="93" t="s">
        <v>33</v>
      </c>
      <c r="AB73" s="93" t="s">
        <v>44</v>
      </c>
      <c r="AC73" s="93" t="s">
        <v>26</v>
      </c>
      <c r="AD73" s="93" t="s">
        <v>31</v>
      </c>
      <c r="AE73" s="159" t="s">
        <v>35</v>
      </c>
      <c r="AF73" s="159" t="s">
        <v>27</v>
      </c>
      <c r="AG73" s="93" t="s">
        <v>25</v>
      </c>
      <c r="AH73" s="93" t="s">
        <v>35</v>
      </c>
      <c r="AI73" s="93" t="s">
        <v>33</v>
      </c>
      <c r="AJ73" s="93" t="s">
        <v>39</v>
      </c>
      <c r="AK73" s="93" t="s">
        <v>30</v>
      </c>
      <c r="AL73" s="159" t="s">
        <v>35</v>
      </c>
      <c r="AM73" s="159" t="s">
        <v>36</v>
      </c>
      <c r="AN73" s="171" t="s">
        <v>31</v>
      </c>
      <c r="AO73" s="92" t="s">
        <v>25</v>
      </c>
      <c r="AP73" s="93" t="s">
        <v>46</v>
      </c>
      <c r="AQ73" s="93" t="s">
        <v>25</v>
      </c>
      <c r="AR73" s="166" t="s">
        <v>32</v>
      </c>
      <c r="AS73" s="166" t="s">
        <v>31</v>
      </c>
      <c r="AT73" s="166" t="s">
        <v>39</v>
      </c>
      <c r="AU73" s="166" t="s">
        <v>25</v>
      </c>
      <c r="AV73" s="169" t="s">
        <v>31</v>
      </c>
      <c r="AW73" s="99">
        <f>COUNTA(P73:AV73)</f>
        <v>33</v>
      </c>
    </row>
    <row r="74" spans="2:49">
      <c r="B74" s="119" t="s">
        <v>16</v>
      </c>
      <c r="C74" s="120">
        <v>27</v>
      </c>
      <c r="D74" s="119" t="s">
        <v>2</v>
      </c>
      <c r="E74" s="121" t="s">
        <v>1</v>
      </c>
      <c r="F74" s="122">
        <v>60</v>
      </c>
      <c r="G74" s="121" t="s">
        <v>6</v>
      </c>
      <c r="H74" s="140" t="s">
        <v>3</v>
      </c>
      <c r="I74" s="124">
        <v>93</v>
      </c>
      <c r="J74" s="140" t="s">
        <v>11</v>
      </c>
      <c r="N74" s="125"/>
      <c r="O74" s="1"/>
      <c r="P74" s="156"/>
      <c r="Q74" s="156"/>
      <c r="R74" s="156"/>
      <c r="S74" s="87"/>
      <c r="T74" s="87"/>
      <c r="U74" s="87"/>
      <c r="V74" s="87"/>
      <c r="W74" s="87"/>
      <c r="X74" s="87"/>
      <c r="Y74" s="156"/>
      <c r="Z74" s="156"/>
      <c r="AA74" s="156"/>
      <c r="AB74" s="156"/>
      <c r="AC74" s="156"/>
      <c r="AD74" s="156"/>
      <c r="AE74" s="156"/>
      <c r="AF74" s="156"/>
      <c r="AG74" s="86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164"/>
      <c r="AS74" s="164"/>
      <c r="AT74" s="164"/>
      <c r="AU74" s="164"/>
      <c r="AV74" s="168"/>
      <c r="AW74" s="99"/>
    </row>
    <row r="75" spans="2:49" ht="16.5" thickBot="1">
      <c r="B75" s="113" t="s">
        <v>1</v>
      </c>
      <c r="C75" s="114">
        <v>28</v>
      </c>
      <c r="D75" s="113" t="s">
        <v>16</v>
      </c>
      <c r="E75" s="115" t="s">
        <v>14</v>
      </c>
      <c r="F75" s="116">
        <v>61</v>
      </c>
      <c r="G75" s="115" t="s">
        <v>2</v>
      </c>
      <c r="H75" s="151" t="s">
        <v>1</v>
      </c>
      <c r="I75" s="152">
        <v>94</v>
      </c>
      <c r="J75" s="151" t="s">
        <v>19</v>
      </c>
      <c r="N75" s="125">
        <v>4</v>
      </c>
      <c r="O75" s="1"/>
      <c r="P75" s="159" t="s">
        <v>33</v>
      </c>
      <c r="Q75" s="159" t="s">
        <v>39</v>
      </c>
      <c r="R75" s="159" t="s">
        <v>29</v>
      </c>
      <c r="S75" s="93" t="s">
        <v>26</v>
      </c>
      <c r="T75" s="93" t="s">
        <v>27</v>
      </c>
      <c r="U75" s="93" t="s">
        <v>39</v>
      </c>
      <c r="V75" s="93" t="s">
        <v>43</v>
      </c>
      <c r="W75" s="93" t="s">
        <v>31</v>
      </c>
      <c r="X75" s="93" t="s">
        <v>34</v>
      </c>
      <c r="Y75" s="159" t="s">
        <v>38</v>
      </c>
      <c r="Z75" s="159" t="s">
        <v>39</v>
      </c>
      <c r="AA75" s="159" t="s">
        <v>67</v>
      </c>
      <c r="AB75" s="159" t="s">
        <v>46</v>
      </c>
      <c r="AC75" s="159" t="s">
        <v>38</v>
      </c>
      <c r="AD75" s="159" t="s">
        <v>34</v>
      </c>
      <c r="AE75" s="159" t="s">
        <v>31</v>
      </c>
      <c r="AF75" s="159" t="s">
        <v>30</v>
      </c>
      <c r="AG75" s="92" t="s">
        <v>33</v>
      </c>
      <c r="AH75" s="93" t="s">
        <v>39</v>
      </c>
      <c r="AI75" s="93" t="s">
        <v>66</v>
      </c>
      <c r="AJ75" s="93" t="s">
        <v>38</v>
      </c>
      <c r="AK75" s="93" t="s">
        <v>27</v>
      </c>
      <c r="AL75" s="93" t="s">
        <v>46</v>
      </c>
      <c r="AM75" s="92" t="s">
        <v>25</v>
      </c>
      <c r="AN75" s="93" t="s">
        <v>26</v>
      </c>
      <c r="AO75" s="93" t="s">
        <v>29</v>
      </c>
      <c r="AP75" s="93"/>
      <c r="AQ75" s="93"/>
      <c r="AR75" s="166"/>
      <c r="AS75" s="166"/>
      <c r="AT75" s="166"/>
      <c r="AU75" s="166"/>
      <c r="AV75" s="169"/>
      <c r="AW75" s="99">
        <f>COUNTA(P75:AV75)</f>
        <v>26</v>
      </c>
    </row>
    <row r="76" spans="2:49" ht="16.5" thickTop="1">
      <c r="B76" s="119" t="s">
        <v>0</v>
      </c>
      <c r="C76" s="120">
        <v>29</v>
      </c>
      <c r="D76" s="119" t="s">
        <v>5</v>
      </c>
      <c r="E76" s="121" t="s">
        <v>0</v>
      </c>
      <c r="F76" s="122">
        <v>62</v>
      </c>
      <c r="G76" s="121" t="s">
        <v>22</v>
      </c>
      <c r="H76" s="140" t="s">
        <v>6</v>
      </c>
      <c r="I76" s="124">
        <v>95</v>
      </c>
      <c r="J76" s="140" t="s">
        <v>15</v>
      </c>
      <c r="N76" s="153">
        <f>SUM(N62:N75)</f>
        <v>43</v>
      </c>
      <c r="AW76" s="155">
        <f>SUM(AW63:AW75)</f>
        <v>208</v>
      </c>
    </row>
    <row r="77" spans="2:49" ht="16.5" thickBot="1">
      <c r="B77" s="143" t="s">
        <v>1</v>
      </c>
      <c r="C77" s="144">
        <v>30</v>
      </c>
      <c r="D77" s="143" t="s">
        <v>16</v>
      </c>
      <c r="E77" s="145" t="s">
        <v>3</v>
      </c>
      <c r="F77" s="146">
        <v>63</v>
      </c>
      <c r="G77" s="145" t="s">
        <v>16</v>
      </c>
      <c r="H77" s="147" t="s">
        <v>6</v>
      </c>
      <c r="I77" s="148">
        <v>96</v>
      </c>
      <c r="J77" s="147" t="s">
        <v>2</v>
      </c>
    </row>
    <row r="78" spans="2:49" ht="16.5" thickTop="1">
      <c r="B78" s="172" t="s">
        <v>1</v>
      </c>
      <c r="C78" s="173">
        <v>31</v>
      </c>
      <c r="D78" s="172" t="s">
        <v>8</v>
      </c>
      <c r="E78" s="174" t="s">
        <v>22</v>
      </c>
      <c r="F78" s="175">
        <v>64</v>
      </c>
      <c r="G78" s="174" t="s">
        <v>19</v>
      </c>
      <c r="H78" s="111" t="s">
        <v>22</v>
      </c>
      <c r="I78" s="112">
        <v>97</v>
      </c>
      <c r="J78" s="111" t="s">
        <v>6</v>
      </c>
      <c r="AW78" s="176">
        <f>AW60+AW25</f>
        <v>793</v>
      </c>
    </row>
    <row r="79" spans="2:49" ht="16.5" thickBot="1">
      <c r="B79" s="113" t="s">
        <v>4</v>
      </c>
      <c r="C79" s="114">
        <v>32</v>
      </c>
      <c r="D79" s="113" t="s">
        <v>8</v>
      </c>
      <c r="E79" s="115" t="s">
        <v>18</v>
      </c>
      <c r="F79" s="116">
        <v>65</v>
      </c>
      <c r="G79" s="115" t="s">
        <v>8</v>
      </c>
      <c r="H79" s="151" t="s">
        <v>16</v>
      </c>
      <c r="I79" s="152">
        <v>98</v>
      </c>
      <c r="J79" s="151" t="s">
        <v>13</v>
      </c>
      <c r="AW79" s="177"/>
    </row>
    <row r="80" spans="2:49" ht="16.5" thickTop="1">
      <c r="B80" s="178" t="s">
        <v>6</v>
      </c>
      <c r="C80" s="179">
        <v>33</v>
      </c>
      <c r="D80" s="178" t="s">
        <v>19</v>
      </c>
      <c r="E80" s="180" t="s">
        <v>22</v>
      </c>
      <c r="F80" s="181">
        <v>66</v>
      </c>
      <c r="G80" s="180" t="s">
        <v>13</v>
      </c>
      <c r="H80" s="182"/>
      <c r="I80" s="183">
        <v>99</v>
      </c>
      <c r="J80" s="182"/>
      <c r="AW80" s="155">
        <f>AW60+AW76</f>
        <v>665</v>
      </c>
    </row>
    <row r="81" spans="3:49" ht="16.5" thickBot="1">
      <c r="AV81" s="5" t="s">
        <v>88</v>
      </c>
      <c r="AW81" s="3">
        <v>334</v>
      </c>
    </row>
    <row r="82" spans="3:49" ht="16.5" thickTop="1">
      <c r="C82" s="184" t="s">
        <v>85</v>
      </c>
      <c r="D82" s="185"/>
      <c r="E82" s="186" t="s">
        <v>86</v>
      </c>
      <c r="G82" s="187" t="s">
        <v>85</v>
      </c>
      <c r="H82" s="188"/>
      <c r="I82" s="189" t="s">
        <v>86</v>
      </c>
      <c r="AW82" s="155">
        <f>AW80+AW81</f>
        <v>999</v>
      </c>
    </row>
    <row r="83" spans="3:49">
      <c r="C83" s="190" t="s">
        <v>16</v>
      </c>
      <c r="D83" s="191">
        <v>99</v>
      </c>
      <c r="E83" s="190" t="s">
        <v>2</v>
      </c>
      <c r="G83" s="192" t="s">
        <v>11</v>
      </c>
      <c r="H83" s="193">
        <v>124</v>
      </c>
      <c r="I83" s="192" t="s">
        <v>16</v>
      </c>
      <c r="AW83" s="3">
        <f>AW82/3</f>
        <v>333</v>
      </c>
    </row>
    <row r="84" spans="3:49" ht="16.5" thickBot="1">
      <c r="C84" s="194" t="s">
        <v>1</v>
      </c>
      <c r="D84" s="195">
        <v>100</v>
      </c>
      <c r="E84" s="194" t="s">
        <v>16</v>
      </c>
      <c r="G84" s="196" t="s">
        <v>16</v>
      </c>
      <c r="H84" s="197">
        <v>125</v>
      </c>
      <c r="I84" s="196" t="s">
        <v>12</v>
      </c>
    </row>
    <row r="85" spans="3:49">
      <c r="C85" s="198" t="s">
        <v>16</v>
      </c>
      <c r="D85" s="199">
        <v>101</v>
      </c>
      <c r="E85" s="198" t="s">
        <v>16</v>
      </c>
      <c r="G85" s="200" t="s">
        <v>19</v>
      </c>
      <c r="H85" s="201">
        <v>126</v>
      </c>
      <c r="I85" s="200" t="s">
        <v>17</v>
      </c>
      <c r="P85" s="202" t="s">
        <v>89</v>
      </c>
      <c r="Q85" s="203" t="s">
        <v>90</v>
      </c>
      <c r="R85" s="204"/>
      <c r="S85" s="204"/>
      <c r="T85" s="204"/>
      <c r="U85" s="204"/>
      <c r="V85" s="204"/>
      <c r="W85" s="205"/>
      <c r="AU85" s="5"/>
      <c r="AW85" s="206"/>
    </row>
    <row r="86" spans="3:49">
      <c r="C86" s="194" t="s">
        <v>1</v>
      </c>
      <c r="D86" s="195">
        <v>102</v>
      </c>
      <c r="E86" s="194" t="s">
        <v>19</v>
      </c>
      <c r="G86" s="196" t="s">
        <v>11</v>
      </c>
      <c r="H86" s="197">
        <v>127</v>
      </c>
      <c r="I86" s="196" t="s">
        <v>20</v>
      </c>
      <c r="P86" s="207" t="s">
        <v>91</v>
      </c>
      <c r="Q86" s="208" t="s">
        <v>92</v>
      </c>
      <c r="R86" s="209"/>
      <c r="S86" s="209"/>
      <c r="T86" s="209"/>
      <c r="U86" s="209"/>
      <c r="V86" s="209"/>
      <c r="W86" s="210"/>
      <c r="AW86" s="211"/>
    </row>
    <row r="87" spans="3:49">
      <c r="C87" s="212" t="s">
        <v>3</v>
      </c>
      <c r="D87" s="213">
        <v>103</v>
      </c>
      <c r="E87" s="212" t="s">
        <v>19</v>
      </c>
      <c r="G87" s="214" t="s">
        <v>1</v>
      </c>
      <c r="H87" s="215">
        <v>128</v>
      </c>
      <c r="I87" s="214" t="s">
        <v>6</v>
      </c>
      <c r="P87" s="207" t="s">
        <v>93</v>
      </c>
      <c r="Q87" s="208" t="s">
        <v>94</v>
      </c>
      <c r="R87" s="209"/>
      <c r="S87" s="209"/>
      <c r="T87" s="209"/>
      <c r="U87" s="209"/>
      <c r="V87" s="209"/>
      <c r="W87" s="210"/>
      <c r="AW87" s="211"/>
    </row>
    <row r="88" spans="3:49">
      <c r="C88" s="216" t="s">
        <v>2</v>
      </c>
      <c r="D88" s="217">
        <v>104</v>
      </c>
      <c r="E88" s="216" t="s">
        <v>2</v>
      </c>
      <c r="G88" s="218" t="s">
        <v>1</v>
      </c>
      <c r="H88" s="219">
        <v>129</v>
      </c>
      <c r="I88" s="218" t="s">
        <v>19</v>
      </c>
      <c r="P88" s="207" t="s">
        <v>95</v>
      </c>
      <c r="Q88" s="208" t="s">
        <v>96</v>
      </c>
      <c r="R88" s="209"/>
      <c r="S88" s="209"/>
      <c r="T88" s="209"/>
      <c r="U88" s="209"/>
      <c r="V88" s="209"/>
      <c r="W88" s="210"/>
      <c r="AW88" s="211"/>
    </row>
    <row r="89" spans="3:49">
      <c r="C89" s="198" t="s">
        <v>6</v>
      </c>
      <c r="D89" s="199">
        <v>105</v>
      </c>
      <c r="E89" s="198" t="s">
        <v>2</v>
      </c>
      <c r="G89" s="200" t="s">
        <v>11</v>
      </c>
      <c r="H89" s="201">
        <v>130</v>
      </c>
      <c r="I89" s="200" t="s">
        <v>8</v>
      </c>
      <c r="P89" s="207" t="s">
        <v>97</v>
      </c>
      <c r="Q89" s="208" t="s">
        <v>98</v>
      </c>
      <c r="R89" s="209"/>
      <c r="S89" s="209"/>
      <c r="T89" s="209"/>
      <c r="U89" s="209"/>
      <c r="V89" s="209"/>
      <c r="W89" s="210"/>
      <c r="AW89" s="211"/>
    </row>
    <row r="90" spans="3:49">
      <c r="C90" s="194" t="s">
        <v>3</v>
      </c>
      <c r="D90" s="195">
        <v>106</v>
      </c>
      <c r="E90" s="194" t="s">
        <v>6</v>
      </c>
      <c r="G90" s="196" t="s">
        <v>22</v>
      </c>
      <c r="H90" s="197">
        <v>131</v>
      </c>
      <c r="I90" s="196" t="s">
        <v>19</v>
      </c>
      <c r="P90" s="207" t="s">
        <v>99</v>
      </c>
      <c r="Q90" s="208" t="s">
        <v>100</v>
      </c>
      <c r="R90" s="209"/>
      <c r="S90" s="209"/>
      <c r="T90" s="209"/>
      <c r="U90" s="209"/>
      <c r="V90" s="209"/>
      <c r="W90" s="210"/>
      <c r="AW90" s="206"/>
    </row>
    <row r="91" spans="3:49">
      <c r="C91" s="198" t="s">
        <v>15</v>
      </c>
      <c r="D91" s="199">
        <v>107</v>
      </c>
      <c r="E91" s="198" t="s">
        <v>0</v>
      </c>
      <c r="G91" s="200" t="s">
        <v>18</v>
      </c>
      <c r="H91" s="201">
        <v>132</v>
      </c>
      <c r="I91" s="200" t="s">
        <v>8</v>
      </c>
      <c r="P91" s="207" t="s">
        <v>101</v>
      </c>
      <c r="Q91" s="208" t="s">
        <v>102</v>
      </c>
      <c r="R91" s="209"/>
      <c r="S91" s="209"/>
      <c r="T91" s="209"/>
      <c r="U91" s="209"/>
      <c r="V91" s="209"/>
      <c r="W91" s="210"/>
      <c r="AW91" s="206"/>
    </row>
    <row r="92" spans="3:49">
      <c r="C92" s="220" t="s">
        <v>3</v>
      </c>
      <c r="D92" s="221">
        <v>108</v>
      </c>
      <c r="E92" s="220" t="s">
        <v>19</v>
      </c>
      <c r="G92" s="222" t="s">
        <v>9</v>
      </c>
      <c r="H92" s="223">
        <v>133</v>
      </c>
      <c r="I92" s="222" t="s">
        <v>2</v>
      </c>
      <c r="P92" s="207" t="s">
        <v>103</v>
      </c>
      <c r="Q92" s="208" t="s">
        <v>104</v>
      </c>
      <c r="R92" s="209"/>
      <c r="S92" s="209"/>
      <c r="T92" s="209"/>
      <c r="U92" s="209"/>
      <c r="V92" s="209"/>
      <c r="W92" s="210"/>
      <c r="AW92" s="206"/>
    </row>
    <row r="93" spans="3:49">
      <c r="C93" s="190" t="s">
        <v>0</v>
      </c>
      <c r="D93" s="191">
        <v>109</v>
      </c>
      <c r="E93" s="190" t="s">
        <v>5</v>
      </c>
      <c r="G93" s="192" t="s">
        <v>6</v>
      </c>
      <c r="H93" s="193">
        <v>134</v>
      </c>
      <c r="I93" s="192" t="s">
        <v>15</v>
      </c>
      <c r="P93" s="207" t="s">
        <v>105</v>
      </c>
      <c r="Q93" s="208" t="s">
        <v>106</v>
      </c>
      <c r="R93" s="209"/>
      <c r="S93" s="209"/>
      <c r="T93" s="209"/>
      <c r="U93" s="209"/>
      <c r="V93" s="209"/>
      <c r="W93" s="210"/>
    </row>
    <row r="94" spans="3:49">
      <c r="C94" s="194" t="s">
        <v>6</v>
      </c>
      <c r="D94" s="195">
        <v>110</v>
      </c>
      <c r="E94" s="194" t="s">
        <v>2</v>
      </c>
      <c r="G94" s="196" t="s">
        <v>16</v>
      </c>
      <c r="H94" s="197">
        <v>135</v>
      </c>
      <c r="I94" s="196" t="s">
        <v>19</v>
      </c>
      <c r="P94" s="207" t="s">
        <v>107</v>
      </c>
      <c r="Q94" s="208" t="s">
        <v>108</v>
      </c>
      <c r="R94" s="209"/>
      <c r="S94" s="209"/>
      <c r="T94" s="209"/>
      <c r="U94" s="209"/>
      <c r="V94" s="209"/>
      <c r="W94" s="210"/>
    </row>
    <row r="95" spans="3:49">
      <c r="C95" s="198" t="s">
        <v>7</v>
      </c>
      <c r="D95" s="199">
        <v>111</v>
      </c>
      <c r="E95" s="198" t="s">
        <v>6</v>
      </c>
      <c r="G95" s="200" t="s">
        <v>6</v>
      </c>
      <c r="H95" s="201">
        <v>136</v>
      </c>
      <c r="I95" s="200" t="s">
        <v>2</v>
      </c>
      <c r="P95" s="207" t="s">
        <v>109</v>
      </c>
      <c r="Q95" s="208" t="s">
        <v>110</v>
      </c>
      <c r="R95" s="209"/>
      <c r="S95" s="209"/>
      <c r="T95" s="209"/>
      <c r="U95" s="209"/>
      <c r="V95" s="209"/>
      <c r="W95" s="210"/>
    </row>
    <row r="96" spans="3:49">
      <c r="C96" s="194" t="s">
        <v>1</v>
      </c>
      <c r="D96" s="195">
        <v>112</v>
      </c>
      <c r="E96" s="194" t="s">
        <v>8</v>
      </c>
      <c r="G96" s="196" t="s">
        <v>16</v>
      </c>
      <c r="H96" s="197">
        <v>137</v>
      </c>
      <c r="I96" s="196" t="s">
        <v>2</v>
      </c>
      <c r="P96" s="207" t="s">
        <v>111</v>
      </c>
      <c r="Q96" s="208" t="s">
        <v>112</v>
      </c>
      <c r="R96" s="209"/>
      <c r="S96" s="209"/>
      <c r="T96" s="209"/>
      <c r="U96" s="209"/>
      <c r="V96" s="209"/>
      <c r="W96" s="210"/>
    </row>
    <row r="97" spans="3:23">
      <c r="C97" s="212" t="s">
        <v>2</v>
      </c>
      <c r="D97" s="213">
        <v>113</v>
      </c>
      <c r="E97" s="212" t="s">
        <v>13</v>
      </c>
      <c r="G97" s="214" t="s">
        <v>1</v>
      </c>
      <c r="H97" s="215">
        <v>138</v>
      </c>
      <c r="I97" s="214" t="s">
        <v>13</v>
      </c>
      <c r="P97" s="207" t="s">
        <v>113</v>
      </c>
      <c r="Q97" s="208" t="s">
        <v>114</v>
      </c>
      <c r="R97" s="209"/>
      <c r="S97" s="209"/>
      <c r="T97" s="209"/>
      <c r="U97" s="209"/>
      <c r="V97" s="209"/>
      <c r="W97" s="210"/>
    </row>
    <row r="98" spans="3:23">
      <c r="C98" s="216" t="s">
        <v>4</v>
      </c>
      <c r="D98" s="217">
        <v>114</v>
      </c>
      <c r="E98" s="216" t="s">
        <v>6</v>
      </c>
      <c r="G98" s="218" t="s">
        <v>22</v>
      </c>
      <c r="H98" s="219">
        <v>139</v>
      </c>
      <c r="I98" s="218" t="s">
        <v>5</v>
      </c>
      <c r="P98" s="207" t="s">
        <v>115</v>
      </c>
      <c r="Q98" s="208" t="s">
        <v>116</v>
      </c>
      <c r="R98" s="209"/>
      <c r="S98" s="209"/>
      <c r="T98" s="209"/>
      <c r="U98" s="209"/>
      <c r="V98" s="209"/>
      <c r="W98" s="210"/>
    </row>
    <row r="99" spans="3:23">
      <c r="C99" s="198" t="s">
        <v>7</v>
      </c>
      <c r="D99" s="199">
        <v>115</v>
      </c>
      <c r="E99" s="198" t="s">
        <v>6</v>
      </c>
      <c r="G99" s="200" t="s">
        <v>4</v>
      </c>
      <c r="H99" s="201">
        <v>140</v>
      </c>
      <c r="I99" s="200" t="s">
        <v>19</v>
      </c>
      <c r="P99" s="207" t="s">
        <v>117</v>
      </c>
      <c r="Q99" s="208" t="s">
        <v>118</v>
      </c>
      <c r="R99" s="209"/>
      <c r="S99" s="209"/>
      <c r="T99" s="209"/>
      <c r="U99" s="209"/>
      <c r="V99" s="209"/>
      <c r="W99" s="210"/>
    </row>
    <row r="100" spans="3:23">
      <c r="C100" s="194" t="s">
        <v>20</v>
      </c>
      <c r="D100" s="195">
        <v>116</v>
      </c>
      <c r="E100" s="194" t="s">
        <v>2</v>
      </c>
      <c r="G100" s="196" t="s">
        <v>1</v>
      </c>
      <c r="H100" s="197">
        <v>141</v>
      </c>
      <c r="I100" s="196" t="s">
        <v>13</v>
      </c>
      <c r="P100" s="224"/>
      <c r="Q100" s="91"/>
      <c r="R100" s="91"/>
      <c r="S100" s="91"/>
      <c r="T100" s="91"/>
      <c r="U100" s="91"/>
      <c r="V100" s="91"/>
      <c r="W100" s="225"/>
    </row>
    <row r="101" spans="3:23">
      <c r="C101" s="198" t="s">
        <v>16</v>
      </c>
      <c r="D101" s="199">
        <v>117</v>
      </c>
      <c r="E101" s="198" t="s">
        <v>19</v>
      </c>
      <c r="G101" s="200"/>
      <c r="H101" s="201">
        <v>142</v>
      </c>
      <c r="I101" s="200"/>
      <c r="P101" s="224"/>
      <c r="Q101" s="91"/>
      <c r="R101" s="91"/>
      <c r="S101" s="91"/>
      <c r="T101" s="91"/>
      <c r="U101" s="91"/>
      <c r="V101" s="91"/>
      <c r="W101" s="225"/>
    </row>
    <row r="102" spans="3:23">
      <c r="C102" s="220" t="s">
        <v>6</v>
      </c>
      <c r="D102" s="221">
        <v>118</v>
      </c>
      <c r="E102" s="220" t="s">
        <v>15</v>
      </c>
      <c r="G102" s="222"/>
      <c r="H102" s="223">
        <v>143</v>
      </c>
      <c r="I102" s="222"/>
      <c r="P102" s="224"/>
      <c r="Q102" s="91"/>
      <c r="R102" s="91"/>
      <c r="S102" s="91"/>
      <c r="T102" s="91"/>
      <c r="U102" s="91"/>
      <c r="V102" s="91"/>
      <c r="W102" s="225"/>
    </row>
    <row r="103" spans="3:23" ht="16.5" thickBot="1">
      <c r="C103" s="190" t="s">
        <v>6</v>
      </c>
      <c r="D103" s="191">
        <v>119</v>
      </c>
      <c r="E103" s="190" t="s">
        <v>2</v>
      </c>
      <c r="G103" s="192"/>
      <c r="H103" s="193">
        <v>144</v>
      </c>
      <c r="I103" s="192"/>
      <c r="P103" s="226"/>
      <c r="Q103" s="227"/>
      <c r="R103" s="227"/>
      <c r="S103" s="227"/>
      <c r="T103" s="227"/>
      <c r="U103" s="227"/>
      <c r="V103" s="227"/>
      <c r="W103" s="228"/>
    </row>
    <row r="104" spans="3:23">
      <c r="C104" s="194" t="s">
        <v>15</v>
      </c>
      <c r="D104" s="195">
        <v>120</v>
      </c>
      <c r="E104" s="194" t="s">
        <v>16</v>
      </c>
      <c r="G104" s="196"/>
      <c r="H104" s="197">
        <v>145</v>
      </c>
      <c r="I104" s="196"/>
    </row>
    <row r="105" spans="3:23">
      <c r="C105" s="198" t="s">
        <v>16</v>
      </c>
      <c r="D105" s="199">
        <v>121</v>
      </c>
      <c r="E105" s="198" t="s">
        <v>3</v>
      </c>
      <c r="G105" s="200"/>
      <c r="H105" s="201">
        <v>146</v>
      </c>
      <c r="I105" s="200"/>
    </row>
    <row r="106" spans="3:23">
      <c r="C106" s="194" t="s">
        <v>17</v>
      </c>
      <c r="D106" s="195">
        <v>122</v>
      </c>
      <c r="E106" s="194" t="s">
        <v>13</v>
      </c>
      <c r="G106" s="196"/>
      <c r="H106" s="197">
        <v>147</v>
      </c>
      <c r="I106" s="196"/>
    </row>
    <row r="107" spans="3:23">
      <c r="C107" s="212" t="s">
        <v>4</v>
      </c>
      <c r="D107" s="213">
        <v>123</v>
      </c>
      <c r="E107" s="212" t="s">
        <v>4</v>
      </c>
      <c r="G107" s="214"/>
      <c r="H107" s="215">
        <v>148</v>
      </c>
      <c r="I107" s="214"/>
    </row>
  </sheetData>
  <hyperlinks>
    <hyperlink ref="A32" r:id="rId1" display="mailto:Kryptos%40yahoogroups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Sheet2</vt:lpstr>
      <vt:lpstr>Sheet2!BEGINS_ENDS</vt:lpstr>
      <vt:lpstr>Sheet2!COMPLETE_TEXT</vt:lpstr>
      <vt:lpstr>Sheet2!UNUSED</vt:lpstr>
      <vt:lpstr>Sheet2!USED_ON_KRYPTOS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G. ELLIS</dc:creator>
  <cp:lastModifiedBy>CARL G. ELLIS</cp:lastModifiedBy>
  <cp:lastPrinted>2010-04-30T17:13:04Z</cp:lastPrinted>
  <dcterms:created xsi:type="dcterms:W3CDTF">2009-05-24T00:52:15Z</dcterms:created>
  <dcterms:modified xsi:type="dcterms:W3CDTF">2011-03-14T22:39:07Z</dcterms:modified>
</cp:coreProperties>
</file>