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tabRatio="611" activeTab="3"/>
  </bookViews>
  <sheets>
    <sheet name="LAYER_TWO" sheetId="1" r:id="rId1"/>
    <sheet name="SO_THEN_WHAT" sheetId="3" r:id="rId2"/>
    <sheet name="TRIAL_PROCESSOR_UP" sheetId="2" r:id="rId3"/>
    <sheet name="PROCESSOR_DOWN" sheetId="5" r:id="rId4"/>
    <sheet name="NOTES_MEDITATIONS_MISC." sheetId="4" r:id="rId5"/>
  </sheets>
  <definedNames>
    <definedName name="GRAY_32_128">LAYER_TWO!$A$155:$Z$257</definedName>
    <definedName name="LANDING_PAD_DOWN" localSheetId="3">PROCESSOR_DOWN!$E$20:$ON$20</definedName>
    <definedName name="LETTERS_to_NUMBERS" localSheetId="3">PROCESSOR_DOWN!$E$28:$AD$29</definedName>
    <definedName name="LETTERS_to_NUMBERS" localSheetId="2">TRIAL_PROCESSOR_UP!$E$28:$AD$29</definedName>
    <definedName name="NUMBERS_to_LETTERS" localSheetId="3">PROCESSOR_DOWN!$E$29:$AD$30</definedName>
    <definedName name="NUMBERS_to_LETTERS" localSheetId="2">TRIAL_PROCESSOR_UP!$E$29:$AD$30</definedName>
    <definedName name="REC_FREQ_1" localSheetId="2">TRIAL_PROCESSOR_UP!$E$83:$AD$83</definedName>
    <definedName name="REC_FREQ_2" localSheetId="2">TRIAL_PROCESSOR_UP!$E$85:$AD$85</definedName>
    <definedName name="RECONVERSION" localSheetId="3">PROCESSOR_DOWN!$E$75:$CW$75</definedName>
    <definedName name="RECONVERSION" localSheetId="2">TRIAL_PROCESSOR_UP!$E$75:$CW$75</definedName>
    <definedName name="REVERSER_Up_to_400" localSheetId="2">TRIAL_PROCESSOR_UP!$E$16:$ON$18</definedName>
    <definedName name="SPACE_2" localSheetId="2">TRIAL_PROCESSOR_UP!$AC$35:$EL$35</definedName>
    <definedName name="SPACE_3" localSheetId="2">TRIAL_PROCESSOR_UP!$EN$35:$JX$35</definedName>
    <definedName name="SPACED_ROW_for_LP" localSheetId="2">TRIAL_PROCESSOR_UP!$E$35:$JX$35</definedName>
    <definedName name="SPACED_ROW_for_RVRSR" localSheetId="2">TRIAL_PROCESSOR_UP!$E$36:$JX$36</definedName>
    <definedName name="Spaced_Row_LP_DDown" localSheetId="3">PROCESSOR_DOWN!$E$35:$JX$35</definedName>
    <definedName name="Spaced_Row_Rvrsr_Down" localSheetId="3">PROCESSOR_DOWN!$E$36:$JX$36</definedName>
    <definedName name="STD._BINARY_32_128">LAYER_TWO!$A$53:$Z$153</definedName>
  </definedNames>
  <calcPr calcId="145621"/>
</workbook>
</file>

<file path=xl/calcChain.xml><?xml version="1.0" encoding="utf-8"?>
<calcChain xmlns="http://schemas.openxmlformats.org/spreadsheetml/2006/main">
  <c r="K100" i="4" l="1"/>
  <c r="R80" i="4"/>
  <c r="R79" i="4"/>
  <c r="R78" i="4"/>
  <c r="R77" i="4"/>
  <c r="R76" i="4"/>
  <c r="R75" i="4"/>
  <c r="R74" i="4"/>
  <c r="R73" i="4"/>
  <c r="R72" i="4"/>
  <c r="R71" i="4"/>
  <c r="R70" i="4"/>
  <c r="R69" i="4"/>
  <c r="R68" i="4"/>
  <c r="R67" i="4"/>
  <c r="R66" i="4"/>
  <c r="R65" i="4"/>
  <c r="R64" i="4"/>
  <c r="R63" i="4"/>
  <c r="R62" i="4"/>
  <c r="R61" i="4"/>
  <c r="R60" i="4"/>
  <c r="R59" i="4"/>
  <c r="AS52" i="4" l="1"/>
  <c r="AS51" i="4"/>
  <c r="AT46" i="4"/>
  <c r="AR47" i="4"/>
  <c r="AR48" i="4" s="1"/>
  <c r="AQ47" i="4"/>
  <c r="AQ48" i="4" s="1"/>
  <c r="AP47" i="4"/>
  <c r="AP48" i="4" s="1"/>
  <c r="AO47" i="4"/>
  <c r="AO48" i="4" s="1"/>
  <c r="AN47" i="4"/>
  <c r="AN48" i="4" s="1"/>
  <c r="AM47" i="4"/>
  <c r="AM48" i="4" s="1"/>
  <c r="AL47" i="4"/>
  <c r="AL48" i="4" s="1"/>
  <c r="AK47" i="4"/>
  <c r="AK48" i="4" s="1"/>
  <c r="AJ47" i="4"/>
  <c r="AJ48" i="4" s="1"/>
  <c r="AI47" i="4"/>
  <c r="AI48" i="4" s="1"/>
  <c r="AH47" i="4"/>
  <c r="AH48" i="4" s="1"/>
  <c r="AG47" i="4"/>
  <c r="AG48" i="4" s="1"/>
  <c r="AF47" i="4"/>
  <c r="AF48" i="4" s="1"/>
  <c r="AE47" i="4"/>
  <c r="AE48" i="4" s="1"/>
  <c r="AD47" i="4"/>
  <c r="AD48" i="4" s="1"/>
  <c r="AC47" i="4"/>
  <c r="AC48" i="4" s="1"/>
  <c r="AB47" i="4"/>
  <c r="AB48" i="4" s="1"/>
  <c r="AA47" i="4"/>
  <c r="AA48" i="4" s="1"/>
  <c r="Z47" i="4"/>
  <c r="Z48" i="4" s="1"/>
  <c r="Y47" i="4"/>
  <c r="Y48" i="4" s="1"/>
  <c r="X47" i="4"/>
  <c r="X48" i="4" s="1"/>
  <c r="W47" i="4"/>
  <c r="W48" i="4" s="1"/>
  <c r="V47" i="4"/>
  <c r="V48" i="4" s="1"/>
  <c r="U47" i="4"/>
  <c r="U48" i="4" s="1"/>
  <c r="T47" i="4"/>
  <c r="T48" i="4" s="1"/>
  <c r="S47" i="4"/>
  <c r="S48" i="4" s="1"/>
  <c r="AS46" i="4"/>
  <c r="AS50" i="4" s="1"/>
  <c r="AS48" i="4" l="1"/>
  <c r="AS47" i="4"/>
  <c r="AS49" i="4"/>
  <c r="R255" i="1" l="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BI63" i="5" l="1"/>
  <c r="BH63" i="5"/>
  <c r="BF63" i="5"/>
  <c r="BD63" i="5"/>
  <c r="BG63" i="5"/>
  <c r="JV34" i="5" l="1"/>
  <c r="JU34" i="5"/>
  <c r="JT34" i="5"/>
  <c r="JS34" i="5"/>
  <c r="JR34" i="5"/>
  <c r="JQ34" i="5"/>
  <c r="JP34" i="5"/>
  <c r="JO34" i="5"/>
  <c r="JN34" i="5"/>
  <c r="JM34" i="5"/>
  <c r="JL34" i="5"/>
  <c r="JK34" i="5"/>
  <c r="JJ34" i="5"/>
  <c r="JI34" i="5"/>
  <c r="JH34" i="5"/>
  <c r="JG34" i="5"/>
  <c r="JF34" i="5"/>
  <c r="JE34" i="5"/>
  <c r="JD34" i="5"/>
  <c r="JC34" i="5"/>
  <c r="JB34" i="5"/>
  <c r="JA34" i="5"/>
  <c r="IZ34" i="5"/>
  <c r="IY34" i="5"/>
  <c r="IX34" i="5"/>
  <c r="IW34" i="5"/>
  <c r="IV34" i="5"/>
  <c r="IU34" i="5"/>
  <c r="IT34" i="5"/>
  <c r="IS34" i="5"/>
  <c r="IR34" i="5"/>
  <c r="IQ34" i="5"/>
  <c r="IP34" i="5"/>
  <c r="IO34" i="5"/>
  <c r="IN34" i="5"/>
  <c r="IM34" i="5"/>
  <c r="IL34" i="5"/>
  <c r="IK34" i="5"/>
  <c r="IJ34" i="5"/>
  <c r="II34" i="5"/>
  <c r="IH34" i="5"/>
  <c r="IG34" i="5"/>
  <c r="IF34" i="5"/>
  <c r="IE34" i="5"/>
  <c r="ID34" i="5"/>
  <c r="IC34" i="5"/>
  <c r="IB34" i="5"/>
  <c r="IA34" i="5"/>
  <c r="HZ34" i="5"/>
  <c r="HY34" i="5"/>
  <c r="HX34" i="5"/>
  <c r="HW34" i="5"/>
  <c r="HV34" i="5"/>
  <c r="HU34" i="5"/>
  <c r="HT34" i="5"/>
  <c r="HS34" i="5"/>
  <c r="HR34" i="5"/>
  <c r="HQ34" i="5"/>
  <c r="HP34" i="5"/>
  <c r="HO34" i="5"/>
  <c r="HN34" i="5"/>
  <c r="HM34" i="5"/>
  <c r="HL34" i="5"/>
  <c r="HK34" i="5"/>
  <c r="HJ34" i="5"/>
  <c r="HI34" i="5"/>
  <c r="HH34" i="5"/>
  <c r="HG34" i="5"/>
  <c r="HF34" i="5"/>
  <c r="HE34" i="5"/>
  <c r="HD34" i="5"/>
  <c r="HC34" i="5"/>
  <c r="HB34" i="5"/>
  <c r="HA34" i="5"/>
  <c r="GZ34" i="5"/>
  <c r="GY34" i="5"/>
  <c r="GX34" i="5"/>
  <c r="GW34" i="5"/>
  <c r="GV34" i="5"/>
  <c r="GU34" i="5"/>
  <c r="GT34" i="5"/>
  <c r="GS34" i="5"/>
  <c r="GR34" i="5"/>
  <c r="GQ34" i="5"/>
  <c r="GP34" i="5"/>
  <c r="GO34" i="5"/>
  <c r="GN34" i="5"/>
  <c r="GM34" i="5"/>
  <c r="GL34" i="5"/>
  <c r="GK34" i="5"/>
  <c r="GJ34" i="5"/>
  <c r="GI34" i="5"/>
  <c r="GH34" i="5"/>
  <c r="GG34" i="5"/>
  <c r="GF34" i="5"/>
  <c r="GE34" i="5"/>
  <c r="GD34" i="5"/>
  <c r="GC34" i="5"/>
  <c r="GB34" i="5"/>
  <c r="GA34" i="5"/>
  <c r="FZ34" i="5"/>
  <c r="FY34" i="5"/>
  <c r="FZ36" i="5" s="1"/>
  <c r="FX34" i="5"/>
  <c r="FW34" i="5"/>
  <c r="FV34" i="5"/>
  <c r="FU34" i="5"/>
  <c r="FT34" i="5"/>
  <c r="FS34" i="5"/>
  <c r="FR34" i="5"/>
  <c r="FQ34" i="5"/>
  <c r="FP34" i="5"/>
  <c r="FO34" i="5"/>
  <c r="FN34" i="5"/>
  <c r="FM34" i="5"/>
  <c r="FL34" i="5"/>
  <c r="FK34" i="5"/>
  <c r="FJ34" i="5"/>
  <c r="FI34" i="5"/>
  <c r="FH34" i="5"/>
  <c r="FG34" i="5"/>
  <c r="FF34" i="5"/>
  <c r="FE34" i="5"/>
  <c r="FD34" i="5"/>
  <c r="FC34" i="5"/>
  <c r="FB34" i="5"/>
  <c r="FA34" i="5"/>
  <c r="EZ34" i="5"/>
  <c r="EY34" i="5"/>
  <c r="EP34" i="5" l="1"/>
  <c r="E34" i="5"/>
  <c r="E36" i="5" s="1"/>
  <c r="E33" i="5"/>
  <c r="CW66" i="5" l="1"/>
  <c r="CR63" i="5"/>
  <c r="CR69" i="5" s="1"/>
  <c r="CM63" i="5"/>
  <c r="CM69" i="5" s="1"/>
  <c r="CW65" i="5"/>
  <c r="CW64" i="5"/>
  <c r="CW63" i="5"/>
  <c r="CV65" i="5"/>
  <c r="CV64" i="5"/>
  <c r="CV63" i="5"/>
  <c r="CU64" i="5"/>
  <c r="CU63" i="5"/>
  <c r="CT65" i="5"/>
  <c r="CT64" i="5"/>
  <c r="CT63" i="5"/>
  <c r="CS64" i="5"/>
  <c r="CS63" i="5"/>
  <c r="CQ64" i="5"/>
  <c r="CQ63" i="5"/>
  <c r="CP65" i="5"/>
  <c r="CP64" i="5"/>
  <c r="CP63" i="5"/>
  <c r="CO64" i="5"/>
  <c r="CO63" i="5"/>
  <c r="CN63" i="5"/>
  <c r="CN69" i="5" s="1"/>
  <c r="CL63" i="5"/>
  <c r="CL69" i="5" s="1"/>
  <c r="AV63" i="5"/>
  <c r="AN63" i="5"/>
  <c r="AP63" i="5"/>
  <c r="AO65" i="5"/>
  <c r="AT63" i="5"/>
  <c r="AW63" i="5"/>
  <c r="E64" i="5"/>
  <c r="E63" i="5"/>
  <c r="CK64" i="5"/>
  <c r="CK63" i="5"/>
  <c r="CJ63" i="5"/>
  <c r="CJ69" i="5" s="1"/>
  <c r="CI64" i="5"/>
  <c r="CI63" i="5"/>
  <c r="CH65" i="5"/>
  <c r="CH64" i="5"/>
  <c r="CH63" i="5"/>
  <c r="CG66" i="5"/>
  <c r="CG65" i="5"/>
  <c r="CG64" i="5"/>
  <c r="CG63" i="5"/>
  <c r="CF65" i="5"/>
  <c r="CE63" i="5"/>
  <c r="CF64" i="5"/>
  <c r="CF63" i="5"/>
  <c r="CE64" i="5"/>
  <c r="CD65" i="5"/>
  <c r="CD64" i="5"/>
  <c r="CD63" i="5"/>
  <c r="CC64" i="5"/>
  <c r="CC63" i="5"/>
  <c r="CB63" i="5"/>
  <c r="CB69" i="5" s="1"/>
  <c r="CA64" i="5"/>
  <c r="CA63" i="5"/>
  <c r="BZ65" i="5"/>
  <c r="BZ64" i="5"/>
  <c r="BZ63" i="5"/>
  <c r="BY66" i="5"/>
  <c r="BY65" i="5"/>
  <c r="BW64" i="5"/>
  <c r="BQ67" i="5"/>
  <c r="BY64" i="5"/>
  <c r="BY63" i="5"/>
  <c r="BX65" i="5"/>
  <c r="BX64" i="5"/>
  <c r="BX63" i="5"/>
  <c r="BW63" i="5"/>
  <c r="BV65" i="5"/>
  <c r="BV64" i="5"/>
  <c r="BV63" i="5"/>
  <c r="BU66" i="5"/>
  <c r="BU65" i="5"/>
  <c r="BU64" i="5"/>
  <c r="BU63" i="5"/>
  <c r="BT65" i="5"/>
  <c r="BT64" i="5"/>
  <c r="BT63" i="5"/>
  <c r="BS66" i="5"/>
  <c r="BS65" i="5"/>
  <c r="BS64" i="5"/>
  <c r="BS63" i="5"/>
  <c r="BR67" i="5"/>
  <c r="BR66" i="5"/>
  <c r="BR65" i="5"/>
  <c r="BR64" i="5"/>
  <c r="BR63" i="5"/>
  <c r="BQ66" i="5"/>
  <c r="BQ65" i="5"/>
  <c r="BQ64" i="5"/>
  <c r="BQ63" i="5"/>
  <c r="BP66" i="5"/>
  <c r="BP65" i="5"/>
  <c r="BP64" i="5"/>
  <c r="BP63" i="5"/>
  <c r="BG69" i="5"/>
  <c r="BO65" i="5"/>
  <c r="BO64" i="5"/>
  <c r="BO63" i="5"/>
  <c r="BN66" i="5"/>
  <c r="BN65" i="5"/>
  <c r="BN64" i="5"/>
  <c r="BN63" i="5"/>
  <c r="BM65" i="5"/>
  <c r="BM64" i="5"/>
  <c r="BM63" i="5"/>
  <c r="BL64" i="5"/>
  <c r="BL63" i="5"/>
  <c r="BK65" i="5"/>
  <c r="BK64" i="5"/>
  <c r="BK63" i="5"/>
  <c r="BJ66" i="5"/>
  <c r="BJ65" i="5"/>
  <c r="BJ64" i="5"/>
  <c r="BJ63" i="5"/>
  <c r="BI65" i="5"/>
  <c r="BI64" i="5"/>
  <c r="BH64" i="5"/>
  <c r="AV69" i="5"/>
  <c r="BF64" i="5"/>
  <c r="BE65" i="5"/>
  <c r="BE64" i="5"/>
  <c r="BE63" i="5"/>
  <c r="BD64" i="5"/>
  <c r="BC65" i="5"/>
  <c r="BC64" i="5"/>
  <c r="BC63" i="5"/>
  <c r="BB66" i="5"/>
  <c r="BB65" i="5"/>
  <c r="BB64" i="5"/>
  <c r="BB63" i="5"/>
  <c r="BA65" i="5"/>
  <c r="BA64" i="5"/>
  <c r="BA63" i="5"/>
  <c r="AZ64" i="5"/>
  <c r="AZ63" i="5"/>
  <c r="AY63" i="5"/>
  <c r="AX64" i="5"/>
  <c r="AX63" i="5"/>
  <c r="AW69" i="5" s="1"/>
  <c r="AU63" i="5"/>
  <c r="AT64" i="5"/>
  <c r="AS65" i="5"/>
  <c r="AS64" i="5"/>
  <c r="AS63" i="5"/>
  <c r="AR64" i="5"/>
  <c r="AR63" i="5"/>
  <c r="AQ63" i="5"/>
  <c r="AP64" i="5"/>
  <c r="AO64" i="5"/>
  <c r="AO63" i="5"/>
  <c r="AN64" i="5"/>
  <c r="AM65" i="5"/>
  <c r="AM64" i="5"/>
  <c r="AM63" i="5"/>
  <c r="BW69" i="5" l="1"/>
  <c r="CD69" i="5"/>
  <c r="CF69" i="5"/>
  <c r="CG69" i="5"/>
  <c r="CH69" i="5"/>
  <c r="CV69" i="5"/>
  <c r="CC69" i="5"/>
  <c r="CE69" i="5"/>
  <c r="CK69" i="5"/>
  <c r="CO69" i="5"/>
  <c r="CU69" i="5"/>
  <c r="CS69" i="5"/>
  <c r="CA69" i="5"/>
  <c r="CI69" i="5"/>
  <c r="CQ69" i="5"/>
  <c r="CT69" i="5"/>
  <c r="CW69" i="5"/>
  <c r="CP69" i="5"/>
  <c r="BI69" i="5"/>
  <c r="AO69" i="5"/>
  <c r="AS69" i="5"/>
  <c r="BA69" i="5"/>
  <c r="BP69" i="5"/>
  <c r="BV69" i="5"/>
  <c r="AN69" i="5"/>
  <c r="AR69" i="5"/>
  <c r="AY69" i="5"/>
  <c r="AP69" i="5"/>
  <c r="AT69" i="5"/>
  <c r="AX69" i="5"/>
  <c r="BB69" i="5"/>
  <c r="BJ69" i="5"/>
  <c r="BC69" i="5"/>
  <c r="AM69" i="5"/>
  <c r="AQ69" i="5"/>
  <c r="AU69" i="5"/>
  <c r="BL69" i="5"/>
  <c r="BD69" i="5"/>
  <c r="AZ69" i="5"/>
  <c r="BO69" i="5"/>
  <c r="BH69" i="5"/>
  <c r="BK69" i="5"/>
  <c r="BU69" i="5"/>
  <c r="BX69" i="5"/>
  <c r="BY69" i="5"/>
  <c r="BT69" i="5"/>
  <c r="BS69" i="5"/>
  <c r="BR69" i="5"/>
  <c r="BQ69" i="5"/>
  <c r="BZ69" i="5"/>
  <c r="BM69" i="5"/>
  <c r="BN69" i="5"/>
  <c r="BF69" i="5"/>
  <c r="BE69" i="5"/>
  <c r="AL66" i="5"/>
  <c r="AL65" i="5"/>
  <c r="AL64" i="5"/>
  <c r="AL63" i="5"/>
  <c r="AK67" i="5"/>
  <c r="AK66" i="5"/>
  <c r="AK65" i="5"/>
  <c r="AK64" i="5"/>
  <c r="AK63" i="5"/>
  <c r="AJ66" i="5"/>
  <c r="AJ65" i="5"/>
  <c r="AJ64" i="5"/>
  <c r="AJ63" i="5"/>
  <c r="AI65" i="5"/>
  <c r="AI64" i="5"/>
  <c r="AI63" i="5"/>
  <c r="AH66" i="5"/>
  <c r="AH65" i="5"/>
  <c r="AH64" i="5"/>
  <c r="AH63" i="5"/>
  <c r="AG65" i="5"/>
  <c r="AG64" i="5"/>
  <c r="AG63" i="5"/>
  <c r="AF64" i="5"/>
  <c r="AF63" i="5"/>
  <c r="AE65" i="5"/>
  <c r="AE64" i="5"/>
  <c r="AE63" i="5"/>
  <c r="AD66" i="5"/>
  <c r="AD65" i="5"/>
  <c r="AD64" i="5"/>
  <c r="AD63" i="5"/>
  <c r="AC65" i="5"/>
  <c r="AC64" i="5"/>
  <c r="AC63" i="5"/>
  <c r="AB64" i="5"/>
  <c r="AB63" i="5"/>
  <c r="AA63" i="5"/>
  <c r="KV18" i="5"/>
  <c r="Z64" i="5"/>
  <c r="Z63" i="5"/>
  <c r="Y65" i="5"/>
  <c r="Y64" i="5"/>
  <c r="Y63" i="5"/>
  <c r="X64" i="5"/>
  <c r="X63" i="5"/>
  <c r="W65" i="5"/>
  <c r="W64" i="5"/>
  <c r="W63" i="5"/>
  <c r="V66" i="5"/>
  <c r="V65" i="5"/>
  <c r="V64" i="5"/>
  <c r="V63" i="5"/>
  <c r="U67" i="5"/>
  <c r="U66" i="5"/>
  <c r="U65" i="5"/>
  <c r="U64" i="5"/>
  <c r="U63" i="5"/>
  <c r="T66" i="5"/>
  <c r="T65" i="5"/>
  <c r="T64" i="5"/>
  <c r="T63" i="5"/>
  <c r="S65" i="5"/>
  <c r="S64" i="5"/>
  <c r="S63" i="5"/>
  <c r="R66" i="5"/>
  <c r="R65" i="5"/>
  <c r="R64" i="5"/>
  <c r="R63" i="5"/>
  <c r="Q65" i="5"/>
  <c r="Q64" i="5"/>
  <c r="Q63" i="5"/>
  <c r="P64" i="5"/>
  <c r="P63" i="5"/>
  <c r="O65" i="5"/>
  <c r="O64" i="5"/>
  <c r="O63" i="5"/>
  <c r="N66" i="5"/>
  <c r="N65" i="5"/>
  <c r="N64" i="5"/>
  <c r="N63" i="5"/>
  <c r="M67" i="5"/>
  <c r="M66" i="5"/>
  <c r="M65" i="5"/>
  <c r="M64" i="5"/>
  <c r="M63" i="5"/>
  <c r="L66" i="5"/>
  <c r="L65" i="5"/>
  <c r="L64" i="5"/>
  <c r="L63" i="5"/>
  <c r="K65" i="5"/>
  <c r="K64" i="5"/>
  <c r="K63" i="5"/>
  <c r="J66" i="5"/>
  <c r="J65" i="5"/>
  <c r="J64" i="5"/>
  <c r="J63" i="5"/>
  <c r="I67" i="5"/>
  <c r="I66" i="5"/>
  <c r="I65" i="5"/>
  <c r="I64" i="5"/>
  <c r="I63" i="5"/>
  <c r="AE69" i="5" l="1"/>
  <c r="AI69" i="5"/>
  <c r="K69" i="5"/>
  <c r="O69" i="5"/>
  <c r="O71" i="5" s="1"/>
  <c r="O73" i="5" s="1"/>
  <c r="O75" i="5" s="1"/>
  <c r="R69" i="5"/>
  <c r="S69" i="5"/>
  <c r="U69" i="5"/>
  <c r="V69" i="5"/>
  <c r="W69" i="5"/>
  <c r="Z69" i="5"/>
  <c r="AA69" i="5"/>
  <c r="AD69" i="5"/>
  <c r="AD71" i="5" s="1"/>
  <c r="AD73" i="5" s="1"/>
  <c r="AD75" i="5" s="1"/>
  <c r="AH69" i="5"/>
  <c r="AL69" i="5"/>
  <c r="Q69" i="5"/>
  <c r="Y69" i="5"/>
  <c r="AB69" i="5"/>
  <c r="AF69" i="5"/>
  <c r="AF71" i="5" s="1"/>
  <c r="AF73" i="5" s="1"/>
  <c r="AF75" i="5" s="1"/>
  <c r="AJ69" i="5"/>
  <c r="P69" i="5"/>
  <c r="T69" i="5"/>
  <c r="X69" i="5"/>
  <c r="AC69" i="5"/>
  <c r="AC71" i="5" s="1"/>
  <c r="AC73" i="5" s="1"/>
  <c r="AC75" i="5" s="1"/>
  <c r="AG69" i="5"/>
  <c r="AG71" i="5" s="1"/>
  <c r="AG73" i="5" s="1"/>
  <c r="AG75" i="5" s="1"/>
  <c r="AK69" i="5"/>
  <c r="I69" i="5"/>
  <c r="J69" i="5"/>
  <c r="L69" i="5"/>
  <c r="N69" i="5"/>
  <c r="M69" i="5"/>
  <c r="H66" i="5"/>
  <c r="H65" i="5"/>
  <c r="H64" i="5"/>
  <c r="H63" i="5"/>
  <c r="G67" i="5"/>
  <c r="G66" i="5"/>
  <c r="G65" i="5"/>
  <c r="G64" i="5"/>
  <c r="G63" i="5"/>
  <c r="F68" i="5"/>
  <c r="F67" i="5"/>
  <c r="F66" i="5"/>
  <c r="F65" i="5"/>
  <c r="F64" i="5"/>
  <c r="F63" i="5"/>
  <c r="E68" i="5"/>
  <c r="E67" i="5"/>
  <c r="E66" i="5"/>
  <c r="E65" i="5"/>
  <c r="AE86" i="5"/>
  <c r="CK71" i="5"/>
  <c r="CK73" i="5" s="1"/>
  <c r="CK75" i="5" s="1"/>
  <c r="CJ71" i="5"/>
  <c r="CJ73" i="5" s="1"/>
  <c r="CJ75" i="5" s="1"/>
  <c r="CI71" i="5"/>
  <c r="CI73" i="5" s="1"/>
  <c r="CI75" i="5" s="1"/>
  <c r="CH71" i="5"/>
  <c r="CH73" i="5" s="1"/>
  <c r="CH75" i="5" s="1"/>
  <c r="CG71" i="5"/>
  <c r="CG73" i="5" s="1"/>
  <c r="CG75" i="5" s="1"/>
  <c r="CF71" i="5"/>
  <c r="CF73" i="5" s="1"/>
  <c r="CF75" i="5" s="1"/>
  <c r="CE71" i="5"/>
  <c r="CE73" i="5" s="1"/>
  <c r="CE75" i="5" s="1"/>
  <c r="CD71" i="5"/>
  <c r="CD73" i="5" s="1"/>
  <c r="CD75" i="5" s="1"/>
  <c r="CC71" i="5"/>
  <c r="CC73" i="5" s="1"/>
  <c r="CC75" i="5" s="1"/>
  <c r="CB71" i="5"/>
  <c r="CB73" i="5" s="1"/>
  <c r="CB75" i="5" s="1"/>
  <c r="CA71" i="5"/>
  <c r="CA73" i="5" s="1"/>
  <c r="CA75" i="5" s="1"/>
  <c r="BZ71" i="5"/>
  <c r="BZ73" i="5" s="1"/>
  <c r="BZ75" i="5" s="1"/>
  <c r="BY71" i="5"/>
  <c r="BY73" i="5" s="1"/>
  <c r="BY75" i="5" s="1"/>
  <c r="BX71" i="5"/>
  <c r="BX73" i="5" s="1"/>
  <c r="BX75" i="5" s="1"/>
  <c r="BW71" i="5"/>
  <c r="BW73" i="5" s="1"/>
  <c r="BW75" i="5" s="1"/>
  <c r="BV71" i="5"/>
  <c r="BV73" i="5" s="1"/>
  <c r="BV75" i="5" s="1"/>
  <c r="BU71" i="5"/>
  <c r="BU73" i="5" s="1"/>
  <c r="BU75" i="5" s="1"/>
  <c r="BT71" i="5"/>
  <c r="BT73" i="5" s="1"/>
  <c r="BT75" i="5" s="1"/>
  <c r="BS71" i="5"/>
  <c r="BS73" i="5" s="1"/>
  <c r="BS75" i="5" s="1"/>
  <c r="BR71" i="5"/>
  <c r="BR73" i="5" s="1"/>
  <c r="BR75" i="5" s="1"/>
  <c r="BQ71" i="5"/>
  <c r="BQ73" i="5" s="1"/>
  <c r="BQ75" i="5" s="1"/>
  <c r="BP71" i="5"/>
  <c r="BP73" i="5" s="1"/>
  <c r="BP75" i="5" s="1"/>
  <c r="BO71" i="5"/>
  <c r="BO73" i="5" s="1"/>
  <c r="BO75" i="5" s="1"/>
  <c r="BN71" i="5"/>
  <c r="BN73" i="5" s="1"/>
  <c r="BN75" i="5" s="1"/>
  <c r="BM71" i="5"/>
  <c r="BM73" i="5" s="1"/>
  <c r="BM75" i="5" s="1"/>
  <c r="BL71" i="5"/>
  <c r="BL73" i="5" s="1"/>
  <c r="BL75" i="5" s="1"/>
  <c r="BK71" i="5"/>
  <c r="BK73" i="5" s="1"/>
  <c r="BK75" i="5" s="1"/>
  <c r="BJ71" i="5"/>
  <c r="BJ73" i="5" s="1"/>
  <c r="BJ75" i="5" s="1"/>
  <c r="BI71" i="5"/>
  <c r="BI73" i="5" s="1"/>
  <c r="BI75" i="5" s="1"/>
  <c r="BH71" i="5"/>
  <c r="BH73" i="5" s="1"/>
  <c r="BH75" i="5" s="1"/>
  <c r="BG71" i="5"/>
  <c r="BG73" i="5" s="1"/>
  <c r="BG75" i="5" s="1"/>
  <c r="BF71" i="5"/>
  <c r="BF73" i="5" s="1"/>
  <c r="BF75" i="5" s="1"/>
  <c r="BE71" i="5"/>
  <c r="BE73" i="5" s="1"/>
  <c r="BE75" i="5" s="1"/>
  <c r="BD71" i="5"/>
  <c r="BD73" i="5" s="1"/>
  <c r="BD75" i="5" s="1"/>
  <c r="BC71" i="5"/>
  <c r="BC73" i="5" s="1"/>
  <c r="BC75" i="5" s="1"/>
  <c r="BB71" i="5"/>
  <c r="BB73" i="5" s="1"/>
  <c r="BB75" i="5" s="1"/>
  <c r="BA71" i="5"/>
  <c r="BA73" i="5" s="1"/>
  <c r="BA75" i="5" s="1"/>
  <c r="AZ71" i="5"/>
  <c r="AZ73" i="5" s="1"/>
  <c r="AZ75" i="5" s="1"/>
  <c r="AY71" i="5"/>
  <c r="AY73" i="5" s="1"/>
  <c r="AY75" i="5" s="1"/>
  <c r="AX71" i="5"/>
  <c r="AX73" i="5" s="1"/>
  <c r="AX75" i="5" s="1"/>
  <c r="AW71" i="5"/>
  <c r="AW73" i="5" s="1"/>
  <c r="AW75" i="5" s="1"/>
  <c r="AV71" i="5"/>
  <c r="AV73" i="5" s="1"/>
  <c r="AV75" i="5" s="1"/>
  <c r="AU71" i="5"/>
  <c r="AU73" i="5" s="1"/>
  <c r="AU75" i="5" s="1"/>
  <c r="AT71" i="5"/>
  <c r="AT73" i="5" s="1"/>
  <c r="AT75" i="5" s="1"/>
  <c r="AS71" i="5"/>
  <c r="AS73" i="5" s="1"/>
  <c r="AS75" i="5" s="1"/>
  <c r="AR71" i="5"/>
  <c r="AR73" i="5" s="1"/>
  <c r="AR75" i="5" s="1"/>
  <c r="AQ71" i="5"/>
  <c r="AQ73" i="5" s="1"/>
  <c r="AQ75" i="5" s="1"/>
  <c r="AP71" i="5"/>
  <c r="AP73" i="5" s="1"/>
  <c r="AP75" i="5" s="1"/>
  <c r="AO71" i="5"/>
  <c r="AO73" i="5" s="1"/>
  <c r="AO75" i="5" s="1"/>
  <c r="AN71" i="5"/>
  <c r="AN73" i="5" s="1"/>
  <c r="AN75" i="5" s="1"/>
  <c r="AM71" i="5"/>
  <c r="AM73" i="5" s="1"/>
  <c r="AM75" i="5" s="1"/>
  <c r="AL71" i="5"/>
  <c r="AL73" i="5" s="1"/>
  <c r="AL75" i="5" s="1"/>
  <c r="AK71" i="5"/>
  <c r="AK73" i="5" s="1"/>
  <c r="AK75" i="5" s="1"/>
  <c r="AJ71" i="5"/>
  <c r="AJ73" i="5" s="1"/>
  <c r="AJ75" i="5" s="1"/>
  <c r="AI71" i="5"/>
  <c r="AI73" i="5" s="1"/>
  <c r="AI75" i="5" s="1"/>
  <c r="AH71" i="5"/>
  <c r="AH73" i="5" s="1"/>
  <c r="AH75" i="5" s="1"/>
  <c r="AE71" i="5"/>
  <c r="AE73" i="5" s="1"/>
  <c r="AE75" i="5" s="1"/>
  <c r="AB71" i="5"/>
  <c r="AB73" i="5" s="1"/>
  <c r="AB75" i="5" s="1"/>
  <c r="AA71" i="5"/>
  <c r="AA73" i="5" s="1"/>
  <c r="AA75" i="5" s="1"/>
  <c r="A58" i="5"/>
  <c r="A57" i="5"/>
  <c r="A52" i="5"/>
  <c r="A51" i="5"/>
  <c r="A46" i="5"/>
  <c r="A45" i="5"/>
  <c r="A40" i="5"/>
  <c r="A39" i="5"/>
  <c r="JV33" i="5"/>
  <c r="JX35" i="5" s="1"/>
  <c r="JU33" i="5"/>
  <c r="JW35" i="5" s="1"/>
  <c r="JT33" i="5"/>
  <c r="JV35" i="5" s="1"/>
  <c r="JS33" i="5"/>
  <c r="JU35" i="5" s="1"/>
  <c r="JR33" i="5"/>
  <c r="JT35" i="5" s="1"/>
  <c r="JQ33" i="5"/>
  <c r="JS35" i="5" s="1"/>
  <c r="JP33" i="5"/>
  <c r="JR35" i="5" s="1"/>
  <c r="JO33" i="5"/>
  <c r="JQ35" i="5" s="1"/>
  <c r="JN33" i="5"/>
  <c r="JP35" i="5" s="1"/>
  <c r="JM33" i="5"/>
  <c r="JO35" i="5" s="1"/>
  <c r="JL33" i="5"/>
  <c r="JN35" i="5" s="1"/>
  <c r="JK33" i="5"/>
  <c r="JM35" i="5" s="1"/>
  <c r="JJ33" i="5"/>
  <c r="JL35" i="5" s="1"/>
  <c r="JI33" i="5"/>
  <c r="JK35" i="5" s="1"/>
  <c r="JH33" i="5"/>
  <c r="JJ35" i="5" s="1"/>
  <c r="JG33" i="5"/>
  <c r="JI35" i="5" s="1"/>
  <c r="JF33" i="5"/>
  <c r="JH35" i="5" s="1"/>
  <c r="JE33" i="5"/>
  <c r="JG35" i="5" s="1"/>
  <c r="JD33" i="5"/>
  <c r="JF35" i="5" s="1"/>
  <c r="JC33" i="5"/>
  <c r="JE35" i="5" s="1"/>
  <c r="JB33" i="5"/>
  <c r="JD35" i="5" s="1"/>
  <c r="JA33" i="5"/>
  <c r="JC35" i="5" s="1"/>
  <c r="IZ33" i="5"/>
  <c r="JB35" i="5" s="1"/>
  <c r="IY33" i="5"/>
  <c r="IZ35" i="5" s="1"/>
  <c r="IX33" i="5"/>
  <c r="IY35" i="5" s="1"/>
  <c r="IW33" i="5"/>
  <c r="IX35" i="5" s="1"/>
  <c r="IV33" i="5"/>
  <c r="IW35" i="5" s="1"/>
  <c r="IU33" i="5"/>
  <c r="IV35" i="5" s="1"/>
  <c r="IT33" i="5"/>
  <c r="IU35" i="5" s="1"/>
  <c r="IS33" i="5"/>
  <c r="IT35" i="5" s="1"/>
  <c r="IR33" i="5"/>
  <c r="IS35" i="5" s="1"/>
  <c r="IQ33" i="5"/>
  <c r="IR35" i="5" s="1"/>
  <c r="IP33" i="5"/>
  <c r="IQ35" i="5" s="1"/>
  <c r="IO33" i="5"/>
  <c r="IP35" i="5" s="1"/>
  <c r="IN33" i="5"/>
  <c r="IO35" i="5" s="1"/>
  <c r="IM33" i="5"/>
  <c r="IN35" i="5" s="1"/>
  <c r="IL33" i="5"/>
  <c r="IM35" i="5" s="1"/>
  <c r="IK33" i="5"/>
  <c r="IL35" i="5" s="1"/>
  <c r="IJ33" i="5"/>
  <c r="IK35" i="5" s="1"/>
  <c r="II33" i="5"/>
  <c r="IJ35" i="5" s="1"/>
  <c r="IH33" i="5"/>
  <c r="II35" i="5" s="1"/>
  <c r="IG33" i="5"/>
  <c r="IH35" i="5" s="1"/>
  <c r="IF33" i="5"/>
  <c r="IG35" i="5" s="1"/>
  <c r="IE33" i="5"/>
  <c r="IF35" i="5" s="1"/>
  <c r="ID33" i="5"/>
  <c r="IE35" i="5" s="1"/>
  <c r="IC33" i="5"/>
  <c r="ID35" i="5" s="1"/>
  <c r="IB33" i="5"/>
  <c r="IC35" i="5" s="1"/>
  <c r="IA33" i="5"/>
  <c r="IB35" i="5" s="1"/>
  <c r="HZ33" i="5"/>
  <c r="IA35" i="5" s="1"/>
  <c r="HY33" i="5"/>
  <c r="HZ35" i="5" s="1"/>
  <c r="HX33" i="5"/>
  <c r="HY35" i="5" s="1"/>
  <c r="HW33" i="5"/>
  <c r="HX35" i="5" s="1"/>
  <c r="HV33" i="5"/>
  <c r="HW35" i="5" s="1"/>
  <c r="HU33" i="5"/>
  <c r="HV35" i="5" s="1"/>
  <c r="HT33" i="5"/>
  <c r="HU35" i="5" s="1"/>
  <c r="HS33" i="5"/>
  <c r="HT35" i="5" s="1"/>
  <c r="HR33" i="5"/>
  <c r="HS35" i="5" s="1"/>
  <c r="HQ33" i="5"/>
  <c r="HR35" i="5" s="1"/>
  <c r="HP33" i="5"/>
  <c r="HQ35" i="5" s="1"/>
  <c r="HO33" i="5"/>
  <c r="HP35" i="5" s="1"/>
  <c r="HN33" i="5"/>
  <c r="HO35" i="5" s="1"/>
  <c r="HM33" i="5"/>
  <c r="HN35" i="5" s="1"/>
  <c r="HL33" i="5"/>
  <c r="HM35" i="5" s="1"/>
  <c r="HK33" i="5"/>
  <c r="HL35" i="5" s="1"/>
  <c r="HJ33" i="5"/>
  <c r="HK35" i="5" s="1"/>
  <c r="HI33" i="5"/>
  <c r="HJ35" i="5" s="1"/>
  <c r="HH33" i="5"/>
  <c r="HI35" i="5" s="1"/>
  <c r="HG33" i="5"/>
  <c r="HH35" i="5" s="1"/>
  <c r="HF33" i="5"/>
  <c r="HG35" i="5" s="1"/>
  <c r="HE33" i="5"/>
  <c r="HF35" i="5" s="1"/>
  <c r="HD33" i="5"/>
  <c r="HE35" i="5" s="1"/>
  <c r="HC33" i="5"/>
  <c r="HD35" i="5" s="1"/>
  <c r="HB33" i="5"/>
  <c r="HC35" i="5" s="1"/>
  <c r="HA33" i="5"/>
  <c r="HB35" i="5" s="1"/>
  <c r="GZ33" i="5"/>
  <c r="HA35" i="5" s="1"/>
  <c r="GY33" i="5"/>
  <c r="GZ35" i="5" s="1"/>
  <c r="GX33" i="5"/>
  <c r="GY35" i="5" s="1"/>
  <c r="GW33" i="5"/>
  <c r="GX35" i="5" s="1"/>
  <c r="GV33" i="5"/>
  <c r="GW35" i="5" s="1"/>
  <c r="GU33" i="5"/>
  <c r="GV35" i="5" s="1"/>
  <c r="GT33" i="5"/>
  <c r="GU35" i="5" s="1"/>
  <c r="GS33" i="5"/>
  <c r="GT35" i="5" s="1"/>
  <c r="GR33" i="5"/>
  <c r="GS35" i="5" s="1"/>
  <c r="GQ33" i="5"/>
  <c r="GR35" i="5" s="1"/>
  <c r="GP33" i="5"/>
  <c r="GQ35" i="5" s="1"/>
  <c r="GO33" i="5"/>
  <c r="GP35" i="5" s="1"/>
  <c r="GN33" i="5"/>
  <c r="GO35" i="5" s="1"/>
  <c r="GM33" i="5"/>
  <c r="GN35" i="5" s="1"/>
  <c r="GL33" i="5"/>
  <c r="GM35" i="5" s="1"/>
  <c r="GK33" i="5"/>
  <c r="GL35" i="5" s="1"/>
  <c r="GJ33" i="5"/>
  <c r="GK35" i="5" s="1"/>
  <c r="GI33" i="5"/>
  <c r="GJ35" i="5" s="1"/>
  <c r="GH33" i="5"/>
  <c r="GI35" i="5" s="1"/>
  <c r="GG33" i="5"/>
  <c r="GH35" i="5" s="1"/>
  <c r="GF33" i="5"/>
  <c r="GG35" i="5" s="1"/>
  <c r="GE33" i="5"/>
  <c r="GF35" i="5" s="1"/>
  <c r="GD33" i="5"/>
  <c r="GE35" i="5" s="1"/>
  <c r="GC33" i="5"/>
  <c r="GD35" i="5" s="1"/>
  <c r="GB33" i="5"/>
  <c r="GC35" i="5" s="1"/>
  <c r="GA33" i="5"/>
  <c r="GB35" i="5" s="1"/>
  <c r="FZ33" i="5"/>
  <c r="GA35" i="5" s="1"/>
  <c r="FY33" i="5"/>
  <c r="FZ35" i="5" s="1"/>
  <c r="FX33" i="5"/>
  <c r="FY35" i="5" s="1"/>
  <c r="FW33" i="5"/>
  <c r="FX35" i="5" s="1"/>
  <c r="FV33" i="5"/>
  <c r="FW35" i="5" s="1"/>
  <c r="FU33" i="5"/>
  <c r="FV35" i="5" s="1"/>
  <c r="FT33" i="5"/>
  <c r="FU35" i="5" s="1"/>
  <c r="FS33" i="5"/>
  <c r="FT35" i="5" s="1"/>
  <c r="FR33" i="5"/>
  <c r="FS35" i="5" s="1"/>
  <c r="FQ33" i="5"/>
  <c r="FR35" i="5" s="1"/>
  <c r="FP33" i="5"/>
  <c r="FQ35" i="5" s="1"/>
  <c r="FO33" i="5"/>
  <c r="FP35" i="5" s="1"/>
  <c r="FN33" i="5"/>
  <c r="FO35" i="5" s="1"/>
  <c r="FM33" i="5"/>
  <c r="FN35" i="5" s="1"/>
  <c r="FL33" i="5"/>
  <c r="FM35" i="5" s="1"/>
  <c r="FK33" i="5"/>
  <c r="FL35" i="5" s="1"/>
  <c r="FJ33" i="5"/>
  <c r="FK35" i="5" s="1"/>
  <c r="FI33" i="5"/>
  <c r="FJ35" i="5" s="1"/>
  <c r="FH33" i="5"/>
  <c r="FI35" i="5" s="1"/>
  <c r="FG33" i="5"/>
  <c r="FH35" i="5" s="1"/>
  <c r="FF33" i="5"/>
  <c r="FG35" i="5" s="1"/>
  <c r="FE33" i="5"/>
  <c r="FF35" i="5" s="1"/>
  <c r="FD33" i="5"/>
  <c r="FE35" i="5" s="1"/>
  <c r="FC33" i="5"/>
  <c r="FD35" i="5" s="1"/>
  <c r="FB33" i="5"/>
  <c r="FC35" i="5" s="1"/>
  <c r="FA33" i="5"/>
  <c r="FB35" i="5" s="1"/>
  <c r="EZ33" i="5"/>
  <c r="FA35" i="5" s="1"/>
  <c r="EY33" i="5"/>
  <c r="EZ35" i="5" s="1"/>
  <c r="EX33" i="5"/>
  <c r="EY35" i="5" s="1"/>
  <c r="EW33" i="5"/>
  <c r="EX35" i="5" s="1"/>
  <c r="EV33" i="5"/>
  <c r="EW35" i="5" s="1"/>
  <c r="EU33" i="5"/>
  <c r="EV35" i="5" s="1"/>
  <c r="ET33" i="5"/>
  <c r="EU35" i="5" s="1"/>
  <c r="ES33" i="5"/>
  <c r="ET35" i="5" s="1"/>
  <c r="ER33" i="5"/>
  <c r="ES35" i="5" s="1"/>
  <c r="EQ33" i="5"/>
  <c r="ER35" i="5" s="1"/>
  <c r="EP33" i="5"/>
  <c r="EQ35" i="5" s="1"/>
  <c r="EO33" i="5"/>
  <c r="EO35" i="5" s="1"/>
  <c r="EN33" i="5"/>
  <c r="EN35" i="5" s="1"/>
  <c r="EM33" i="5"/>
  <c r="EM35" i="5" s="1"/>
  <c r="EL33" i="5"/>
  <c r="EL35" i="5" s="1"/>
  <c r="EK33" i="5"/>
  <c r="EK35" i="5" s="1"/>
  <c r="EJ33" i="5"/>
  <c r="EJ35" i="5" s="1"/>
  <c r="EI33" i="5"/>
  <c r="EI35" i="5" s="1"/>
  <c r="EH33" i="5"/>
  <c r="EH35" i="5" s="1"/>
  <c r="EG33" i="5"/>
  <c r="EG35" i="5" s="1"/>
  <c r="EF33" i="5"/>
  <c r="EF35" i="5" s="1"/>
  <c r="EE33" i="5"/>
  <c r="EE35" i="5" s="1"/>
  <c r="ED33" i="5"/>
  <c r="ED35" i="5" s="1"/>
  <c r="EC33" i="5"/>
  <c r="EC35" i="5" s="1"/>
  <c r="EB33" i="5"/>
  <c r="EB35" i="5" s="1"/>
  <c r="EA33" i="5"/>
  <c r="EA35" i="5" s="1"/>
  <c r="DZ33" i="5"/>
  <c r="DZ35" i="5" s="1"/>
  <c r="DY33" i="5"/>
  <c r="DY35" i="5" s="1"/>
  <c r="DX33" i="5"/>
  <c r="DX35" i="5" s="1"/>
  <c r="DW33" i="5"/>
  <c r="DW35" i="5" s="1"/>
  <c r="DV33" i="5"/>
  <c r="DV35" i="5" s="1"/>
  <c r="DU33" i="5"/>
  <c r="DU35" i="5" s="1"/>
  <c r="DT33" i="5"/>
  <c r="DT35" i="5" s="1"/>
  <c r="DS33" i="5"/>
  <c r="DS35" i="5" s="1"/>
  <c r="DR33" i="5"/>
  <c r="DR35" i="5" s="1"/>
  <c r="DQ33" i="5"/>
  <c r="DQ35" i="5" s="1"/>
  <c r="DP33" i="5"/>
  <c r="DP35" i="5" s="1"/>
  <c r="DO33" i="5"/>
  <c r="DO35" i="5" s="1"/>
  <c r="DN33" i="5"/>
  <c r="DN35" i="5" s="1"/>
  <c r="DM33" i="5"/>
  <c r="DM35" i="5" s="1"/>
  <c r="DL33" i="5"/>
  <c r="DL35" i="5" s="1"/>
  <c r="DK33" i="5"/>
  <c r="DK35" i="5" s="1"/>
  <c r="DJ33" i="5"/>
  <c r="DJ35" i="5" s="1"/>
  <c r="DI33" i="5"/>
  <c r="DI35" i="5" s="1"/>
  <c r="DH33" i="5"/>
  <c r="DH35" i="5" s="1"/>
  <c r="DG33" i="5"/>
  <c r="DG35" i="5" s="1"/>
  <c r="DF33" i="5"/>
  <c r="DF35" i="5" s="1"/>
  <c r="DE33" i="5"/>
  <c r="DE35" i="5" s="1"/>
  <c r="DD33" i="5"/>
  <c r="DD35" i="5" s="1"/>
  <c r="DC33" i="5"/>
  <c r="DC35" i="5" s="1"/>
  <c r="DB33" i="5"/>
  <c r="DB35" i="5" s="1"/>
  <c r="DA33" i="5"/>
  <c r="DA35" i="5" s="1"/>
  <c r="CZ33" i="5"/>
  <c r="CZ35" i="5" s="1"/>
  <c r="CY33" i="5"/>
  <c r="CY35" i="5" s="1"/>
  <c r="CX33" i="5"/>
  <c r="CX35" i="5" s="1"/>
  <c r="CW33" i="5"/>
  <c r="CW35" i="5" s="1"/>
  <c r="CV33" i="5"/>
  <c r="CV35" i="5" s="1"/>
  <c r="CU33" i="5"/>
  <c r="CU35" i="5" s="1"/>
  <c r="CT33" i="5"/>
  <c r="CT35" i="5" s="1"/>
  <c r="CS33" i="5"/>
  <c r="CS35" i="5" s="1"/>
  <c r="CR33" i="5"/>
  <c r="CR35" i="5" s="1"/>
  <c r="CQ33" i="5"/>
  <c r="CQ35" i="5" s="1"/>
  <c r="CP33" i="5"/>
  <c r="CP35" i="5" s="1"/>
  <c r="CO33" i="5"/>
  <c r="CO35" i="5" s="1"/>
  <c r="CN33" i="5"/>
  <c r="CN35" i="5" s="1"/>
  <c r="CM33" i="5"/>
  <c r="CM35" i="5" s="1"/>
  <c r="CL33" i="5"/>
  <c r="CL35" i="5" s="1"/>
  <c r="CK33" i="5"/>
  <c r="CK35" i="5" s="1"/>
  <c r="CJ33" i="5"/>
  <c r="CJ35" i="5" s="1"/>
  <c r="CI33" i="5"/>
  <c r="CI35" i="5" s="1"/>
  <c r="CH33" i="5"/>
  <c r="CH35" i="5" s="1"/>
  <c r="CG33" i="5"/>
  <c r="CG35" i="5" s="1"/>
  <c r="CF33" i="5"/>
  <c r="CF35" i="5" s="1"/>
  <c r="CE33" i="5"/>
  <c r="CE35" i="5" s="1"/>
  <c r="CD33" i="5"/>
  <c r="CD35" i="5" s="1"/>
  <c r="CC33" i="5"/>
  <c r="CC35" i="5" s="1"/>
  <c r="CB33" i="5"/>
  <c r="CB35" i="5" s="1"/>
  <c r="CA33" i="5"/>
  <c r="CA35" i="5" s="1"/>
  <c r="BZ33" i="5"/>
  <c r="BZ35" i="5" s="1"/>
  <c r="BY33" i="5"/>
  <c r="BY35" i="5" s="1"/>
  <c r="BX33" i="5"/>
  <c r="BX35" i="5" s="1"/>
  <c r="BW33" i="5"/>
  <c r="BW35" i="5" s="1"/>
  <c r="BV33" i="5"/>
  <c r="BV35" i="5" s="1"/>
  <c r="BU33" i="5"/>
  <c r="BU35" i="5" s="1"/>
  <c r="BT33" i="5"/>
  <c r="BT35" i="5" s="1"/>
  <c r="BS33" i="5"/>
  <c r="BS35" i="5" s="1"/>
  <c r="BR33" i="5"/>
  <c r="BR35" i="5" s="1"/>
  <c r="BQ33" i="5"/>
  <c r="BQ35" i="5" s="1"/>
  <c r="BP33" i="5"/>
  <c r="BP35" i="5" s="1"/>
  <c r="BO33" i="5"/>
  <c r="BO35" i="5" s="1"/>
  <c r="BN33" i="5"/>
  <c r="BN35" i="5" s="1"/>
  <c r="BM33" i="5"/>
  <c r="BM35" i="5" s="1"/>
  <c r="BL33" i="5"/>
  <c r="BL35" i="5" s="1"/>
  <c r="BK33" i="5"/>
  <c r="BK35" i="5" s="1"/>
  <c r="BJ33" i="5"/>
  <c r="BJ35" i="5" s="1"/>
  <c r="BI33" i="5"/>
  <c r="BI35" i="5" s="1"/>
  <c r="BH33" i="5"/>
  <c r="BH35" i="5" s="1"/>
  <c r="BG33" i="5"/>
  <c r="BG35" i="5" s="1"/>
  <c r="BF33" i="5"/>
  <c r="BF35" i="5" s="1"/>
  <c r="BE33" i="5"/>
  <c r="BE35" i="5" s="1"/>
  <c r="BD33" i="5"/>
  <c r="BD35" i="5" s="1"/>
  <c r="BC33" i="5"/>
  <c r="BC35" i="5" s="1"/>
  <c r="BB33" i="5"/>
  <c r="BB35" i="5" s="1"/>
  <c r="BA33" i="5"/>
  <c r="BA35" i="5" s="1"/>
  <c r="AZ33" i="5"/>
  <c r="AZ35" i="5" s="1"/>
  <c r="AY33" i="5"/>
  <c r="AY35" i="5" s="1"/>
  <c r="AX33" i="5"/>
  <c r="AX35" i="5" s="1"/>
  <c r="AW33" i="5"/>
  <c r="AW35" i="5" s="1"/>
  <c r="AV33" i="5"/>
  <c r="AV35" i="5" s="1"/>
  <c r="AU33" i="5"/>
  <c r="AU35" i="5" s="1"/>
  <c r="AT33" i="5"/>
  <c r="AT35" i="5" s="1"/>
  <c r="AS33" i="5"/>
  <c r="AS35" i="5" s="1"/>
  <c r="AR33" i="5"/>
  <c r="AR35" i="5" s="1"/>
  <c r="AQ33" i="5"/>
  <c r="AQ35" i="5" s="1"/>
  <c r="AP33" i="5"/>
  <c r="AP35" i="5" s="1"/>
  <c r="AO33" i="5"/>
  <c r="AO35" i="5" s="1"/>
  <c r="AN33" i="5"/>
  <c r="AN35" i="5" s="1"/>
  <c r="AM33" i="5"/>
  <c r="AM35" i="5" s="1"/>
  <c r="AL33" i="5"/>
  <c r="AL35" i="5" s="1"/>
  <c r="AK33" i="5"/>
  <c r="AK35" i="5" s="1"/>
  <c r="AJ33" i="5"/>
  <c r="AJ35" i="5" s="1"/>
  <c r="AI33" i="5"/>
  <c r="AI35" i="5" s="1"/>
  <c r="AH33" i="5"/>
  <c r="AH35" i="5" s="1"/>
  <c r="AG33" i="5"/>
  <c r="AG35" i="5" s="1"/>
  <c r="AF33" i="5"/>
  <c r="AF35" i="5" s="1"/>
  <c r="AE33" i="5"/>
  <c r="AE35" i="5" s="1"/>
  <c r="AD33" i="5"/>
  <c r="AD35" i="5" s="1"/>
  <c r="AC33" i="5"/>
  <c r="AC35" i="5" s="1"/>
  <c r="AB33" i="5"/>
  <c r="AB35" i="5" s="1"/>
  <c r="AA33" i="5"/>
  <c r="AA35" i="5" s="1"/>
  <c r="Z33" i="5"/>
  <c r="Z35" i="5" s="1"/>
  <c r="Y33" i="5"/>
  <c r="Y35" i="5" s="1"/>
  <c r="X33" i="5"/>
  <c r="X35" i="5" s="1"/>
  <c r="W33" i="5"/>
  <c r="W35" i="5" s="1"/>
  <c r="V33" i="5"/>
  <c r="V35" i="5" s="1"/>
  <c r="U33" i="5"/>
  <c r="U35" i="5" s="1"/>
  <c r="T33" i="5"/>
  <c r="T35" i="5" s="1"/>
  <c r="S33" i="5"/>
  <c r="S35" i="5" s="1"/>
  <c r="R33" i="5"/>
  <c r="R35" i="5" s="1"/>
  <c r="Q33" i="5"/>
  <c r="Q35" i="5" s="1"/>
  <c r="P33" i="5"/>
  <c r="P35" i="5" s="1"/>
  <c r="O33" i="5"/>
  <c r="O35" i="5" s="1"/>
  <c r="N33" i="5"/>
  <c r="N35" i="5" s="1"/>
  <c r="M33" i="5"/>
  <c r="M35" i="5" s="1"/>
  <c r="L33" i="5"/>
  <c r="L35" i="5" s="1"/>
  <c r="K33" i="5"/>
  <c r="K35" i="5" s="1"/>
  <c r="J33" i="5"/>
  <c r="J35" i="5" s="1"/>
  <c r="I33" i="5"/>
  <c r="I35" i="5" s="1"/>
  <c r="H33" i="5"/>
  <c r="H35" i="5" s="1"/>
  <c r="G33" i="5"/>
  <c r="G35" i="5" s="1"/>
  <c r="F33" i="5"/>
  <c r="F35" i="5" s="1"/>
  <c r="E35" i="5"/>
  <c r="EC29" i="5"/>
  <c r="ON18" i="5"/>
  <c r="OM18" i="5"/>
  <c r="OL18" i="5"/>
  <c r="OK18" i="5"/>
  <c r="OJ18" i="5"/>
  <c r="OI18" i="5"/>
  <c r="OH18" i="5"/>
  <c r="OG18" i="5"/>
  <c r="OF18" i="5"/>
  <c r="OE18" i="5"/>
  <c r="OD18" i="5"/>
  <c r="OC18" i="5"/>
  <c r="OB18" i="5"/>
  <c r="OA18" i="5"/>
  <c r="NZ18" i="5"/>
  <c r="NY18" i="5"/>
  <c r="NX18" i="5"/>
  <c r="NW18" i="5"/>
  <c r="NV18" i="5"/>
  <c r="NU18" i="5"/>
  <c r="NT18" i="5"/>
  <c r="NS18" i="5"/>
  <c r="NR18" i="5"/>
  <c r="JX36" i="5" s="1"/>
  <c r="NQ18" i="5"/>
  <c r="JW36" i="5" s="1"/>
  <c r="NP18" i="5"/>
  <c r="JV36" i="5" s="1"/>
  <c r="NO18" i="5"/>
  <c r="JU36" i="5" s="1"/>
  <c r="NN18" i="5"/>
  <c r="JT36" i="5" s="1"/>
  <c r="NM18" i="5"/>
  <c r="JS36" i="5" s="1"/>
  <c r="NL18" i="5"/>
  <c r="JR36" i="5" s="1"/>
  <c r="NK18" i="5"/>
  <c r="JQ36" i="5" s="1"/>
  <c r="NJ18" i="5"/>
  <c r="JP36" i="5" s="1"/>
  <c r="NI18" i="5"/>
  <c r="JO36" i="5" s="1"/>
  <c r="NH18" i="5"/>
  <c r="JN36" i="5" s="1"/>
  <c r="NG18" i="5"/>
  <c r="JM36" i="5" s="1"/>
  <c r="NF18" i="5"/>
  <c r="JL36" i="5" s="1"/>
  <c r="NE18" i="5"/>
  <c r="JK36" i="5" s="1"/>
  <c r="ND18" i="5"/>
  <c r="JJ36" i="5" s="1"/>
  <c r="NC18" i="5"/>
  <c r="JI36" i="5" s="1"/>
  <c r="NB18" i="5"/>
  <c r="JH36" i="5" s="1"/>
  <c r="NA18" i="5"/>
  <c r="JG36" i="5" s="1"/>
  <c r="MZ18" i="5"/>
  <c r="JF36" i="5" s="1"/>
  <c r="MY18" i="5"/>
  <c r="JE36" i="5" s="1"/>
  <c r="MX18" i="5"/>
  <c r="JD36" i="5" s="1"/>
  <c r="MW18" i="5"/>
  <c r="JC36" i="5" s="1"/>
  <c r="MV18" i="5"/>
  <c r="JB36" i="5" s="1"/>
  <c r="MU18" i="5"/>
  <c r="IZ36" i="5" s="1"/>
  <c r="MT18" i="5"/>
  <c r="IY36" i="5" s="1"/>
  <c r="MS18" i="5"/>
  <c r="IX36" i="5" s="1"/>
  <c r="MR18" i="5"/>
  <c r="IW36" i="5" s="1"/>
  <c r="MQ18" i="5"/>
  <c r="IV36" i="5" s="1"/>
  <c r="MP18" i="5"/>
  <c r="IU36" i="5" s="1"/>
  <c r="MO18" i="5"/>
  <c r="IT36" i="5" s="1"/>
  <c r="MN18" i="5"/>
  <c r="IS36" i="5" s="1"/>
  <c r="MM18" i="5"/>
  <c r="IR36" i="5" s="1"/>
  <c r="ML18" i="5"/>
  <c r="IQ36" i="5" s="1"/>
  <c r="MK18" i="5"/>
  <c r="IP36" i="5" s="1"/>
  <c r="MJ18" i="5"/>
  <c r="IO36" i="5" s="1"/>
  <c r="MI18" i="5"/>
  <c r="IN36" i="5" s="1"/>
  <c r="MH18" i="5"/>
  <c r="IM36" i="5" s="1"/>
  <c r="MG18" i="5"/>
  <c r="IL36" i="5" s="1"/>
  <c r="MF18" i="5"/>
  <c r="IK36" i="5" s="1"/>
  <c r="ME18" i="5"/>
  <c r="IJ36" i="5" s="1"/>
  <c r="MD18" i="5"/>
  <c r="II36" i="5" s="1"/>
  <c r="MC18" i="5"/>
  <c r="IH36" i="5" s="1"/>
  <c r="MB18" i="5"/>
  <c r="IG36" i="5" s="1"/>
  <c r="MA18" i="5"/>
  <c r="IF36" i="5" s="1"/>
  <c r="LZ18" i="5"/>
  <c r="IE36" i="5" s="1"/>
  <c r="LY18" i="5"/>
  <c r="ID36" i="5" s="1"/>
  <c r="LX18" i="5"/>
  <c r="IC36" i="5" s="1"/>
  <c r="LW18" i="5"/>
  <c r="IB36" i="5" s="1"/>
  <c r="LV18" i="5"/>
  <c r="IA36" i="5" s="1"/>
  <c r="LU18" i="5"/>
  <c r="HZ36" i="5" s="1"/>
  <c r="LT18" i="5"/>
  <c r="HY36" i="5" s="1"/>
  <c r="LS18" i="5"/>
  <c r="HX36" i="5" s="1"/>
  <c r="LR18" i="5"/>
  <c r="HW36" i="5" s="1"/>
  <c r="LQ18" i="5"/>
  <c r="HV36" i="5" s="1"/>
  <c r="LP18" i="5"/>
  <c r="HU36" i="5" s="1"/>
  <c r="LO18" i="5"/>
  <c r="HT36" i="5" s="1"/>
  <c r="LN18" i="5"/>
  <c r="HS36" i="5" s="1"/>
  <c r="LM18" i="5"/>
  <c r="HR36" i="5" s="1"/>
  <c r="LL18" i="5"/>
  <c r="HQ36" i="5" s="1"/>
  <c r="LK18" i="5"/>
  <c r="HP36" i="5" s="1"/>
  <c r="LJ18" i="5"/>
  <c r="HO36" i="5" s="1"/>
  <c r="LI18" i="5"/>
  <c r="HN36" i="5" s="1"/>
  <c r="LH18" i="5"/>
  <c r="HM36" i="5" s="1"/>
  <c r="LG18" i="5"/>
  <c r="HL36" i="5" s="1"/>
  <c r="LF18" i="5"/>
  <c r="HK36" i="5" s="1"/>
  <c r="LE18" i="5"/>
  <c r="HJ36" i="5" s="1"/>
  <c r="LD18" i="5"/>
  <c r="HI36" i="5" s="1"/>
  <c r="LC18" i="5"/>
  <c r="HH36" i="5" s="1"/>
  <c r="LB18" i="5"/>
  <c r="HG36" i="5" s="1"/>
  <c r="LA18" i="5"/>
  <c r="HF36" i="5" s="1"/>
  <c r="KZ18" i="5"/>
  <c r="HE36" i="5" s="1"/>
  <c r="KY18" i="5"/>
  <c r="HD36" i="5" s="1"/>
  <c r="KX18" i="5"/>
  <c r="HC36" i="5" s="1"/>
  <c r="KW18" i="5"/>
  <c r="HB36" i="5" s="1"/>
  <c r="HA36" i="5"/>
  <c r="KU18" i="5"/>
  <c r="GZ36" i="5" s="1"/>
  <c r="KT18" i="5"/>
  <c r="GY36" i="5" s="1"/>
  <c r="KS18" i="5"/>
  <c r="GX36" i="5" s="1"/>
  <c r="KR18" i="5"/>
  <c r="GW36" i="5" s="1"/>
  <c r="KQ18" i="5"/>
  <c r="GV36" i="5" s="1"/>
  <c r="KP18" i="5"/>
  <c r="GU36" i="5" s="1"/>
  <c r="KO18" i="5"/>
  <c r="GT36" i="5" s="1"/>
  <c r="KN18" i="5"/>
  <c r="GS36" i="5" s="1"/>
  <c r="KM18" i="5"/>
  <c r="GR36" i="5" s="1"/>
  <c r="KL18" i="5"/>
  <c r="GQ36" i="5" s="1"/>
  <c r="KK18" i="5"/>
  <c r="GP36" i="5" s="1"/>
  <c r="KJ18" i="5"/>
  <c r="GO36" i="5" s="1"/>
  <c r="KI18" i="5"/>
  <c r="GN36" i="5" s="1"/>
  <c r="KH18" i="5"/>
  <c r="GM36" i="5" s="1"/>
  <c r="KG18" i="5"/>
  <c r="GL36" i="5" s="1"/>
  <c r="KF18" i="5"/>
  <c r="GK36" i="5" s="1"/>
  <c r="KE18" i="5"/>
  <c r="GJ36" i="5" s="1"/>
  <c r="KD18" i="5"/>
  <c r="GI36" i="5" s="1"/>
  <c r="KC18" i="5"/>
  <c r="GH36" i="5" s="1"/>
  <c r="KB18" i="5"/>
  <c r="GG36" i="5" s="1"/>
  <c r="KA18" i="5"/>
  <c r="GF36" i="5" s="1"/>
  <c r="JZ18" i="5"/>
  <c r="GE36" i="5" s="1"/>
  <c r="JY18" i="5"/>
  <c r="GD36" i="5" s="1"/>
  <c r="JX18" i="5"/>
  <c r="GC36" i="5" s="1"/>
  <c r="JW18" i="5"/>
  <c r="GB36" i="5" s="1"/>
  <c r="JV18" i="5"/>
  <c r="GA36" i="5" s="1"/>
  <c r="JU18" i="5"/>
  <c r="JT18" i="5"/>
  <c r="FY36" i="5" s="1"/>
  <c r="JS18" i="5"/>
  <c r="FX36" i="5" s="1"/>
  <c r="JR18" i="5"/>
  <c r="FW36" i="5" s="1"/>
  <c r="JQ18" i="5"/>
  <c r="FV36" i="5" s="1"/>
  <c r="JP18" i="5"/>
  <c r="FU36" i="5" s="1"/>
  <c r="JO18" i="5"/>
  <c r="FT36" i="5" s="1"/>
  <c r="JN18" i="5"/>
  <c r="FS36" i="5" s="1"/>
  <c r="JM18" i="5"/>
  <c r="FR36" i="5" s="1"/>
  <c r="JL18" i="5"/>
  <c r="FQ36" i="5" s="1"/>
  <c r="JK18" i="5"/>
  <c r="FP36" i="5" s="1"/>
  <c r="JJ18" i="5"/>
  <c r="FO36" i="5" s="1"/>
  <c r="JI18" i="5"/>
  <c r="FN36" i="5" s="1"/>
  <c r="JH18" i="5"/>
  <c r="FM36" i="5" s="1"/>
  <c r="JG18" i="5"/>
  <c r="FL36" i="5" s="1"/>
  <c r="JF18" i="5"/>
  <c r="FK36" i="5" s="1"/>
  <c r="JE18" i="5"/>
  <c r="FJ36" i="5" s="1"/>
  <c r="JD18" i="5"/>
  <c r="FI36" i="5" s="1"/>
  <c r="JC18" i="5"/>
  <c r="FH36" i="5" s="1"/>
  <c r="JB18" i="5"/>
  <c r="FG36" i="5" s="1"/>
  <c r="JA18" i="5"/>
  <c r="FF36" i="5" s="1"/>
  <c r="IZ18" i="5"/>
  <c r="FE36" i="5" s="1"/>
  <c r="IY18" i="5"/>
  <c r="FD36" i="5" s="1"/>
  <c r="IX18" i="5"/>
  <c r="FC36" i="5" s="1"/>
  <c r="IW18" i="5"/>
  <c r="FB36" i="5" s="1"/>
  <c r="IV18" i="5"/>
  <c r="FA36" i="5" s="1"/>
  <c r="IU18" i="5"/>
  <c r="EZ36" i="5" s="1"/>
  <c r="IT18" i="5"/>
  <c r="IS18" i="5"/>
  <c r="IR18" i="5"/>
  <c r="IQ18" i="5"/>
  <c r="IP18" i="5"/>
  <c r="IO18" i="5"/>
  <c r="IN18" i="5"/>
  <c r="IM18" i="5"/>
  <c r="IL18" i="5"/>
  <c r="IK18" i="5"/>
  <c r="IJ18" i="5"/>
  <c r="II18" i="5"/>
  <c r="IH18" i="5"/>
  <c r="IG18" i="5"/>
  <c r="IF18" i="5"/>
  <c r="IE18" i="5"/>
  <c r="ID18" i="5"/>
  <c r="IC18" i="5"/>
  <c r="IB18" i="5"/>
  <c r="IA18" i="5"/>
  <c r="HZ18" i="5"/>
  <c r="HY18" i="5"/>
  <c r="HX18" i="5"/>
  <c r="HW18" i="5"/>
  <c r="HV18" i="5"/>
  <c r="HU18" i="5"/>
  <c r="HT18" i="5"/>
  <c r="HS18" i="5"/>
  <c r="HR18" i="5"/>
  <c r="HQ18" i="5"/>
  <c r="HP18" i="5"/>
  <c r="HO18" i="5"/>
  <c r="HN18" i="5"/>
  <c r="HM18" i="5"/>
  <c r="HL18" i="5"/>
  <c r="HK18" i="5"/>
  <c r="HJ18" i="5"/>
  <c r="HI18" i="5"/>
  <c r="HH18" i="5"/>
  <c r="HG18" i="5"/>
  <c r="HF18" i="5"/>
  <c r="HE18" i="5"/>
  <c r="HD18" i="5"/>
  <c r="HC18" i="5"/>
  <c r="HB18" i="5"/>
  <c r="HA18" i="5"/>
  <c r="GZ18" i="5"/>
  <c r="GY18" i="5"/>
  <c r="GX18" i="5"/>
  <c r="GW18" i="5"/>
  <c r="GV18" i="5"/>
  <c r="GU18" i="5"/>
  <c r="GT18" i="5"/>
  <c r="GS18" i="5"/>
  <c r="GR18" i="5"/>
  <c r="GQ18" i="5"/>
  <c r="GP18" i="5"/>
  <c r="GO18" i="5"/>
  <c r="GN18" i="5"/>
  <c r="GM18" i="5"/>
  <c r="GL18" i="5"/>
  <c r="GK18" i="5"/>
  <c r="GJ18" i="5"/>
  <c r="GI18" i="5"/>
  <c r="GH18" i="5"/>
  <c r="GG18" i="5"/>
  <c r="GF18" i="5"/>
  <c r="GE18" i="5"/>
  <c r="GD18" i="5"/>
  <c r="GC18" i="5"/>
  <c r="GB18" i="5"/>
  <c r="GA18" i="5"/>
  <c r="FZ18" i="5"/>
  <c r="FY18" i="5"/>
  <c r="FX18" i="5"/>
  <c r="FW18" i="5"/>
  <c r="FV18" i="5"/>
  <c r="FU18" i="5"/>
  <c r="FT18" i="5"/>
  <c r="FS18" i="5"/>
  <c r="FR18" i="5"/>
  <c r="FQ18" i="5"/>
  <c r="FP18" i="5"/>
  <c r="FO18" i="5"/>
  <c r="FN18" i="5"/>
  <c r="FM18" i="5"/>
  <c r="FL18" i="5"/>
  <c r="FK18" i="5"/>
  <c r="FJ18" i="5"/>
  <c r="FI18" i="5"/>
  <c r="FH18" i="5"/>
  <c r="FG18" i="5"/>
  <c r="FF18" i="5"/>
  <c r="FE18" i="5"/>
  <c r="FD18" i="5"/>
  <c r="FC18" i="5"/>
  <c r="FB18" i="5"/>
  <c r="FA18" i="5"/>
  <c r="EZ18" i="5"/>
  <c r="EY18" i="5"/>
  <c r="EX18" i="5"/>
  <c r="EX34" i="5" s="1"/>
  <c r="EY36" i="5" s="1"/>
  <c r="EW18" i="5"/>
  <c r="EW34" i="5" s="1"/>
  <c r="EX36" i="5" s="1"/>
  <c r="EV18" i="5"/>
  <c r="EV34" i="5" s="1"/>
  <c r="EW36" i="5" s="1"/>
  <c r="EU18" i="5"/>
  <c r="EU34" i="5" s="1"/>
  <c r="EV36" i="5" s="1"/>
  <c r="ET18" i="5"/>
  <c r="ET34" i="5" s="1"/>
  <c r="EU36" i="5" s="1"/>
  <c r="ES18" i="5"/>
  <c r="ES34" i="5" s="1"/>
  <c r="ET36" i="5" s="1"/>
  <c r="ER18" i="5"/>
  <c r="ER34" i="5" s="1"/>
  <c r="ES36" i="5" s="1"/>
  <c r="EQ18" i="5"/>
  <c r="EQ34" i="5" s="1"/>
  <c r="ER36" i="5" s="1"/>
  <c r="EP18" i="5"/>
  <c r="EQ36" i="5" s="1"/>
  <c r="EO18" i="5"/>
  <c r="EO34" i="5" s="1"/>
  <c r="EO36" i="5" s="1"/>
  <c r="EN18" i="5"/>
  <c r="EN34" i="5" s="1"/>
  <c r="EN36" i="5" s="1"/>
  <c r="EM18" i="5"/>
  <c r="EM34" i="5" s="1"/>
  <c r="EM36" i="5" s="1"/>
  <c r="EL18" i="5"/>
  <c r="EL34" i="5" s="1"/>
  <c r="EL36" i="5" s="1"/>
  <c r="EK18" i="5"/>
  <c r="EK34" i="5" s="1"/>
  <c r="EK36" i="5" s="1"/>
  <c r="EJ18" i="5"/>
  <c r="EJ34" i="5" s="1"/>
  <c r="EJ36" i="5" s="1"/>
  <c r="EI18" i="5"/>
  <c r="EI34" i="5" s="1"/>
  <c r="EI36" i="5" s="1"/>
  <c r="EH18" i="5"/>
  <c r="EH34" i="5" s="1"/>
  <c r="EH36" i="5" s="1"/>
  <c r="EG18" i="5"/>
  <c r="EG34" i="5" s="1"/>
  <c r="EG36" i="5" s="1"/>
  <c r="EF18" i="5"/>
  <c r="EF34" i="5" s="1"/>
  <c r="EF36" i="5" s="1"/>
  <c r="EE18" i="5"/>
  <c r="EE34" i="5" s="1"/>
  <c r="EE36" i="5" s="1"/>
  <c r="ED18" i="5"/>
  <c r="ED34" i="5" s="1"/>
  <c r="ED36" i="5" s="1"/>
  <c r="EC18" i="5"/>
  <c r="EC34" i="5" s="1"/>
  <c r="EC36" i="5" s="1"/>
  <c r="EB18" i="5"/>
  <c r="EB34" i="5" s="1"/>
  <c r="EB36" i="5" s="1"/>
  <c r="EA18" i="5"/>
  <c r="EA34" i="5" s="1"/>
  <c r="EA36" i="5" s="1"/>
  <c r="DZ18" i="5"/>
  <c r="DZ34" i="5" s="1"/>
  <c r="DZ36" i="5" s="1"/>
  <c r="DY18" i="5"/>
  <c r="DY34" i="5" s="1"/>
  <c r="DY36" i="5" s="1"/>
  <c r="DX18" i="5"/>
  <c r="DX34" i="5" s="1"/>
  <c r="DX36" i="5" s="1"/>
  <c r="DW18" i="5"/>
  <c r="DW34" i="5" s="1"/>
  <c r="DW36" i="5" s="1"/>
  <c r="DV18" i="5"/>
  <c r="DV34" i="5" s="1"/>
  <c r="DV36" i="5" s="1"/>
  <c r="DU18" i="5"/>
  <c r="DU34" i="5" s="1"/>
  <c r="DU36" i="5" s="1"/>
  <c r="DT18" i="5"/>
  <c r="DT34" i="5" s="1"/>
  <c r="DT36" i="5" s="1"/>
  <c r="DS18" i="5"/>
  <c r="DS34" i="5" s="1"/>
  <c r="DS36" i="5" s="1"/>
  <c r="DR18" i="5"/>
  <c r="DR34" i="5" s="1"/>
  <c r="DR36" i="5" s="1"/>
  <c r="DQ18" i="5"/>
  <c r="DQ34" i="5" s="1"/>
  <c r="DQ36" i="5" s="1"/>
  <c r="DP18" i="5"/>
  <c r="DP34" i="5" s="1"/>
  <c r="DP36" i="5" s="1"/>
  <c r="DO18" i="5"/>
  <c r="DO34" i="5" s="1"/>
  <c r="DO36" i="5" s="1"/>
  <c r="DN18" i="5"/>
  <c r="DN34" i="5" s="1"/>
  <c r="DN36" i="5" s="1"/>
  <c r="DM18" i="5"/>
  <c r="DM34" i="5" s="1"/>
  <c r="DM36" i="5" s="1"/>
  <c r="DL18" i="5"/>
  <c r="DL34" i="5" s="1"/>
  <c r="DL36" i="5" s="1"/>
  <c r="DK18" i="5"/>
  <c r="DK34" i="5" s="1"/>
  <c r="DK36" i="5" s="1"/>
  <c r="DJ18" i="5"/>
  <c r="DJ34" i="5" s="1"/>
  <c r="DJ36" i="5" s="1"/>
  <c r="DI18" i="5"/>
  <c r="DI34" i="5" s="1"/>
  <c r="DI36" i="5" s="1"/>
  <c r="DH18" i="5"/>
  <c r="DH34" i="5" s="1"/>
  <c r="DH36" i="5" s="1"/>
  <c r="DG18" i="5"/>
  <c r="DG34" i="5" s="1"/>
  <c r="DG36" i="5" s="1"/>
  <c r="DF18" i="5"/>
  <c r="DF34" i="5" s="1"/>
  <c r="DF36" i="5" s="1"/>
  <c r="DE18" i="5"/>
  <c r="DE34" i="5" s="1"/>
  <c r="DE36" i="5" s="1"/>
  <c r="DD18" i="5"/>
  <c r="DD34" i="5" s="1"/>
  <c r="DD36" i="5" s="1"/>
  <c r="DC18" i="5"/>
  <c r="DC34" i="5" s="1"/>
  <c r="DC36" i="5" s="1"/>
  <c r="DB18" i="5"/>
  <c r="DB34" i="5" s="1"/>
  <c r="DB36" i="5" s="1"/>
  <c r="DA18" i="5"/>
  <c r="DA34" i="5" s="1"/>
  <c r="DA36" i="5" s="1"/>
  <c r="CZ18" i="5"/>
  <c r="CZ34" i="5" s="1"/>
  <c r="CZ36" i="5" s="1"/>
  <c r="CY18" i="5"/>
  <c r="CY34" i="5" s="1"/>
  <c r="CY36" i="5" s="1"/>
  <c r="CX18" i="5"/>
  <c r="CX34" i="5" s="1"/>
  <c r="CX36" i="5" s="1"/>
  <c r="CW18" i="5"/>
  <c r="CW34" i="5" s="1"/>
  <c r="CW36" i="5" s="1"/>
  <c r="CV18" i="5"/>
  <c r="CV34" i="5" s="1"/>
  <c r="CV36" i="5" s="1"/>
  <c r="CU18" i="5"/>
  <c r="CU34" i="5" s="1"/>
  <c r="CU36" i="5" s="1"/>
  <c r="CT18" i="5"/>
  <c r="CT34" i="5" s="1"/>
  <c r="CT36" i="5" s="1"/>
  <c r="CS18" i="5"/>
  <c r="CS34" i="5" s="1"/>
  <c r="CS36" i="5" s="1"/>
  <c r="CR18" i="5"/>
  <c r="CR34" i="5" s="1"/>
  <c r="CR36" i="5" s="1"/>
  <c r="CQ18" i="5"/>
  <c r="CQ34" i="5" s="1"/>
  <c r="CQ36" i="5" s="1"/>
  <c r="CP18" i="5"/>
  <c r="CP34" i="5" s="1"/>
  <c r="CP36" i="5" s="1"/>
  <c r="CO18" i="5"/>
  <c r="CO34" i="5" s="1"/>
  <c r="CO36" i="5" s="1"/>
  <c r="CN18" i="5"/>
  <c r="CN34" i="5" s="1"/>
  <c r="CN36" i="5" s="1"/>
  <c r="CM18" i="5"/>
  <c r="CM34" i="5" s="1"/>
  <c r="CM36" i="5" s="1"/>
  <c r="CL18" i="5"/>
  <c r="CL34" i="5" s="1"/>
  <c r="CL36" i="5" s="1"/>
  <c r="CK18" i="5"/>
  <c r="CK34" i="5" s="1"/>
  <c r="CK36" i="5" s="1"/>
  <c r="CJ18" i="5"/>
  <c r="CJ34" i="5" s="1"/>
  <c r="CJ36" i="5" s="1"/>
  <c r="CI18" i="5"/>
  <c r="CI34" i="5" s="1"/>
  <c r="CI36" i="5" s="1"/>
  <c r="CH18" i="5"/>
  <c r="CH34" i="5" s="1"/>
  <c r="CH36" i="5" s="1"/>
  <c r="CG18" i="5"/>
  <c r="CG34" i="5" s="1"/>
  <c r="CG36" i="5" s="1"/>
  <c r="CF18" i="5"/>
  <c r="CF34" i="5" s="1"/>
  <c r="CF36" i="5" s="1"/>
  <c r="CE18" i="5"/>
  <c r="CE34" i="5" s="1"/>
  <c r="CE36" i="5" s="1"/>
  <c r="CD18" i="5"/>
  <c r="CD34" i="5" s="1"/>
  <c r="CD36" i="5" s="1"/>
  <c r="CC18" i="5"/>
  <c r="CC34" i="5" s="1"/>
  <c r="CC36" i="5" s="1"/>
  <c r="CB18" i="5"/>
  <c r="CB34" i="5" s="1"/>
  <c r="CB36" i="5" s="1"/>
  <c r="CA18" i="5"/>
  <c r="CA34" i="5" s="1"/>
  <c r="CA36" i="5" s="1"/>
  <c r="BZ18" i="5"/>
  <c r="BZ34" i="5" s="1"/>
  <c r="BZ36" i="5" s="1"/>
  <c r="BY18" i="5"/>
  <c r="BY34" i="5" s="1"/>
  <c r="BY36" i="5" s="1"/>
  <c r="BX18" i="5"/>
  <c r="BX34" i="5" s="1"/>
  <c r="BX36" i="5" s="1"/>
  <c r="BW18" i="5"/>
  <c r="BW34" i="5" s="1"/>
  <c r="BW36" i="5" s="1"/>
  <c r="BV18" i="5"/>
  <c r="BV34" i="5" s="1"/>
  <c r="BV36" i="5" s="1"/>
  <c r="BU18" i="5"/>
  <c r="BU34" i="5" s="1"/>
  <c r="BU36" i="5" s="1"/>
  <c r="BT18" i="5"/>
  <c r="BT34" i="5" s="1"/>
  <c r="BT36" i="5" s="1"/>
  <c r="BS18" i="5"/>
  <c r="BS34" i="5" s="1"/>
  <c r="BS36" i="5" s="1"/>
  <c r="BR18" i="5"/>
  <c r="BR34" i="5" s="1"/>
  <c r="BR36" i="5" s="1"/>
  <c r="BQ18" i="5"/>
  <c r="BQ34" i="5" s="1"/>
  <c r="BQ36" i="5" s="1"/>
  <c r="BP18" i="5"/>
  <c r="BP34" i="5" s="1"/>
  <c r="BP36" i="5" s="1"/>
  <c r="BO18" i="5"/>
  <c r="BO34" i="5" s="1"/>
  <c r="BO36" i="5" s="1"/>
  <c r="BN18" i="5"/>
  <c r="BN34" i="5" s="1"/>
  <c r="BN36" i="5" s="1"/>
  <c r="BM18" i="5"/>
  <c r="BM34" i="5" s="1"/>
  <c r="BM36" i="5" s="1"/>
  <c r="BL18" i="5"/>
  <c r="BL34" i="5" s="1"/>
  <c r="BL36" i="5" s="1"/>
  <c r="BK18" i="5"/>
  <c r="BK34" i="5" s="1"/>
  <c r="BK36" i="5" s="1"/>
  <c r="BJ18" i="5"/>
  <c r="BJ34" i="5" s="1"/>
  <c r="BJ36" i="5" s="1"/>
  <c r="BI18" i="5"/>
  <c r="BI34" i="5" s="1"/>
  <c r="BI36" i="5" s="1"/>
  <c r="BH18" i="5"/>
  <c r="BH34" i="5" s="1"/>
  <c r="BH36" i="5" s="1"/>
  <c r="BG18" i="5"/>
  <c r="BG34" i="5" s="1"/>
  <c r="BG36" i="5" s="1"/>
  <c r="BF18" i="5"/>
  <c r="BF34" i="5" s="1"/>
  <c r="BF36" i="5" s="1"/>
  <c r="BE18" i="5"/>
  <c r="BE34" i="5" s="1"/>
  <c r="BE36" i="5" s="1"/>
  <c r="BD18" i="5"/>
  <c r="BD34" i="5" s="1"/>
  <c r="BD36" i="5" s="1"/>
  <c r="BC18" i="5"/>
  <c r="BC34" i="5" s="1"/>
  <c r="BC36" i="5" s="1"/>
  <c r="BB18" i="5"/>
  <c r="BB34" i="5" s="1"/>
  <c r="BB36" i="5" s="1"/>
  <c r="BA18" i="5"/>
  <c r="BA34" i="5" s="1"/>
  <c r="BA36" i="5" s="1"/>
  <c r="AZ18" i="5"/>
  <c r="AZ34" i="5" s="1"/>
  <c r="AZ36" i="5" s="1"/>
  <c r="AY18" i="5"/>
  <c r="AY34" i="5" s="1"/>
  <c r="AY36" i="5" s="1"/>
  <c r="AX18" i="5"/>
  <c r="AX34" i="5" s="1"/>
  <c r="AX36" i="5" s="1"/>
  <c r="AW18" i="5"/>
  <c r="AW34" i="5" s="1"/>
  <c r="AW36" i="5" s="1"/>
  <c r="AV18" i="5"/>
  <c r="AV34" i="5" s="1"/>
  <c r="AV36" i="5" s="1"/>
  <c r="AU18" i="5"/>
  <c r="AU34" i="5" s="1"/>
  <c r="AU36" i="5" s="1"/>
  <c r="AT18" i="5"/>
  <c r="AT34" i="5" s="1"/>
  <c r="AT36" i="5" s="1"/>
  <c r="AS18" i="5"/>
  <c r="AS34" i="5" s="1"/>
  <c r="AS36" i="5" s="1"/>
  <c r="AR18" i="5"/>
  <c r="AR34" i="5" s="1"/>
  <c r="AR36" i="5" s="1"/>
  <c r="AQ18" i="5"/>
  <c r="AQ34" i="5" s="1"/>
  <c r="AQ36" i="5" s="1"/>
  <c r="AP18" i="5"/>
  <c r="AP34" i="5" s="1"/>
  <c r="AP36" i="5" s="1"/>
  <c r="AO18" i="5"/>
  <c r="AO34" i="5" s="1"/>
  <c r="AO36" i="5" s="1"/>
  <c r="AN18" i="5"/>
  <c r="AN34" i="5" s="1"/>
  <c r="AN36" i="5" s="1"/>
  <c r="AM18" i="5"/>
  <c r="AM34" i="5" s="1"/>
  <c r="AM36" i="5" s="1"/>
  <c r="AL18" i="5"/>
  <c r="AL34" i="5" s="1"/>
  <c r="AL36" i="5" s="1"/>
  <c r="AK18" i="5"/>
  <c r="AK34" i="5" s="1"/>
  <c r="AK36" i="5" s="1"/>
  <c r="AJ18" i="5"/>
  <c r="AJ34" i="5" s="1"/>
  <c r="AJ36" i="5" s="1"/>
  <c r="AI18" i="5"/>
  <c r="AI34" i="5" s="1"/>
  <c r="AI36" i="5" s="1"/>
  <c r="AH18" i="5"/>
  <c r="AH34" i="5" s="1"/>
  <c r="AH36" i="5" s="1"/>
  <c r="AG18" i="5"/>
  <c r="AG34" i="5" s="1"/>
  <c r="AG36" i="5" s="1"/>
  <c r="AF18" i="5"/>
  <c r="AF34" i="5" s="1"/>
  <c r="AF36" i="5" s="1"/>
  <c r="AE18" i="5"/>
  <c r="AE34" i="5" s="1"/>
  <c r="AE36" i="5" s="1"/>
  <c r="AD18" i="5"/>
  <c r="AD34" i="5" s="1"/>
  <c r="AD36" i="5" s="1"/>
  <c r="AC18" i="5"/>
  <c r="AC34" i="5" s="1"/>
  <c r="AC36" i="5" s="1"/>
  <c r="AB18" i="5"/>
  <c r="AB34" i="5" s="1"/>
  <c r="AB36" i="5" s="1"/>
  <c r="AA18" i="5"/>
  <c r="AA34" i="5" s="1"/>
  <c r="AA36" i="5" s="1"/>
  <c r="Z18" i="5"/>
  <c r="Z34" i="5" s="1"/>
  <c r="Z36" i="5" s="1"/>
  <c r="Y18" i="5"/>
  <c r="Y34" i="5" s="1"/>
  <c r="Y36" i="5" s="1"/>
  <c r="X18" i="5"/>
  <c r="X34" i="5" s="1"/>
  <c r="X36" i="5" s="1"/>
  <c r="W18" i="5"/>
  <c r="W34" i="5" s="1"/>
  <c r="W36" i="5" s="1"/>
  <c r="V18" i="5"/>
  <c r="V34" i="5" s="1"/>
  <c r="V36" i="5" s="1"/>
  <c r="U18" i="5"/>
  <c r="U34" i="5" s="1"/>
  <c r="U36" i="5" s="1"/>
  <c r="T18" i="5"/>
  <c r="T34" i="5" s="1"/>
  <c r="T36" i="5" s="1"/>
  <c r="S18" i="5"/>
  <c r="S34" i="5" s="1"/>
  <c r="S36" i="5" s="1"/>
  <c r="R18" i="5"/>
  <c r="R34" i="5" s="1"/>
  <c r="R36" i="5" s="1"/>
  <c r="Q18" i="5"/>
  <c r="Q34" i="5" s="1"/>
  <c r="Q36" i="5" s="1"/>
  <c r="P18" i="5"/>
  <c r="P34" i="5" s="1"/>
  <c r="P36" i="5" s="1"/>
  <c r="O18" i="5"/>
  <c r="O34" i="5" s="1"/>
  <c r="O36" i="5" s="1"/>
  <c r="N18" i="5"/>
  <c r="N34" i="5" s="1"/>
  <c r="N36" i="5" s="1"/>
  <c r="M18" i="5"/>
  <c r="M34" i="5" s="1"/>
  <c r="M36" i="5" s="1"/>
  <c r="L18" i="5"/>
  <c r="L34" i="5" s="1"/>
  <c r="L36" i="5" s="1"/>
  <c r="K18" i="5"/>
  <c r="K34" i="5" s="1"/>
  <c r="K36" i="5" s="1"/>
  <c r="J18" i="5"/>
  <c r="J34" i="5" s="1"/>
  <c r="J36" i="5" s="1"/>
  <c r="I18" i="5"/>
  <c r="I34" i="5" s="1"/>
  <c r="I36" i="5" s="1"/>
  <c r="H18" i="5"/>
  <c r="H34" i="5" s="1"/>
  <c r="H36" i="5" s="1"/>
  <c r="G18" i="5"/>
  <c r="G34" i="5" s="1"/>
  <c r="G36" i="5" s="1"/>
  <c r="F18" i="5"/>
  <c r="F34" i="5" s="1"/>
  <c r="F36" i="5" s="1"/>
  <c r="E18" i="5"/>
  <c r="L71" i="5" l="1"/>
  <c r="L73" i="5" s="1"/>
  <c r="L75" i="5" s="1"/>
  <c r="I71" i="5"/>
  <c r="I73" i="5" s="1"/>
  <c r="I75" i="5" s="1"/>
  <c r="M71" i="5"/>
  <c r="M73" i="5" s="1"/>
  <c r="M75" i="5" s="1"/>
  <c r="J71" i="5"/>
  <c r="J73" i="5" s="1"/>
  <c r="J75" i="5" s="1"/>
  <c r="N71" i="5"/>
  <c r="N73" i="5" s="1"/>
  <c r="N75" i="5" s="1"/>
  <c r="K71" i="5"/>
  <c r="K73" i="5" s="1"/>
  <c r="K75" i="5" s="1"/>
  <c r="CU71" i="5"/>
  <c r="CU73" i="5" s="1"/>
  <c r="CU75" i="5" s="1"/>
  <c r="P71" i="5"/>
  <c r="P73" i="5" s="1"/>
  <c r="P75" i="5" s="1"/>
  <c r="CN71" i="5"/>
  <c r="CN73" i="5" s="1"/>
  <c r="CN75" i="5" s="1"/>
  <c r="CR71" i="5"/>
  <c r="CR73" i="5" s="1"/>
  <c r="CR75" i="5" s="1"/>
  <c r="CO71" i="5"/>
  <c r="CO73" i="5" s="1"/>
  <c r="CO75" i="5" s="1"/>
  <c r="CS71" i="5"/>
  <c r="CS73" i="5" s="1"/>
  <c r="CS75" i="5" s="1"/>
  <c r="CL71" i="5"/>
  <c r="CL73" i="5" s="1"/>
  <c r="CL75" i="5" s="1"/>
  <c r="CP71" i="5"/>
  <c r="CP73" i="5" s="1"/>
  <c r="CP75" i="5" s="1"/>
  <c r="CT71" i="5"/>
  <c r="CT73" i="5" s="1"/>
  <c r="CT75" i="5" s="1"/>
  <c r="CM71" i="5"/>
  <c r="CM73" i="5" s="1"/>
  <c r="CM75" i="5" s="1"/>
  <c r="CQ71" i="5"/>
  <c r="CQ73" i="5" s="1"/>
  <c r="CQ75" i="5" s="1"/>
  <c r="X71" i="5"/>
  <c r="X73" i="5" s="1"/>
  <c r="X75" i="5" s="1"/>
  <c r="E69" i="5"/>
  <c r="E71" i="5" s="1"/>
  <c r="E73" i="5" s="1"/>
  <c r="E75" i="5" s="1"/>
  <c r="Q71" i="5"/>
  <c r="Q73" i="5" s="1"/>
  <c r="Q75" i="5" s="1"/>
  <c r="U71" i="5"/>
  <c r="U73" i="5" s="1"/>
  <c r="U75" i="5" s="1"/>
  <c r="Y71" i="5"/>
  <c r="Y73" i="5" s="1"/>
  <c r="Y75" i="5" s="1"/>
  <c r="R71" i="5"/>
  <c r="R73" i="5" s="1"/>
  <c r="R75" i="5" s="1"/>
  <c r="V71" i="5"/>
  <c r="V73" i="5" s="1"/>
  <c r="V75" i="5" s="1"/>
  <c r="Z71" i="5"/>
  <c r="Z73" i="5" s="1"/>
  <c r="Z75" i="5" s="1"/>
  <c r="S71" i="5"/>
  <c r="S73" i="5" s="1"/>
  <c r="S75" i="5" s="1"/>
  <c r="W71" i="5"/>
  <c r="W73" i="5" s="1"/>
  <c r="W75" i="5" s="1"/>
  <c r="H69" i="5"/>
  <c r="H71" i="5" s="1"/>
  <c r="H73" i="5" s="1"/>
  <c r="H75" i="5" s="1"/>
  <c r="F69" i="5"/>
  <c r="F71" i="5" s="1"/>
  <c r="F73" i="5" s="1"/>
  <c r="F75" i="5" s="1"/>
  <c r="T71" i="5"/>
  <c r="T73" i="5" s="1"/>
  <c r="T75" i="5" s="1"/>
  <c r="G69" i="5"/>
  <c r="G71" i="5" s="1"/>
  <c r="G73" i="5" s="1"/>
  <c r="G75" i="5" s="1"/>
  <c r="CV71" i="5"/>
  <c r="CV73" i="5" s="1"/>
  <c r="CV75" i="5" s="1"/>
  <c r="CW71" i="5"/>
  <c r="CW73" i="5" s="1"/>
  <c r="CW75" i="5" s="1"/>
  <c r="N83" i="5" l="1"/>
  <c r="AC83" i="5"/>
  <c r="J83" i="5"/>
  <c r="E83" i="5"/>
  <c r="U83" i="5"/>
  <c r="M83" i="5"/>
  <c r="K83" i="5"/>
  <c r="I83" i="5"/>
  <c r="Y83" i="5"/>
  <c r="Q83" i="5"/>
  <c r="AD83" i="5"/>
  <c r="Z83" i="5"/>
  <c r="F83" i="5"/>
  <c r="AB83" i="5"/>
  <c r="R83" i="5"/>
  <c r="G83" i="5"/>
  <c r="V83" i="5"/>
  <c r="O83" i="5"/>
  <c r="S83" i="5"/>
  <c r="W83" i="5"/>
  <c r="H83" i="5"/>
  <c r="P83" i="5"/>
  <c r="X83" i="5"/>
  <c r="AA83" i="5"/>
  <c r="T83" i="5"/>
  <c r="L83" i="5"/>
  <c r="B45" i="4"/>
  <c r="N100" i="4"/>
  <c r="I100" i="4"/>
  <c r="B40" i="4"/>
  <c r="B32" i="4"/>
  <c r="B23" i="4"/>
  <c r="B14" i="4"/>
  <c r="B6" i="4"/>
  <c r="AE83" i="5" l="1"/>
  <c r="U153" i="1"/>
  <c r="T153" i="1"/>
  <c r="T256" i="1"/>
  <c r="U256" i="1"/>
  <c r="AE86" i="2"/>
  <c r="E63" i="2"/>
  <c r="A40" i="2"/>
  <c r="A39" i="2"/>
  <c r="JV33" i="2"/>
  <c r="JX35" i="2" s="1"/>
  <c r="JU33" i="2"/>
  <c r="JW35" i="2" s="1"/>
  <c r="JT33" i="2"/>
  <c r="JV35" i="2" s="1"/>
  <c r="JS33" i="2"/>
  <c r="JU35" i="2" s="1"/>
  <c r="JR33" i="2"/>
  <c r="JT35" i="2" s="1"/>
  <c r="JQ33" i="2"/>
  <c r="JS35" i="2" s="1"/>
  <c r="JP33" i="2"/>
  <c r="JR35" i="2" s="1"/>
  <c r="JO33" i="2"/>
  <c r="JQ35" i="2" s="1"/>
  <c r="JN33" i="2"/>
  <c r="JP35" i="2" s="1"/>
  <c r="JM33" i="2"/>
  <c r="JO35" i="2" s="1"/>
  <c r="JL33" i="2"/>
  <c r="JN35" i="2" s="1"/>
  <c r="JK33" i="2"/>
  <c r="JM35" i="2" s="1"/>
  <c r="JJ33" i="2"/>
  <c r="JL35" i="2" s="1"/>
  <c r="JI33" i="2"/>
  <c r="JK35" i="2" s="1"/>
  <c r="JH33" i="2"/>
  <c r="JJ35" i="2" s="1"/>
  <c r="JG33" i="2"/>
  <c r="JI35" i="2" s="1"/>
  <c r="JF33" i="2"/>
  <c r="JH35" i="2" s="1"/>
  <c r="JE33" i="2"/>
  <c r="JG35" i="2" s="1"/>
  <c r="JD33" i="2"/>
  <c r="JF35" i="2" s="1"/>
  <c r="JC33" i="2"/>
  <c r="JE35" i="2" s="1"/>
  <c r="JB33" i="2"/>
  <c r="JD35" i="2" s="1"/>
  <c r="JA33" i="2"/>
  <c r="JC35" i="2" s="1"/>
  <c r="IZ33" i="2"/>
  <c r="JB35" i="2" s="1"/>
  <c r="IY33" i="2"/>
  <c r="JA35" i="2" s="1"/>
  <c r="IX33" i="2"/>
  <c r="IZ35" i="2" s="1"/>
  <c r="IW33" i="2"/>
  <c r="IY35" i="2" s="1"/>
  <c r="IV33" i="2"/>
  <c r="IX35" i="2" s="1"/>
  <c r="IU33" i="2"/>
  <c r="IW35" i="2" s="1"/>
  <c r="IT33" i="2"/>
  <c r="IV35" i="2" s="1"/>
  <c r="IS33" i="2"/>
  <c r="IU35" i="2" s="1"/>
  <c r="IR33" i="2"/>
  <c r="IT35" i="2" s="1"/>
  <c r="IQ33" i="2"/>
  <c r="IS35" i="2" s="1"/>
  <c r="IP33" i="2"/>
  <c r="IR35" i="2" s="1"/>
  <c r="IO33" i="2"/>
  <c r="IQ35" i="2" s="1"/>
  <c r="IN33" i="2"/>
  <c r="IP35" i="2" s="1"/>
  <c r="IM33" i="2"/>
  <c r="IO35" i="2" s="1"/>
  <c r="IL33" i="2"/>
  <c r="IN35" i="2" s="1"/>
  <c r="IK33" i="2"/>
  <c r="IM35" i="2" s="1"/>
  <c r="IJ33" i="2"/>
  <c r="IL35" i="2" s="1"/>
  <c r="II33" i="2"/>
  <c r="IK35" i="2" s="1"/>
  <c r="IH33" i="2"/>
  <c r="IJ35" i="2" s="1"/>
  <c r="IG33" i="2"/>
  <c r="II35" i="2" s="1"/>
  <c r="IF33" i="2"/>
  <c r="IH35" i="2" s="1"/>
  <c r="IE33" i="2"/>
  <c r="IG35" i="2" s="1"/>
  <c r="ID33" i="2"/>
  <c r="IF35" i="2" s="1"/>
  <c r="IC33" i="2"/>
  <c r="IE35" i="2" s="1"/>
  <c r="IB33" i="2"/>
  <c r="ID35" i="2" s="1"/>
  <c r="IA33" i="2"/>
  <c r="IC35" i="2" s="1"/>
  <c r="HZ33" i="2"/>
  <c r="IB35" i="2" s="1"/>
  <c r="HY33" i="2"/>
  <c r="IA35" i="2" s="1"/>
  <c r="HX33" i="2"/>
  <c r="HZ35" i="2" s="1"/>
  <c r="HW33" i="2"/>
  <c r="HY35" i="2" s="1"/>
  <c r="HV33" i="2"/>
  <c r="HX35" i="2" s="1"/>
  <c r="HU33" i="2"/>
  <c r="HW35" i="2" s="1"/>
  <c r="HT33" i="2"/>
  <c r="HV35" i="2" s="1"/>
  <c r="HS33" i="2"/>
  <c r="HU35" i="2" s="1"/>
  <c r="HR33" i="2"/>
  <c r="HT35" i="2" s="1"/>
  <c r="HQ33" i="2"/>
  <c r="HS35" i="2" s="1"/>
  <c r="HP33" i="2"/>
  <c r="HR35" i="2" s="1"/>
  <c r="HO33" i="2"/>
  <c r="HQ35" i="2" s="1"/>
  <c r="HN33" i="2"/>
  <c r="HP35" i="2" s="1"/>
  <c r="HM33" i="2"/>
  <c r="HO35" i="2" s="1"/>
  <c r="HL33" i="2"/>
  <c r="HN35" i="2" s="1"/>
  <c r="HK33" i="2"/>
  <c r="HM35" i="2" s="1"/>
  <c r="HJ33" i="2"/>
  <c r="HL35" i="2" s="1"/>
  <c r="HI33" i="2"/>
  <c r="HK35" i="2" s="1"/>
  <c r="HH33" i="2"/>
  <c r="HJ35" i="2" s="1"/>
  <c r="HG33" i="2"/>
  <c r="HI35" i="2" s="1"/>
  <c r="HF33" i="2"/>
  <c r="HH35" i="2" s="1"/>
  <c r="HE33" i="2"/>
  <c r="HG35" i="2" s="1"/>
  <c r="HD33" i="2"/>
  <c r="HF35" i="2" s="1"/>
  <c r="HC33" i="2"/>
  <c r="HE35" i="2" s="1"/>
  <c r="HB33" i="2"/>
  <c r="HD35" i="2" s="1"/>
  <c r="HA33" i="2"/>
  <c r="HC35" i="2" s="1"/>
  <c r="GZ33" i="2"/>
  <c r="HB35" i="2" s="1"/>
  <c r="GY33" i="2"/>
  <c r="HA35" i="2" s="1"/>
  <c r="GX33" i="2"/>
  <c r="GZ35" i="2" s="1"/>
  <c r="GW33" i="2"/>
  <c r="GY35" i="2" s="1"/>
  <c r="GV33" i="2"/>
  <c r="GX35" i="2" s="1"/>
  <c r="GU33" i="2"/>
  <c r="GW35" i="2" s="1"/>
  <c r="GT33" i="2"/>
  <c r="GV35" i="2" s="1"/>
  <c r="GS33" i="2"/>
  <c r="GU35" i="2" s="1"/>
  <c r="GR33" i="2"/>
  <c r="GT35" i="2" s="1"/>
  <c r="GQ33" i="2"/>
  <c r="GS35" i="2" s="1"/>
  <c r="GP33" i="2"/>
  <c r="GR35" i="2" s="1"/>
  <c r="GO33" i="2"/>
  <c r="GQ35" i="2" s="1"/>
  <c r="GN33" i="2"/>
  <c r="GP35" i="2" s="1"/>
  <c r="GM33" i="2"/>
  <c r="GO35" i="2" s="1"/>
  <c r="GL33" i="2"/>
  <c r="GN35" i="2" s="1"/>
  <c r="GK33" i="2"/>
  <c r="GM35" i="2" s="1"/>
  <c r="GJ33" i="2"/>
  <c r="GL35" i="2" s="1"/>
  <c r="GI33" i="2"/>
  <c r="GK35" i="2" s="1"/>
  <c r="GH33" i="2"/>
  <c r="GJ35" i="2" s="1"/>
  <c r="GG33" i="2"/>
  <c r="GI35" i="2" s="1"/>
  <c r="GF33" i="2"/>
  <c r="GH35" i="2" s="1"/>
  <c r="GE33" i="2"/>
  <c r="GG35" i="2" s="1"/>
  <c r="GD33" i="2"/>
  <c r="GF35" i="2" s="1"/>
  <c r="GC33" i="2"/>
  <c r="GE35" i="2" s="1"/>
  <c r="GB33" i="2"/>
  <c r="GD35" i="2" s="1"/>
  <c r="GA33" i="2"/>
  <c r="GC35" i="2" s="1"/>
  <c r="FZ33" i="2"/>
  <c r="GB35" i="2" s="1"/>
  <c r="FY33" i="2"/>
  <c r="GA35" i="2" s="1"/>
  <c r="FX33" i="2"/>
  <c r="FZ35" i="2" s="1"/>
  <c r="FW33" i="2"/>
  <c r="FY35" i="2" s="1"/>
  <c r="FV33" i="2"/>
  <c r="FX35" i="2" s="1"/>
  <c r="FU33" i="2"/>
  <c r="FW35" i="2" s="1"/>
  <c r="FT33" i="2"/>
  <c r="FV35" i="2" s="1"/>
  <c r="FS33" i="2"/>
  <c r="FU35" i="2" s="1"/>
  <c r="FR33" i="2"/>
  <c r="FT35" i="2" s="1"/>
  <c r="FQ33" i="2"/>
  <c r="FS35" i="2" s="1"/>
  <c r="FP33" i="2"/>
  <c r="FR35" i="2" s="1"/>
  <c r="FO33" i="2"/>
  <c r="FQ35" i="2" s="1"/>
  <c r="FN33" i="2"/>
  <c r="FP35" i="2" s="1"/>
  <c r="FM33" i="2"/>
  <c r="FO35" i="2" s="1"/>
  <c r="FL33" i="2"/>
  <c r="FN35" i="2" s="1"/>
  <c r="FK33" i="2"/>
  <c r="FM35" i="2" s="1"/>
  <c r="FJ33" i="2"/>
  <c r="FL35" i="2" s="1"/>
  <c r="FI33" i="2"/>
  <c r="FK35" i="2" s="1"/>
  <c r="FH33" i="2"/>
  <c r="FJ35" i="2" s="1"/>
  <c r="FG33" i="2"/>
  <c r="FI35" i="2" s="1"/>
  <c r="FF33" i="2"/>
  <c r="FH35" i="2" s="1"/>
  <c r="FE33" i="2"/>
  <c r="FG35" i="2" s="1"/>
  <c r="FD33" i="2"/>
  <c r="FF35" i="2" s="1"/>
  <c r="FC33" i="2"/>
  <c r="FE35" i="2" s="1"/>
  <c r="FB33" i="2"/>
  <c r="FD35" i="2" s="1"/>
  <c r="FA33" i="2"/>
  <c r="FC35" i="2" s="1"/>
  <c r="EZ33" i="2"/>
  <c r="FB35" i="2" s="1"/>
  <c r="EY33" i="2"/>
  <c r="FA35" i="2" s="1"/>
  <c r="EX33" i="2"/>
  <c r="EZ35" i="2" s="1"/>
  <c r="EW33" i="2"/>
  <c r="EY35" i="2" s="1"/>
  <c r="EV33" i="2"/>
  <c r="EX35" i="2" s="1"/>
  <c r="EU33" i="2"/>
  <c r="EW35" i="2" s="1"/>
  <c r="ET33" i="2"/>
  <c r="EV35" i="2" s="1"/>
  <c r="ES33" i="2"/>
  <c r="EU35" i="2" s="1"/>
  <c r="ER33" i="2"/>
  <c r="ET35" i="2" s="1"/>
  <c r="EQ33" i="2"/>
  <c r="ES35" i="2" s="1"/>
  <c r="EP33" i="2"/>
  <c r="ER35" i="2" s="1"/>
  <c r="EO33" i="2"/>
  <c r="EQ35" i="2" s="1"/>
  <c r="EN33" i="2"/>
  <c r="EP35" i="2" s="1"/>
  <c r="EM33" i="2"/>
  <c r="EO35" i="2" s="1"/>
  <c r="EL33" i="2"/>
  <c r="EN35" i="2" s="1"/>
  <c r="EK33" i="2"/>
  <c r="EL35" i="2" s="1"/>
  <c r="EJ33" i="2"/>
  <c r="EK35" i="2" s="1"/>
  <c r="EI33" i="2"/>
  <c r="EJ35" i="2" s="1"/>
  <c r="EH33" i="2"/>
  <c r="EI35" i="2" s="1"/>
  <c r="EG33" i="2"/>
  <c r="EH35" i="2" s="1"/>
  <c r="EF33" i="2"/>
  <c r="EG35" i="2" s="1"/>
  <c r="EE33" i="2"/>
  <c r="EF35" i="2" s="1"/>
  <c r="ED33" i="2"/>
  <c r="EE35" i="2" s="1"/>
  <c r="EC33" i="2"/>
  <c r="ED35" i="2" s="1"/>
  <c r="EB33" i="2"/>
  <c r="EC35" i="2" s="1"/>
  <c r="EA33" i="2"/>
  <c r="EB35" i="2" s="1"/>
  <c r="DZ33" i="2"/>
  <c r="EA35" i="2" s="1"/>
  <c r="DY33" i="2"/>
  <c r="DZ35" i="2" s="1"/>
  <c r="DX33" i="2"/>
  <c r="DY35" i="2" s="1"/>
  <c r="DW33" i="2"/>
  <c r="DX35" i="2" s="1"/>
  <c r="DV33" i="2"/>
  <c r="DW35" i="2" s="1"/>
  <c r="DU33" i="2"/>
  <c r="DV35" i="2" s="1"/>
  <c r="DT33" i="2"/>
  <c r="DU35" i="2" s="1"/>
  <c r="DS33" i="2"/>
  <c r="DT35" i="2" s="1"/>
  <c r="DR33" i="2"/>
  <c r="DS35" i="2" s="1"/>
  <c r="DQ33" i="2"/>
  <c r="DR35" i="2" s="1"/>
  <c r="DP33" i="2"/>
  <c r="DQ35" i="2" s="1"/>
  <c r="DO33" i="2"/>
  <c r="DP35" i="2" s="1"/>
  <c r="DN33" i="2"/>
  <c r="DO35" i="2" s="1"/>
  <c r="DM33" i="2"/>
  <c r="DN35" i="2" s="1"/>
  <c r="DL33" i="2"/>
  <c r="DM35" i="2" s="1"/>
  <c r="DK33" i="2"/>
  <c r="DL35" i="2" s="1"/>
  <c r="DJ33" i="2"/>
  <c r="DK35" i="2" s="1"/>
  <c r="DI33" i="2"/>
  <c r="DJ35" i="2" s="1"/>
  <c r="DH33" i="2"/>
  <c r="DI35" i="2" s="1"/>
  <c r="DG33" i="2"/>
  <c r="DH35" i="2" s="1"/>
  <c r="DF33" i="2"/>
  <c r="DG35" i="2" s="1"/>
  <c r="DE33" i="2"/>
  <c r="DF35" i="2" s="1"/>
  <c r="DD33" i="2"/>
  <c r="DE35" i="2" s="1"/>
  <c r="DC33" i="2"/>
  <c r="DD35" i="2" s="1"/>
  <c r="DB33" i="2"/>
  <c r="DC35" i="2" s="1"/>
  <c r="DA33" i="2"/>
  <c r="DB35" i="2" s="1"/>
  <c r="CZ33" i="2"/>
  <c r="DA35" i="2" s="1"/>
  <c r="CY33" i="2"/>
  <c r="CZ35" i="2" s="1"/>
  <c r="CX33" i="2"/>
  <c r="CY35" i="2" s="1"/>
  <c r="CW33" i="2"/>
  <c r="CX35" i="2" s="1"/>
  <c r="CV33" i="2"/>
  <c r="CW35" i="2" s="1"/>
  <c r="CU33" i="2"/>
  <c r="CV35" i="2" s="1"/>
  <c r="CT33" i="2"/>
  <c r="CU35" i="2" s="1"/>
  <c r="CS33" i="2"/>
  <c r="CT35" i="2" s="1"/>
  <c r="CR33" i="2"/>
  <c r="CS35" i="2" s="1"/>
  <c r="CQ33" i="2"/>
  <c r="CR35" i="2" s="1"/>
  <c r="CP33" i="2"/>
  <c r="CQ35" i="2" s="1"/>
  <c r="CO33" i="2"/>
  <c r="CP35" i="2" s="1"/>
  <c r="CN33" i="2"/>
  <c r="CO35" i="2" s="1"/>
  <c r="CM33" i="2"/>
  <c r="CN35" i="2" s="1"/>
  <c r="CL33" i="2"/>
  <c r="CM35" i="2" s="1"/>
  <c r="CK33" i="2"/>
  <c r="CL35" i="2" s="1"/>
  <c r="CJ33" i="2"/>
  <c r="CK35" i="2" s="1"/>
  <c r="CI33" i="2"/>
  <c r="CJ35" i="2" s="1"/>
  <c r="CH33" i="2"/>
  <c r="CI35" i="2" s="1"/>
  <c r="CG33" i="2"/>
  <c r="CH35" i="2" s="1"/>
  <c r="CF33" i="2"/>
  <c r="CG35" i="2" s="1"/>
  <c r="CE33" i="2"/>
  <c r="CF35" i="2" s="1"/>
  <c r="CD33" i="2"/>
  <c r="CE35" i="2" s="1"/>
  <c r="CC33" i="2"/>
  <c r="CD35" i="2" s="1"/>
  <c r="CB33" i="2"/>
  <c r="CC35" i="2" s="1"/>
  <c r="CA33" i="2"/>
  <c r="CB35" i="2" s="1"/>
  <c r="BZ33" i="2"/>
  <c r="CA35" i="2" s="1"/>
  <c r="BY33" i="2"/>
  <c r="BZ35" i="2" s="1"/>
  <c r="BX33" i="2"/>
  <c r="BY35" i="2" s="1"/>
  <c r="BW33" i="2"/>
  <c r="BX35" i="2" s="1"/>
  <c r="BV33" i="2"/>
  <c r="BW35" i="2" s="1"/>
  <c r="BU33" i="2"/>
  <c r="BV35" i="2" s="1"/>
  <c r="BT33" i="2"/>
  <c r="BU35" i="2" s="1"/>
  <c r="BS33" i="2"/>
  <c r="BT35" i="2" s="1"/>
  <c r="BR33" i="2"/>
  <c r="BS35" i="2" s="1"/>
  <c r="BQ33" i="2"/>
  <c r="BR35" i="2" s="1"/>
  <c r="BP33" i="2"/>
  <c r="BQ35" i="2" s="1"/>
  <c r="BO33" i="2"/>
  <c r="BP35" i="2" s="1"/>
  <c r="BN33" i="2"/>
  <c r="BO35" i="2" s="1"/>
  <c r="BM33" i="2"/>
  <c r="BN35" i="2" s="1"/>
  <c r="BL33" i="2"/>
  <c r="BM35" i="2" s="1"/>
  <c r="BK33" i="2"/>
  <c r="BL35" i="2" s="1"/>
  <c r="BJ33" i="2"/>
  <c r="BK35" i="2" s="1"/>
  <c r="BI33" i="2"/>
  <c r="BJ35" i="2" s="1"/>
  <c r="BH33" i="2"/>
  <c r="BI35" i="2" s="1"/>
  <c r="BG33" i="2"/>
  <c r="BH35" i="2" s="1"/>
  <c r="BF33" i="2"/>
  <c r="BG35" i="2" s="1"/>
  <c r="BE33" i="2"/>
  <c r="BF35" i="2" s="1"/>
  <c r="BD33" i="2"/>
  <c r="BE35" i="2" s="1"/>
  <c r="BC33" i="2"/>
  <c r="BD35" i="2" s="1"/>
  <c r="BB33" i="2"/>
  <c r="BC35" i="2" s="1"/>
  <c r="BA33" i="2"/>
  <c r="BB35" i="2" s="1"/>
  <c r="AZ33" i="2"/>
  <c r="BA35" i="2" s="1"/>
  <c r="AY33" i="2"/>
  <c r="AZ35" i="2" s="1"/>
  <c r="AX33" i="2"/>
  <c r="AY35" i="2" s="1"/>
  <c r="AW33" i="2"/>
  <c r="AX35" i="2" s="1"/>
  <c r="AV33" i="2"/>
  <c r="AW35" i="2" s="1"/>
  <c r="AU33" i="2"/>
  <c r="AV35" i="2" s="1"/>
  <c r="AT33" i="2"/>
  <c r="AU35" i="2" s="1"/>
  <c r="AS33" i="2"/>
  <c r="AT35" i="2" s="1"/>
  <c r="AR33" i="2"/>
  <c r="AS35" i="2" s="1"/>
  <c r="AQ33" i="2"/>
  <c r="AR35" i="2" s="1"/>
  <c r="AP33" i="2"/>
  <c r="AQ35" i="2" s="1"/>
  <c r="AO33" i="2"/>
  <c r="AP35" i="2" s="1"/>
  <c r="AN33" i="2"/>
  <c r="AO35" i="2" s="1"/>
  <c r="AM33" i="2"/>
  <c r="AN35" i="2" s="1"/>
  <c r="AL33" i="2"/>
  <c r="AM35" i="2" s="1"/>
  <c r="AK33" i="2"/>
  <c r="AL35" i="2" s="1"/>
  <c r="AJ33" i="2"/>
  <c r="AK35" i="2" s="1"/>
  <c r="AI33" i="2"/>
  <c r="AJ35" i="2" s="1"/>
  <c r="AH33" i="2"/>
  <c r="AI35" i="2" s="1"/>
  <c r="AG33" i="2"/>
  <c r="AH35" i="2" s="1"/>
  <c r="AF33" i="2"/>
  <c r="AG35" i="2" s="1"/>
  <c r="AE33" i="2"/>
  <c r="AF35" i="2" s="1"/>
  <c r="AD33" i="2"/>
  <c r="AE35" i="2" s="1"/>
  <c r="AC33" i="2"/>
  <c r="AD35" i="2" s="1"/>
  <c r="AB33" i="2"/>
  <c r="AC35" i="2" s="1"/>
  <c r="AA33" i="2"/>
  <c r="AA35" i="2" s="1"/>
  <c r="Z33" i="2"/>
  <c r="Z35" i="2" s="1"/>
  <c r="Y33" i="2"/>
  <c r="Y35" i="2" s="1"/>
  <c r="X33" i="2"/>
  <c r="X35" i="2" s="1"/>
  <c r="W33" i="2"/>
  <c r="W35" i="2" s="1"/>
  <c r="V33" i="2"/>
  <c r="V35" i="2" s="1"/>
  <c r="U33" i="2"/>
  <c r="U35" i="2" s="1"/>
  <c r="T33" i="2"/>
  <c r="T35" i="2" s="1"/>
  <c r="S33" i="2"/>
  <c r="S35" i="2" s="1"/>
  <c r="R33" i="2"/>
  <c r="R35" i="2" s="1"/>
  <c r="Q33" i="2"/>
  <c r="Q35" i="2" s="1"/>
  <c r="P33" i="2"/>
  <c r="P35" i="2" s="1"/>
  <c r="O33" i="2"/>
  <c r="O35" i="2" s="1"/>
  <c r="N33" i="2"/>
  <c r="N35" i="2" s="1"/>
  <c r="M33" i="2"/>
  <c r="M35" i="2" s="1"/>
  <c r="L33" i="2"/>
  <c r="L35" i="2" s="1"/>
  <c r="K33" i="2"/>
  <c r="K35" i="2" s="1"/>
  <c r="J33" i="2"/>
  <c r="J35" i="2" s="1"/>
  <c r="I33" i="2"/>
  <c r="I35" i="2" s="1"/>
  <c r="H33" i="2"/>
  <c r="H35" i="2" s="1"/>
  <c r="G33" i="2"/>
  <c r="G35" i="2" s="1"/>
  <c r="F33" i="2"/>
  <c r="F35" i="2" s="1"/>
  <c r="E33" i="2"/>
  <c r="E35" i="2" s="1"/>
  <c r="FR18" i="2" l="1"/>
  <c r="FQ18" i="2"/>
  <c r="FP18" i="2"/>
  <c r="FO18" i="2"/>
  <c r="FN18" i="2"/>
  <c r="FM18" i="2"/>
  <c r="FL18" i="2"/>
  <c r="FK18" i="2"/>
  <c r="FJ18" i="2"/>
  <c r="FI18" i="2"/>
  <c r="FH18" i="2"/>
  <c r="FG18" i="2"/>
  <c r="FF18" i="2"/>
  <c r="FE18" i="2"/>
  <c r="FD18" i="2"/>
  <c r="FC18" i="2"/>
  <c r="FB18" i="2"/>
  <c r="FA18" i="2"/>
  <c r="EZ18" i="2"/>
  <c r="EY18" i="2"/>
  <c r="EX18" i="2"/>
  <c r="EW18" i="2"/>
  <c r="EV18" i="2"/>
  <c r="EU18" i="2"/>
  <c r="ET18" i="2"/>
  <c r="ES18" i="2"/>
  <c r="GR18" i="2"/>
  <c r="GQ18" i="2"/>
  <c r="GP18" i="2"/>
  <c r="GO18" i="2"/>
  <c r="GN18" i="2"/>
  <c r="GM18" i="2"/>
  <c r="GL18" i="2"/>
  <c r="GK18" i="2"/>
  <c r="GJ18" i="2"/>
  <c r="GI18" i="2"/>
  <c r="GH18" i="2"/>
  <c r="GG18" i="2"/>
  <c r="GF18" i="2"/>
  <c r="GE18" i="2"/>
  <c r="GD18" i="2"/>
  <c r="GC18" i="2"/>
  <c r="GB18" i="2"/>
  <c r="GA18" i="2"/>
  <c r="FZ18" i="2"/>
  <c r="FY18" i="2"/>
  <c r="FX18" i="2"/>
  <c r="FW18" i="2"/>
  <c r="FV18" i="2"/>
  <c r="FU18" i="2"/>
  <c r="FT18" i="2"/>
  <c r="FS18" i="2"/>
  <c r="HR18" i="2"/>
  <c r="HQ18" i="2"/>
  <c r="HP18" i="2"/>
  <c r="HO18" i="2"/>
  <c r="HN18" i="2"/>
  <c r="HM18" i="2"/>
  <c r="HL18" i="2"/>
  <c r="HK18" i="2"/>
  <c r="HJ18" i="2"/>
  <c r="HI18" i="2"/>
  <c r="HH18" i="2"/>
  <c r="HG18" i="2"/>
  <c r="HF18" i="2"/>
  <c r="HE18" i="2"/>
  <c r="HD18" i="2"/>
  <c r="HC18" i="2"/>
  <c r="HB18" i="2"/>
  <c r="HA18" i="2"/>
  <c r="GZ18" i="2"/>
  <c r="GY18" i="2"/>
  <c r="GX18" i="2"/>
  <c r="GW18" i="2"/>
  <c r="GV18" i="2"/>
  <c r="GU18" i="2"/>
  <c r="GT18" i="2"/>
  <c r="GS18" i="2"/>
  <c r="HS18" i="2"/>
  <c r="HT18" i="2"/>
  <c r="HU18" i="2"/>
  <c r="IR18" i="2"/>
  <c r="IQ18" i="2"/>
  <c r="IP18" i="2"/>
  <c r="IO18" i="2"/>
  <c r="IN18" i="2"/>
  <c r="IM18" i="2"/>
  <c r="IL18" i="2"/>
  <c r="IK18" i="2"/>
  <c r="IJ18" i="2"/>
  <c r="II18" i="2"/>
  <c r="IH18" i="2"/>
  <c r="IG18" i="2"/>
  <c r="IF18" i="2"/>
  <c r="IE18" i="2"/>
  <c r="ID18" i="2"/>
  <c r="IC18" i="2"/>
  <c r="IB18" i="2"/>
  <c r="IA18" i="2"/>
  <c r="HZ18" i="2"/>
  <c r="HY18" i="2"/>
  <c r="HX18" i="2"/>
  <c r="HW18" i="2"/>
  <c r="HV18" i="2"/>
  <c r="IS18" i="2"/>
  <c r="IT18" i="2"/>
  <c r="ON18" i="2"/>
  <c r="CV68" i="2"/>
  <c r="CW67" i="2"/>
  <c r="CU67" i="2"/>
  <c r="CU64" i="2"/>
  <c r="CU63" i="2"/>
  <c r="CT66" i="2"/>
  <c r="CT65" i="2"/>
  <c r="CT64" i="2"/>
  <c r="CT63" i="2"/>
  <c r="CS67" i="2"/>
  <c r="CS66" i="2"/>
  <c r="CS65" i="2"/>
  <c r="CS64" i="2"/>
  <c r="CS63" i="2"/>
  <c r="CR66" i="2"/>
  <c r="CR65" i="2"/>
  <c r="CR64" i="2"/>
  <c r="CR63" i="2"/>
  <c r="CQ64" i="2"/>
  <c r="CQ65" i="2"/>
  <c r="CQ63" i="2"/>
  <c r="CP66" i="2"/>
  <c r="CP65" i="2"/>
  <c r="CP64" i="2"/>
  <c r="CP63" i="2"/>
  <c r="CO67" i="2"/>
  <c r="CO66" i="2"/>
  <c r="CO65" i="2"/>
  <c r="CO64" i="2"/>
  <c r="CO63" i="2"/>
  <c r="CN66" i="2"/>
  <c r="CN65" i="2"/>
  <c r="CN64" i="2"/>
  <c r="CN63" i="2"/>
  <c r="CM65" i="2"/>
  <c r="CM64" i="2"/>
  <c r="CM63" i="2"/>
  <c r="CL64" i="2"/>
  <c r="CL63" i="2"/>
  <c r="CK65" i="2"/>
  <c r="CK64" i="2"/>
  <c r="CK63" i="2"/>
  <c r="CJ66" i="2"/>
  <c r="CJ65" i="2"/>
  <c r="CJ64" i="2"/>
  <c r="CJ63" i="2"/>
  <c r="CI65" i="2"/>
  <c r="CI64" i="2"/>
  <c r="CI63" i="2"/>
  <c r="CH66" i="2"/>
  <c r="CH65" i="2"/>
  <c r="CH64" i="2"/>
  <c r="CH63" i="2"/>
  <c r="CG67" i="2"/>
  <c r="CG66" i="2"/>
  <c r="CG65" i="2"/>
  <c r="CG64" i="2"/>
  <c r="CG63" i="2"/>
  <c r="CF66" i="2"/>
  <c r="CF65" i="2"/>
  <c r="CF64" i="2"/>
  <c r="CF63" i="2"/>
  <c r="CE65" i="2"/>
  <c r="CE64" i="2"/>
  <c r="CE63" i="2"/>
  <c r="CD64" i="2"/>
  <c r="CD63" i="2"/>
  <c r="CC65" i="2"/>
  <c r="CC64" i="2"/>
  <c r="CC63" i="2"/>
  <c r="CB64" i="2"/>
  <c r="CB63" i="2"/>
  <c r="CA63" i="2"/>
  <c r="BZ64" i="2"/>
  <c r="BZ63" i="2"/>
  <c r="BY65" i="2"/>
  <c r="BY64" i="2"/>
  <c r="BY63" i="2"/>
  <c r="BX66" i="2"/>
  <c r="BX65" i="2"/>
  <c r="BX64" i="2"/>
  <c r="BX63" i="2"/>
  <c r="BW65" i="2"/>
  <c r="BW64" i="2"/>
  <c r="BW63" i="2"/>
  <c r="BV64" i="2"/>
  <c r="BV63" i="2"/>
  <c r="BU65" i="2"/>
  <c r="BU64" i="2"/>
  <c r="BU63" i="2"/>
  <c r="BT66" i="2"/>
  <c r="BT65" i="2"/>
  <c r="BT64" i="2"/>
  <c r="BT63" i="2"/>
  <c r="BS65" i="2"/>
  <c r="BS64" i="2"/>
  <c r="BS63" i="2"/>
  <c r="BR66" i="2"/>
  <c r="BR65" i="2"/>
  <c r="BR64" i="2"/>
  <c r="BR63" i="2"/>
  <c r="BQ67" i="2"/>
  <c r="BQ66" i="2"/>
  <c r="BQ65" i="2"/>
  <c r="BQ64" i="2"/>
  <c r="BQ63" i="2"/>
  <c r="BP66" i="2"/>
  <c r="BP65" i="2"/>
  <c r="BP64" i="2"/>
  <c r="BP63" i="2"/>
  <c r="BO65" i="2"/>
  <c r="BO64" i="2"/>
  <c r="BO63" i="2"/>
  <c r="BN64" i="2"/>
  <c r="BN63" i="2"/>
  <c r="BM65" i="2"/>
  <c r="BM64" i="2"/>
  <c r="BM63" i="2"/>
  <c r="BL64" i="2"/>
  <c r="BL63" i="2"/>
  <c r="BK63" i="2"/>
  <c r="BF63" i="2"/>
  <c r="O63" i="2"/>
  <c r="CW68" i="2"/>
  <c r="CV67" i="2"/>
  <c r="CW66" i="2"/>
  <c r="CW65" i="2"/>
  <c r="CW64" i="2"/>
  <c r="CW63" i="2"/>
  <c r="CV66" i="2"/>
  <c r="CV65" i="2"/>
  <c r="CV64" i="2"/>
  <c r="CV63" i="2"/>
  <c r="CU65" i="2"/>
  <c r="CU66" i="2"/>
  <c r="BJ64" i="2"/>
  <c r="BJ63" i="2"/>
  <c r="BI65" i="2"/>
  <c r="BI64" i="2"/>
  <c r="BI63" i="2"/>
  <c r="BH64" i="2"/>
  <c r="BH63" i="2"/>
  <c r="BG63" i="2"/>
  <c r="CV69" i="2" l="1"/>
  <c r="CV71" i="2" s="1"/>
  <c r="CV73" i="2" s="1"/>
  <c r="CV75" i="2" s="1"/>
  <c r="CW69" i="2"/>
  <c r="CW71" i="2" s="1"/>
  <c r="CW73" i="2" s="1"/>
  <c r="CW75" i="2" s="1"/>
  <c r="CT69" i="2"/>
  <c r="CT71" i="2" s="1"/>
  <c r="CT73" i="2" s="1"/>
  <c r="CT75" i="2" s="1"/>
  <c r="CU69" i="2"/>
  <c r="CU71" i="2" s="1"/>
  <c r="CU73" i="2" s="1"/>
  <c r="CU75" i="2" s="1"/>
  <c r="CR69" i="2"/>
  <c r="CR71" i="2" s="1"/>
  <c r="CR73" i="2" s="1"/>
  <c r="CR75" i="2" s="1"/>
  <c r="CS69" i="2"/>
  <c r="CS71" i="2" s="1"/>
  <c r="CS73" i="2" s="1"/>
  <c r="CS75" i="2" s="1"/>
  <c r="BE63" i="2"/>
  <c r="BD64" i="2"/>
  <c r="BD63" i="2"/>
  <c r="BC63" i="2"/>
  <c r="BB64" i="2"/>
  <c r="BB63" i="2"/>
  <c r="BA65" i="2"/>
  <c r="BA64" i="2"/>
  <c r="BA63" i="2"/>
  <c r="AZ66" i="2"/>
  <c r="AZ65" i="2"/>
  <c r="AZ64" i="2"/>
  <c r="AZ63" i="2"/>
  <c r="AY65" i="2"/>
  <c r="AY64" i="2"/>
  <c r="AY63" i="2"/>
  <c r="AX64" i="2"/>
  <c r="AX63" i="2"/>
  <c r="AW65" i="2"/>
  <c r="AW64" i="2"/>
  <c r="AW63" i="2"/>
  <c r="AV64" i="2"/>
  <c r="AV63" i="2"/>
  <c r="AT63" i="2"/>
  <c r="AV18" i="2"/>
  <c r="AV34" i="2" s="1"/>
  <c r="AW36" i="2" s="1"/>
  <c r="AU63" i="2"/>
  <c r="AT64" i="2"/>
  <c r="AS65" i="2"/>
  <c r="AS64" i="2"/>
  <c r="AS63" i="2"/>
  <c r="AR66" i="2"/>
  <c r="AR65" i="2"/>
  <c r="AR64" i="2"/>
  <c r="AR63" i="2"/>
  <c r="AQ65" i="2"/>
  <c r="AQ64" i="2"/>
  <c r="AQ63" i="2"/>
  <c r="AP64" i="2"/>
  <c r="AP63" i="2"/>
  <c r="AO65" i="2"/>
  <c r="AO64" i="2"/>
  <c r="AO63" i="2"/>
  <c r="AN66" i="2"/>
  <c r="AN65" i="2"/>
  <c r="AN64" i="2"/>
  <c r="AN63" i="2"/>
  <c r="AM65" i="2"/>
  <c r="AM64" i="2"/>
  <c r="AM63" i="2"/>
  <c r="AL66" i="2"/>
  <c r="AL65" i="2"/>
  <c r="AL64" i="2"/>
  <c r="AL63" i="2"/>
  <c r="AK67" i="2"/>
  <c r="AK66" i="2"/>
  <c r="AK65" i="2"/>
  <c r="AK64" i="2"/>
  <c r="AK63" i="2"/>
  <c r="AJ67" i="2"/>
  <c r="AJ66" i="2"/>
  <c r="AJ65" i="2"/>
  <c r="AJ64" i="2"/>
  <c r="AJ63" i="2"/>
  <c r="AI66" i="2"/>
  <c r="AI65" i="2"/>
  <c r="AI64" i="2"/>
  <c r="AI63" i="2"/>
  <c r="AH65" i="2"/>
  <c r="AH64" i="2"/>
  <c r="AH63" i="2"/>
  <c r="AG66" i="2"/>
  <c r="AG65" i="2"/>
  <c r="AG64" i="2"/>
  <c r="AG63" i="2"/>
  <c r="AF65" i="2"/>
  <c r="AF64" i="2"/>
  <c r="AF63" i="2"/>
  <c r="AE64" i="2"/>
  <c r="AE63" i="2"/>
  <c r="AD65" i="2"/>
  <c r="AD64" i="2"/>
  <c r="AD63" i="2"/>
  <c r="AC66" i="2"/>
  <c r="AC65" i="2"/>
  <c r="AC64" i="2"/>
  <c r="AC63" i="2"/>
  <c r="AB65" i="2"/>
  <c r="AB64" i="2"/>
  <c r="AB63" i="2"/>
  <c r="AA64" i="2"/>
  <c r="AA63" i="2"/>
  <c r="Z63" i="2"/>
  <c r="Y64" i="2"/>
  <c r="Y63" i="2"/>
  <c r="X65" i="2"/>
  <c r="X64" i="2"/>
  <c r="X63" i="2"/>
  <c r="W64" i="2"/>
  <c r="W63" i="2"/>
  <c r="V65" i="2"/>
  <c r="V64" i="2"/>
  <c r="V63" i="2"/>
  <c r="U63" i="2"/>
  <c r="U66" i="2"/>
  <c r="U65" i="2"/>
  <c r="U64" i="2"/>
  <c r="T65" i="2"/>
  <c r="T64" i="2"/>
  <c r="T63" i="2"/>
  <c r="S64" i="2"/>
  <c r="S63" i="2"/>
  <c r="R63" i="2"/>
  <c r="Q64" i="2"/>
  <c r="Q63" i="2"/>
  <c r="P63" i="2"/>
  <c r="N63" i="2"/>
  <c r="M64" i="2"/>
  <c r="M63" i="2"/>
  <c r="L65" i="2"/>
  <c r="L64" i="2"/>
  <c r="L63" i="2"/>
  <c r="K64" i="2"/>
  <c r="K63" i="2"/>
  <c r="J63" i="2"/>
  <c r="I64" i="2"/>
  <c r="I63" i="2"/>
  <c r="H65" i="2"/>
  <c r="H64" i="2"/>
  <c r="H63" i="2"/>
  <c r="G64" i="2"/>
  <c r="G63" i="2"/>
  <c r="F65" i="2"/>
  <c r="F64" i="2"/>
  <c r="F63" i="2"/>
  <c r="E66" i="2"/>
  <c r="E65" i="2"/>
  <c r="E64" i="2"/>
  <c r="V18" i="2"/>
  <c r="V34" i="2" s="1"/>
  <c r="V36" i="2" s="1"/>
  <c r="U18" i="2"/>
  <c r="U34" i="2" s="1"/>
  <c r="U36" i="2" s="1"/>
  <c r="T18" i="2"/>
  <c r="T34" i="2" s="1"/>
  <c r="T36" i="2" s="1"/>
  <c r="S18" i="2"/>
  <c r="S34" i="2" s="1"/>
  <c r="S36" i="2" s="1"/>
  <c r="R18" i="2"/>
  <c r="R34" i="2" s="1"/>
  <c r="R36" i="2" s="1"/>
  <c r="Q18" i="2"/>
  <c r="Q34" i="2" s="1"/>
  <c r="Q36" i="2" s="1"/>
  <c r="P18" i="2"/>
  <c r="P34" i="2" s="1"/>
  <c r="P36" i="2" s="1"/>
  <c r="O18" i="2"/>
  <c r="O34" i="2" s="1"/>
  <c r="O36" i="2" s="1"/>
  <c r="N18" i="2"/>
  <c r="N34" i="2" s="1"/>
  <c r="N36" i="2" s="1"/>
  <c r="M18" i="2"/>
  <c r="M34" i="2" s="1"/>
  <c r="M36" i="2" s="1"/>
  <c r="L18" i="2"/>
  <c r="L34" i="2" s="1"/>
  <c r="L36" i="2" s="1"/>
  <c r="K18" i="2"/>
  <c r="K34" i="2" s="1"/>
  <c r="K36" i="2" s="1"/>
  <c r="J18" i="2"/>
  <c r="J34" i="2" s="1"/>
  <c r="J36" i="2" s="1"/>
  <c r="I18" i="2"/>
  <c r="I34" i="2" s="1"/>
  <c r="I36" i="2" s="1"/>
  <c r="H18" i="2"/>
  <c r="H34" i="2" s="1"/>
  <c r="H36" i="2" s="1"/>
  <c r="G18" i="2"/>
  <c r="G34" i="2" s="1"/>
  <c r="G36" i="2" s="1"/>
  <c r="F18" i="2"/>
  <c r="F34" i="2" s="1"/>
  <c r="F36" i="2" s="1"/>
  <c r="AU18" i="2"/>
  <c r="AU34" i="2" s="1"/>
  <c r="AV36" i="2" s="1"/>
  <c r="AT18" i="2"/>
  <c r="AT34" i="2" s="1"/>
  <c r="AU36" i="2" s="1"/>
  <c r="AS18" i="2"/>
  <c r="AS34" i="2" s="1"/>
  <c r="AT36" i="2" s="1"/>
  <c r="AR18" i="2"/>
  <c r="AR34" i="2" s="1"/>
  <c r="AS36" i="2" s="1"/>
  <c r="AQ18" i="2"/>
  <c r="AQ34" i="2" s="1"/>
  <c r="AR36" i="2" s="1"/>
  <c r="AP18" i="2"/>
  <c r="AP34" i="2" s="1"/>
  <c r="AQ36" i="2" s="1"/>
  <c r="AO18" i="2"/>
  <c r="AO34" i="2" s="1"/>
  <c r="AP36" i="2" s="1"/>
  <c r="AN18" i="2"/>
  <c r="AN34" i="2" s="1"/>
  <c r="AO36" i="2" s="1"/>
  <c r="AM18" i="2"/>
  <c r="AM34" i="2" s="1"/>
  <c r="AN36" i="2" s="1"/>
  <c r="AL18" i="2"/>
  <c r="AL34" i="2" s="1"/>
  <c r="AM36" i="2" s="1"/>
  <c r="AK18" i="2"/>
  <c r="AK34" i="2" s="1"/>
  <c r="AL36" i="2" s="1"/>
  <c r="AJ18" i="2"/>
  <c r="AJ34" i="2" s="1"/>
  <c r="AK36" i="2" s="1"/>
  <c r="AI18" i="2"/>
  <c r="AI34" i="2" s="1"/>
  <c r="AJ36" i="2" s="1"/>
  <c r="AH18" i="2"/>
  <c r="AH34" i="2" s="1"/>
  <c r="AI36" i="2" s="1"/>
  <c r="AG18" i="2"/>
  <c r="AG34" i="2" s="1"/>
  <c r="AH36" i="2" s="1"/>
  <c r="AF18" i="2"/>
  <c r="AF34" i="2" s="1"/>
  <c r="AG36" i="2" s="1"/>
  <c r="AE18" i="2"/>
  <c r="AE34" i="2" s="1"/>
  <c r="AF36" i="2" s="1"/>
  <c r="AD18" i="2"/>
  <c r="AD34" i="2" s="1"/>
  <c r="AE36" i="2" s="1"/>
  <c r="AC18" i="2"/>
  <c r="AC34" i="2" s="1"/>
  <c r="AD36" i="2" s="1"/>
  <c r="AB18" i="2"/>
  <c r="AB34" i="2" s="1"/>
  <c r="AC36" i="2" s="1"/>
  <c r="AA18" i="2"/>
  <c r="AA34" i="2" s="1"/>
  <c r="AA36" i="2" s="1"/>
  <c r="Z18" i="2"/>
  <c r="Z34" i="2" s="1"/>
  <c r="Z36" i="2" s="1"/>
  <c r="Y18" i="2"/>
  <c r="Y34" i="2" s="1"/>
  <c r="Y36" i="2" s="1"/>
  <c r="X18" i="2"/>
  <c r="X34" i="2" s="1"/>
  <c r="X36" i="2" s="1"/>
  <c r="W18" i="2"/>
  <c r="W34" i="2" s="1"/>
  <c r="W36" i="2" s="1"/>
  <c r="BV18" i="2"/>
  <c r="BV34" i="2" s="1"/>
  <c r="BW36" i="2" s="1"/>
  <c r="BU18" i="2"/>
  <c r="BU34" i="2" s="1"/>
  <c r="BV36" i="2" s="1"/>
  <c r="BT18" i="2"/>
  <c r="BT34" i="2" s="1"/>
  <c r="BU36" i="2" s="1"/>
  <c r="BS18" i="2"/>
  <c r="BS34" i="2" s="1"/>
  <c r="BT36" i="2" s="1"/>
  <c r="BR18" i="2"/>
  <c r="BR34" i="2" s="1"/>
  <c r="BS36" i="2" s="1"/>
  <c r="BQ18" i="2"/>
  <c r="BQ34" i="2" s="1"/>
  <c r="BR36" i="2" s="1"/>
  <c r="BP18" i="2"/>
  <c r="BP34" i="2" s="1"/>
  <c r="BQ36" i="2" s="1"/>
  <c r="BO18" i="2"/>
  <c r="BO34" i="2" s="1"/>
  <c r="BP36" i="2" s="1"/>
  <c r="BN18" i="2"/>
  <c r="BN34" i="2" s="1"/>
  <c r="BO36" i="2" s="1"/>
  <c r="BM18" i="2"/>
  <c r="BM34" i="2" s="1"/>
  <c r="BN36" i="2" s="1"/>
  <c r="BL18" i="2"/>
  <c r="BL34" i="2" s="1"/>
  <c r="BM36" i="2" s="1"/>
  <c r="BK18" i="2"/>
  <c r="BK34" i="2" s="1"/>
  <c r="BL36" i="2" s="1"/>
  <c r="BJ18" i="2"/>
  <c r="BJ34" i="2" s="1"/>
  <c r="BK36" i="2" s="1"/>
  <c r="BI18" i="2"/>
  <c r="BI34" i="2" s="1"/>
  <c r="BJ36" i="2" s="1"/>
  <c r="BH18" i="2"/>
  <c r="BH34" i="2" s="1"/>
  <c r="BI36" i="2" s="1"/>
  <c r="BG18" i="2"/>
  <c r="BG34" i="2" s="1"/>
  <c r="BH36" i="2" s="1"/>
  <c r="BF18" i="2"/>
  <c r="BF34" i="2" s="1"/>
  <c r="BG36" i="2" s="1"/>
  <c r="BE18" i="2"/>
  <c r="BE34" i="2" s="1"/>
  <c r="BF36" i="2" s="1"/>
  <c r="BD18" i="2"/>
  <c r="BD34" i="2" s="1"/>
  <c r="BE36" i="2" s="1"/>
  <c r="BC18" i="2"/>
  <c r="BC34" i="2" s="1"/>
  <c r="BD36" i="2" s="1"/>
  <c r="BB18" i="2"/>
  <c r="BB34" i="2" s="1"/>
  <c r="BC36" i="2" s="1"/>
  <c r="BA18" i="2"/>
  <c r="BA34" i="2" s="1"/>
  <c r="BB36" i="2" s="1"/>
  <c r="AZ18" i="2"/>
  <c r="AZ34" i="2" s="1"/>
  <c r="BA36" i="2" s="1"/>
  <c r="AY18" i="2"/>
  <c r="AY34" i="2" s="1"/>
  <c r="AZ36" i="2" s="1"/>
  <c r="AX18" i="2"/>
  <c r="AX34" i="2" s="1"/>
  <c r="AY36" i="2" s="1"/>
  <c r="AW18" i="2"/>
  <c r="AW34" i="2" s="1"/>
  <c r="AX36" i="2" s="1"/>
  <c r="CV18" i="2"/>
  <c r="CV34" i="2" s="1"/>
  <c r="CW36" i="2" s="1"/>
  <c r="CU18" i="2"/>
  <c r="CU34" i="2" s="1"/>
  <c r="CV36" i="2" s="1"/>
  <c r="CT18" i="2"/>
  <c r="CT34" i="2" s="1"/>
  <c r="CU36" i="2" s="1"/>
  <c r="CS18" i="2"/>
  <c r="CS34" i="2" s="1"/>
  <c r="CT36" i="2" s="1"/>
  <c r="CR18" i="2"/>
  <c r="CR34" i="2" s="1"/>
  <c r="CS36" i="2" s="1"/>
  <c r="CQ18" i="2"/>
  <c r="CQ34" i="2" s="1"/>
  <c r="CR36" i="2" s="1"/>
  <c r="CP18" i="2"/>
  <c r="CP34" i="2" s="1"/>
  <c r="CQ36" i="2" s="1"/>
  <c r="CO18" i="2"/>
  <c r="CO34" i="2" s="1"/>
  <c r="CP36" i="2" s="1"/>
  <c r="CN18" i="2"/>
  <c r="CN34" i="2" s="1"/>
  <c r="CO36" i="2" s="1"/>
  <c r="CM18" i="2"/>
  <c r="CM34" i="2" s="1"/>
  <c r="CN36" i="2" s="1"/>
  <c r="CL18" i="2"/>
  <c r="CL34" i="2" s="1"/>
  <c r="CM36" i="2" s="1"/>
  <c r="CK18" i="2"/>
  <c r="CK34" i="2" s="1"/>
  <c r="CL36" i="2" s="1"/>
  <c r="CJ18" i="2"/>
  <c r="CJ34" i="2" s="1"/>
  <c r="CK36" i="2" s="1"/>
  <c r="CI18" i="2"/>
  <c r="CI34" i="2" s="1"/>
  <c r="CJ36" i="2" s="1"/>
  <c r="CH18" i="2"/>
  <c r="CH34" i="2" s="1"/>
  <c r="CI36" i="2" s="1"/>
  <c r="CG18" i="2"/>
  <c r="CG34" i="2" s="1"/>
  <c r="CH36" i="2" s="1"/>
  <c r="CF18" i="2"/>
  <c r="CF34" i="2" s="1"/>
  <c r="CG36" i="2" s="1"/>
  <c r="CE18" i="2"/>
  <c r="CE34" i="2" s="1"/>
  <c r="CF36" i="2" s="1"/>
  <c r="CD18" i="2"/>
  <c r="CD34" i="2" s="1"/>
  <c r="CE36" i="2" s="1"/>
  <c r="CC18" i="2"/>
  <c r="CC34" i="2" s="1"/>
  <c r="CD36" i="2" s="1"/>
  <c r="CB18" i="2"/>
  <c r="CB34" i="2" s="1"/>
  <c r="CC36" i="2" s="1"/>
  <c r="CA18" i="2"/>
  <c r="CA34" i="2" s="1"/>
  <c r="CB36" i="2" s="1"/>
  <c r="BZ18" i="2"/>
  <c r="BZ34" i="2" s="1"/>
  <c r="CA36" i="2" s="1"/>
  <c r="BY18" i="2"/>
  <c r="BY34" i="2" s="1"/>
  <c r="BZ36" i="2" s="1"/>
  <c r="BX18" i="2"/>
  <c r="BX34" i="2" s="1"/>
  <c r="BY36" i="2" s="1"/>
  <c r="BW18" i="2"/>
  <c r="BW34" i="2" s="1"/>
  <c r="BX36" i="2" s="1"/>
  <c r="DV18" i="2"/>
  <c r="DV34" i="2" s="1"/>
  <c r="DW36" i="2" s="1"/>
  <c r="DU18" i="2"/>
  <c r="DU34" i="2" s="1"/>
  <c r="DV36" i="2" s="1"/>
  <c r="DT18" i="2"/>
  <c r="DT34" i="2" s="1"/>
  <c r="DU36" i="2" s="1"/>
  <c r="DS18" i="2"/>
  <c r="DS34" i="2" s="1"/>
  <c r="DT36" i="2" s="1"/>
  <c r="DR18" i="2"/>
  <c r="DR34" i="2" s="1"/>
  <c r="DS36" i="2" s="1"/>
  <c r="DQ18" i="2"/>
  <c r="DQ34" i="2" s="1"/>
  <c r="DR36" i="2" s="1"/>
  <c r="DP18" i="2"/>
  <c r="DP34" i="2" s="1"/>
  <c r="DQ36" i="2" s="1"/>
  <c r="DO18" i="2"/>
  <c r="DO34" i="2" s="1"/>
  <c r="DP36" i="2" s="1"/>
  <c r="DN18" i="2"/>
  <c r="DN34" i="2" s="1"/>
  <c r="DO36" i="2" s="1"/>
  <c r="DM18" i="2"/>
  <c r="DM34" i="2" s="1"/>
  <c r="DN36" i="2" s="1"/>
  <c r="DL18" i="2"/>
  <c r="DL34" i="2" s="1"/>
  <c r="DM36" i="2" s="1"/>
  <c r="DK18" i="2"/>
  <c r="DK34" i="2" s="1"/>
  <c r="DL36" i="2" s="1"/>
  <c r="DJ18" i="2"/>
  <c r="DJ34" i="2" s="1"/>
  <c r="DK36" i="2" s="1"/>
  <c r="DI18" i="2"/>
  <c r="DI34" i="2" s="1"/>
  <c r="DJ36" i="2" s="1"/>
  <c r="DH18" i="2"/>
  <c r="DH34" i="2" s="1"/>
  <c r="DI36" i="2" s="1"/>
  <c r="DG18" i="2"/>
  <c r="DG34" i="2" s="1"/>
  <c r="DH36" i="2" s="1"/>
  <c r="DF18" i="2"/>
  <c r="DF34" i="2" s="1"/>
  <c r="DG36" i="2" s="1"/>
  <c r="DE18" i="2"/>
  <c r="DE34" i="2" s="1"/>
  <c r="DF36" i="2" s="1"/>
  <c r="DD18" i="2"/>
  <c r="DD34" i="2" s="1"/>
  <c r="DE36" i="2" s="1"/>
  <c r="DC18" i="2"/>
  <c r="DC34" i="2" s="1"/>
  <c r="DD36" i="2" s="1"/>
  <c r="DB18" i="2"/>
  <c r="DB34" i="2" s="1"/>
  <c r="DC36" i="2" s="1"/>
  <c r="DA18" i="2"/>
  <c r="DA34" i="2" s="1"/>
  <c r="DB36" i="2" s="1"/>
  <c r="CZ18" i="2"/>
  <c r="CZ34" i="2" s="1"/>
  <c r="DA36" i="2" s="1"/>
  <c r="CY18" i="2"/>
  <c r="CY34" i="2" s="1"/>
  <c r="CZ36" i="2" s="1"/>
  <c r="CX18" i="2"/>
  <c r="CX34" i="2" s="1"/>
  <c r="CY36" i="2" s="1"/>
  <c r="CW18" i="2"/>
  <c r="CW34" i="2" s="1"/>
  <c r="CX36" i="2" s="1"/>
  <c r="EV34" i="2"/>
  <c r="EX36" i="2" s="1"/>
  <c r="EU34" i="2"/>
  <c r="EW36" i="2" s="1"/>
  <c r="ET34" i="2"/>
  <c r="EV36" i="2" s="1"/>
  <c r="ES34" i="2"/>
  <c r="EU36" i="2" s="1"/>
  <c r="ER18" i="2"/>
  <c r="ER34" i="2" s="1"/>
  <c r="ET36" i="2" s="1"/>
  <c r="EQ18" i="2"/>
  <c r="EQ34" i="2" s="1"/>
  <c r="ES36" i="2" s="1"/>
  <c r="EP18" i="2"/>
  <c r="EP34" i="2" s="1"/>
  <c r="ER36" i="2" s="1"/>
  <c r="EO18" i="2"/>
  <c r="EO34" i="2" s="1"/>
  <c r="EQ36" i="2" s="1"/>
  <c r="EN18" i="2"/>
  <c r="EN34" i="2" s="1"/>
  <c r="EP36" i="2" s="1"/>
  <c r="EM18" i="2"/>
  <c r="EM34" i="2" s="1"/>
  <c r="EO36" i="2" s="1"/>
  <c r="EL18" i="2"/>
  <c r="EL34" i="2" s="1"/>
  <c r="EN36" i="2" s="1"/>
  <c r="EK18" i="2"/>
  <c r="EK34" i="2" s="1"/>
  <c r="EL36" i="2" s="1"/>
  <c r="EJ18" i="2"/>
  <c r="EJ34" i="2" s="1"/>
  <c r="EK36" i="2" s="1"/>
  <c r="EI18" i="2"/>
  <c r="EI34" i="2" s="1"/>
  <c r="EJ36" i="2" s="1"/>
  <c r="EH18" i="2"/>
  <c r="EH34" i="2" s="1"/>
  <c r="EI36" i="2" s="1"/>
  <c r="EG18" i="2"/>
  <c r="EG34" i="2" s="1"/>
  <c r="EH36" i="2" s="1"/>
  <c r="EF18" i="2"/>
  <c r="EF34" i="2" s="1"/>
  <c r="EG36" i="2" s="1"/>
  <c r="EE18" i="2"/>
  <c r="EE34" i="2" s="1"/>
  <c r="EF36" i="2" s="1"/>
  <c r="ED18" i="2"/>
  <c r="ED34" i="2" s="1"/>
  <c r="EE36" i="2" s="1"/>
  <c r="EC18" i="2"/>
  <c r="EC34" i="2" s="1"/>
  <c r="ED36" i="2" s="1"/>
  <c r="EB18" i="2"/>
  <c r="EB34" i="2" s="1"/>
  <c r="EC36" i="2" s="1"/>
  <c r="EA18" i="2"/>
  <c r="EA34" i="2" s="1"/>
  <c r="EB36" i="2" s="1"/>
  <c r="DZ18" i="2"/>
  <c r="DZ34" i="2" s="1"/>
  <c r="EA36" i="2" s="1"/>
  <c r="DY18" i="2"/>
  <c r="DY34" i="2" s="1"/>
  <c r="DZ36" i="2" s="1"/>
  <c r="DX18" i="2"/>
  <c r="DX34" i="2" s="1"/>
  <c r="DY36" i="2" s="1"/>
  <c r="DW18" i="2"/>
  <c r="DW34" i="2" s="1"/>
  <c r="DX36" i="2" s="1"/>
  <c r="JR18" i="2"/>
  <c r="FV34" i="2" s="1"/>
  <c r="FX36" i="2" s="1"/>
  <c r="JQ18" i="2"/>
  <c r="FU34" i="2" s="1"/>
  <c r="FW36" i="2" s="1"/>
  <c r="JP18" i="2"/>
  <c r="FT34" i="2" s="1"/>
  <c r="FV36" i="2" s="1"/>
  <c r="JO18" i="2"/>
  <c r="FS34" i="2" s="1"/>
  <c r="FU36" i="2" s="1"/>
  <c r="JN18" i="2"/>
  <c r="FR34" i="2" s="1"/>
  <c r="FT36" i="2" s="1"/>
  <c r="JM18" i="2"/>
  <c r="FQ34" i="2" s="1"/>
  <c r="FS36" i="2" s="1"/>
  <c r="JL18" i="2"/>
  <c r="FP34" i="2" s="1"/>
  <c r="FR36" i="2" s="1"/>
  <c r="JK18" i="2"/>
  <c r="FO34" i="2" s="1"/>
  <c r="FQ36" i="2" s="1"/>
  <c r="JJ18" i="2"/>
  <c r="FN34" i="2" s="1"/>
  <c r="FP36" i="2" s="1"/>
  <c r="JI18" i="2"/>
  <c r="FM34" i="2" s="1"/>
  <c r="FO36" i="2" s="1"/>
  <c r="JH18" i="2"/>
  <c r="FL34" i="2" s="1"/>
  <c r="FN36" i="2" s="1"/>
  <c r="JG18" i="2"/>
  <c r="FK34" i="2" s="1"/>
  <c r="FM36" i="2" s="1"/>
  <c r="JF18" i="2"/>
  <c r="FJ34" i="2" s="1"/>
  <c r="FL36" i="2" s="1"/>
  <c r="JE18" i="2"/>
  <c r="FI34" i="2" s="1"/>
  <c r="FK36" i="2" s="1"/>
  <c r="JD18" i="2"/>
  <c r="FH34" i="2" s="1"/>
  <c r="FJ36" i="2" s="1"/>
  <c r="JC18" i="2"/>
  <c r="FG34" i="2" s="1"/>
  <c r="FI36" i="2" s="1"/>
  <c r="JB18" i="2"/>
  <c r="FF34" i="2" s="1"/>
  <c r="FH36" i="2" s="1"/>
  <c r="JA18" i="2"/>
  <c r="FE34" i="2" s="1"/>
  <c r="FG36" i="2" s="1"/>
  <c r="IZ18" i="2"/>
  <c r="FD34" i="2" s="1"/>
  <c r="FF36" i="2" s="1"/>
  <c r="IY18" i="2"/>
  <c r="FC34" i="2" s="1"/>
  <c r="FE36" i="2" s="1"/>
  <c r="IX18" i="2"/>
  <c r="FB34" i="2" s="1"/>
  <c r="FD36" i="2" s="1"/>
  <c r="IW18" i="2"/>
  <c r="FA34" i="2" s="1"/>
  <c r="FC36" i="2" s="1"/>
  <c r="IV18" i="2"/>
  <c r="EZ34" i="2" s="1"/>
  <c r="FB36" i="2" s="1"/>
  <c r="IU18" i="2"/>
  <c r="EY34" i="2" s="1"/>
  <c r="FA36" i="2" s="1"/>
  <c r="EX34" i="2"/>
  <c r="EZ36" i="2" s="1"/>
  <c r="EW34" i="2"/>
  <c r="EY36" i="2" s="1"/>
  <c r="JS18" i="2"/>
  <c r="FW34" i="2" s="1"/>
  <c r="FY36" i="2" s="1"/>
  <c r="KR18" i="2"/>
  <c r="GV34" i="2" s="1"/>
  <c r="GX36" i="2" s="1"/>
  <c r="KQ18" i="2"/>
  <c r="GU34" i="2" s="1"/>
  <c r="GW36" i="2" s="1"/>
  <c r="KP18" i="2"/>
  <c r="GT34" i="2" s="1"/>
  <c r="GV36" i="2" s="1"/>
  <c r="KO18" i="2"/>
  <c r="GS34" i="2" s="1"/>
  <c r="GU36" i="2" s="1"/>
  <c r="KN18" i="2"/>
  <c r="GR34" i="2" s="1"/>
  <c r="GT36" i="2" s="1"/>
  <c r="KM18" i="2"/>
  <c r="GQ34" i="2" s="1"/>
  <c r="GS36" i="2" s="1"/>
  <c r="KL18" i="2"/>
  <c r="GP34" i="2" s="1"/>
  <c r="GR36" i="2" s="1"/>
  <c r="KK18" i="2"/>
  <c r="GO34" i="2" s="1"/>
  <c r="GQ36" i="2" s="1"/>
  <c r="KJ18" i="2"/>
  <c r="GN34" i="2" s="1"/>
  <c r="GP36" i="2" s="1"/>
  <c r="KI18" i="2"/>
  <c r="GM34" i="2" s="1"/>
  <c r="GO36" i="2" s="1"/>
  <c r="KH18" i="2"/>
  <c r="GL34" i="2" s="1"/>
  <c r="GN36" i="2" s="1"/>
  <c r="KG18" i="2"/>
  <c r="GK34" i="2" s="1"/>
  <c r="GM36" i="2" s="1"/>
  <c r="KF18" i="2"/>
  <c r="GJ34" i="2" s="1"/>
  <c r="GL36" i="2" s="1"/>
  <c r="KE18" i="2"/>
  <c r="GI34" i="2" s="1"/>
  <c r="GK36" i="2" s="1"/>
  <c r="KD18" i="2"/>
  <c r="GH34" i="2" s="1"/>
  <c r="GJ36" i="2" s="1"/>
  <c r="KC18" i="2"/>
  <c r="GG34" i="2" s="1"/>
  <c r="GI36" i="2" s="1"/>
  <c r="KB18" i="2"/>
  <c r="GF34" i="2" s="1"/>
  <c r="GH36" i="2" s="1"/>
  <c r="KA18" i="2"/>
  <c r="GE34" i="2" s="1"/>
  <c r="GG36" i="2" s="1"/>
  <c r="JZ18" i="2"/>
  <c r="GD34" i="2" s="1"/>
  <c r="GF36" i="2" s="1"/>
  <c r="JY18" i="2"/>
  <c r="GC34" i="2" s="1"/>
  <c r="GE36" i="2" s="1"/>
  <c r="JX18" i="2"/>
  <c r="GB34" i="2" s="1"/>
  <c r="GD36" i="2" s="1"/>
  <c r="JW18" i="2"/>
  <c r="JV18" i="2"/>
  <c r="FZ34" i="2" s="1"/>
  <c r="GB36" i="2" s="1"/>
  <c r="JU18" i="2"/>
  <c r="FY34" i="2" s="1"/>
  <c r="GA36" i="2" s="1"/>
  <c r="JT18" i="2"/>
  <c r="FX34" i="2" s="1"/>
  <c r="FZ36" i="2" s="1"/>
  <c r="LR18" i="2"/>
  <c r="HV34" i="2" s="1"/>
  <c r="HX36" i="2" s="1"/>
  <c r="LQ18" i="2"/>
  <c r="HU34" i="2" s="1"/>
  <c r="HW36" i="2" s="1"/>
  <c r="LP18" i="2"/>
  <c r="HT34" i="2" s="1"/>
  <c r="HV36" i="2" s="1"/>
  <c r="LO18" i="2"/>
  <c r="HS34" i="2" s="1"/>
  <c r="HU36" i="2" s="1"/>
  <c r="LN18" i="2"/>
  <c r="HR34" i="2" s="1"/>
  <c r="HT36" i="2" s="1"/>
  <c r="LM18" i="2"/>
  <c r="HQ34" i="2" s="1"/>
  <c r="HS36" i="2" s="1"/>
  <c r="LL18" i="2"/>
  <c r="HP34" i="2" s="1"/>
  <c r="HR36" i="2" s="1"/>
  <c r="LK18" i="2"/>
  <c r="HO34" i="2" s="1"/>
  <c r="HQ36" i="2" s="1"/>
  <c r="LJ18" i="2"/>
  <c r="HN34" i="2" s="1"/>
  <c r="HP36" i="2" s="1"/>
  <c r="LI18" i="2"/>
  <c r="HM34" i="2" s="1"/>
  <c r="HO36" i="2" s="1"/>
  <c r="LH18" i="2"/>
  <c r="HL34" i="2" s="1"/>
  <c r="HN36" i="2" s="1"/>
  <c r="LG18" i="2"/>
  <c r="HK34" i="2" s="1"/>
  <c r="HM36" i="2" s="1"/>
  <c r="LF18" i="2"/>
  <c r="HJ34" i="2" s="1"/>
  <c r="HL36" i="2" s="1"/>
  <c r="LE18" i="2"/>
  <c r="HI34" i="2" s="1"/>
  <c r="HK36" i="2" s="1"/>
  <c r="LD18" i="2"/>
  <c r="HH34" i="2" s="1"/>
  <c r="HJ36" i="2" s="1"/>
  <c r="LC18" i="2"/>
  <c r="HG34" i="2" s="1"/>
  <c r="HI36" i="2" s="1"/>
  <c r="LB18" i="2"/>
  <c r="HF34" i="2" s="1"/>
  <c r="HH36" i="2" s="1"/>
  <c r="LA18" i="2"/>
  <c r="HE34" i="2" s="1"/>
  <c r="HG36" i="2" s="1"/>
  <c r="KZ18" i="2"/>
  <c r="HD34" i="2" s="1"/>
  <c r="HF36" i="2" s="1"/>
  <c r="KY18" i="2"/>
  <c r="HC34" i="2" s="1"/>
  <c r="HE36" i="2" s="1"/>
  <c r="KX18" i="2"/>
  <c r="HB34" i="2" s="1"/>
  <c r="HD36" i="2" s="1"/>
  <c r="KW18" i="2"/>
  <c r="HA34" i="2" s="1"/>
  <c r="HC36" i="2" s="1"/>
  <c r="KV18" i="2"/>
  <c r="GZ34" i="2" s="1"/>
  <c r="HB36" i="2" s="1"/>
  <c r="KU18" i="2"/>
  <c r="GY34" i="2" s="1"/>
  <c r="HA36" i="2" s="1"/>
  <c r="KT18" i="2"/>
  <c r="GX34" i="2" s="1"/>
  <c r="GZ36" i="2" s="1"/>
  <c r="KS18" i="2"/>
  <c r="GW34" i="2" s="1"/>
  <c r="GY36" i="2" s="1"/>
  <c r="MR18" i="2"/>
  <c r="IV34" i="2" s="1"/>
  <c r="IX36" i="2" s="1"/>
  <c r="MQ18" i="2"/>
  <c r="IU34" i="2" s="1"/>
  <c r="IW36" i="2" s="1"/>
  <c r="MP18" i="2"/>
  <c r="IT34" i="2" s="1"/>
  <c r="IV36" i="2" s="1"/>
  <c r="MO18" i="2"/>
  <c r="IS34" i="2" s="1"/>
  <c r="IU36" i="2" s="1"/>
  <c r="MN18" i="2"/>
  <c r="IR34" i="2" s="1"/>
  <c r="IT36" i="2" s="1"/>
  <c r="MM18" i="2"/>
  <c r="IQ34" i="2" s="1"/>
  <c r="IS36" i="2" s="1"/>
  <c r="ML18" i="2"/>
  <c r="IP34" i="2" s="1"/>
  <c r="IR36" i="2" s="1"/>
  <c r="MK18" i="2"/>
  <c r="IO34" i="2" s="1"/>
  <c r="IQ36" i="2" s="1"/>
  <c r="MJ18" i="2"/>
  <c r="IN34" i="2" s="1"/>
  <c r="IP36" i="2" s="1"/>
  <c r="MI18" i="2"/>
  <c r="IM34" i="2" s="1"/>
  <c r="IO36" i="2" s="1"/>
  <c r="MH18" i="2"/>
  <c r="IL34" i="2" s="1"/>
  <c r="IN36" i="2" s="1"/>
  <c r="MG18" i="2"/>
  <c r="IK34" i="2" s="1"/>
  <c r="IM36" i="2" s="1"/>
  <c r="MF18" i="2"/>
  <c r="IJ34" i="2" s="1"/>
  <c r="IL36" i="2" s="1"/>
  <c r="ME18" i="2"/>
  <c r="II34" i="2" s="1"/>
  <c r="IK36" i="2" s="1"/>
  <c r="MD18" i="2"/>
  <c r="IH34" i="2" s="1"/>
  <c r="IJ36" i="2" s="1"/>
  <c r="MC18" i="2"/>
  <c r="IG34" i="2" s="1"/>
  <c r="II36" i="2" s="1"/>
  <c r="MB18" i="2"/>
  <c r="IF34" i="2" s="1"/>
  <c r="IH36" i="2" s="1"/>
  <c r="MA18" i="2"/>
  <c r="IE34" i="2" s="1"/>
  <c r="IG36" i="2" s="1"/>
  <c r="LZ18" i="2"/>
  <c r="ID34" i="2" s="1"/>
  <c r="IF36" i="2" s="1"/>
  <c r="LY18" i="2"/>
  <c r="IC34" i="2" s="1"/>
  <c r="IE36" i="2" s="1"/>
  <c r="LX18" i="2"/>
  <c r="IB34" i="2" s="1"/>
  <c r="ID36" i="2" s="1"/>
  <c r="LW18" i="2"/>
  <c r="IA34" i="2" s="1"/>
  <c r="IC36" i="2" s="1"/>
  <c r="LV18" i="2"/>
  <c r="HZ34" i="2" s="1"/>
  <c r="IB36" i="2" s="1"/>
  <c r="LU18" i="2"/>
  <c r="HY34" i="2" s="1"/>
  <c r="IA36" i="2" s="1"/>
  <c r="LT18" i="2"/>
  <c r="HX34" i="2" s="1"/>
  <c r="HZ36" i="2" s="1"/>
  <c r="LS18" i="2"/>
  <c r="HW34" i="2" s="1"/>
  <c r="HY36" i="2" s="1"/>
  <c r="NR18" i="2"/>
  <c r="JV34" i="2" s="1"/>
  <c r="JX36" i="2" s="1"/>
  <c r="NQ18" i="2"/>
  <c r="JU34" i="2" s="1"/>
  <c r="JW36" i="2" s="1"/>
  <c r="NP18" i="2"/>
  <c r="JT34" i="2" s="1"/>
  <c r="JV36" i="2" s="1"/>
  <c r="NO18" i="2"/>
  <c r="JS34" i="2" s="1"/>
  <c r="JU36" i="2" s="1"/>
  <c r="NN18" i="2"/>
  <c r="JR34" i="2" s="1"/>
  <c r="JT36" i="2" s="1"/>
  <c r="NM18" i="2"/>
  <c r="JQ34" i="2" s="1"/>
  <c r="JS36" i="2" s="1"/>
  <c r="NL18" i="2"/>
  <c r="JP34" i="2" s="1"/>
  <c r="JR36" i="2" s="1"/>
  <c r="NK18" i="2"/>
  <c r="JO34" i="2" s="1"/>
  <c r="JQ36" i="2" s="1"/>
  <c r="NJ18" i="2"/>
  <c r="JN34" i="2" s="1"/>
  <c r="JP36" i="2" s="1"/>
  <c r="NI18" i="2"/>
  <c r="JM34" i="2" s="1"/>
  <c r="JO36" i="2" s="1"/>
  <c r="NH18" i="2"/>
  <c r="JL34" i="2" s="1"/>
  <c r="JN36" i="2" s="1"/>
  <c r="NG18" i="2"/>
  <c r="JK34" i="2" s="1"/>
  <c r="JM36" i="2" s="1"/>
  <c r="NF18" i="2"/>
  <c r="JJ34" i="2" s="1"/>
  <c r="JL36" i="2" s="1"/>
  <c r="NE18" i="2"/>
  <c r="JI34" i="2" s="1"/>
  <c r="JK36" i="2" s="1"/>
  <c r="ND18" i="2"/>
  <c r="JH34" i="2" s="1"/>
  <c r="JJ36" i="2" s="1"/>
  <c r="NC18" i="2"/>
  <c r="JG34" i="2" s="1"/>
  <c r="JI36" i="2" s="1"/>
  <c r="NB18" i="2"/>
  <c r="JF34" i="2" s="1"/>
  <c r="JH36" i="2" s="1"/>
  <c r="NA18" i="2"/>
  <c r="JE34" i="2" s="1"/>
  <c r="JG36" i="2" s="1"/>
  <c r="MZ18" i="2"/>
  <c r="JD34" i="2" s="1"/>
  <c r="JF36" i="2" s="1"/>
  <c r="MY18" i="2"/>
  <c r="JC34" i="2" s="1"/>
  <c r="JE36" i="2" s="1"/>
  <c r="MX18" i="2"/>
  <c r="JB34" i="2" s="1"/>
  <c r="JD36" i="2" s="1"/>
  <c r="MW18" i="2"/>
  <c r="JA34" i="2" s="1"/>
  <c r="JC36" i="2" s="1"/>
  <c r="MV18" i="2"/>
  <c r="IZ34" i="2" s="1"/>
  <c r="JB36" i="2" s="1"/>
  <c r="MU18" i="2"/>
  <c r="IY34" i="2" s="1"/>
  <c r="JA36" i="2" s="1"/>
  <c r="MT18" i="2"/>
  <c r="IX34" i="2" s="1"/>
  <c r="IZ36" i="2" s="1"/>
  <c r="MS18" i="2"/>
  <c r="IW34" i="2" s="1"/>
  <c r="IY36" i="2" s="1"/>
  <c r="NS18" i="2"/>
  <c r="OM18" i="2"/>
  <c r="OL18" i="2"/>
  <c r="OK18" i="2"/>
  <c r="OJ18" i="2"/>
  <c r="OI18" i="2"/>
  <c r="OH18" i="2"/>
  <c r="OG18" i="2"/>
  <c r="OF18" i="2"/>
  <c r="OE18" i="2"/>
  <c r="OD18" i="2"/>
  <c r="OC18" i="2"/>
  <c r="OB18" i="2"/>
  <c r="OA18" i="2"/>
  <c r="NZ18" i="2"/>
  <c r="NY18" i="2"/>
  <c r="NX18" i="2"/>
  <c r="NW18" i="2"/>
  <c r="NV18" i="2"/>
  <c r="NU18" i="2"/>
  <c r="NT18" i="2"/>
  <c r="GC36" i="2" l="1"/>
  <c r="GA34" i="2"/>
  <c r="E69" i="2"/>
  <c r="E71" i="2" s="1"/>
  <c r="E73" i="2" s="1"/>
  <c r="E75" i="2" s="1"/>
  <c r="AV69" i="2"/>
  <c r="AV71" i="2" s="1"/>
  <c r="AV73" i="2" s="1"/>
  <c r="AV75" i="2" s="1"/>
  <c r="E18" i="2"/>
  <c r="E34" i="2" s="1"/>
  <c r="E36" i="2" s="1"/>
  <c r="A58" i="2" l="1"/>
  <c r="A46" i="2"/>
  <c r="A45" i="2"/>
  <c r="A52" i="2"/>
  <c r="A51" i="2"/>
  <c r="CP69" i="2"/>
  <c r="CP71" i="2" s="1"/>
  <c r="CP73" i="2" s="1"/>
  <c r="CP75" i="2" s="1"/>
  <c r="CN69" i="2"/>
  <c r="CN71" i="2" s="1"/>
  <c r="CN73" i="2" s="1"/>
  <c r="CN75" i="2" s="1"/>
  <c r="CL69" i="2"/>
  <c r="CL71" i="2" s="1"/>
  <c r="CL73" i="2" s="1"/>
  <c r="CL75" i="2" s="1"/>
  <c r="CJ69" i="2"/>
  <c r="CJ71" i="2" s="1"/>
  <c r="CJ73" i="2" s="1"/>
  <c r="CJ75" i="2" s="1"/>
  <c r="CH69" i="2"/>
  <c r="CH71" i="2" s="1"/>
  <c r="CH73" i="2" s="1"/>
  <c r="CH75" i="2" s="1"/>
  <c r="CF69" i="2"/>
  <c r="CF71" i="2" s="1"/>
  <c r="CF73" i="2" s="1"/>
  <c r="CF75" i="2" s="1"/>
  <c r="CD69" i="2"/>
  <c r="CD71" i="2" s="1"/>
  <c r="CD73" i="2" s="1"/>
  <c r="CD75" i="2" s="1"/>
  <c r="CB69" i="2"/>
  <c r="CB71" i="2" s="1"/>
  <c r="CB73" i="2" s="1"/>
  <c r="CB75" i="2" s="1"/>
  <c r="CA69" i="2"/>
  <c r="CA71" i="2" s="1"/>
  <c r="CA73" i="2" s="1"/>
  <c r="CA75" i="2" s="1"/>
  <c r="BX69" i="2"/>
  <c r="BX71" i="2" s="1"/>
  <c r="BX73" i="2" s="1"/>
  <c r="BX75" i="2" s="1"/>
  <c r="BT69" i="2"/>
  <c r="BT71" i="2" s="1"/>
  <c r="BT73" i="2" s="1"/>
  <c r="BT75" i="2" s="1"/>
  <c r="BP69" i="2"/>
  <c r="BP71" i="2" s="1"/>
  <c r="BP73" i="2" s="1"/>
  <c r="BP75" i="2" s="1"/>
  <c r="BN69" i="2"/>
  <c r="BN71" i="2" s="1"/>
  <c r="BN73" i="2" s="1"/>
  <c r="BN75" i="2" s="1"/>
  <c r="BL69" i="2"/>
  <c r="BL71" i="2" s="1"/>
  <c r="BL73" i="2" s="1"/>
  <c r="BL75" i="2" s="1"/>
  <c r="BK69" i="2"/>
  <c r="BK71" i="2" s="1"/>
  <c r="BK73" i="2" s="1"/>
  <c r="BK75" i="2" s="1"/>
  <c r="BJ69" i="2"/>
  <c r="BJ71" i="2" s="1"/>
  <c r="BJ73" i="2" s="1"/>
  <c r="BJ75" i="2" s="1"/>
  <c r="BH69" i="2"/>
  <c r="BH71" i="2" s="1"/>
  <c r="BH73" i="2" s="1"/>
  <c r="BH75" i="2" s="1"/>
  <c r="BG69" i="2"/>
  <c r="BG71" i="2" s="1"/>
  <c r="BG73" i="2" s="1"/>
  <c r="BG75" i="2" s="1"/>
  <c r="BF69" i="2"/>
  <c r="BF71" i="2" s="1"/>
  <c r="BF73" i="2" s="1"/>
  <c r="BF75" i="2" s="1"/>
  <c r="BE69" i="2"/>
  <c r="BE71" i="2" s="1"/>
  <c r="BE73" i="2" s="1"/>
  <c r="BE75" i="2" s="1"/>
  <c r="BD69" i="2"/>
  <c r="BD71" i="2" s="1"/>
  <c r="BD73" i="2" s="1"/>
  <c r="BD75" i="2" s="1"/>
  <c r="BC69" i="2"/>
  <c r="BC71" i="2" s="1"/>
  <c r="BC73" i="2" s="1"/>
  <c r="BC75" i="2" s="1"/>
  <c r="BB69" i="2"/>
  <c r="BB71" i="2" s="1"/>
  <c r="BB73" i="2" s="1"/>
  <c r="BB75" i="2" s="1"/>
  <c r="AZ69" i="2"/>
  <c r="AZ71" i="2" s="1"/>
  <c r="AZ73" i="2" s="1"/>
  <c r="AZ75" i="2" s="1"/>
  <c r="AX69" i="2"/>
  <c r="AX71" i="2" s="1"/>
  <c r="AX73" i="2" s="1"/>
  <c r="AX75" i="2" s="1"/>
  <c r="AU69" i="2"/>
  <c r="AU71" i="2" s="1"/>
  <c r="AU73" i="2" s="1"/>
  <c r="AU75" i="2" s="1"/>
  <c r="AT69" i="2"/>
  <c r="AT71" i="2" s="1"/>
  <c r="AT73" i="2" s="1"/>
  <c r="AT75" i="2" s="1"/>
  <c r="AR69" i="2"/>
  <c r="AR71" i="2" s="1"/>
  <c r="AR73" i="2" s="1"/>
  <c r="AR75" i="2" s="1"/>
  <c r="AQ69" i="2"/>
  <c r="AQ71" i="2" s="1"/>
  <c r="AQ73" i="2" s="1"/>
  <c r="AQ75" i="2" s="1"/>
  <c r="AP69" i="2"/>
  <c r="AP71" i="2" s="1"/>
  <c r="AP73" i="2" s="1"/>
  <c r="AP75" i="2" s="1"/>
  <c r="AN69" i="2"/>
  <c r="AN71" i="2" s="1"/>
  <c r="AN73" i="2" s="1"/>
  <c r="AN75" i="2" s="1"/>
  <c r="AL69" i="2"/>
  <c r="AL71" i="2" s="1"/>
  <c r="AL73" i="2" s="1"/>
  <c r="AL75" i="2" s="1"/>
  <c r="AJ69" i="2"/>
  <c r="AJ71" i="2" s="1"/>
  <c r="AJ73" i="2" s="1"/>
  <c r="AJ75" i="2" s="1"/>
  <c r="AH69" i="2"/>
  <c r="AH71" i="2" s="1"/>
  <c r="AH73" i="2" s="1"/>
  <c r="AH75" i="2" s="1"/>
  <c r="AF69" i="2"/>
  <c r="AF71" i="2" s="1"/>
  <c r="AF73" i="2" s="1"/>
  <c r="AF75" i="2" s="1"/>
  <c r="AE69" i="2"/>
  <c r="AE71" i="2" s="1"/>
  <c r="AE73" i="2" s="1"/>
  <c r="AE75" i="2" s="1"/>
  <c r="AD69" i="2"/>
  <c r="AD71" i="2" s="1"/>
  <c r="AD73" i="2" s="1"/>
  <c r="AD75" i="2" s="1"/>
  <c r="AB69" i="2"/>
  <c r="AB71" i="2" s="1"/>
  <c r="AB73" i="2" s="1"/>
  <c r="AB75" i="2" s="1"/>
  <c r="AA69" i="2"/>
  <c r="AA71" i="2" s="1"/>
  <c r="AA73" i="2" s="1"/>
  <c r="AA75" i="2" s="1"/>
  <c r="Z69" i="2"/>
  <c r="Z71" i="2" s="1"/>
  <c r="Z73" i="2" s="1"/>
  <c r="Z75" i="2" s="1"/>
  <c r="X69" i="2"/>
  <c r="X71" i="2" s="1"/>
  <c r="X73" i="2" s="1"/>
  <c r="X75" i="2" s="1"/>
  <c r="V69" i="2"/>
  <c r="V71" i="2" s="1"/>
  <c r="V73" i="2" s="1"/>
  <c r="V75" i="2" s="1"/>
  <c r="T69" i="2"/>
  <c r="T71" i="2" s="1"/>
  <c r="T73" i="2" s="1"/>
  <c r="T75" i="2" s="1"/>
  <c r="S69" i="2"/>
  <c r="S71" i="2" s="1"/>
  <c r="S73" i="2" s="1"/>
  <c r="S75" i="2" s="1"/>
  <c r="R69" i="2"/>
  <c r="R71" i="2" s="1"/>
  <c r="R73" i="2" s="1"/>
  <c r="R75" i="2" s="1"/>
  <c r="P69" i="2"/>
  <c r="P71" i="2" s="1"/>
  <c r="P73" i="2" s="1"/>
  <c r="P75" i="2" s="1"/>
  <c r="O69" i="2"/>
  <c r="O71" i="2" s="1"/>
  <c r="O73" i="2" s="1"/>
  <c r="O75" i="2" s="1"/>
  <c r="N69" i="2"/>
  <c r="N71" i="2" s="1"/>
  <c r="N73" i="2" s="1"/>
  <c r="N75" i="2" s="1"/>
  <c r="L69" i="2"/>
  <c r="L71" i="2" s="1"/>
  <c r="L73" i="2" s="1"/>
  <c r="L75" i="2" s="1"/>
  <c r="K69" i="2"/>
  <c r="K71" i="2" s="1"/>
  <c r="K73" i="2" s="1"/>
  <c r="K75" i="2" s="1"/>
  <c r="J69" i="2"/>
  <c r="J71" i="2" s="1"/>
  <c r="J73" i="2" s="1"/>
  <c r="J75" i="2" s="1"/>
  <c r="H69" i="2"/>
  <c r="H71" i="2" s="1"/>
  <c r="H73" i="2" s="1"/>
  <c r="H75" i="2" s="1"/>
  <c r="F69" i="2"/>
  <c r="F71" i="2" s="1"/>
  <c r="F73" i="2" s="1"/>
  <c r="F75" i="2" s="1"/>
  <c r="A57" i="2"/>
  <c r="EC29" i="2"/>
  <c r="U255" i="1"/>
  <c r="T255" i="1"/>
  <c r="U254" i="1"/>
  <c r="T254" i="1"/>
  <c r="U253" i="1"/>
  <c r="T253" i="1"/>
  <c r="U252" i="1"/>
  <c r="T252" i="1"/>
  <c r="U251" i="1"/>
  <c r="T251" i="1"/>
  <c r="U250" i="1"/>
  <c r="T250" i="1"/>
  <c r="U249" i="1"/>
  <c r="T249" i="1"/>
  <c r="U248" i="1"/>
  <c r="T248" i="1"/>
  <c r="U247" i="1"/>
  <c r="T247" i="1"/>
  <c r="U246" i="1"/>
  <c r="T246" i="1"/>
  <c r="U245" i="1"/>
  <c r="T245" i="1"/>
  <c r="U244" i="1"/>
  <c r="T244" i="1"/>
  <c r="U243" i="1"/>
  <c r="T243" i="1"/>
  <c r="U242" i="1"/>
  <c r="T242" i="1"/>
  <c r="U241" i="1"/>
  <c r="T241" i="1"/>
  <c r="U240" i="1"/>
  <c r="T240" i="1"/>
  <c r="U239" i="1"/>
  <c r="T239" i="1"/>
  <c r="U238" i="1"/>
  <c r="T238" i="1"/>
  <c r="U237" i="1"/>
  <c r="T237" i="1"/>
  <c r="U236" i="1"/>
  <c r="T236" i="1"/>
  <c r="U235" i="1"/>
  <c r="T235" i="1"/>
  <c r="U234" i="1"/>
  <c r="T234" i="1"/>
  <c r="U233" i="1"/>
  <c r="T233" i="1"/>
  <c r="U232" i="1"/>
  <c r="T232" i="1"/>
  <c r="U231" i="1"/>
  <c r="T231" i="1"/>
  <c r="U230" i="1"/>
  <c r="T230" i="1"/>
  <c r="U229" i="1"/>
  <c r="T229" i="1"/>
  <c r="U228" i="1"/>
  <c r="T228" i="1"/>
  <c r="U227" i="1"/>
  <c r="T227" i="1"/>
  <c r="U226" i="1"/>
  <c r="T226" i="1"/>
  <c r="U225" i="1"/>
  <c r="T225" i="1"/>
  <c r="U224" i="1"/>
  <c r="T224" i="1"/>
  <c r="U223" i="1"/>
  <c r="T223" i="1"/>
  <c r="U222" i="1"/>
  <c r="T222" i="1"/>
  <c r="U221" i="1"/>
  <c r="T221" i="1"/>
  <c r="U220" i="1"/>
  <c r="T220" i="1"/>
  <c r="U219" i="1"/>
  <c r="T219" i="1"/>
  <c r="U218" i="1"/>
  <c r="T218" i="1"/>
  <c r="U217" i="1"/>
  <c r="T217" i="1"/>
  <c r="U216" i="1"/>
  <c r="T216" i="1"/>
  <c r="U215" i="1"/>
  <c r="T215" i="1"/>
  <c r="U214" i="1"/>
  <c r="T214" i="1"/>
  <c r="U213" i="1"/>
  <c r="T213" i="1"/>
  <c r="U212" i="1"/>
  <c r="T212" i="1"/>
  <c r="U211" i="1"/>
  <c r="T211" i="1"/>
  <c r="U210" i="1"/>
  <c r="T210" i="1"/>
  <c r="U209" i="1"/>
  <c r="T209" i="1"/>
  <c r="U208" i="1"/>
  <c r="T208" i="1"/>
  <c r="U207" i="1"/>
  <c r="T207" i="1"/>
  <c r="U206" i="1"/>
  <c r="T206" i="1"/>
  <c r="U205" i="1"/>
  <c r="T205" i="1"/>
  <c r="U204" i="1"/>
  <c r="T204" i="1"/>
  <c r="U203" i="1"/>
  <c r="T203" i="1"/>
  <c r="U202" i="1"/>
  <c r="T202" i="1"/>
  <c r="U201" i="1"/>
  <c r="T201" i="1"/>
  <c r="U200" i="1"/>
  <c r="T200" i="1"/>
  <c r="U199" i="1"/>
  <c r="T199" i="1"/>
  <c r="U198" i="1"/>
  <c r="T198" i="1"/>
  <c r="U197" i="1"/>
  <c r="T197" i="1"/>
  <c r="U196" i="1"/>
  <c r="T196" i="1"/>
  <c r="U195" i="1"/>
  <c r="T195" i="1"/>
  <c r="U194" i="1"/>
  <c r="T194" i="1"/>
  <c r="U193" i="1"/>
  <c r="T193" i="1"/>
  <c r="U192" i="1"/>
  <c r="T192" i="1"/>
  <c r="U191" i="1"/>
  <c r="T191" i="1"/>
  <c r="U190" i="1"/>
  <c r="T190" i="1"/>
  <c r="U189" i="1"/>
  <c r="T189" i="1"/>
  <c r="U188" i="1"/>
  <c r="T188" i="1"/>
  <c r="U187" i="1"/>
  <c r="T187" i="1"/>
  <c r="U186" i="1"/>
  <c r="T186" i="1"/>
  <c r="U185" i="1"/>
  <c r="T185" i="1"/>
  <c r="U184" i="1"/>
  <c r="T184" i="1"/>
  <c r="U183" i="1"/>
  <c r="T183" i="1"/>
  <c r="U182" i="1"/>
  <c r="T182" i="1"/>
  <c r="U181" i="1"/>
  <c r="T181" i="1"/>
  <c r="U180" i="1"/>
  <c r="T180" i="1"/>
  <c r="U179" i="1"/>
  <c r="T179" i="1"/>
  <c r="U178" i="1"/>
  <c r="T178" i="1"/>
  <c r="U177" i="1"/>
  <c r="T177" i="1"/>
  <c r="U176" i="1"/>
  <c r="T176" i="1"/>
  <c r="U175" i="1"/>
  <c r="T175" i="1"/>
  <c r="U174" i="1"/>
  <c r="T174" i="1"/>
  <c r="U173" i="1"/>
  <c r="T173" i="1"/>
  <c r="U172" i="1"/>
  <c r="T172" i="1"/>
  <c r="U171" i="1"/>
  <c r="T171" i="1"/>
  <c r="U170" i="1"/>
  <c r="T170" i="1"/>
  <c r="U169" i="1"/>
  <c r="T169" i="1"/>
  <c r="U168" i="1"/>
  <c r="T168" i="1"/>
  <c r="U167" i="1"/>
  <c r="T167" i="1"/>
  <c r="U166" i="1"/>
  <c r="T166" i="1"/>
  <c r="U165" i="1"/>
  <c r="T165" i="1"/>
  <c r="U164" i="1"/>
  <c r="T164" i="1"/>
  <c r="U163" i="1"/>
  <c r="T163" i="1"/>
  <c r="U162" i="1"/>
  <c r="T162" i="1"/>
  <c r="U161" i="1"/>
  <c r="T161" i="1"/>
  <c r="U160" i="1"/>
  <c r="T160" i="1"/>
  <c r="U159" i="1"/>
  <c r="T159" i="1"/>
  <c r="U152" i="1"/>
  <c r="T152" i="1"/>
  <c r="U151" i="1"/>
  <c r="T151" i="1"/>
  <c r="U150" i="1"/>
  <c r="T150" i="1"/>
  <c r="U149" i="1"/>
  <c r="T149" i="1"/>
  <c r="U148" i="1"/>
  <c r="T148" i="1"/>
  <c r="U147" i="1"/>
  <c r="T147" i="1"/>
  <c r="U146" i="1"/>
  <c r="T146" i="1"/>
  <c r="U145" i="1"/>
  <c r="T145" i="1"/>
  <c r="U144" i="1"/>
  <c r="T144" i="1"/>
  <c r="U143" i="1"/>
  <c r="T143" i="1"/>
  <c r="U142" i="1"/>
  <c r="T142" i="1"/>
  <c r="U141" i="1"/>
  <c r="T141" i="1"/>
  <c r="U140" i="1"/>
  <c r="T140" i="1"/>
  <c r="U139" i="1"/>
  <c r="T139" i="1"/>
  <c r="U138" i="1"/>
  <c r="T138" i="1"/>
  <c r="U137" i="1"/>
  <c r="T137" i="1"/>
  <c r="U136" i="1"/>
  <c r="T136" i="1"/>
  <c r="U135" i="1"/>
  <c r="T135" i="1"/>
  <c r="U134" i="1"/>
  <c r="T134" i="1"/>
  <c r="U133" i="1"/>
  <c r="T133" i="1"/>
  <c r="U132" i="1"/>
  <c r="T132" i="1"/>
  <c r="U131" i="1"/>
  <c r="T131" i="1"/>
  <c r="U130" i="1"/>
  <c r="T130" i="1"/>
  <c r="U129" i="1"/>
  <c r="T129" i="1"/>
  <c r="U128" i="1"/>
  <c r="T128" i="1"/>
  <c r="U127" i="1"/>
  <c r="T127" i="1"/>
  <c r="U126" i="1"/>
  <c r="T126" i="1"/>
  <c r="U125" i="1"/>
  <c r="T125" i="1"/>
  <c r="U124" i="1"/>
  <c r="T124" i="1"/>
  <c r="U123" i="1"/>
  <c r="T123" i="1"/>
  <c r="U122" i="1"/>
  <c r="T122" i="1"/>
  <c r="U121" i="1"/>
  <c r="T121" i="1"/>
  <c r="U120" i="1"/>
  <c r="T120" i="1"/>
  <c r="U119" i="1"/>
  <c r="T119" i="1"/>
  <c r="U118" i="1"/>
  <c r="T118" i="1"/>
  <c r="U117" i="1"/>
  <c r="T117" i="1"/>
  <c r="U116" i="1"/>
  <c r="T116" i="1"/>
  <c r="U115" i="1"/>
  <c r="T115" i="1"/>
  <c r="U114" i="1"/>
  <c r="T114" i="1"/>
  <c r="U113" i="1"/>
  <c r="T113" i="1"/>
  <c r="U112" i="1"/>
  <c r="T112" i="1"/>
  <c r="U111" i="1"/>
  <c r="T111" i="1"/>
  <c r="U110" i="1"/>
  <c r="T110" i="1"/>
  <c r="U109" i="1"/>
  <c r="T109" i="1"/>
  <c r="U108" i="1"/>
  <c r="T108" i="1"/>
  <c r="U107" i="1"/>
  <c r="T107" i="1"/>
  <c r="U106" i="1"/>
  <c r="T106" i="1"/>
  <c r="U105" i="1"/>
  <c r="T105" i="1"/>
  <c r="U104" i="1"/>
  <c r="T104" i="1"/>
  <c r="U103" i="1"/>
  <c r="T103" i="1"/>
  <c r="U102" i="1"/>
  <c r="T102" i="1"/>
  <c r="U101" i="1"/>
  <c r="T101" i="1"/>
  <c r="U100" i="1"/>
  <c r="T100" i="1"/>
  <c r="U99" i="1"/>
  <c r="T99" i="1"/>
  <c r="U98" i="1"/>
  <c r="T98" i="1"/>
  <c r="U97" i="1"/>
  <c r="T97" i="1"/>
  <c r="U96" i="1"/>
  <c r="T96" i="1"/>
  <c r="U95" i="1"/>
  <c r="T95" i="1"/>
  <c r="U94" i="1"/>
  <c r="T94" i="1"/>
  <c r="U93" i="1"/>
  <c r="T93" i="1"/>
  <c r="U92" i="1"/>
  <c r="T92" i="1"/>
  <c r="U91" i="1"/>
  <c r="T91" i="1"/>
  <c r="U90" i="1"/>
  <c r="T90" i="1"/>
  <c r="U89" i="1"/>
  <c r="T89" i="1"/>
  <c r="U88" i="1"/>
  <c r="T88" i="1"/>
  <c r="U87" i="1"/>
  <c r="T87" i="1"/>
  <c r="U86" i="1"/>
  <c r="T86" i="1"/>
  <c r="U85" i="1"/>
  <c r="T85" i="1"/>
  <c r="U84" i="1"/>
  <c r="T84" i="1"/>
  <c r="U83" i="1"/>
  <c r="T83" i="1"/>
  <c r="U82" i="1"/>
  <c r="T82" i="1"/>
  <c r="U81" i="1"/>
  <c r="T81" i="1"/>
  <c r="U80" i="1"/>
  <c r="T80" i="1"/>
  <c r="U79" i="1"/>
  <c r="T79" i="1"/>
  <c r="U78" i="1"/>
  <c r="T78" i="1"/>
  <c r="U77" i="1"/>
  <c r="T77" i="1"/>
  <c r="U76" i="1"/>
  <c r="T76" i="1"/>
  <c r="U75" i="1"/>
  <c r="T75" i="1"/>
  <c r="U74" i="1"/>
  <c r="T74" i="1"/>
  <c r="U73" i="1"/>
  <c r="T73" i="1"/>
  <c r="U72" i="1"/>
  <c r="T72" i="1"/>
  <c r="U71" i="1"/>
  <c r="T71" i="1"/>
  <c r="U70" i="1"/>
  <c r="T70" i="1"/>
  <c r="U69" i="1"/>
  <c r="T69" i="1"/>
  <c r="U68" i="1"/>
  <c r="T68" i="1"/>
  <c r="U67" i="1"/>
  <c r="T67" i="1"/>
  <c r="U66" i="1"/>
  <c r="T66" i="1"/>
  <c r="U65" i="1"/>
  <c r="T65" i="1"/>
  <c r="U64" i="1"/>
  <c r="T64" i="1"/>
  <c r="U63" i="1"/>
  <c r="T63" i="1"/>
  <c r="U62" i="1"/>
  <c r="T62" i="1"/>
  <c r="U61" i="1"/>
  <c r="T61" i="1"/>
  <c r="U60" i="1"/>
  <c r="T60" i="1"/>
  <c r="U59" i="1"/>
  <c r="T59" i="1"/>
  <c r="U58" i="1"/>
  <c r="T58" i="1"/>
  <c r="U57" i="1"/>
  <c r="T57" i="1"/>
  <c r="U56" i="1"/>
  <c r="T56" i="1"/>
  <c r="P256" i="1"/>
  <c r="K256" i="1"/>
  <c r="P153" i="1"/>
  <c r="K153" i="1"/>
  <c r="W69" i="2" l="1"/>
  <c r="W71" i="2" s="1"/>
  <c r="W73" i="2" s="1"/>
  <c r="W75" i="2" s="1"/>
  <c r="AY69" i="2"/>
  <c r="AY71" i="2" s="1"/>
  <c r="AY73" i="2" s="1"/>
  <c r="AY75" i="2" s="1"/>
  <c r="CE69" i="2"/>
  <c r="CE71" i="2" s="1"/>
  <c r="CE73" i="2" s="1"/>
  <c r="CE75" i="2" s="1"/>
  <c r="CI69" i="2"/>
  <c r="CI71" i="2" s="1"/>
  <c r="CI73" i="2" s="1"/>
  <c r="CI75" i="2" s="1"/>
  <c r="CM69" i="2"/>
  <c r="CM71" i="2" s="1"/>
  <c r="CM73" i="2" s="1"/>
  <c r="CM75" i="2" s="1"/>
  <c r="CQ69" i="2"/>
  <c r="CQ71" i="2" s="1"/>
  <c r="CQ73" i="2" s="1"/>
  <c r="CQ75" i="2" s="1"/>
  <c r="M69" i="2"/>
  <c r="M71" i="2" s="1"/>
  <c r="M73" i="2" s="1"/>
  <c r="M75" i="2" s="1"/>
  <c r="Y69" i="2"/>
  <c r="Y71" i="2" s="1"/>
  <c r="Y73" i="2" s="1"/>
  <c r="Y75" i="2" s="1"/>
  <c r="BA69" i="2"/>
  <c r="BA71" i="2" s="1"/>
  <c r="BA73" i="2" s="1"/>
  <c r="BA75" i="2" s="1"/>
  <c r="CK69" i="2"/>
  <c r="CK71" i="2" s="1"/>
  <c r="CK73" i="2" s="1"/>
  <c r="CK75" i="2" s="1"/>
  <c r="BR69" i="2"/>
  <c r="BR71" i="2" s="1"/>
  <c r="BR73" i="2" s="1"/>
  <c r="BR75" i="2" s="1"/>
  <c r="BV69" i="2"/>
  <c r="BV71" i="2" s="1"/>
  <c r="BV73" i="2" s="1"/>
  <c r="BV75" i="2" s="1"/>
  <c r="BZ69" i="2"/>
  <c r="BZ71" i="2" s="1"/>
  <c r="BZ73" i="2" s="1"/>
  <c r="BZ75" i="2" s="1"/>
  <c r="I69" i="2"/>
  <c r="I71" i="2" s="1"/>
  <c r="I73" i="2" s="1"/>
  <c r="I75" i="2" s="1"/>
  <c r="Q69" i="2"/>
  <c r="Q71" i="2" s="1"/>
  <c r="Q73" i="2" s="1"/>
  <c r="Q75" i="2" s="1"/>
  <c r="BM69" i="2"/>
  <c r="BM71" i="2" s="1"/>
  <c r="BM73" i="2" s="1"/>
  <c r="BM75" i="2" s="1"/>
  <c r="BQ69" i="2"/>
  <c r="BQ71" i="2" s="1"/>
  <c r="BQ73" i="2" s="1"/>
  <c r="BQ75" i="2" s="1"/>
  <c r="BU69" i="2"/>
  <c r="BU71" i="2" s="1"/>
  <c r="BU73" i="2" s="1"/>
  <c r="BU75" i="2" s="1"/>
  <c r="BY69" i="2"/>
  <c r="BY71" i="2" s="1"/>
  <c r="BY73" i="2" s="1"/>
  <c r="BY75" i="2" s="1"/>
  <c r="AW69" i="2"/>
  <c r="AW71" i="2" s="1"/>
  <c r="AW73" i="2" s="1"/>
  <c r="AW75" i="2" s="1"/>
  <c r="BI69" i="2"/>
  <c r="BI71" i="2" s="1"/>
  <c r="BI73" i="2" s="1"/>
  <c r="BI75" i="2" s="1"/>
  <c r="CC69" i="2"/>
  <c r="CC71" i="2" s="1"/>
  <c r="CC73" i="2" s="1"/>
  <c r="CC75" i="2" s="1"/>
  <c r="U69" i="2"/>
  <c r="U71" i="2" s="1"/>
  <c r="U73" i="2" s="1"/>
  <c r="U75" i="2" s="1"/>
  <c r="CG69" i="2"/>
  <c r="CG71" i="2" s="1"/>
  <c r="CG73" i="2" s="1"/>
  <c r="CG75" i="2" s="1"/>
  <c r="G69" i="2"/>
  <c r="G71" i="2" s="1"/>
  <c r="G73" i="2" s="1"/>
  <c r="G75" i="2" s="1"/>
  <c r="E83" i="2" s="1"/>
  <c r="AC69" i="2"/>
  <c r="AC71" i="2" s="1"/>
  <c r="AC73" i="2" s="1"/>
  <c r="AC75" i="2" s="1"/>
  <c r="AG69" i="2"/>
  <c r="AG71" i="2" s="1"/>
  <c r="AG73" i="2" s="1"/>
  <c r="AG75" i="2" s="1"/>
  <c r="AK69" i="2"/>
  <c r="AK71" i="2" s="1"/>
  <c r="AK73" i="2" s="1"/>
  <c r="AK75" i="2" s="1"/>
  <c r="AO69" i="2"/>
  <c r="AO71" i="2" s="1"/>
  <c r="AO73" i="2" s="1"/>
  <c r="AO75" i="2" s="1"/>
  <c r="AS69" i="2"/>
  <c r="AS71" i="2" s="1"/>
  <c r="AS73" i="2" s="1"/>
  <c r="AS75" i="2" s="1"/>
  <c r="BO69" i="2"/>
  <c r="BO71" i="2" s="1"/>
  <c r="BO73" i="2" s="1"/>
  <c r="BO75" i="2" s="1"/>
  <c r="BS69" i="2"/>
  <c r="BS71" i="2" s="1"/>
  <c r="BS73" i="2" s="1"/>
  <c r="BS75" i="2" s="1"/>
  <c r="BW69" i="2"/>
  <c r="BW71" i="2" s="1"/>
  <c r="BW73" i="2" s="1"/>
  <c r="BW75" i="2" s="1"/>
  <c r="AI69" i="2"/>
  <c r="AI71" i="2" s="1"/>
  <c r="AI73" i="2" s="1"/>
  <c r="AI75" i="2" s="1"/>
  <c r="AM69" i="2"/>
  <c r="AM71" i="2" s="1"/>
  <c r="AM73" i="2" s="1"/>
  <c r="AM75" i="2" s="1"/>
  <c r="CO69" i="2"/>
  <c r="CO71" i="2" s="1"/>
  <c r="CO73" i="2" s="1"/>
  <c r="CO75" i="2" s="1"/>
  <c r="AA83" i="2" l="1"/>
  <c r="F83" i="2"/>
  <c r="W83" i="2"/>
  <c r="M83" i="2"/>
  <c r="AD83" i="2"/>
  <c r="T83" i="2"/>
  <c r="U83" i="2"/>
  <c r="Q83" i="2"/>
  <c r="G83" i="2"/>
  <c r="X83" i="2"/>
  <c r="N83" i="2"/>
  <c r="O83" i="2"/>
  <c r="K83" i="2"/>
  <c r="AB83" i="2"/>
  <c r="R83" i="2"/>
  <c r="H83" i="2"/>
  <c r="Y83" i="2"/>
  <c r="Z83" i="2"/>
  <c r="P83" i="2"/>
  <c r="V83" i="2"/>
  <c r="L83" i="2"/>
  <c r="AC83" i="2"/>
  <c r="S83" i="2"/>
  <c r="I83" i="2"/>
  <c r="J83" i="2"/>
  <c r="AE83" i="2" l="1"/>
  <c r="AB99" i="3"/>
  <c r="AC99" i="3"/>
  <c r="D99" i="3" l="1"/>
</calcChain>
</file>

<file path=xl/sharedStrings.xml><?xml version="1.0" encoding="utf-8"?>
<sst xmlns="http://schemas.openxmlformats.org/spreadsheetml/2006/main" count="1462" uniqueCount="334">
  <si>
    <t>Masking Layer Theory</t>
  </si>
  <si>
    <t>Berlin is sometimes known as "The Gray City". (v. March '20 Readers' Digest crossword)</t>
  </si>
  <si>
    <t xml:space="preserve">The "errors", which are supposed to be less significant in what they are than in where they are, </t>
  </si>
  <si>
    <t>1a.</t>
  </si>
  <si>
    <t>2a.</t>
  </si>
  <si>
    <r>
      <t xml:space="preserve">and can rephrase this as ". . . transmitted under </t>
    </r>
    <r>
      <rPr>
        <i/>
        <sz val="11"/>
        <color theme="1"/>
        <rFont val="Arial Unicode MS"/>
        <family val="2"/>
      </rPr>
      <t>grau und</t>
    </r>
    <r>
      <rPr>
        <sz val="11"/>
        <color theme="1"/>
        <rFont val="Arial Unicode MS"/>
        <family val="2"/>
      </rPr>
      <t xml:space="preserve"> to an unknown . . .".  In plain English,</t>
    </r>
  </si>
  <si>
    <r>
      <t>". . . transmitted under</t>
    </r>
    <r>
      <rPr>
        <i/>
        <sz val="11"/>
        <color theme="1"/>
        <rFont val="Arial Unicode MS"/>
        <family val="2"/>
      </rPr>
      <t xml:space="preserve"> gray and</t>
    </r>
    <r>
      <rPr>
        <sz val="11"/>
        <color theme="1"/>
        <rFont val="Arial Unicode MS"/>
        <family val="2"/>
      </rPr>
      <t xml:space="preserve"> to an unknown . . .  ( which result could also be reached by </t>
    </r>
  </si>
  <si>
    <r>
      <t xml:space="preserve">are sometimes markers referring to the letters preceding them.  </t>
    </r>
    <r>
      <rPr>
        <i/>
        <sz val="11"/>
        <color theme="1"/>
        <rFont val="Arial Unicode MS"/>
        <family val="2"/>
      </rPr>
      <t>iqlusion</t>
    </r>
    <r>
      <rPr>
        <sz val="11"/>
        <color theme="1"/>
        <rFont val="Arial Unicode MS"/>
        <family val="2"/>
      </rPr>
      <t xml:space="preserve"> may be taken as </t>
    </r>
  </si>
  <si>
    <r>
      <rPr>
        <i/>
        <sz val="11"/>
        <color theme="1"/>
        <rFont val="Arial Unicode MS"/>
        <family val="2"/>
      </rPr>
      <t>allusion</t>
    </r>
    <r>
      <rPr>
        <sz val="11"/>
        <color theme="1"/>
        <rFont val="Arial Unicode MS"/>
        <family val="2"/>
      </rPr>
      <t xml:space="preserve">, the initial </t>
    </r>
    <r>
      <rPr>
        <i/>
        <sz val="11"/>
        <color theme="1"/>
        <rFont val="Arial Unicode MS"/>
        <family val="2"/>
      </rPr>
      <t>i</t>
    </r>
    <r>
      <rPr>
        <sz val="11"/>
        <color theme="1"/>
        <rFont val="Arial Unicode MS"/>
        <family val="2"/>
      </rPr>
      <t xml:space="preserve"> being the item to be changed.  If we do somewhat similarly with "error" 2, </t>
    </r>
  </si>
  <si>
    <t>1b.</t>
  </si>
  <si>
    <r>
      <t xml:space="preserve">Looking at that, with "Gray", which suggests the Gray Code, in mind, think of </t>
    </r>
    <r>
      <rPr>
        <i/>
        <sz val="11"/>
        <color theme="1"/>
        <rFont val="Arial Unicode MS"/>
        <family val="2"/>
      </rPr>
      <t>ones, zeroes,</t>
    </r>
  </si>
  <si>
    <r>
      <rPr>
        <i/>
        <sz val="11"/>
        <color theme="1"/>
        <rFont val="Arial Unicode MS"/>
        <family val="2"/>
      </rPr>
      <t>6x97</t>
    </r>
    <r>
      <rPr>
        <sz val="11"/>
        <color theme="1"/>
        <rFont val="Arial Unicode MS"/>
        <family val="2"/>
      </rPr>
      <t>. (6x97 = 582).  Continuing with the fuzzy thinking, but from a different angle, we could</t>
    </r>
  </si>
  <si>
    <t>2b.</t>
  </si>
  <si>
    <r>
      <t xml:space="preserve">The "mistakenly" omitted PT </t>
    </r>
    <r>
      <rPr>
        <i/>
        <sz val="11"/>
        <color theme="1"/>
        <rFont val="Arial Unicode MS"/>
        <family val="2"/>
      </rPr>
      <t>x</t>
    </r>
    <r>
      <rPr>
        <sz val="11"/>
        <color theme="1"/>
        <rFont val="Arial Unicode MS"/>
        <family val="2"/>
      </rPr>
      <t xml:space="preserve"> (CT </t>
    </r>
    <r>
      <rPr>
        <i/>
        <sz val="11"/>
        <color theme="1"/>
        <rFont val="Arial Unicode MS"/>
        <family val="2"/>
      </rPr>
      <t>S</t>
    </r>
    <r>
      <rPr>
        <sz val="11"/>
        <color theme="1"/>
        <rFont val="Arial Unicode MS"/>
        <family val="2"/>
      </rPr>
      <t xml:space="preserve">), inserted as K3 #362, may be understood as "add 19".  </t>
    </r>
  </si>
  <si>
    <r>
      <t>by</t>
    </r>
    <r>
      <rPr>
        <i/>
        <sz val="11"/>
        <color theme="1"/>
        <rFont val="Arial Unicode MS"/>
        <family val="2"/>
      </rPr>
      <t xml:space="preserve"> YA</t>
    </r>
    <r>
      <rPr>
        <i/>
        <sz val="9"/>
        <color theme="1"/>
        <rFont val="Arial Unicode MS"/>
        <family val="2"/>
      </rPr>
      <t>H</t>
    </r>
    <r>
      <rPr>
        <i/>
        <sz val="11"/>
        <color theme="1"/>
        <rFont val="Arial Unicode MS"/>
        <family val="2"/>
      </rPr>
      <t>R</t>
    </r>
    <r>
      <rPr>
        <sz val="11"/>
        <color theme="1"/>
        <rFont val="Arial Unicode MS"/>
        <family val="2"/>
      </rPr>
      <t>, which signifies Year/Jahr reversed (365 reversed, i.e. 563), giving 582 again.  The</t>
    </r>
  </si>
  <si>
    <r>
      <t xml:space="preserve">CT </t>
    </r>
    <r>
      <rPr>
        <i/>
        <sz val="11"/>
        <color theme="1"/>
        <rFont val="Arial Unicode MS"/>
        <family val="2"/>
      </rPr>
      <t>S</t>
    </r>
    <r>
      <rPr>
        <sz val="11"/>
        <color theme="1"/>
        <rFont val="Arial Unicode MS"/>
        <family val="2"/>
      </rPr>
      <t xml:space="preserve"> also clarifies for us that we will be dealing in K4 with the standard alphabet, not Kryptos',</t>
    </r>
  </si>
  <si>
    <r>
      <t xml:space="preserve">nor Hannon's, nor </t>
    </r>
    <r>
      <rPr>
        <sz val="9"/>
        <color theme="1"/>
        <rFont val="Arial Unicode MS"/>
        <family val="2"/>
      </rPr>
      <t>PALIMPSEST</t>
    </r>
    <r>
      <rPr>
        <sz val="11"/>
        <color theme="1"/>
        <rFont val="Arial Unicode MS"/>
        <family val="2"/>
      </rPr>
      <t xml:space="preserve">- or </t>
    </r>
    <r>
      <rPr>
        <sz val="9"/>
        <color theme="1"/>
        <rFont val="Arial Unicode MS"/>
        <family val="2"/>
      </rPr>
      <t>ABSCISSA</t>
    </r>
    <r>
      <rPr>
        <sz val="11"/>
        <color theme="1"/>
        <rFont val="Arial Unicode MS"/>
        <family val="2"/>
      </rPr>
      <t xml:space="preserve">-keyed; Kryptos S = 7, Hannon S = 5, </t>
    </r>
    <r>
      <rPr>
        <sz val="9"/>
        <color theme="1"/>
        <rFont val="Arial Unicode MS"/>
        <family val="2"/>
      </rPr>
      <t>PALIMPSEST</t>
    </r>
    <r>
      <rPr>
        <sz val="11"/>
        <color theme="1"/>
        <rFont val="Arial Unicode MS"/>
        <family val="2"/>
      </rPr>
      <t xml:space="preserve"> </t>
    </r>
    <r>
      <rPr>
        <sz val="9"/>
        <color theme="1"/>
        <rFont val="Arial Unicode MS"/>
        <family val="2"/>
      </rPr>
      <t/>
    </r>
  </si>
  <si>
    <t>2c.</t>
  </si>
  <si>
    <t xml:space="preserve">In case we have not understood which part of the Gray Code we are dealing with, we have </t>
  </si>
  <si>
    <t>several pointers.  The four lines of K4 are all of length 31, for a total of 124, to which we will</t>
  </si>
  <si>
    <t>Gray Code</t>
  </si>
  <si>
    <t>1s</t>
  </si>
  <si>
    <t>0s</t>
  </si>
  <si>
    <t>Value if</t>
  </si>
  <si>
    <t>Read as Std.</t>
  </si>
  <si>
    <t>Kryptos</t>
  </si>
  <si>
    <t>Order in</t>
  </si>
  <si>
    <t>Counting</t>
  </si>
  <si>
    <t>2d.</t>
  </si>
  <si>
    <t>U</t>
  </si>
  <si>
    <t>N</t>
  </si>
  <si>
    <t>O</t>
  </si>
  <si>
    <t>R</t>
  </si>
  <si>
    <t>T</t>
  </si>
  <si>
    <t>H</t>
  </si>
  <si>
    <t>E</t>
  </si>
  <si>
    <t>A</t>
  </si>
  <si>
    <t>S</t>
  </si>
  <si>
    <t>L</t>
  </si>
  <si>
    <t>B</t>
  </si>
  <si>
    <t>I</t>
  </si>
  <si>
    <t>C</t>
  </si>
  <si>
    <t>K</t>
  </si>
  <si>
    <t>X</t>
  </si>
  <si>
    <t>G</t>
  </si>
  <si>
    <t>F</t>
  </si>
  <si>
    <t>W</t>
  </si>
  <si>
    <t>V</t>
  </si>
  <si>
    <t>Q</t>
  </si>
  <si>
    <t>P</t>
  </si>
  <si>
    <t>J</t>
  </si>
  <si>
    <t>Z</t>
  </si>
  <si>
    <t>D</t>
  </si>
  <si>
    <t>Y</t>
  </si>
  <si>
    <t>M</t>
  </si>
  <si>
    <t xml:space="preserve">Gray </t>
  </si>
  <si>
    <t xml:space="preserve">Naughts </t>
  </si>
  <si>
    <t xml:space="preserve">Std. Equiv. </t>
  </si>
  <si>
    <t>3a.</t>
  </si>
  <si>
    <t xml:space="preserve">K4 CT  </t>
  </si>
  <si>
    <t xml:space="preserve">K4 PT Val.  </t>
  </si>
  <si>
    <t xml:space="preserve">K4 CT Val.  </t>
  </si>
  <si>
    <t xml:space="preserve">Input  </t>
  </si>
  <si>
    <t xml:space="preserve">Input Reversed  </t>
  </si>
  <si>
    <t xml:space="preserve">Sum of Added Layer  </t>
  </si>
  <si>
    <t xml:space="preserve">Known PT  </t>
  </si>
  <si>
    <t xml:space="preserve">CT for trial Additive  </t>
  </si>
  <si>
    <t xml:space="preserve">Mod 26 of CT for  Tr. Add.  </t>
  </si>
  <si>
    <t xml:space="preserve">Reconversion to Letters  </t>
  </si>
  <si>
    <t xml:space="preserve">I imagine that the input will not be straight quotes from K1-K3 CT, as that would leave K4 open </t>
  </si>
  <si>
    <t xml:space="preserve">numbers, from 32 to 128 inclusive, constitute an array of 582 ones and zeroes (respectively </t>
  </si>
  <si>
    <t>Berlin hints at 'Gray'.  I suggest that 'clock' hints at a clockwise transposition, and northeast</t>
  </si>
  <si>
    <t>tion:  38=2x19, 57=3x19, 65=5x13 (Wilson primes anyone?), 77=7x11, all of which are perti-</t>
  </si>
  <si>
    <t>3b.</t>
  </si>
  <si>
    <t xml:space="preserve">letter of K3 to the end of K3, and we'll say that represents eleven (5+6, like Clock &amp; Berlin), or </t>
  </si>
  <si>
    <t xml:space="preserve">A little different interpretation of the same sections would get us November 22, 1963.  For the </t>
  </si>
  <si>
    <t xml:space="preserve">date, from 139 we get 19+3=22 and x marks the occurrence; for the year, 19+63=37+45, only </t>
  </si>
  <si>
    <t>your intended addressee to have to wade unnecessarily through a lot of paperwork, particularly</t>
  </si>
  <si>
    <t xml:space="preserve">where one slip of the wrong sort can raise hell with the message, and in a fashion that is going </t>
  </si>
  <si>
    <t xml:space="preserve">to take a great deal of trouble to track down.  We have been told that it is similar to something </t>
  </si>
  <si>
    <t xml:space="preserve">a field operative might be given, but we don't know either how similar, or how much they expect    </t>
  </si>
  <si>
    <t xml:space="preserve">Arguing against more than one line of input would be the general principle that you don't want </t>
  </si>
  <si>
    <t>to brute forcing, and I don't think JS/ES would allow that.  Aside from its contribution to 'eleven',</t>
  </si>
  <si>
    <t xml:space="preserve">Landing Pad  </t>
  </si>
  <si>
    <t xml:space="preserve">Conversion From Landing Pad  </t>
  </si>
  <si>
    <t xml:space="preserve">Conversion From Reverser  </t>
  </si>
  <si>
    <r>
      <t xml:space="preserve">1.  If you want a string backward, paste it VALUES ONLY in the REVERSER.  If it's put into the </t>
    </r>
    <r>
      <rPr>
        <i/>
        <sz val="11"/>
        <color theme="1"/>
        <rFont val="Calibri"/>
        <family val="2"/>
        <scheme val="minor"/>
      </rPr>
      <t>Input</t>
    </r>
    <r>
      <rPr>
        <sz val="11"/>
        <color theme="1"/>
        <rFont val="Calibri"/>
        <family val="2"/>
        <scheme val="minor"/>
      </rPr>
      <t xml:space="preserve"> row anywhere it will get reversed, but if you want it to show up right at the </t>
    </r>
  </si>
  <si>
    <t xml:space="preserve">Hopper 1  </t>
  </si>
  <si>
    <t xml:space="preserve">Hopper 2  </t>
  </si>
  <si>
    <t xml:space="preserve">Output Letters  </t>
  </si>
  <si>
    <t xml:space="preserve">Input Letters per Output  </t>
  </si>
  <si>
    <t xml:space="preserve">Input Letters Cumulative  </t>
  </si>
  <si>
    <t xml:space="preserve">Hopper 4  </t>
  </si>
  <si>
    <t xml:space="preserve">Hopper 3  </t>
  </si>
  <si>
    <r>
      <t xml:space="preserve">at it, together with its preceding letter, we can read them as </t>
    </r>
    <r>
      <rPr>
        <i/>
        <sz val="11"/>
        <color theme="1"/>
        <rFont val="Arial Unicode MS"/>
        <family val="2"/>
      </rPr>
      <t>56 3x19</t>
    </r>
    <r>
      <rPr>
        <sz val="11"/>
        <color theme="1"/>
        <rFont val="Arial Unicode MS"/>
        <family val="2"/>
      </rPr>
      <t>, which equals 10697.</t>
    </r>
  </si>
  <si>
    <t xml:space="preserve">to be able to take up to four lines of input at once.  For a sample, I have input a single line, the </t>
  </si>
  <si>
    <t xml:space="preserve">standard alphabet numeric equivalent of K3 #4 - K3 #281 CT, reversed (i.e., from the T making </t>
  </si>
  <si>
    <t xml:space="preserve">one switch of 18 letters in the numbers to be chosen.  Maybe something along those lines is </t>
  </si>
  <si>
    <t>the subject of K4, and that's what made the CIA historian cry, and it's reflected in the choice</t>
  </si>
  <si>
    <t>of text for the mask?</t>
  </si>
  <si>
    <r>
      <t xml:space="preserve">inserting the "a" and then substituting "YA" for the double </t>
    </r>
    <r>
      <rPr>
        <i/>
        <sz val="11"/>
        <color theme="1"/>
        <rFont val="Arial Unicode MS"/>
        <family val="2"/>
      </rPr>
      <t>u</t>
    </r>
    <r>
      <rPr>
        <sz val="11"/>
        <color theme="1"/>
        <rFont val="Arial Unicode MS"/>
        <family val="2"/>
      </rPr>
      <t xml:space="preserve">).  The misspellings in "desparatly" </t>
    </r>
  </si>
  <si>
    <t>CT of the first three sections into a 97-length additive layer to hide the K4 PT.  The numeric</t>
  </si>
  <si>
    <t>equivalents of input text are added together in groups corresponding to the number of zeroes</t>
  </si>
  <si>
    <t xml:space="preserve">in each Gray Code numeral, giving a 97-number output from a 278-number input.  Jim has </t>
  </si>
  <si>
    <t xml:space="preserve">said something to the effect of "I used all the letters".  As I read it at the time, I took it to mean </t>
  </si>
  <si>
    <t>he had got all twenty-six of the letters of the alphabet into the K4 PT, but now suspect that he</t>
  </si>
  <si>
    <t xml:space="preserve">Copy these  </t>
  </si>
  <si>
    <t xml:space="preserve">and paste  </t>
  </si>
  <si>
    <t xml:space="preserve">instead add 563 to 19, and again obtain 582.  The six least significant digits of Gray Code </t>
  </si>
  <si>
    <t>304 and 278).</t>
  </si>
  <si>
    <t xml:space="preserve">97/278 is just under 35%.  35% of 768 or 769 = 269.  If all of K1-K3 were run thru the 'sausage </t>
  </si>
  <si>
    <t>standard binary manner.</t>
  </si>
  <si>
    <t>Using 2 digits at a time, the 281-long string from x/563 would work nicely, the odd number off-</t>
  </si>
  <si>
    <t>amount of repetition, I should think.</t>
  </si>
  <si>
    <r>
      <t xml:space="preserve">that is insert an "a" before the "error", we get ". . . transmitted </t>
    </r>
    <r>
      <rPr>
        <i/>
        <sz val="11"/>
        <color theme="1"/>
        <rFont val="Arial Unicode MS"/>
        <family val="2"/>
      </rPr>
      <t>undergrauund</t>
    </r>
    <r>
      <rPr>
        <sz val="11"/>
        <color theme="1"/>
        <rFont val="Arial Unicode MS"/>
        <family val="2"/>
      </rPr>
      <t xml:space="preserve"> to an unknown . . . </t>
    </r>
  </si>
  <si>
    <r>
      <t xml:space="preserve">might be an indication for this idea - first misspelling says correct  "error" 1 by changing </t>
    </r>
    <r>
      <rPr>
        <u/>
        <sz val="11"/>
        <color theme="1"/>
        <rFont val="Arial Unicode MS"/>
        <family val="2"/>
      </rPr>
      <t>a</t>
    </r>
    <r>
      <rPr>
        <sz val="11"/>
        <color theme="1"/>
        <rFont val="Arial Unicode MS"/>
        <family val="2"/>
      </rPr>
      <t xml:space="preserve"> </t>
    </r>
  </si>
  <si>
    <t>It was omitted in order to carry with it the instruction of "add" when it was returned (among, per-</t>
  </si>
  <si>
    <t>haps, other numerical reasons).  It is to be added to 563, that being the number represented</t>
  </si>
  <si>
    <t xml:space="preserve">In the Gray Code, those places where there are no zeroes in a number are located where our </t>
  </si>
  <si>
    <t xml:space="preserve">clues say they will be:   BerlinClock is 11 letters, North east is 5 + 4 letters, and the no-zero </t>
  </si>
  <si>
    <t xml:space="preserve">Code section as a grille over repeats, transpositions or rearrangements of K1-K3, e.g. padding </t>
  </si>
  <si>
    <t xml:space="preserve">them to 6x128 and discarding the 31 rows of "debris encumbering the lower part of the door."  </t>
  </si>
  <si>
    <t xml:space="preserve">Jim might alternatively have used the ones - I believe there is some obscure remark of Ed's </t>
  </si>
  <si>
    <t xml:space="preserve">about having to make the ones and zeroes balance out (why and under what circumstances, </t>
  </si>
  <si>
    <t>from a field operative.  Anyway, on the third tab I've set up the 'sausage machine' trial processor</t>
  </si>
  <si>
    <t xml:space="preserve">The length of K3 with its query, 337, may be thought of as an azimuth.  (It is 1/2 degree off </t>
  </si>
  <si>
    <r>
      <t xml:space="preserve">NNW, which is interesting, as Jim produced a sculpture, in 1981 or earlier, entitled </t>
    </r>
    <r>
      <rPr>
        <i/>
        <sz val="11"/>
        <color theme="1"/>
        <rFont val="Arial Unicode MS"/>
        <family val="2"/>
      </rPr>
      <t xml:space="preserve">North By </t>
    </r>
  </si>
  <si>
    <r>
      <rPr>
        <i/>
        <sz val="11"/>
        <color theme="1"/>
        <rFont val="Arial Unicode MS"/>
        <family val="2"/>
      </rPr>
      <t>Northwest</t>
    </r>
    <r>
      <rPr>
        <sz val="11"/>
        <color theme="1"/>
        <rFont val="Arial Unicode MS"/>
        <family val="2"/>
      </rPr>
      <t xml:space="preserve">)  The congruent angle, after a further complete circuit of the compass, would be </t>
    </r>
  </si>
  <si>
    <t xml:space="preserve">360 + 337 which equals 697, 6 x 97 being our array parameter.  (Note in passing - 19/563 </t>
  </si>
  <si>
    <t xml:space="preserve">meant that he had used all 768 letters of K1-K3 (as sculpted).  Naturally he didn't say how </t>
  </si>
  <si>
    <t xml:space="preserve">many times, in what order, whether in equal-sized chunks, whether some letters were used </t>
  </si>
  <si>
    <t xml:space="preserve">have told us to delve into the history of acupuncture, or the fallibility of the Pope, or whatever.  </t>
  </si>
  <si>
    <t xml:space="preserve">The clue would be the association in our minds of "delve" with the part of the Mother Goose </t>
  </si>
  <si>
    <t xml:space="preserve">counting rhyme that runs "Eleven, twelve, dig and delve".  We will run the 11 &amp; 12 together, </t>
  </si>
  <si>
    <r>
      <t xml:space="preserve">beginning of the </t>
    </r>
    <r>
      <rPr>
        <i/>
        <sz val="11"/>
        <color theme="1"/>
        <rFont val="Calibri"/>
        <family val="2"/>
        <scheme val="minor"/>
      </rPr>
      <t>Input Reversed</t>
    </r>
    <r>
      <rPr>
        <sz val="11"/>
        <color theme="1"/>
        <rFont val="Calibri"/>
        <family val="2"/>
        <scheme val="minor"/>
      </rPr>
      <t xml:space="preserve"> row, paste the first letter below the number of characters in your string, as in the sample.</t>
    </r>
  </si>
  <si>
    <t xml:space="preserve">Spaced Row for LP  </t>
  </si>
  <si>
    <t xml:space="preserve">Spaced Row for Rvrsr  </t>
  </si>
  <si>
    <t xml:space="preserve">Their VALUES here   </t>
  </si>
  <si>
    <t xml:space="preserve">&amp; Sort  by Row 85   </t>
  </si>
  <si>
    <r>
      <t xml:space="preserve">2.  Whether you fill the Reverser </t>
    </r>
    <r>
      <rPr>
        <i/>
        <sz val="11"/>
        <color theme="1"/>
        <rFont val="Calibri"/>
        <family val="2"/>
        <scheme val="minor"/>
      </rPr>
      <t>Input</t>
    </r>
    <r>
      <rPr>
        <sz val="11"/>
        <color theme="1"/>
        <rFont val="Calibri"/>
        <family val="2"/>
        <scheme val="minor"/>
      </rPr>
      <t xml:space="preserve"> or the</t>
    </r>
    <r>
      <rPr>
        <i/>
        <sz val="11"/>
        <color theme="1"/>
        <rFont val="Calibri"/>
        <family val="2"/>
        <scheme val="minor"/>
      </rPr>
      <t xml:space="preserve"> Landing Pad</t>
    </r>
    <r>
      <rPr>
        <sz val="11"/>
        <color theme="1"/>
        <rFont val="Calibri"/>
        <family val="2"/>
        <scheme val="minor"/>
      </rPr>
      <t xml:space="preserve">, about a dozen rows down the conversion to numbers will show up.  The converted numbers will show up in the </t>
    </r>
  </si>
  <si>
    <t xml:space="preserve">appropriate spaced row.  </t>
  </si>
  <si>
    <t xml:space="preserve">3.  Select the entire Spaced Row and paste it VALUES ONLY into one of the Hoppers.  You now have one string entered; you can repeat the above three times and fill up to four </t>
  </si>
  <si>
    <t xml:space="preserve">added an additive that yields the correct letter for one of the known cribs, that letter will show up red-on-green in reconversion.  If you've hit all of them on one set of input </t>
  </si>
  <si>
    <t xml:space="preserve">strings, you have probably almost finished breaking K4.  If P + A = C, and you know any two of those, you know the third; if your string[s] work for the whole of the known text,  </t>
  </si>
  <si>
    <t xml:space="preserve">it/they probably work for the unknown as well.  This sheet has the formulas locked to prevent accidental damage, but please feel free to run your inspirations thru it, or to copy </t>
  </si>
  <si>
    <t>Hoppers if desired, with all that are entered at the same time going into the one additive layer mixture.  Row 69 shows the total additive layer, Row 71 the sum of the trial</t>
  </si>
  <si>
    <t xml:space="preserve">and   </t>
  </si>
  <si>
    <t xml:space="preserve">LETTERS-to-NUMBERS  </t>
  </si>
  <si>
    <t xml:space="preserve">NUMBERS-to-LETTERS   </t>
  </si>
  <si>
    <t>string[s] (that is, the additive layer) and the known PT.  Row 73 is the Mod. 26 of row 71, and row 75 the reconversion back to letters.  If you have a "hit", that is if you have</t>
  </si>
  <si>
    <t>it off so's to modify it to suit yourself.  The sample is of no particular value. (One or two hits are common &amp; insignificant.)</t>
  </si>
  <si>
    <t>R?</t>
  </si>
  <si>
    <t>As Sculpted</t>
  </si>
  <si>
    <t>K1 - 63</t>
  </si>
  <si>
    <t>K2 - 369</t>
  </si>
  <si>
    <t>(+ 3 ?)</t>
  </si>
  <si>
    <t>K3 - 336</t>
  </si>
  <si>
    <t>(+ 1 ?)</t>
  </si>
  <si>
    <t>x/S - 1</t>
  </si>
  <si>
    <t>K2 - 369 +</t>
  </si>
  <si>
    <t>"E" - 1</t>
  </si>
  <si>
    <t>(Prime)</t>
  </si>
  <si>
    <t>(2x5x7x11)</t>
  </si>
  <si>
    <t>184 before L</t>
  </si>
  <si>
    <t>362 before W</t>
  </si>
  <si>
    <t>(3x2^8, 256x3)</t>
  </si>
  <si>
    <t>K2 - 369 +1</t>
  </si>
  <si>
    <t>K3 - 336 +1</t>
  </si>
  <si>
    <t>To Be</t>
  </si>
  <si>
    <t>Corrected?</t>
  </si>
  <si>
    <t>To Be Further</t>
  </si>
  <si>
    <t>"A" - 1</t>
  </si>
  <si>
    <t>115 before U</t>
  </si>
  <si>
    <t>(3x257)</t>
  </si>
  <si>
    <t>Corrected By Jim</t>
  </si>
  <si>
    <t>Decompensated?</t>
  </si>
  <si>
    <t>"A" - &lt;1&gt;</t>
  </si>
  <si>
    <t>despratly</t>
  </si>
  <si>
    <r>
      <t xml:space="preserve">    gr</t>
    </r>
    <r>
      <rPr>
        <sz val="9"/>
        <color rgb="FFFF0000"/>
        <rFont val="Arial Unicode MS"/>
        <family val="2"/>
      </rPr>
      <t>a</t>
    </r>
    <r>
      <rPr>
        <sz val="9"/>
        <color theme="1"/>
        <rFont val="Arial Unicode MS"/>
        <family val="2"/>
      </rPr>
      <t>u</t>
    </r>
  </si>
  <si>
    <r>
      <t xml:space="preserve">  Add </t>
    </r>
    <r>
      <rPr>
        <sz val="9"/>
        <color rgb="FFFF0000"/>
        <rFont val="Arial Unicode MS"/>
        <family val="2"/>
      </rPr>
      <t>A</t>
    </r>
    <r>
      <rPr>
        <sz val="9"/>
        <color theme="1"/>
        <rFont val="Arial Unicode MS"/>
        <family val="2"/>
      </rPr>
      <t xml:space="preserve"> @</t>
    </r>
  </si>
  <si>
    <r>
      <t>desparat</t>
    </r>
    <r>
      <rPr>
        <sz val="9"/>
        <color rgb="FFFF0000"/>
        <rFont val="Arial Unicode MS"/>
        <family val="2"/>
      </rPr>
      <t>e</t>
    </r>
    <r>
      <rPr>
        <sz val="9"/>
        <color theme="1"/>
        <rFont val="Arial Unicode MS"/>
        <family val="2"/>
      </rPr>
      <t>ly</t>
    </r>
  </si>
  <si>
    <r>
      <t xml:space="preserve">  Add </t>
    </r>
    <r>
      <rPr>
        <sz val="9"/>
        <color rgb="FFFF0000"/>
        <rFont val="Arial Unicode MS"/>
        <family val="2"/>
      </rPr>
      <t>E</t>
    </r>
    <r>
      <rPr>
        <sz val="9"/>
        <color theme="1"/>
        <rFont val="Arial Unicode MS"/>
        <family val="2"/>
      </rPr>
      <t xml:space="preserve"> @  </t>
    </r>
  </si>
  <si>
    <r>
      <t xml:space="preserve">  Add </t>
    </r>
    <r>
      <rPr>
        <sz val="9"/>
        <color rgb="FFFF0000"/>
        <rFont val="Arial Unicode MS"/>
        <family val="2"/>
      </rPr>
      <t>x/S</t>
    </r>
    <r>
      <rPr>
        <sz val="9"/>
        <color theme="1"/>
        <rFont val="Arial Unicode MS"/>
        <family val="2"/>
      </rPr>
      <t xml:space="preserve"> @</t>
    </r>
  </si>
  <si>
    <r>
      <t xml:space="preserve"> remove </t>
    </r>
    <r>
      <rPr>
        <sz val="9"/>
        <color rgb="FFFF0000"/>
        <rFont val="Arial Unicode MS"/>
        <family val="2"/>
      </rPr>
      <t>A</t>
    </r>
    <r>
      <rPr>
        <sz val="9"/>
        <color theme="1"/>
        <rFont val="Arial Unicode MS"/>
        <family val="2"/>
      </rPr>
      <t xml:space="preserve"> @ 90</t>
    </r>
  </si>
  <si>
    <t xml:space="preserve"> between I &amp; C</t>
  </si>
  <si>
    <t>((56+3)x13)</t>
  </si>
  <si>
    <t xml:space="preserve">from outside the sculpture entirely, or input is also derived from dividing something by 563.   </t>
  </si>
  <si>
    <r>
      <t xml:space="preserve">the only 33-letter line on the sculpture back to the </t>
    </r>
    <r>
      <rPr>
        <i/>
        <sz val="11"/>
        <color theme="1"/>
        <rFont val="Arial Unicode MS"/>
        <family val="2"/>
      </rPr>
      <t>Y</t>
    </r>
    <r>
      <rPr>
        <sz val="11"/>
        <color theme="1"/>
        <rFont val="Arial Unicode MS"/>
        <family val="2"/>
      </rPr>
      <t xml:space="preserve"> of </t>
    </r>
    <r>
      <rPr>
        <i/>
        <sz val="11"/>
        <color theme="1"/>
        <rFont val="Arial Unicode MS"/>
        <family val="2"/>
      </rPr>
      <t>YA</t>
    </r>
    <r>
      <rPr>
        <i/>
        <sz val="9"/>
        <color theme="1"/>
        <rFont val="Arial Unicode MS"/>
        <family val="2"/>
      </rPr>
      <t>H</t>
    </r>
    <r>
      <rPr>
        <i/>
        <sz val="11"/>
        <color theme="1"/>
        <rFont val="Arial Unicode MS"/>
        <family val="2"/>
      </rPr>
      <t>R</t>
    </r>
    <r>
      <rPr>
        <sz val="11"/>
        <color theme="1"/>
        <rFont val="Arial Unicode MS"/>
        <family val="2"/>
      </rPr>
      <t xml:space="preserve">, just before, going backward, the </t>
    </r>
    <r>
      <rPr>
        <i/>
        <sz val="11"/>
        <color theme="1"/>
        <rFont val="Arial Unicode MS"/>
        <family val="2"/>
      </rPr>
      <t/>
    </r>
  </si>
  <si>
    <t xml:space="preserve">at a cyclic input:  NE (45°) + 2 full revolutions gives 45+360+360 = 765.  Add three  for having </t>
  </si>
  <si>
    <t xml:space="preserve">Another whimsical thought - the input as Jim's "signature".   We'll take 56 from the 281st </t>
  </si>
  <si>
    <t>26x22 Pad of 697-digit Gray Section</t>
  </si>
  <si>
    <t xml:space="preserve">       GRAY ONES &amp; ZEROES, 32-128</t>
  </si>
  <si>
    <r>
      <rPr>
        <sz val="9"/>
        <color theme="1"/>
        <rFont val="Arial Unicode MS"/>
        <family val="2"/>
      </rPr>
      <t>Letter 96 still gets 2</t>
    </r>
    <r>
      <rPr>
        <sz val="11"/>
        <color theme="1"/>
        <rFont val="Arial Unicode MS"/>
        <family val="2"/>
      </rPr>
      <t xml:space="preserve"> </t>
    </r>
    <r>
      <rPr>
        <b/>
        <sz val="11"/>
        <color theme="1"/>
        <rFont val="Arial Unicode MS"/>
        <family val="2"/>
      </rPr>
      <t xml:space="preserve"> </t>
    </r>
    <r>
      <rPr>
        <b/>
        <sz val="14"/>
        <color theme="1"/>
        <rFont val="Arial Unicode MS"/>
        <family val="2"/>
      </rPr>
      <t>⇧</t>
    </r>
  </si>
  <si>
    <t xml:space="preserve">the sculpture as already corrected, K1-K3 can be padded to 22 x 35, or, as I would suppose </t>
  </si>
  <si>
    <t xml:space="preserve">more likely, transposed to get there.   If the Gray Code section were padded to 22 x 26 (572), </t>
  </si>
  <si>
    <t xml:space="preserve">leaving out the last 10 digits, which are all zeroes as it happens, only the final letter of 97 would </t>
  </si>
  <si>
    <t xml:space="preserve">An interesting example - a 22 by 26 pad of the section under discussion:  If a letter is added to </t>
  </si>
  <si>
    <t>4a.</t>
  </si>
  <si>
    <t>4b.</t>
  </si>
  <si>
    <t xml:space="preserve">26 rows, and the 9 rows at the bottom ignored as "debris".    There is no definite indication for </t>
  </si>
  <si>
    <t>factor neatly and uniquely to  59x13.  This is reminiscent of those sub-primes in the grid loca-</t>
  </si>
  <si>
    <t xml:space="preserve">setting the 2-digit pairs on the second  run through.  It would give inputs from 01 all the way to </t>
  </si>
  <si>
    <t xml:space="preserve">99 with only one 278-long string.  Would JS/ES have thought that number obscure enough, and </t>
  </si>
  <si>
    <t xml:space="preserve">yet hinted at hard enough to be found?  Would they have thought it practical for the addressee </t>
  </si>
  <si>
    <t xml:space="preserve">to work out 281 decimal places?  Or how many fewer places would be sufficiently secure, if   </t>
  </si>
  <si>
    <t xml:space="preserve">transposed, added, reversed, etc.?  The 'sausage machine' could be relied on to hide a fair </t>
  </si>
  <si>
    <r>
      <t>697 can of course be obtained by taking Я</t>
    </r>
    <r>
      <rPr>
        <sz val="9"/>
        <color theme="1"/>
        <rFont val="Arial Unicode MS"/>
        <family val="2"/>
      </rPr>
      <t>H</t>
    </r>
    <r>
      <rPr>
        <sz val="11"/>
        <color theme="1"/>
        <rFont val="Arial Unicode MS"/>
        <family val="2"/>
      </rPr>
      <t xml:space="preserve">R as </t>
    </r>
    <r>
      <rPr>
        <sz val="9"/>
        <color theme="1"/>
        <rFont val="Arial Unicode MS"/>
        <family val="2"/>
      </rPr>
      <t>H</t>
    </r>
    <r>
      <rPr>
        <sz val="11"/>
        <color theme="1"/>
        <rFont val="Arial Unicode MS"/>
        <family val="2"/>
      </rPr>
      <t xml:space="preserve">ЯR (&amp; see end K2 line 4, after "error" 2). </t>
    </r>
  </si>
  <si>
    <t xml:space="preserve">thus, 1112, and we will have 4 x 278.  Pretty stretchy, to be sure, but just maybe that's a hint </t>
  </si>
  <si>
    <r>
      <t xml:space="preserve">November.  Then we'll take 139 letters from the third query in K2 (our added </t>
    </r>
    <r>
      <rPr>
        <i/>
        <sz val="11"/>
        <color theme="1"/>
        <rFont val="Arial Unicode MS"/>
        <family val="2"/>
      </rPr>
      <t>a</t>
    </r>
    <r>
      <rPr>
        <sz val="11"/>
        <color theme="1"/>
        <rFont val="Arial Unicode MS"/>
        <family val="2"/>
      </rPr>
      <t xml:space="preserve"> or </t>
    </r>
    <r>
      <rPr>
        <i/>
        <sz val="11"/>
        <color theme="1"/>
        <rFont val="Arial Unicode MS"/>
        <family val="2"/>
      </rPr>
      <t>e</t>
    </r>
    <r>
      <rPr>
        <sz val="11"/>
        <color theme="1"/>
        <rFont val="Arial Unicode MS"/>
        <family val="2"/>
      </rPr>
      <t xml:space="preserve"> included) </t>
    </r>
  </si>
  <si>
    <t>up to where the x will be inserted, but isn't yet, and that'll represent (besides 1/2 of 278) 1+3+</t>
  </si>
  <si>
    <t xml:space="preserve">For 19, we'll have the 37 letters from the start of the first line of K2 to the first query, because </t>
  </si>
  <si>
    <t xml:space="preserve">either way from the midpoint (to the start of the line or to the query) is 19.  Realizing we've taken </t>
  </si>
  <si>
    <t xml:space="preserve">machine', and the results combined and run through again, the only K4 PT letter left stripped of </t>
  </si>
  <si>
    <t xml:space="preserve">it would seem helpful in placing the grille.  The grille would be placed squarely over the upper </t>
  </si>
  <si>
    <r>
      <rPr>
        <b/>
        <sz val="14"/>
        <color rgb="FF00823B"/>
        <rFont val="Arial Unicode MS"/>
        <family val="2"/>
      </rPr>
      <t xml:space="preserve">     </t>
    </r>
    <r>
      <rPr>
        <b/>
        <u/>
        <sz val="14"/>
        <color rgb="FF00823B"/>
        <rFont val="Arial Unicode MS"/>
        <family val="2"/>
      </rPr>
      <t>Standard Binary</t>
    </r>
  </si>
  <si>
    <r>
      <t>add 4 because there are 4, or for YA</t>
    </r>
    <r>
      <rPr>
        <sz val="9"/>
        <color theme="1"/>
        <rFont val="Arial Unicode MS"/>
        <family val="2"/>
      </rPr>
      <t>H</t>
    </r>
    <r>
      <rPr>
        <sz val="11"/>
        <color theme="1"/>
        <rFont val="Arial Unicode MS"/>
        <family val="2"/>
      </rPr>
      <t>R, which follows "</t>
    </r>
    <r>
      <rPr>
        <sz val="9"/>
        <color theme="1"/>
        <rFont val="Arial Unicode MS"/>
        <family val="2"/>
      </rPr>
      <t>LAYER TWO END</t>
    </r>
    <r>
      <rPr>
        <sz val="11"/>
        <color theme="1"/>
        <rFont val="Arial Unicode MS"/>
        <family val="2"/>
      </rPr>
      <t>".  YA</t>
    </r>
    <r>
      <rPr>
        <sz val="9"/>
        <color theme="1"/>
        <rFont val="Arial Unicode MS"/>
        <family val="2"/>
      </rPr>
      <t>H</t>
    </r>
    <r>
      <rPr>
        <sz val="11"/>
        <color theme="1"/>
        <rFont val="Arial Unicode MS"/>
        <family val="2"/>
      </rPr>
      <t xml:space="preserve">R confirms </t>
    </r>
  </si>
  <si>
    <t xml:space="preserve">128 thus:  Consider YA (45) as 2, it being 2 letters, H (6) is shifted to ^, R (7) is the exponent; </t>
  </si>
  <si>
    <r>
      <t xml:space="preserve">final R.  11 + 43 = 54, 54 + 43 = 97.  What might it signify if a naked PT </t>
    </r>
    <r>
      <rPr>
        <i/>
        <sz val="11"/>
        <color theme="1"/>
        <rFont val="Arial Unicode MS"/>
        <family val="2"/>
      </rPr>
      <t>R</t>
    </r>
    <r>
      <rPr>
        <sz val="11"/>
        <color theme="1"/>
        <rFont val="Arial Unicode MS"/>
        <family val="2"/>
      </rPr>
      <t xml:space="preserve"> were as far beyond  </t>
    </r>
  </si>
  <si>
    <r>
      <t xml:space="preserve">a naked PT </t>
    </r>
    <r>
      <rPr>
        <i/>
        <sz val="11"/>
        <color theme="1"/>
        <rFont val="Arial Unicode MS"/>
        <family val="2"/>
      </rPr>
      <t xml:space="preserve"> L</t>
    </r>
    <r>
      <rPr>
        <sz val="11"/>
        <color theme="1"/>
        <rFont val="Arial Unicode MS"/>
        <family val="2"/>
      </rPr>
      <t xml:space="preserve"> as that</t>
    </r>
    <r>
      <rPr>
        <i/>
        <sz val="11"/>
        <color theme="1"/>
        <rFont val="Arial Unicode MS"/>
        <family val="2"/>
      </rPr>
      <t xml:space="preserve"> L</t>
    </r>
    <r>
      <rPr>
        <sz val="11"/>
        <color theme="1"/>
        <rFont val="Arial Unicode MS"/>
        <family val="2"/>
      </rPr>
      <t xml:space="preserve"> is beyond a naked PT </t>
    </r>
    <r>
      <rPr>
        <i/>
        <sz val="11"/>
        <color theme="1"/>
        <rFont val="Arial Unicode MS"/>
        <family val="2"/>
      </rPr>
      <t xml:space="preserve">U </t>
    </r>
    <r>
      <rPr>
        <sz val="11"/>
        <color theme="1"/>
        <rFont val="Arial Unicode MS"/>
        <family val="2"/>
      </rPr>
      <t xml:space="preserve">which is just beyond the 10 initial letters by </t>
    </r>
  </si>
  <si>
    <r>
      <t xml:space="preserve">which Jim identifies a solution?  </t>
    </r>
    <r>
      <rPr>
        <i/>
        <sz val="11"/>
        <color theme="1"/>
        <rFont val="Arial Unicode MS"/>
        <family val="2"/>
      </rPr>
      <t>ULR</t>
    </r>
    <r>
      <rPr>
        <sz val="11"/>
        <color theme="1"/>
        <rFont val="Arial Unicode MS"/>
        <family val="2"/>
      </rPr>
      <t xml:space="preserve">? </t>
    </r>
    <r>
      <rPr>
        <i/>
        <sz val="11"/>
        <color theme="1"/>
        <rFont val="Arial Unicode MS"/>
        <family val="2"/>
      </rPr>
      <t>UL</t>
    </r>
    <r>
      <rPr>
        <i/>
        <u/>
        <sz val="11"/>
        <color theme="1"/>
        <rFont val="Arial Unicode MS"/>
        <family val="2"/>
      </rPr>
      <t>Ya</t>
    </r>
    <r>
      <rPr>
        <sz val="11"/>
        <color theme="1"/>
        <rFont val="Arial Unicode MS"/>
        <family val="2"/>
      </rPr>
      <t xml:space="preserve">? </t>
    </r>
    <r>
      <rPr>
        <i/>
        <u/>
        <sz val="11"/>
        <color theme="1"/>
        <rFont val="Arial Unicode MS"/>
        <family val="2"/>
      </rPr>
      <t>Ulya</t>
    </r>
    <r>
      <rPr>
        <i/>
        <sz val="11"/>
        <color theme="1"/>
        <rFont val="Arial Unicode MS"/>
        <family val="2"/>
      </rPr>
      <t>nov</t>
    </r>
    <r>
      <rPr>
        <sz val="11"/>
        <color theme="1"/>
        <rFont val="Arial Unicode MS"/>
        <family val="2"/>
      </rPr>
      <t xml:space="preserve">?  Is this about Lenin?  Or is that </t>
    </r>
    <r>
      <rPr>
        <i/>
        <sz val="11"/>
        <color theme="1"/>
        <rFont val="Arial Unicode MS"/>
        <family val="2"/>
      </rPr>
      <t>L</t>
    </r>
    <r>
      <rPr>
        <sz val="11"/>
        <color theme="1"/>
        <rFont val="Arial Unicode MS"/>
        <family val="2"/>
      </rPr>
      <t xml:space="preserve"> </t>
    </r>
  </si>
  <si>
    <t xml:space="preserve">The "visual artistic" method might seem to be to pick out the 278-long input by using the Gray </t>
  </si>
  <si>
    <t xml:space="preserve">remain naked plaintext, just as would occur if the procedure in 3f. were used.  For one thing </t>
  </si>
  <si>
    <t>This being a simple pad of the 278-zero section, any transposition will yield a different pattern.</t>
  </si>
  <si>
    <t>4c.</t>
  </si>
  <si>
    <r>
      <t xml:space="preserve">letter; the second says correct "error" 2 by inserting </t>
    </r>
    <r>
      <rPr>
        <u/>
        <sz val="11"/>
        <color theme="1"/>
        <rFont val="Arial Unicode MS"/>
        <family val="2"/>
      </rPr>
      <t>a</t>
    </r>
    <r>
      <rPr>
        <sz val="11"/>
        <color theme="1"/>
        <rFont val="Arial Unicode MS"/>
        <family val="2"/>
      </rPr>
      <t xml:space="preserve"> letter (either </t>
    </r>
    <r>
      <rPr>
        <i/>
        <sz val="11"/>
        <color theme="1"/>
        <rFont val="Arial Unicode MS"/>
        <family val="2"/>
      </rPr>
      <t>a</t>
    </r>
    <r>
      <rPr>
        <sz val="11"/>
        <color theme="1"/>
        <rFont val="Arial Unicode MS"/>
        <family val="2"/>
      </rPr>
      <t xml:space="preserve"> or </t>
    </r>
    <r>
      <rPr>
        <i/>
        <sz val="11"/>
        <color theme="1"/>
        <rFont val="Arial Unicode MS"/>
        <family val="2"/>
      </rPr>
      <t>e</t>
    </r>
    <r>
      <rPr>
        <sz val="11"/>
        <color theme="1"/>
        <rFont val="Arial Unicode MS"/>
        <family val="2"/>
      </rPr>
      <t xml:space="preserve"> would do).  Who</t>
    </r>
  </si>
  <si>
    <t xml:space="preserve">that we need input text to fill, exactly or partially, four 278-long lines, at once or serially.  Or </t>
  </si>
  <si>
    <r>
      <t>just that 278 has to do with the solution of K</t>
    </r>
    <r>
      <rPr>
        <u/>
        <sz val="11"/>
        <color theme="1"/>
        <rFont val="Arial Unicode MS"/>
        <family val="2"/>
      </rPr>
      <t>4</t>
    </r>
    <r>
      <rPr>
        <sz val="11"/>
        <color theme="1"/>
        <rFont val="Arial Unicode MS"/>
        <family val="2"/>
      </rPr>
      <t>.  Or the choice of word was mere coincidence.</t>
    </r>
  </si>
  <si>
    <t>well please with the digits they give you - the artistic version of the Campbell-Parker method.</t>
  </si>
  <si>
    <r>
      <rPr>
        <b/>
        <sz val="14"/>
        <color theme="1"/>
        <rFont val="Arial Unicode MS"/>
        <family val="2"/>
      </rPr>
      <t>⇐</t>
    </r>
    <r>
      <rPr>
        <sz val="11"/>
        <color theme="1"/>
        <rFont val="Arial Unicode MS"/>
        <family val="2"/>
      </rPr>
      <t xml:space="preserve"> </t>
    </r>
    <r>
      <rPr>
        <sz val="9"/>
        <color theme="1"/>
        <rFont val="Arial Unicode MS"/>
        <family val="2"/>
      </rPr>
      <t xml:space="preserve"> Left out, leaves letter #97 naked, takes 4 from #96.</t>
    </r>
  </si>
  <si>
    <r>
      <t>gives a decimal quotient which repeats at intervals of 281, and begins like so:  .0</t>
    </r>
    <r>
      <rPr>
        <u/>
        <sz val="11"/>
        <color theme="1"/>
        <rFont val="Arial Unicode MS"/>
        <family val="2"/>
      </rPr>
      <t>337</t>
    </r>
    <r>
      <rPr>
        <sz val="11"/>
        <color theme="1"/>
        <rFont val="Arial Unicode MS"/>
        <family val="2"/>
      </rPr>
      <t>477797</t>
    </r>
  </si>
  <si>
    <t>from 128 down to 32; 128 is indicated as a bound, but it might equally well be the beginning.</t>
  </si>
  <si>
    <r>
      <rPr>
        <i/>
        <sz val="11"/>
        <color theme="1"/>
        <rFont val="Arial Unicode MS"/>
        <family val="2"/>
      </rPr>
      <t>end</t>
    </r>
    <r>
      <rPr>
        <sz val="11"/>
        <color theme="1"/>
        <rFont val="Arial Unicode MS"/>
        <family val="2"/>
      </rPr>
      <t>).  Instructions at top of the third tab.  On the fourth tab I have set up the processor to run</t>
    </r>
  </si>
  <si>
    <t>This is as far as my argument for the second layer goes.  I believe it fits well with the claim</t>
  </si>
  <si>
    <t>that we can't just "undo" what Jim did, but have to figure that out first, and with his remark</t>
  </si>
  <si>
    <t xml:space="preserve">Some of the numbers in K1 suggest November 25, 1922,  the date of opening of Tutankhamun's </t>
  </si>
  <si>
    <t>I don't remember).  To "use all the letters", perhaps first the zeroes and then the ones?  Or trans-</t>
  </si>
  <si>
    <r>
      <t xml:space="preserve">pose the Gray Code Section, or both that </t>
    </r>
    <r>
      <rPr>
        <i/>
        <sz val="11"/>
        <color theme="1"/>
        <rFont val="Arial Unicode MS"/>
        <family val="2"/>
      </rPr>
      <t>and</t>
    </r>
    <r>
      <rPr>
        <sz val="11"/>
        <color theme="1"/>
        <rFont val="Arial Unicode MS"/>
        <family val="2"/>
      </rPr>
      <t xml:space="preserve"> K1-K3?</t>
    </r>
  </si>
  <si>
    <t>Carl Ellis</t>
  </si>
  <si>
    <t>Speaking of backward, I am suspicious of that final R in K4.  I daresay most of the Rs in this</t>
  </si>
  <si>
    <r>
      <t xml:space="preserve">actually a </t>
    </r>
    <r>
      <rPr>
        <i/>
        <sz val="11"/>
        <color theme="1"/>
        <rFont val="Arial Unicode MS"/>
        <family val="2"/>
      </rPr>
      <t>Г</t>
    </r>
    <r>
      <rPr>
        <sz val="11"/>
        <color theme="1"/>
        <rFont val="Arial Unicode MS"/>
        <family val="2"/>
      </rPr>
      <t xml:space="preserve">, hence </t>
    </r>
    <r>
      <rPr>
        <sz val="9"/>
        <color theme="1"/>
        <rFont val="Arial Unicode MS"/>
        <family val="2"/>
      </rPr>
      <t>UGRUGRUGRUG</t>
    </r>
    <r>
      <rPr>
        <sz val="11"/>
        <color theme="1"/>
        <rFont val="Arial Unicode MS"/>
        <family val="2"/>
      </rPr>
      <t xml:space="preserve"> ?  Was </t>
    </r>
    <r>
      <rPr>
        <i/>
        <sz val="11"/>
        <color theme="1"/>
        <rFont val="Arial Unicode MS"/>
        <family val="2"/>
      </rPr>
      <t>Girasol</t>
    </r>
    <r>
      <rPr>
        <sz val="11"/>
        <color theme="1"/>
        <rFont val="Arial Unicode MS"/>
        <family val="2"/>
      </rPr>
      <t xml:space="preserve"> a hint at this? </t>
    </r>
  </si>
  <si>
    <t>(UU?) between the exposed PTs.  If the pattern is continued and wrapped around to the start,</t>
  </si>
  <si>
    <t xml:space="preserve">BTW, a small coincidence(?) here:  Using the processor from 128 down, toward 32, the naked </t>
  </si>
  <si>
    <r>
      <t xml:space="preserve">the next exposed letter would be #33, which is the </t>
    </r>
    <r>
      <rPr>
        <i/>
        <sz val="11"/>
        <color theme="1"/>
        <rFont val="Arial Unicode MS"/>
        <family val="2"/>
      </rPr>
      <t>S</t>
    </r>
    <r>
      <rPr>
        <sz val="11"/>
        <color theme="1"/>
        <rFont val="Arial Unicode MS"/>
        <family val="2"/>
      </rPr>
      <t xml:space="preserve"> of </t>
    </r>
    <r>
      <rPr>
        <sz val="9"/>
        <color theme="1"/>
        <rFont val="Arial Unicode MS"/>
        <family val="2"/>
      </rPr>
      <t>NORTHEAST</t>
    </r>
    <r>
      <rPr>
        <sz val="11"/>
        <color theme="1"/>
        <rFont val="Arial Unicode MS"/>
        <family val="2"/>
      </rPr>
      <t xml:space="preserve">, which we happen to know </t>
    </r>
  </si>
  <si>
    <t xml:space="preserve">is in fact the same in PT and CT.  This is hardly a proof; the masking layer of the sample, e.g., </t>
  </si>
  <si>
    <t xml:space="preserve">comes up to a multiple of 26 at outputs 67, 77, 90 &amp; 97, thus leaving those letters unchanged </t>
  </si>
  <si>
    <r>
      <t xml:space="preserve">PT letters would be the </t>
    </r>
    <r>
      <rPr>
        <i/>
        <sz val="11"/>
        <color theme="1"/>
        <rFont val="Arial Unicode MS"/>
        <family val="2"/>
      </rPr>
      <t>S</t>
    </r>
    <r>
      <rPr>
        <sz val="11"/>
        <color theme="1"/>
        <rFont val="Arial Unicode MS"/>
        <family val="2"/>
      </rPr>
      <t xml:space="preserve"> at place 44 and the </t>
    </r>
    <r>
      <rPr>
        <i/>
        <sz val="11"/>
        <color theme="1"/>
        <rFont val="Arial Unicode MS"/>
        <family val="2"/>
      </rPr>
      <t>K</t>
    </r>
    <r>
      <rPr>
        <sz val="11"/>
        <color theme="1"/>
        <rFont val="Arial Unicode MS"/>
        <family val="2"/>
      </rPr>
      <t xml:space="preserve"> at place 87.  That is to say, there is a double 21</t>
    </r>
  </si>
  <si>
    <t xml:space="preserve">ficance - but we do know there will be at least 2 cases in any 278&gt;97 process where  the naked </t>
  </si>
  <si>
    <t xml:space="preserve">2^7=128.  128 is the final (or first) number in our 6x97 Gray array of ones &amp; zeroes, as well </t>
  </si>
  <si>
    <r>
      <t>as being 281 rearranged (</t>
    </r>
    <r>
      <rPr>
        <i/>
        <sz val="11"/>
        <color theme="1"/>
        <rFont val="Arial Unicode MS"/>
        <family val="2"/>
      </rPr>
      <t>T is your position</t>
    </r>
    <r>
      <rPr>
        <sz val="11"/>
        <color theme="1"/>
        <rFont val="Arial Unicode MS"/>
        <family val="2"/>
      </rPr>
      <t>, see K3#281).   Also, 8'44" &gt; 844 = (563+281).</t>
    </r>
  </si>
  <si>
    <t>4d.</t>
  </si>
  <si>
    <t>5a.</t>
  </si>
  <si>
    <t>5b.</t>
  </si>
  <si>
    <t>5c.</t>
  </si>
  <si>
    <r>
      <t xml:space="preserve">9 = 13.  So now we'll take the </t>
    </r>
    <r>
      <rPr>
        <i/>
        <sz val="11"/>
        <color theme="1"/>
        <rFont val="Arial Unicode MS"/>
        <family val="2"/>
      </rPr>
      <t>x</t>
    </r>
    <r>
      <rPr>
        <sz val="11"/>
        <color theme="1"/>
        <rFont val="Arial Unicode MS"/>
        <family val="2"/>
      </rPr>
      <t xml:space="preserve"> for one more, = 14.  Or take all 140 at once, and say 14+0=14. </t>
    </r>
  </si>
  <si>
    <r>
      <t xml:space="preserve">K1 #57 may be thought of as </t>
    </r>
    <r>
      <rPr>
        <i/>
        <sz val="11"/>
        <color theme="1"/>
        <rFont val="Arial Unicode MS"/>
        <family val="2"/>
      </rPr>
      <t>3x19</t>
    </r>
    <r>
      <rPr>
        <sz val="11"/>
        <color theme="1"/>
        <rFont val="Arial Unicode MS"/>
        <family val="2"/>
      </rPr>
      <t>.  Using a sort of fuzzy, 'anamathematical' way of looking</t>
    </r>
  </si>
  <si>
    <r>
      <t xml:space="preserve">and </t>
    </r>
    <r>
      <rPr>
        <sz val="9"/>
        <color theme="1"/>
        <rFont val="Arial Unicode MS"/>
        <family val="2"/>
      </rPr>
      <t>ABSCISSA</t>
    </r>
    <r>
      <rPr>
        <sz val="11"/>
        <color theme="1"/>
        <rFont val="Arial Unicode MS"/>
        <family val="2"/>
      </rPr>
      <t xml:space="preserve"> displace S to 7 and 3, but Standard S = 19, which is the number to be added.  </t>
    </r>
  </si>
  <si>
    <t>With a 563 and a 19 on hand here as well, we can derive our 582 in both ways as at "error" 1.</t>
  </si>
  <si>
    <t xml:space="preserve">The repeat interval to decode K3 is 192; 192 is the way Gray 128 would read if read in the </t>
  </si>
  <si>
    <t xml:space="preserve">18 too many, we'll subtract that much from K1 and take the rest, and there's 45.  In the letters </t>
  </si>
  <si>
    <t>we've chosen, we have 56+140+37+45=278, in a nicely scattered pattern picked out from four</t>
  </si>
  <si>
    <t xml:space="preserve">landmarks in K1-K3.  Symbolically, we have November 14, 1945 when the sculptor was born.  </t>
  </si>
  <si>
    <t xml:space="preserve">of 278, so the next-to-last PT would still get a covering of 3 inputs.  They could afford a naked </t>
  </si>
  <si>
    <r>
      <t xml:space="preserve">cover should be the final </t>
    </r>
    <r>
      <rPr>
        <i/>
        <sz val="11"/>
        <color theme="1"/>
        <rFont val="Arial Unicode MS"/>
        <family val="2"/>
      </rPr>
      <t>R</t>
    </r>
    <r>
      <rPr>
        <sz val="11"/>
        <color theme="1"/>
        <rFont val="Arial Unicode MS"/>
        <family val="2"/>
      </rPr>
      <t xml:space="preserve">.  The last 2 outputs take 6 @ inputs, and 269 would be only 9 shy </t>
    </r>
  </si>
  <si>
    <r>
      <t xml:space="preserve">I like this one:  </t>
    </r>
    <r>
      <rPr>
        <b/>
        <sz val="11"/>
        <color theme="1"/>
        <rFont val="Arial Unicode MS"/>
        <family val="2"/>
      </rPr>
      <t>a)</t>
    </r>
    <r>
      <rPr>
        <sz val="11"/>
        <color theme="1"/>
        <rFont val="Arial Unicode MS"/>
        <family val="2"/>
      </rPr>
      <t xml:space="preserve"> a clockwise rotation of a 2 x 385 pad of the 770-letter text, followed by repad </t>
    </r>
  </si>
  <si>
    <r>
      <t xml:space="preserve">to 35 x 22, and finally another clockwise rotation, overlaid from the top by </t>
    </r>
    <r>
      <rPr>
        <b/>
        <sz val="11"/>
        <color theme="1"/>
        <rFont val="Arial Unicode MS"/>
        <family val="2"/>
      </rPr>
      <t>b)</t>
    </r>
    <r>
      <rPr>
        <sz val="11"/>
        <color theme="1"/>
        <rFont val="Arial Unicode MS"/>
        <family val="2"/>
      </rPr>
      <t xml:space="preserve"> the result of a clock-</t>
    </r>
  </si>
  <si>
    <t xml:space="preserve">wise rotation of a 2 x 291 pad of the Gray section grille followed by a repad to 26 x 22 and a </t>
  </si>
  <si>
    <t xml:space="preserve">second clockwise rotation.  There are numerous choices for the first pad configurations for the </t>
  </si>
  <si>
    <r>
      <t>text and several for the grille, but "...6.</t>
    </r>
    <r>
      <rPr>
        <u/>
        <sz val="11"/>
        <color theme="1"/>
        <rFont val="Arial Unicode MS"/>
        <family val="2"/>
      </rPr>
      <t>5</t>
    </r>
    <r>
      <rPr>
        <sz val="11"/>
        <color theme="1"/>
        <rFont val="Arial Unicode MS"/>
        <family val="2"/>
      </rPr>
      <t xml:space="preserve"> </t>
    </r>
    <r>
      <rPr>
        <u/>
        <sz val="11"/>
        <color theme="1"/>
        <rFont val="Arial Unicode MS"/>
        <family val="2"/>
      </rPr>
      <t>second</t>
    </r>
    <r>
      <rPr>
        <sz val="11"/>
        <color theme="1"/>
        <rFont val="Arial Unicode MS"/>
        <family val="2"/>
      </rPr>
      <t xml:space="preserve">s, </t>
    </r>
    <r>
      <rPr>
        <u/>
        <sz val="11"/>
        <color theme="1"/>
        <rFont val="Arial Unicode MS"/>
        <family val="2"/>
      </rPr>
      <t>77</t>
    </r>
    <r>
      <rPr>
        <sz val="11"/>
        <color theme="1"/>
        <rFont val="Arial Unicode MS"/>
        <family val="2"/>
      </rPr>
      <t xml:space="preserve"> degrees…" suggests (</t>
    </r>
    <r>
      <rPr>
        <u/>
        <sz val="11"/>
        <color theme="1"/>
        <rFont val="Arial Unicode MS"/>
        <family val="2"/>
      </rPr>
      <t xml:space="preserve">5 </t>
    </r>
    <r>
      <rPr>
        <sz val="11"/>
        <color theme="1"/>
        <rFont val="Arial Unicode MS"/>
        <family val="2"/>
      </rPr>
      <t xml:space="preserve">x </t>
    </r>
    <r>
      <rPr>
        <u/>
        <sz val="11"/>
        <color theme="1"/>
        <rFont val="Arial Unicode MS"/>
        <family val="2"/>
      </rPr>
      <t>2</t>
    </r>
    <r>
      <rPr>
        <sz val="11"/>
        <color theme="1"/>
        <rFont val="Arial Unicode MS"/>
        <family val="2"/>
      </rPr>
      <t xml:space="preserve">) x </t>
    </r>
    <r>
      <rPr>
        <u/>
        <sz val="11"/>
        <color theme="1"/>
        <rFont val="Arial Unicode MS"/>
        <family val="2"/>
      </rPr>
      <t>77</t>
    </r>
    <r>
      <rPr>
        <sz val="11"/>
        <color theme="1"/>
        <rFont val="Arial Unicode MS"/>
        <family val="2"/>
      </rPr>
      <t xml:space="preserve">, and 2 x </t>
    </r>
  </si>
  <si>
    <t xml:space="preserve">By changing the order a little, 2 x (5x77) = 770, and 2 x 291 = 582.  This gives us the two 2s to </t>
  </si>
  <si>
    <r>
      <t>291 contains an anamathematical 192, as well as being derivable from Я</t>
    </r>
    <r>
      <rPr>
        <sz val="9"/>
        <color theme="1"/>
        <rFont val="Arial Unicode MS"/>
        <family val="2"/>
      </rPr>
      <t>H</t>
    </r>
    <r>
      <rPr>
        <sz val="11"/>
        <color theme="1"/>
        <rFont val="Arial Unicode MS"/>
        <family val="2"/>
      </rPr>
      <t xml:space="preserve">R (6 x 97 divided in 2).  </t>
    </r>
  </si>
  <si>
    <t xml:space="preserve">combine to 22 for the aligning number on the second rotation.  385 added to 291 makes 676 = </t>
  </si>
  <si>
    <t xml:space="preserve">26^2, which hints at the section where the 2 arrays are to exactly overlap, 22 wide by 26 deep. </t>
  </si>
  <si>
    <t xml:space="preserve">Proposed:  That the pattern of zeroes* is used to process a selection from, or the whole of, the </t>
  </si>
  <si>
    <t xml:space="preserve">*In the § from 32-128 or 128-32, inclusive.  I have not investigated higher numbers to see </t>
  </si>
  <si>
    <t xml:space="preserve">where the 'blind spot' numbers would occur, so I can't rule out that a higher numeric-value </t>
  </si>
  <si>
    <t>§ like 128-224 is used.  What we have here already seems adequate, and I don't see any</t>
  </si>
  <si>
    <t>specific hints for looking further on these lines.</t>
  </si>
  <si>
    <t>knows the exact location?  Only double U, double U.</t>
  </si>
  <si>
    <r>
      <t xml:space="preserve">sculpture are </t>
    </r>
    <r>
      <rPr>
        <i/>
        <sz val="11"/>
        <color theme="1"/>
        <rFont val="Arial Unicode MS"/>
        <family val="2"/>
      </rPr>
      <t>not</t>
    </r>
    <r>
      <rPr>
        <sz val="11"/>
        <color theme="1"/>
        <rFont val="Arial Unicode MS"/>
        <family val="2"/>
      </rPr>
      <t xml:space="preserve"> Яs, but that one makes me wonder. </t>
    </r>
  </si>
  <si>
    <t xml:space="preserve">If we go the other way, and faithfully following our illustrious example we accidentally remove </t>
  </si>
  <si>
    <r>
      <t xml:space="preserve">56+3, and insert </t>
    </r>
    <r>
      <rPr>
        <i/>
        <sz val="11"/>
        <color theme="1"/>
        <rFont val="Arial Unicode MS"/>
        <family val="2"/>
      </rPr>
      <t>e</t>
    </r>
    <r>
      <rPr>
        <sz val="11"/>
        <color theme="1"/>
        <rFont val="Arial Unicode MS"/>
        <family val="2"/>
      </rPr>
      <t xml:space="preserve"> rather than </t>
    </r>
    <r>
      <rPr>
        <i/>
        <sz val="11"/>
        <color theme="1"/>
        <rFont val="Arial Unicode MS"/>
        <family val="2"/>
      </rPr>
      <t>a</t>
    </r>
    <r>
      <rPr>
        <sz val="11"/>
        <color theme="1"/>
        <rFont val="Arial Unicode MS"/>
        <family val="2"/>
      </rPr>
      <t xml:space="preserve"> at the beginning, for an </t>
    </r>
    <r>
      <rPr>
        <i/>
        <u/>
        <sz val="11"/>
        <color theme="1"/>
        <rFont val="Arial Unicode MS"/>
        <family val="2"/>
      </rPr>
      <t>e</t>
    </r>
    <r>
      <rPr>
        <i/>
        <sz val="11"/>
        <color theme="1"/>
        <rFont val="Arial Unicode MS"/>
        <family val="2"/>
      </rPr>
      <t>lision</t>
    </r>
    <r>
      <rPr>
        <sz val="11"/>
        <color theme="1"/>
        <rFont val="Arial Unicode MS"/>
        <family val="2"/>
      </rPr>
      <t>) as well as Jim's x/S, 767 will</t>
    </r>
  </si>
  <si>
    <t xml:space="preserve">of letters with any smaller interval that crossed his mind.  And 768 is 3x2^8, so there's lots of </t>
  </si>
  <si>
    <r>
      <t>conventional transpositions there.  I wouldn't much be looking for 'conventional' in K4, but that</t>
    </r>
    <r>
      <rPr>
        <i/>
        <sz val="11"/>
        <color theme="1"/>
        <rFont val="Arial Unicode MS"/>
        <family val="2"/>
      </rPr>
      <t xml:space="preserve"> </t>
    </r>
  </si>
  <si>
    <r>
      <rPr>
        <i/>
        <sz val="11"/>
        <color theme="1"/>
        <rFont val="Arial Unicode MS"/>
        <family val="2"/>
      </rPr>
      <t>is</t>
    </r>
    <r>
      <rPr>
        <sz val="11"/>
        <color theme="1"/>
        <rFont val="Arial Unicode MS"/>
        <family val="2"/>
      </rPr>
      <t xml:space="preserve"> 2</t>
    </r>
    <r>
      <rPr>
        <u/>
        <sz val="11"/>
        <color theme="1"/>
        <rFont val="Arial Unicode MS"/>
        <family val="2"/>
      </rPr>
      <t>56x3</t>
    </r>
    <r>
      <rPr>
        <sz val="11"/>
        <color theme="1"/>
        <rFont val="Arial Unicode MS"/>
        <family val="2"/>
      </rPr>
      <t xml:space="preserve">.   </t>
    </r>
  </si>
  <si>
    <t xml:space="preserve">If we just leave the x in there, 769 is prime, so he could cycle completely through that number </t>
  </si>
  <si>
    <r>
      <t xml:space="preserve">nent to Kryptos.  Besides, 59x13 looks to me, looking at it as Jim might, like </t>
    </r>
    <r>
      <rPr>
        <u/>
        <sz val="11"/>
        <color theme="1"/>
        <rFont val="Arial Unicode MS"/>
        <family val="2"/>
      </rPr>
      <t>56</t>
    </r>
    <r>
      <rPr>
        <sz val="11"/>
        <color theme="1"/>
        <rFont val="Arial Unicode MS"/>
        <family val="2"/>
      </rPr>
      <t xml:space="preserve"> + </t>
    </r>
    <r>
      <rPr>
        <u/>
        <sz val="11"/>
        <color theme="1"/>
        <rFont val="Arial Unicode MS"/>
        <family val="2"/>
      </rPr>
      <t>3</t>
    </r>
    <r>
      <rPr>
        <sz val="11"/>
        <color theme="1"/>
        <rFont val="Arial Unicode MS"/>
        <family val="2"/>
      </rPr>
      <t xml:space="preserve"> x 13 - the </t>
    </r>
  </si>
  <si>
    <t xml:space="preserve">tomb:  56 (read 5 + 6 = 11 = Nov.) to just before error, 25 on second line to just before error, 2 x </t>
  </si>
  <si>
    <t>31^2 = 1922.  But I can't work it  out to provide any 278-long strings for K4.</t>
  </si>
  <si>
    <t>from PT to CT.  So that one sample indicates maybe 5% chance of this happening without signi-</t>
  </si>
  <si>
    <t xml:space="preserve">so doing, but the numbers can be found by playing with the roots of the squares summing to </t>
  </si>
  <si>
    <r>
      <t>370 (K2 letters length):  3</t>
    </r>
    <r>
      <rPr>
        <b/>
        <sz val="11"/>
        <color theme="1"/>
        <rFont val="Arial Unicode MS"/>
        <family val="2"/>
      </rPr>
      <t>^</t>
    </r>
    <r>
      <rPr>
        <sz val="11"/>
        <color theme="1"/>
        <rFont val="Arial Unicode MS"/>
        <family val="2"/>
      </rPr>
      <t>2 + 19</t>
    </r>
    <r>
      <rPr>
        <b/>
        <sz val="11"/>
        <color theme="1"/>
        <rFont val="Arial Unicode MS"/>
        <family val="2"/>
      </rPr>
      <t>^</t>
    </r>
    <r>
      <rPr>
        <sz val="11"/>
        <color theme="1"/>
        <rFont val="Arial Unicode MS"/>
        <family val="2"/>
      </rPr>
      <t>2 = 370, and 17</t>
    </r>
    <r>
      <rPr>
        <b/>
        <sz val="11"/>
        <color theme="1"/>
        <rFont val="Arial Unicode MS"/>
        <family val="2"/>
      </rPr>
      <t>^</t>
    </r>
    <r>
      <rPr>
        <sz val="11"/>
        <color theme="1"/>
        <rFont val="Arial Unicode MS"/>
        <family val="2"/>
      </rPr>
      <t>2 + 9</t>
    </r>
    <r>
      <rPr>
        <b/>
        <sz val="11"/>
        <color theme="1"/>
        <rFont val="Arial Unicode MS"/>
        <family val="2"/>
      </rPr>
      <t>^</t>
    </r>
    <r>
      <rPr>
        <sz val="11"/>
        <color theme="1"/>
        <rFont val="Arial Unicode MS"/>
        <family val="2"/>
      </rPr>
      <t xml:space="preserve">2 = 370.  Reinterpreted, 17 </t>
    </r>
    <r>
      <rPr>
        <b/>
        <sz val="14"/>
        <color theme="1"/>
        <rFont val="Arial Unicode MS"/>
        <family val="2"/>
      </rPr>
      <t>+</t>
    </r>
    <r>
      <rPr>
        <sz val="11"/>
        <color theme="1"/>
        <rFont val="Arial Unicode MS"/>
        <family val="2"/>
      </rPr>
      <t xml:space="preserve"> 9 = 26, </t>
    </r>
  </si>
  <si>
    <r>
      <t xml:space="preserve">This proceeding is what is known as </t>
    </r>
    <r>
      <rPr>
        <i/>
        <sz val="11"/>
        <color theme="1"/>
        <rFont val="Arial Unicode MS"/>
        <family val="2"/>
      </rPr>
      <t>anamathematical digital interpretatюn</t>
    </r>
    <r>
      <rPr>
        <sz val="11"/>
        <color theme="1"/>
        <rFont val="Arial Unicode MS"/>
        <family val="2"/>
      </rPr>
      <t xml:space="preserve"> - do as you damn'</t>
    </r>
  </si>
  <si>
    <t xml:space="preserve">on my layer two interpretation against long odds.  </t>
  </si>
  <si>
    <t xml:space="preserve">Or layer one can be something entirely different that never has crossed my mind.  But I'd bet </t>
  </si>
  <si>
    <t>.</t>
  </si>
  <si>
    <t xml:space="preserve">While the numerical hints so far could apply equally to standard binary, the quantities of ones </t>
  </si>
  <si>
    <t>and zeroes being the same over the same space, the pattern shows a  distinct difference:</t>
  </si>
  <si>
    <t xml:space="preserve">An arguably possible clue is from the Mengenlehreuhr.  Not from the clock itself; he could </t>
  </si>
  <si>
    <t xml:space="preserve">gaps are at 11 and 54 - not true of the standard binary.  The zeroes are suggested by much </t>
  </si>
  <si>
    <t xml:space="preserve">of Jim's work anyway - illumination shining through holes.  Lucid memory.  Note that these </t>
  </si>
  <si>
    <t>gaps occur (necessarily) where the Gray Code, if read as normal binary, would signify 63.</t>
  </si>
  <si>
    <t>Right.</t>
  </si>
  <si>
    <t xml:space="preserve">that the solution is right under our noses.  Tab 2 consists of speculations on layer one that </t>
  </si>
  <si>
    <t>may be of interest.</t>
  </si>
  <si>
    <r>
      <t xml:space="preserve">another letter (maybe the </t>
    </r>
    <r>
      <rPr>
        <i/>
        <sz val="11"/>
        <color theme="1"/>
        <rFont val="Arial Unicode MS"/>
        <family val="2"/>
      </rPr>
      <t>q</t>
    </r>
    <r>
      <rPr>
        <sz val="11"/>
        <color theme="1"/>
        <rFont val="Arial Unicode MS"/>
        <family val="2"/>
      </rPr>
      <t xml:space="preserve"> of iqlusion?  And we shift the </t>
    </r>
    <r>
      <rPr>
        <i/>
        <sz val="11"/>
        <color theme="1"/>
        <rFont val="Arial Unicode MS"/>
        <family val="2"/>
      </rPr>
      <t>i</t>
    </r>
    <r>
      <rPr>
        <sz val="11"/>
        <color theme="1"/>
        <rFont val="Arial Unicode MS"/>
        <family val="2"/>
      </rPr>
      <t xml:space="preserve"> at #56 over to replace the </t>
    </r>
    <r>
      <rPr>
        <i/>
        <sz val="11"/>
        <color theme="1"/>
        <rFont val="Arial Unicode MS"/>
        <family val="2"/>
      </rPr>
      <t>u</t>
    </r>
    <r>
      <rPr>
        <sz val="11"/>
        <color theme="1"/>
        <rFont val="Arial Unicode MS"/>
        <family val="2"/>
      </rPr>
      <t xml:space="preserve"> at </t>
    </r>
  </si>
  <si>
    <r>
      <t xml:space="preserve">good old 563 signpost again.   Besides, you could make a 26 x 29.5 grid out of it, </t>
    </r>
    <r>
      <rPr>
        <i/>
        <sz val="11"/>
        <color theme="1"/>
        <rFont val="Arial Unicode MS"/>
        <family val="2"/>
      </rPr>
      <t>cf.</t>
    </r>
    <r>
      <rPr>
        <sz val="11"/>
        <color theme="1"/>
        <rFont val="Arial Unicode MS"/>
        <family val="2"/>
      </rPr>
      <t xml:space="preserve"> 5c.</t>
    </r>
    <r>
      <rPr>
        <i/>
        <sz val="11"/>
        <color theme="1"/>
        <rFont val="Arial Unicode MS"/>
        <family val="2"/>
      </rPr>
      <t xml:space="preserve"> infra</t>
    </r>
    <r>
      <rPr>
        <sz val="11"/>
        <color theme="1"/>
        <rFont val="Arial Unicode MS"/>
        <family val="2"/>
      </rPr>
      <t>.</t>
    </r>
  </si>
  <si>
    <r>
      <t>513321492007…  Several interesting numbers in there.)   337°30' is about half a bubble off.   ㋡</t>
    </r>
    <r>
      <rPr>
        <b/>
        <sz val="11"/>
        <color theme="1"/>
        <rFont val="Arial Unicode MS"/>
        <family val="2"/>
      </rPr>
      <t/>
    </r>
  </si>
  <si>
    <r>
      <t xml:space="preserve">We gonna getcha yet, Jim.  </t>
    </r>
    <r>
      <rPr>
        <b/>
        <i/>
        <sz val="11"/>
        <color theme="1"/>
        <rFont val="Arial Unicode MS"/>
        <family val="2"/>
      </rPr>
      <t xml:space="preserve"> </t>
    </r>
    <r>
      <rPr>
        <b/>
        <sz val="11"/>
        <color theme="1"/>
        <rFont val="Arial Unicode MS"/>
        <family val="2"/>
      </rPr>
      <t>;)</t>
    </r>
  </si>
  <si>
    <r>
      <t>made 3 arcs of the compass, or because 3 more would give 765 + 3 (</t>
    </r>
    <r>
      <rPr>
        <sz val="11"/>
        <color theme="1"/>
        <rFont val="Monotype Corsiva"/>
        <family val="4"/>
      </rPr>
      <t>f</t>
    </r>
    <r>
      <rPr>
        <vertAlign val="subscript"/>
        <sz val="11"/>
        <color theme="1"/>
        <rFont val="Arial Unicode MS"/>
        <family val="2"/>
      </rPr>
      <t>anamath</t>
    </r>
    <r>
      <rPr>
        <sz val="11"/>
        <color theme="1"/>
        <rFont val="Arial Unicode MS"/>
        <family val="2"/>
      </rPr>
      <t xml:space="preserve">{765+3} = 563) </t>
    </r>
  </si>
  <si>
    <t>and you have the number of letters in K1-K3 (as sculpted).</t>
  </si>
  <si>
    <r>
      <t xml:space="preserve">The added PT </t>
    </r>
    <r>
      <rPr>
        <i/>
        <sz val="11"/>
        <color theme="1"/>
        <rFont val="Arial Unicode MS"/>
        <family val="2"/>
      </rPr>
      <t>x</t>
    </r>
    <r>
      <rPr>
        <sz val="11"/>
        <color theme="1"/>
        <rFont val="Arial Unicode MS"/>
        <family val="2"/>
      </rPr>
      <t xml:space="preserve"> which produces CT</t>
    </r>
    <r>
      <rPr>
        <i/>
        <sz val="11"/>
        <color theme="1"/>
        <rFont val="Arial Unicode MS"/>
        <family val="2"/>
      </rPr>
      <t xml:space="preserve"> S</t>
    </r>
    <r>
      <rPr>
        <sz val="11"/>
        <color theme="1"/>
        <rFont val="Arial Unicode MS"/>
        <family val="2"/>
      </rPr>
      <t xml:space="preserve">, we'll read as /s/, </t>
    </r>
    <r>
      <rPr>
        <i/>
        <sz val="11"/>
        <color theme="1"/>
        <rFont val="Arial Unicode MS"/>
        <family val="2"/>
      </rPr>
      <t>his mark</t>
    </r>
    <r>
      <rPr>
        <sz val="11"/>
        <color theme="1"/>
        <rFont val="Arial Unicode MS"/>
        <family val="2"/>
      </rPr>
      <t xml:space="preserve"> - the final touch to the work.</t>
    </r>
  </si>
  <si>
    <t>are supposed to be Jim's 'first ten' letters, for confirmation of solution?</t>
  </si>
  <si>
    <r>
      <t xml:space="preserve">of </t>
    </r>
    <r>
      <rPr>
        <sz val="9"/>
        <color theme="1"/>
        <rFont val="Arial Unicode MS"/>
        <family val="2"/>
      </rPr>
      <t>BERLIN</t>
    </r>
    <r>
      <rPr>
        <sz val="11"/>
        <color theme="1"/>
        <rFont val="Arial Unicode MS"/>
        <family val="2"/>
      </rPr>
      <t xml:space="preserve"> is represented by the 64th CT letter, etc., but I don't know of any statement that the </t>
    </r>
  </si>
  <si>
    <t xml:space="preserve">64th letter is the 64th letter of the message as it is intended to be read.  We don't know where  </t>
  </si>
  <si>
    <t>it starts, or what tells us how to arrange it from "as sent" to "to read".  So, BTW, which letters</t>
  </si>
  <si>
    <r>
      <t>PT letter shows the alignment (abscissa?) and we know the interval.   Jim has said that the</t>
    </r>
    <r>
      <rPr>
        <sz val="9"/>
        <color theme="1"/>
        <rFont val="Arial Unicode MS"/>
        <family val="2"/>
      </rPr>
      <t xml:space="preserve"> B </t>
    </r>
  </si>
  <si>
    <t xml:space="preserve">U &gt; Ю &gt; 10 &gt; 1, 0.     UU &gt;  ЮЮ &gt; 1010 &gt; lots of 'em.    In groups of 21@?        </t>
  </si>
  <si>
    <r>
      <t xml:space="preserve">19 </t>
    </r>
    <r>
      <rPr>
        <b/>
        <sz val="14"/>
        <color theme="1"/>
        <rFont val="Arial Unicode MS"/>
        <family val="2"/>
      </rPr>
      <t>+</t>
    </r>
    <r>
      <rPr>
        <sz val="11"/>
        <color theme="1"/>
        <rFont val="Arial Unicode MS"/>
        <family val="2"/>
      </rPr>
      <t xml:space="preserve"> 3 = 22, 17 </t>
    </r>
    <r>
      <rPr>
        <b/>
        <sz val="14"/>
        <color theme="1"/>
        <rFont val="Arial Unicode MS"/>
        <family val="2"/>
      </rPr>
      <t>+</t>
    </r>
    <r>
      <rPr>
        <sz val="11"/>
        <color theme="1"/>
        <rFont val="Arial Unicode MS"/>
        <family val="2"/>
      </rPr>
      <t xml:space="preserve"> (9</t>
    </r>
    <r>
      <rPr>
        <b/>
        <sz val="11"/>
        <color theme="1"/>
        <rFont val="Arial Unicode MS"/>
        <family val="2"/>
      </rPr>
      <t>x</t>
    </r>
    <r>
      <rPr>
        <sz val="11"/>
        <color theme="1"/>
        <rFont val="Arial Unicode MS"/>
        <family val="2"/>
      </rPr>
      <t>2) = 35, and 3</t>
    </r>
    <r>
      <rPr>
        <b/>
        <sz val="12"/>
        <color theme="1"/>
        <rFont val="Arial Unicode MS"/>
        <family val="2"/>
      </rPr>
      <t>^</t>
    </r>
    <r>
      <rPr>
        <sz val="11"/>
        <color theme="1"/>
        <rFont val="Arial Unicode MS"/>
        <family val="2"/>
      </rPr>
      <t xml:space="preserve">2 remains unchanged, just for fun, and to indicate the 9 </t>
    </r>
  </si>
  <si>
    <t>rows to be discarded as debris at the bottom.  Anamaths don't know squares from rectangles.</t>
  </si>
  <si>
    <r>
      <t>NO</t>
    </r>
    <r>
      <rPr>
        <u/>
        <sz val="11"/>
        <color rgb="FF0000FF"/>
        <rFont val="Calibri"/>
        <family val="2"/>
        <scheme val="minor"/>
      </rPr>
      <t>R</t>
    </r>
    <r>
      <rPr>
        <sz val="11"/>
        <color theme="1"/>
        <rFont val="Calibri"/>
        <family val="2"/>
        <scheme val="minor"/>
      </rPr>
      <t xml:space="preserve">TH 38° 57' </t>
    </r>
    <r>
      <rPr>
        <u/>
        <sz val="11"/>
        <color rgb="FF0000FF"/>
        <rFont val="Calibri"/>
        <family val="2"/>
        <scheme val="minor"/>
      </rPr>
      <t>6.5</t>
    </r>
    <r>
      <rPr>
        <sz val="11"/>
        <color theme="1"/>
        <rFont val="Calibri"/>
        <family val="2"/>
        <scheme val="minor"/>
      </rPr>
      <t>", WEST 77° 08' 44"</t>
    </r>
  </si>
  <si>
    <r>
      <t xml:space="preserve">6.5 is </t>
    </r>
    <r>
      <rPr>
        <u/>
        <sz val="11"/>
        <color theme="1"/>
        <rFont val="Calibri"/>
        <family val="2"/>
        <scheme val="minor"/>
      </rPr>
      <t>third</t>
    </r>
    <r>
      <rPr>
        <sz val="11"/>
        <color theme="1"/>
        <rFont val="Calibri"/>
        <family val="2"/>
        <scheme val="minor"/>
      </rPr>
      <t xml:space="preserve">, &amp; third term is to be </t>
    </r>
    <r>
      <rPr>
        <u/>
        <sz val="11"/>
        <color theme="1"/>
        <rFont val="Calibri"/>
        <family val="2"/>
        <scheme val="minor"/>
      </rPr>
      <t>Я</t>
    </r>
    <r>
      <rPr>
        <sz val="11"/>
        <color theme="1"/>
        <rFont val="Calibri"/>
        <family val="2"/>
        <scheme val="minor"/>
      </rPr>
      <t>eversed</t>
    </r>
  </si>
  <si>
    <t>Letters</t>
  </si>
  <si>
    <t>f</t>
  </si>
  <si>
    <t>(f-1)</t>
  </si>
  <si>
    <t>f*(f-1)</t>
  </si>
  <si>
    <t>(Φo)</t>
  </si>
  <si>
    <t>*</t>
  </si>
  <si>
    <r>
      <t xml:space="preserve">Presumably </t>
    </r>
    <r>
      <rPr>
        <b/>
        <sz val="7.5"/>
        <color indexed="56"/>
        <rFont val="Verdana"/>
        <family val="2"/>
      </rPr>
      <t>Φp</t>
    </r>
    <r>
      <rPr>
        <sz val="7.5"/>
        <color indexed="56"/>
        <rFont val="Verdana"/>
        <family val="2"/>
      </rPr>
      <t xml:space="preserve"> for a pair with a letter skipped between them is other than .0667, but I think we can assume it is higher than </t>
    </r>
    <r>
      <rPr>
        <b/>
        <sz val="7.5"/>
        <color indexed="56"/>
        <rFont val="Verdana"/>
        <family val="2"/>
      </rPr>
      <t>Φr</t>
    </r>
    <r>
      <rPr>
        <sz val="7.5"/>
        <color indexed="56"/>
        <rFont val="Verdana"/>
        <family val="2"/>
      </rPr>
      <t>.</t>
    </r>
  </si>
  <si>
    <r>
      <t xml:space="preserve">On standard </t>
    </r>
    <r>
      <rPr>
        <b/>
        <sz val="11"/>
        <color theme="1"/>
        <rFont val="Calibri"/>
        <family val="2"/>
        <scheme val="minor"/>
      </rPr>
      <t>Φ</t>
    </r>
    <r>
      <rPr>
        <sz val="11"/>
        <color theme="1"/>
        <rFont val="Calibri"/>
        <family val="2"/>
        <scheme val="minor"/>
      </rPr>
      <t xml:space="preserve"> calculation, K is 56 on third "round", and entire passage = number of K3 letters.</t>
    </r>
  </si>
  <si>
    <t>ΔIC obtained/random</t>
  </si>
  <si>
    <t>ΔIC obtained/general plaintext</t>
  </si>
  <si>
    <t>Φ random</t>
  </si>
  <si>
    <t>Φ plaintext,general</t>
  </si>
  <si>
    <r>
      <t xml:space="preserve">Way closer </t>
    </r>
    <r>
      <rPr>
        <sz val="14"/>
        <color rgb="FF00823B"/>
        <rFont val="Verdana"/>
        <family val="2"/>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</si>
</sst>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000"/>
  </numFmts>
  <fonts count="130"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Arial Unicode MS"/>
      <family val="2"/>
    </font>
    <font>
      <i/>
      <sz val="11"/>
      <color theme="1"/>
      <name val="Arial Unicode MS"/>
      <family val="2"/>
    </font>
    <font>
      <u/>
      <sz val="11"/>
      <color theme="1"/>
      <name val="Arial Unicode MS"/>
      <family val="2"/>
    </font>
    <font>
      <sz val="9"/>
      <color theme="1"/>
      <name val="Arial Unicode MS"/>
      <family val="2"/>
    </font>
    <font>
      <i/>
      <sz val="9"/>
      <color theme="1"/>
      <name val="Arial Unicode MS"/>
      <family val="2"/>
    </font>
    <font>
      <sz val="8"/>
      <color theme="1"/>
      <name val="Arial Unicode MS"/>
      <family val="2"/>
    </font>
    <font>
      <b/>
      <sz val="11"/>
      <color rgb="FF6600FF"/>
      <name val="Arial Unicode MS"/>
      <family val="2"/>
    </font>
    <font>
      <sz val="10"/>
      <color theme="1"/>
      <name val="Arial Unicode MS"/>
      <family val="2"/>
    </font>
    <font>
      <b/>
      <sz val="11"/>
      <color rgb="FF00B050"/>
      <name val="Arial Unicode MS"/>
      <family val="2"/>
    </font>
    <font>
      <b/>
      <sz val="11"/>
      <color rgb="FF0000CC"/>
      <name val="Arial Unicode MS"/>
      <family val="2"/>
    </font>
    <font>
      <i/>
      <sz val="8"/>
      <color theme="4" tint="-0.249977111117893"/>
      <name val="Arial Unicode MS"/>
      <family val="2"/>
    </font>
    <font>
      <b/>
      <sz val="8"/>
      <color rgb="FF00B050"/>
      <name val="Arial Unicode MS"/>
      <family val="2"/>
    </font>
    <font>
      <b/>
      <sz val="11"/>
      <color rgb="FF5F5F5F"/>
      <name val="Arial Unicode MS"/>
      <family val="2"/>
    </font>
    <font>
      <b/>
      <sz val="8"/>
      <color rgb="FF5F5F5F"/>
      <name val="Arial Unicode MS"/>
      <family val="2"/>
    </font>
    <font>
      <sz val="8"/>
      <color rgb="FF0000CC"/>
      <name val="Arial Unicode MS"/>
      <family val="2"/>
    </font>
    <font>
      <b/>
      <sz val="11"/>
      <name val="Arial Unicode MS"/>
      <family val="2"/>
    </font>
    <font>
      <b/>
      <sz val="11"/>
      <color rgb="FFFF0000"/>
      <name val="Arial Unicode MS"/>
      <family val="2"/>
    </font>
    <font>
      <b/>
      <sz val="9"/>
      <color rgb="FFC00000"/>
      <name val="Arial Unicode MS"/>
      <family val="2"/>
    </font>
    <font>
      <sz val="8"/>
      <color theme="4" tint="-0.249977111117893"/>
      <name val="Arial Unicode MS"/>
      <family val="2"/>
    </font>
    <font>
      <b/>
      <sz val="9"/>
      <color rgb="FF9900CC"/>
      <name val="Arial Unicode MS"/>
      <family val="2"/>
    </font>
    <font>
      <b/>
      <sz val="11"/>
      <color rgb="FFCC00CC"/>
      <name val="Arial Unicode MS"/>
      <family val="2"/>
    </font>
    <font>
      <u/>
      <sz val="12"/>
      <color theme="1"/>
      <name val="Arial Unicode MS"/>
      <family val="2"/>
    </font>
    <font>
      <sz val="12"/>
      <color theme="1"/>
      <name val="Calibri"/>
      <family val="2"/>
      <scheme val="minor"/>
    </font>
    <font>
      <b/>
      <sz val="11"/>
      <color rgb="FF0000CC"/>
      <name val="Calibri"/>
      <family val="2"/>
      <scheme val="minor"/>
    </font>
    <font>
      <b/>
      <sz val="11"/>
      <color rgb="FF008000"/>
      <name val="Calibri"/>
      <family val="2"/>
      <scheme val="minor"/>
    </font>
    <font>
      <i/>
      <sz val="8"/>
      <color theme="3"/>
      <name val="Calibri"/>
      <family val="2"/>
      <scheme val="minor"/>
    </font>
    <font>
      <i/>
      <sz val="12"/>
      <color theme="3"/>
      <name val="Calibri"/>
      <family val="2"/>
      <scheme val="minor"/>
    </font>
    <font>
      <sz val="12"/>
      <name val="Calibri"/>
      <family val="2"/>
      <scheme val="minor"/>
    </font>
    <font>
      <sz val="9"/>
      <color rgb="FF006600"/>
      <name val="Calibri"/>
      <family val="2"/>
      <scheme val="minor"/>
    </font>
    <font>
      <sz val="11"/>
      <color rgb="FF006600"/>
      <name val="Calibri"/>
      <family val="2"/>
      <scheme val="minor"/>
    </font>
    <font>
      <sz val="11"/>
      <name val="Calibri"/>
      <family val="2"/>
      <scheme val="minor"/>
    </font>
    <font>
      <b/>
      <i/>
      <sz val="8"/>
      <color rgb="FF006600"/>
      <name val="Arial Unicode MS"/>
      <family val="2"/>
    </font>
    <font>
      <b/>
      <i/>
      <sz val="8"/>
      <color rgb="FFFF0000"/>
      <name val="Arial Unicode MS"/>
      <family val="2"/>
    </font>
    <font>
      <sz val="9"/>
      <color rgb="FF0000CC"/>
      <name val="Calibri"/>
      <family val="2"/>
      <scheme val="minor"/>
    </font>
    <font>
      <b/>
      <i/>
      <sz val="8"/>
      <color rgb="FF0000CC"/>
      <name val="Arial Unicode MS"/>
      <family val="2"/>
    </font>
    <font>
      <sz val="9"/>
      <color theme="1"/>
      <name val="Calibri"/>
      <family val="2"/>
      <scheme val="minor"/>
    </font>
    <font>
      <sz val="11"/>
      <color rgb="FFFF0000"/>
      <name val="Arial Unicode MS"/>
      <family val="2"/>
    </font>
    <font>
      <b/>
      <i/>
      <sz val="8"/>
      <color theme="3"/>
      <name val="Calibri"/>
      <family val="2"/>
      <scheme val="minor"/>
    </font>
    <font>
      <b/>
      <i/>
      <sz val="8"/>
      <color rgb="FFFF0000"/>
      <name val="Calibri"/>
      <family val="2"/>
      <scheme val="minor"/>
    </font>
    <font>
      <b/>
      <i/>
      <sz val="9"/>
      <color rgb="FF0000CC"/>
      <name val="Sitka Banner"/>
    </font>
    <font>
      <sz val="11"/>
      <color rgb="FF808080"/>
      <name val="Arial Unicode MS"/>
      <family val="2"/>
    </font>
    <font>
      <sz val="9"/>
      <color rgb="FF808080"/>
      <name val="Arial Unicode MS"/>
      <family val="2"/>
    </font>
    <font>
      <sz val="11"/>
      <color rgb="FF808080"/>
      <name val="Calibri"/>
      <family val="2"/>
      <scheme val="minor"/>
    </font>
    <font>
      <sz val="8"/>
      <color theme="1"/>
      <name val="Calibri"/>
      <family val="2"/>
      <scheme val="minor"/>
    </font>
    <font>
      <b/>
      <i/>
      <sz val="10"/>
      <color rgb="FF006600"/>
      <name val="Arial Unicode MS"/>
      <family val="2"/>
    </font>
    <font>
      <b/>
      <i/>
      <sz val="10"/>
      <color rgb="FFFF0000"/>
      <name val="Arial Unicode MS"/>
      <family val="2"/>
    </font>
    <font>
      <b/>
      <i/>
      <sz val="8"/>
      <color theme="1"/>
      <name val="Arial Unicode MS"/>
      <family val="2"/>
    </font>
    <font>
      <b/>
      <i/>
      <sz val="8"/>
      <color theme="9" tint="-0.499984740745262"/>
      <name val="Calibri"/>
      <family val="2"/>
      <scheme val="minor"/>
    </font>
    <font>
      <b/>
      <i/>
      <sz val="8"/>
      <color rgb="FF9900CC"/>
      <name val="Calibri"/>
      <family val="2"/>
      <scheme val="minor"/>
    </font>
    <font>
      <b/>
      <i/>
      <sz val="8"/>
      <color rgb="FFCC00CC"/>
      <name val="Calibri"/>
      <family val="2"/>
      <scheme val="minor"/>
    </font>
    <font>
      <sz val="10"/>
      <color theme="1"/>
      <name val="Calibri"/>
      <family val="2"/>
    </font>
    <font>
      <sz val="10"/>
      <name val="Calibri"/>
      <family val="2"/>
      <scheme val="minor"/>
    </font>
    <font>
      <b/>
      <sz val="10"/>
      <color rgb="FFFF0000"/>
      <name val="Arial Unicode MS"/>
      <family val="2"/>
    </font>
    <font>
      <i/>
      <sz val="11"/>
      <color theme="1"/>
      <name val="Calibri"/>
      <family val="2"/>
      <scheme val="minor"/>
    </font>
    <font>
      <b/>
      <sz val="9"/>
      <color rgb="FF006600"/>
      <name val="Calibri"/>
      <family val="2"/>
      <scheme val="minor"/>
    </font>
    <font>
      <b/>
      <sz val="9"/>
      <color rgb="FFC00000"/>
      <name val="Calibri"/>
      <family val="2"/>
      <scheme val="minor"/>
    </font>
    <font>
      <b/>
      <sz val="9"/>
      <color rgb="FF0000CC"/>
      <name val="Calibri"/>
      <family val="2"/>
      <scheme val="minor"/>
    </font>
    <font>
      <b/>
      <sz val="9"/>
      <name val="Calibri"/>
      <family val="2"/>
      <scheme val="minor"/>
    </font>
    <font>
      <i/>
      <u/>
      <sz val="11"/>
      <color theme="1"/>
      <name val="Arial Unicode MS"/>
      <family val="2"/>
    </font>
    <font>
      <b/>
      <sz val="9"/>
      <color rgb="FFFF0000"/>
      <name val="Arial Unicode MS"/>
      <family val="2"/>
    </font>
    <font>
      <b/>
      <sz val="11"/>
      <color theme="9" tint="-0.499984740745262"/>
      <name val="Arial Unicode MS"/>
      <family val="2"/>
    </font>
    <font>
      <b/>
      <sz val="10"/>
      <color theme="1"/>
      <name val="Arial Unicode MS"/>
      <family val="2"/>
    </font>
    <font>
      <b/>
      <sz val="11"/>
      <color theme="1"/>
      <name val="Arial Unicode MS"/>
      <family val="2"/>
    </font>
    <font>
      <b/>
      <sz val="10"/>
      <color theme="1"/>
      <name val="Calibri"/>
      <family val="2"/>
      <scheme val="minor"/>
    </font>
    <font>
      <sz val="8"/>
      <color theme="1"/>
      <name val="Sitka Banner"/>
    </font>
    <font>
      <sz val="12"/>
      <color theme="1"/>
      <name val="Arial Unicode MS"/>
      <family val="2"/>
    </font>
    <font>
      <b/>
      <i/>
      <sz val="11"/>
      <color theme="1"/>
      <name val="Arial Unicode MS"/>
      <family val="2"/>
    </font>
    <font>
      <b/>
      <sz val="11"/>
      <color rgb="FF0000FF"/>
      <name val="Arial Unicode MS"/>
      <family val="2"/>
    </font>
    <font>
      <sz val="9"/>
      <color theme="3"/>
      <name val="Sitka Banner"/>
    </font>
    <font>
      <b/>
      <sz val="8"/>
      <color rgb="FF0000FF"/>
      <name val="Arial Unicode MS"/>
      <family val="2"/>
    </font>
    <font>
      <b/>
      <sz val="8"/>
      <name val="Arial Unicode MS"/>
      <family val="2"/>
    </font>
    <font>
      <b/>
      <sz val="8"/>
      <color rgb="FFFF0000"/>
      <name val="Arial Unicode MS"/>
      <family val="2"/>
    </font>
    <font>
      <b/>
      <sz val="9"/>
      <color rgb="FF006600"/>
      <name val="Sitka Banner"/>
    </font>
    <font>
      <b/>
      <sz val="9"/>
      <color theme="3"/>
      <name val="Sitka Banner"/>
    </font>
    <font>
      <b/>
      <sz val="11"/>
      <color theme="2" tint="-0.499984740745262"/>
      <name val="Calibri"/>
      <family val="2"/>
      <scheme val="minor"/>
    </font>
    <font>
      <sz val="11"/>
      <color rgb="FF0000FF"/>
      <name val="Arial Unicode MS"/>
      <family val="2"/>
    </font>
    <font>
      <sz val="9"/>
      <color rgb="FFFF0000"/>
      <name val="Arial Unicode MS"/>
      <family val="2"/>
    </font>
    <font>
      <b/>
      <sz val="10"/>
      <color theme="1"/>
      <name val="Sitka Banner"/>
    </font>
    <font>
      <b/>
      <sz val="10"/>
      <color rgb="FFFF0000"/>
      <name val="Sitka Banner"/>
    </font>
    <font>
      <b/>
      <i/>
      <sz val="11"/>
      <color rgb="FF00B050"/>
      <name val="Sitka Banner"/>
    </font>
    <font>
      <b/>
      <sz val="12"/>
      <color theme="1"/>
      <name val="Arial Unicode MS"/>
      <family val="2"/>
    </font>
    <font>
      <b/>
      <sz val="14"/>
      <color theme="1"/>
      <name val="Arial Unicode MS"/>
      <family val="2"/>
    </font>
    <font>
      <b/>
      <i/>
      <sz val="11"/>
      <color rgb="FF00823B"/>
      <name val="Sitka Banner"/>
    </font>
    <font>
      <b/>
      <sz val="10"/>
      <color rgb="FF0000FF"/>
      <name val="Sitka Banner"/>
    </font>
    <font>
      <b/>
      <sz val="11"/>
      <color rgb="FFFF6600"/>
      <name val="Arial Unicode MS"/>
      <family val="2"/>
    </font>
    <font>
      <b/>
      <u/>
      <sz val="14"/>
      <color rgb="FF00823B"/>
      <name val="Arial Unicode MS"/>
      <family val="2"/>
    </font>
    <font>
      <b/>
      <sz val="14"/>
      <color rgb="FF00823B"/>
      <name val="Arial Unicode MS"/>
      <family val="2"/>
    </font>
    <font>
      <b/>
      <sz val="11"/>
      <color rgb="FF00823B"/>
      <name val="Arial Unicode MS"/>
      <family val="2"/>
    </font>
    <font>
      <b/>
      <sz val="8"/>
      <color rgb="FF00823B"/>
      <name val="Arial Unicode MS"/>
      <family val="2"/>
    </font>
    <font>
      <sz val="8"/>
      <name val="Arial Unicode MS"/>
      <family val="2"/>
    </font>
    <font>
      <b/>
      <sz val="11"/>
      <color rgb="FF602E04"/>
      <name val="Arial Unicode MS"/>
      <family val="2"/>
    </font>
    <font>
      <b/>
      <u/>
      <sz val="11"/>
      <color rgb="FF333333"/>
      <name val="Arial Unicode MS"/>
      <family val="2"/>
    </font>
    <font>
      <b/>
      <sz val="11"/>
      <color rgb="FF333333"/>
      <name val="Arial Unicode MS"/>
      <family val="2"/>
    </font>
    <font>
      <b/>
      <sz val="8"/>
      <color rgb="FF333333"/>
      <name val="Arial Unicode MS"/>
      <family val="2"/>
    </font>
    <font>
      <sz val="11"/>
      <name val="Arial Unicode MS"/>
      <family val="2"/>
    </font>
    <font>
      <b/>
      <sz val="11"/>
      <color rgb="FF9900CC"/>
      <name val="Arial Unicode MS"/>
      <family val="2"/>
    </font>
    <font>
      <sz val="10"/>
      <color rgb="FFFF0000"/>
      <name val="Arial Unicode MS"/>
      <family val="2"/>
    </font>
    <font>
      <b/>
      <i/>
      <sz val="8"/>
      <color theme="7" tint="-0.499984740745262"/>
      <name val="Calibri"/>
      <family val="2"/>
      <scheme val="minor"/>
    </font>
    <font>
      <b/>
      <sz val="10"/>
      <name val="Arial Unicode MS"/>
      <family val="2"/>
    </font>
    <font>
      <sz val="10"/>
      <color theme="1"/>
      <name val="Calibri"/>
      <family val="2"/>
      <scheme val="minor"/>
    </font>
    <font>
      <b/>
      <sz val="9"/>
      <color theme="9" tint="-0.499984740745262"/>
      <name val="Arial Unicode MS"/>
      <family val="2"/>
    </font>
    <font>
      <vertAlign val="subscript"/>
      <sz val="11"/>
      <color theme="1"/>
      <name val="Arial Unicode MS"/>
      <family val="2"/>
    </font>
    <font>
      <sz val="11"/>
      <color theme="1"/>
      <name val="Monotype Corsiva"/>
      <family val="4"/>
    </font>
    <font>
      <u/>
      <sz val="11"/>
      <color theme="1"/>
      <name val="Calibri"/>
      <family val="2"/>
      <scheme val="minor"/>
    </font>
    <font>
      <u/>
      <sz val="11"/>
      <color rgb="FF0000FF"/>
      <name val="Calibri"/>
      <family val="2"/>
      <scheme val="minor"/>
    </font>
    <font>
      <sz val="10"/>
      <name val="Verdana"/>
      <family val="2"/>
    </font>
    <font>
      <b/>
      <sz val="10"/>
      <color indexed="10"/>
      <name val="Verdana"/>
      <family val="2"/>
    </font>
    <font>
      <b/>
      <sz val="8"/>
      <color indexed="10"/>
      <name val="Arial"/>
      <family val="2"/>
    </font>
    <font>
      <sz val="10"/>
      <color indexed="10"/>
      <name val="Arial"/>
      <family val="2"/>
    </font>
    <font>
      <b/>
      <sz val="8"/>
      <color indexed="10"/>
      <name val="Verdana"/>
      <family val="2"/>
    </font>
    <font>
      <i/>
      <sz val="10"/>
      <name val="Verdana"/>
      <family val="2"/>
    </font>
    <font>
      <sz val="8"/>
      <name val="Verdana"/>
      <family val="2"/>
    </font>
    <font>
      <sz val="10"/>
      <color indexed="62"/>
      <name val="Verdana"/>
      <family val="2"/>
    </font>
    <font>
      <b/>
      <sz val="8"/>
      <color indexed="62"/>
      <name val="Verdana"/>
      <family val="2"/>
    </font>
    <font>
      <b/>
      <sz val="10"/>
      <color indexed="30"/>
      <name val="Verdana"/>
      <family val="2"/>
    </font>
    <font>
      <sz val="10"/>
      <color indexed="40"/>
      <name val="Verdana"/>
      <family val="2"/>
    </font>
    <font>
      <sz val="10"/>
      <color indexed="56"/>
      <name val="Verdana"/>
      <family val="2"/>
    </font>
    <font>
      <sz val="7.5"/>
      <color indexed="56"/>
      <name val="Verdana"/>
      <family val="2"/>
    </font>
    <font>
      <b/>
      <sz val="7.5"/>
      <color indexed="56"/>
      <name val="Verdana"/>
      <family val="2"/>
    </font>
    <font>
      <sz val="7"/>
      <name val="Verdana"/>
      <family val="2"/>
    </font>
    <font>
      <b/>
      <sz val="9"/>
      <color indexed="10"/>
      <name val="Verdana"/>
      <family val="2"/>
    </font>
    <font>
      <b/>
      <sz val="8"/>
      <color rgb="FF0070C0"/>
      <name val="Verdana"/>
      <family val="2"/>
    </font>
    <font>
      <b/>
      <sz val="9"/>
      <color indexed="62"/>
      <name val="Verdana"/>
      <family val="2"/>
    </font>
    <font>
      <b/>
      <sz val="10"/>
      <color rgb="FF00823B"/>
      <name val="Verdana"/>
      <family val="2"/>
    </font>
    <font>
      <sz val="10"/>
      <color rgb="FF00823B"/>
      <name val="Verdana"/>
      <family val="2"/>
    </font>
    <font>
      <b/>
      <sz val="8"/>
      <color rgb="FF00823B"/>
      <name val="Verdana"/>
      <family val="2"/>
    </font>
    <font>
      <sz val="14"/>
      <color rgb="FF00823B"/>
      <name val="Verdana"/>
      <family val="2"/>
    </font>
  </fonts>
  <fills count="30">
    <fill>
      <patternFill patternType="none"/>
    </fill>
    <fill>
      <patternFill patternType="gray125"/>
    </fill>
    <fill>
      <patternFill patternType="solid">
        <fgColor rgb="FFFFFF00"/>
        <bgColor indexed="64"/>
      </patternFill>
    </fill>
    <fill>
      <patternFill patternType="lightUp">
        <fgColor rgb="FF92D050"/>
      </patternFill>
    </fill>
    <fill>
      <patternFill patternType="lightDown">
        <fgColor rgb="FF99FFCC"/>
        <bgColor theme="0"/>
      </patternFill>
    </fill>
    <fill>
      <patternFill patternType="lightUp">
        <fgColor theme="9" tint="-0.24994659260841701"/>
        <bgColor indexed="65"/>
      </patternFill>
    </fill>
    <fill>
      <patternFill patternType="solid">
        <fgColor rgb="FFCCFF99"/>
        <bgColor indexed="64"/>
      </patternFill>
    </fill>
    <fill>
      <patternFill patternType="lightDown">
        <fgColor rgb="FFFF0000"/>
      </patternFill>
    </fill>
    <fill>
      <patternFill patternType="solid">
        <fgColor rgb="FF99FF66"/>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FFC000"/>
        <bgColor indexed="64"/>
      </patternFill>
    </fill>
    <fill>
      <patternFill patternType="solid">
        <fgColor rgb="FF00FFFF"/>
        <bgColor indexed="64"/>
      </patternFill>
    </fill>
    <fill>
      <patternFill patternType="solid">
        <fgColor rgb="FFD0A172"/>
        <bgColor indexed="64"/>
      </patternFill>
    </fill>
    <fill>
      <patternFill patternType="solid">
        <fgColor rgb="FF99FF99"/>
        <bgColor indexed="64"/>
      </patternFill>
    </fill>
    <fill>
      <patternFill patternType="solid">
        <fgColor rgb="FF92D050"/>
        <bgColor indexed="64"/>
      </patternFill>
    </fill>
    <fill>
      <patternFill patternType="solid">
        <fgColor theme="3" tint="0.79998168889431442"/>
        <bgColor indexed="64"/>
      </patternFill>
    </fill>
    <fill>
      <patternFill patternType="mediumGray">
        <fgColor rgb="FFFFFF99"/>
        <bgColor rgb="FF99FF99"/>
      </patternFill>
    </fill>
    <fill>
      <patternFill patternType="mediumGray">
        <fgColor rgb="FFFFFF99"/>
        <bgColor rgb="FF92D050"/>
      </patternFill>
    </fill>
    <fill>
      <patternFill patternType="mediumGray">
        <fgColor rgb="FFFFFF99"/>
        <bgColor rgb="FF99FF66"/>
      </patternFill>
    </fill>
    <fill>
      <patternFill patternType="solid">
        <fgColor theme="3" tint="0.59999389629810485"/>
        <bgColor indexed="64"/>
      </patternFill>
    </fill>
    <fill>
      <patternFill patternType="solid">
        <fgColor rgb="FFCCFFCC"/>
        <bgColor indexed="64"/>
      </patternFill>
    </fill>
    <fill>
      <patternFill patternType="solid">
        <fgColor rgb="FFD8D27E"/>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indexed="65"/>
        <bgColor indexed="64"/>
      </patternFill>
    </fill>
    <fill>
      <patternFill patternType="solid">
        <fgColor indexed="51"/>
        <bgColor indexed="64"/>
      </patternFill>
    </fill>
    <fill>
      <patternFill patternType="solid">
        <fgColor indexed="13"/>
        <bgColor indexed="64"/>
      </patternFill>
    </fill>
    <fill>
      <patternFill patternType="solid">
        <fgColor theme="5" tint="0.79998168889431442"/>
        <bgColor indexed="64"/>
      </patternFill>
    </fill>
  </fills>
  <borders count="240">
    <border>
      <left/>
      <right/>
      <top/>
      <bottom/>
      <diagonal/>
    </border>
    <border>
      <left/>
      <right/>
      <top style="double">
        <color auto="1"/>
      </top>
      <bottom/>
      <diagonal/>
    </border>
    <border>
      <left style="dotted">
        <color rgb="FFFF0000"/>
      </left>
      <right/>
      <top style="dotted">
        <color rgb="FFFF0000"/>
      </top>
      <bottom/>
      <diagonal/>
    </border>
    <border>
      <left/>
      <right/>
      <top style="dotted">
        <color rgb="FFFF0000"/>
      </top>
      <bottom/>
      <diagonal/>
    </border>
    <border>
      <left/>
      <right style="dotted">
        <color rgb="FFFF0000"/>
      </right>
      <top style="dotted">
        <color rgb="FFFF0000"/>
      </top>
      <bottom/>
      <diagonal/>
    </border>
    <border>
      <left style="dotted">
        <color rgb="FFFF0000"/>
      </left>
      <right/>
      <top/>
      <bottom/>
      <diagonal/>
    </border>
    <border>
      <left/>
      <right style="dotted">
        <color rgb="FFFF0000"/>
      </right>
      <top/>
      <bottom/>
      <diagonal/>
    </border>
    <border>
      <left style="dotted">
        <color rgb="FFFF0000"/>
      </left>
      <right/>
      <top/>
      <bottom style="dotted">
        <color rgb="FFFF0000"/>
      </bottom>
      <diagonal/>
    </border>
    <border>
      <left/>
      <right/>
      <top/>
      <bottom style="dotted">
        <color rgb="FFFF0000"/>
      </bottom>
      <diagonal/>
    </border>
    <border>
      <left/>
      <right style="dotted">
        <color rgb="FFFF0000"/>
      </right>
      <top/>
      <bottom style="dotted">
        <color rgb="FFFF0000"/>
      </bottom>
      <diagonal/>
    </border>
    <border>
      <left/>
      <right style="hair">
        <color auto="1"/>
      </right>
      <top/>
      <bottom/>
      <diagonal/>
    </border>
    <border>
      <left style="hair">
        <color auto="1"/>
      </left>
      <right/>
      <top/>
      <bottom/>
      <diagonal/>
    </border>
    <border>
      <left/>
      <right/>
      <top style="hair">
        <color theme="2" tint="-0.499984740745262"/>
      </top>
      <bottom style="hair">
        <color theme="2" tint="-0.499984740745262"/>
      </bottom>
      <diagonal/>
    </border>
    <border>
      <left/>
      <right style="hair">
        <color auto="1"/>
      </right>
      <top style="hair">
        <color theme="2" tint="-0.499984740745262"/>
      </top>
      <bottom style="hair">
        <color theme="2" tint="-0.499984740745262"/>
      </bottom>
      <diagonal/>
    </border>
    <border>
      <left style="hair">
        <color auto="1"/>
      </left>
      <right/>
      <top style="hair">
        <color theme="2" tint="-0.499984740745262"/>
      </top>
      <bottom style="hair">
        <color theme="2" tint="-0.499984740745262"/>
      </bottom>
      <diagonal/>
    </border>
    <border>
      <left style="dotted">
        <color rgb="FFFF0000"/>
      </left>
      <right/>
      <top style="hair">
        <color theme="2" tint="-0.499984740745262"/>
      </top>
      <bottom style="hair">
        <color theme="2" tint="-0.499984740745262"/>
      </bottom>
      <diagonal/>
    </border>
    <border>
      <left/>
      <right style="dotted">
        <color rgb="FFFF0000"/>
      </right>
      <top style="hair">
        <color theme="2" tint="-0.499984740745262"/>
      </top>
      <bottom style="hair">
        <color theme="2" tint="-0.499984740745262"/>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medium">
        <color rgb="FFFF0000"/>
      </right>
      <top style="thin">
        <color auto="1"/>
      </top>
      <bottom style="hair">
        <color auto="1"/>
      </bottom>
      <diagonal/>
    </border>
    <border>
      <left style="medium">
        <color rgb="FFFF0000"/>
      </left>
      <right style="hair">
        <color auto="1"/>
      </right>
      <top style="thin">
        <color auto="1"/>
      </top>
      <bottom style="hair">
        <color auto="1"/>
      </bottom>
      <diagonal/>
    </border>
    <border>
      <left/>
      <right style="hair">
        <color auto="1"/>
      </right>
      <top style="thin">
        <color auto="1"/>
      </top>
      <bottom style="hair">
        <color auto="1"/>
      </bottom>
      <diagonal/>
    </border>
    <border>
      <left style="hair">
        <color auto="1"/>
      </left>
      <right/>
      <top style="thin">
        <color auto="1"/>
      </top>
      <bottom style="hair">
        <color auto="1"/>
      </bottom>
      <diagonal/>
    </border>
    <border>
      <left style="thin">
        <color auto="1"/>
      </left>
      <right/>
      <top/>
      <bottom/>
      <diagonal/>
    </border>
    <border>
      <left style="thin">
        <color auto="1"/>
      </left>
      <right style="hair">
        <color auto="1"/>
      </right>
      <top/>
      <bottom/>
      <diagonal/>
    </border>
    <border>
      <left style="hair">
        <color auto="1"/>
      </left>
      <right style="hair">
        <color auto="1"/>
      </right>
      <top/>
      <bottom/>
      <diagonal/>
    </border>
    <border>
      <left style="hair">
        <color auto="1"/>
      </left>
      <right style="medium">
        <color rgb="FFFF0000"/>
      </right>
      <top/>
      <bottom/>
      <diagonal/>
    </border>
    <border>
      <left style="medium">
        <color rgb="FFFF0000"/>
      </left>
      <right style="hair">
        <color auto="1"/>
      </right>
      <top/>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medium">
        <color rgb="FFFF0000"/>
      </right>
      <top style="hair">
        <color auto="1"/>
      </top>
      <bottom style="thin">
        <color auto="1"/>
      </bottom>
      <diagonal/>
    </border>
    <border>
      <left style="medium">
        <color rgb="FFFF0000"/>
      </left>
      <right style="hair">
        <color auto="1"/>
      </right>
      <top style="hair">
        <color auto="1"/>
      </top>
      <bottom style="thin">
        <color auto="1"/>
      </bottom>
      <diagonal/>
    </border>
    <border>
      <left style="hair">
        <color auto="1"/>
      </left>
      <right/>
      <top style="hair">
        <color auto="1"/>
      </top>
      <bottom style="thin">
        <color auto="1"/>
      </bottom>
      <diagonal/>
    </border>
    <border>
      <left/>
      <right style="thin">
        <color auto="1"/>
      </right>
      <top/>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style="dotted">
        <color auto="1"/>
      </bottom>
      <diagonal/>
    </border>
    <border>
      <left style="hair">
        <color auto="1"/>
      </left>
      <right style="hair">
        <color auto="1"/>
      </right>
      <top style="thin">
        <color auto="1"/>
      </top>
      <bottom style="dotted">
        <color auto="1"/>
      </bottom>
      <diagonal/>
    </border>
    <border>
      <left style="hair">
        <color auto="1"/>
      </left>
      <right style="thin">
        <color auto="1"/>
      </right>
      <top style="thin">
        <color auto="1"/>
      </top>
      <bottom style="dotted">
        <color auto="1"/>
      </bottom>
      <diagonal/>
    </border>
    <border>
      <left style="hair">
        <color auto="1"/>
      </left>
      <right style="thin">
        <color auto="1"/>
      </right>
      <top style="hair">
        <color auto="1"/>
      </top>
      <bottom style="thin">
        <color auto="1"/>
      </bottom>
      <diagonal/>
    </border>
    <border>
      <left style="thin">
        <color auto="1"/>
      </left>
      <right style="hair">
        <color auto="1"/>
      </right>
      <top style="dotted">
        <color auto="1"/>
      </top>
      <bottom/>
      <diagonal/>
    </border>
    <border>
      <left style="hair">
        <color auto="1"/>
      </left>
      <right style="hair">
        <color auto="1"/>
      </right>
      <top style="dotted">
        <color auto="1"/>
      </top>
      <bottom/>
      <diagonal/>
    </border>
    <border>
      <left style="hair">
        <color auto="1"/>
      </left>
      <right style="thin">
        <color auto="1"/>
      </right>
      <top style="dotted">
        <color auto="1"/>
      </top>
      <bottom/>
      <diagonal/>
    </border>
    <border>
      <left style="thin">
        <color auto="1"/>
      </left>
      <right/>
      <top style="dotted">
        <color auto="1"/>
      </top>
      <bottom style="thin">
        <color auto="1"/>
      </bottom>
      <diagonal/>
    </border>
    <border>
      <left/>
      <right/>
      <top style="dotted">
        <color auto="1"/>
      </top>
      <bottom style="thin">
        <color auto="1"/>
      </bottom>
      <diagonal/>
    </border>
    <border>
      <left/>
      <right style="thin">
        <color auto="1"/>
      </right>
      <top style="dotted">
        <color auto="1"/>
      </top>
      <bottom style="thin">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rgb="FF0000CC"/>
      </left>
      <right/>
      <top/>
      <bottom/>
      <diagonal/>
    </border>
    <border>
      <left/>
      <right style="medium">
        <color rgb="FF0000CC"/>
      </right>
      <top/>
      <bottom/>
      <diagonal/>
    </border>
    <border>
      <left style="medium">
        <color rgb="FF0000CC"/>
      </left>
      <right style="medium">
        <color rgb="FF0000CC"/>
      </right>
      <top/>
      <bottom/>
      <diagonal/>
    </border>
    <border>
      <left style="medium">
        <color rgb="FF0000CC"/>
      </left>
      <right style="double">
        <color rgb="FFFF0000"/>
      </right>
      <top/>
      <bottom/>
      <diagonal/>
    </border>
    <border>
      <left style="double">
        <color rgb="FFFF0000"/>
      </left>
      <right style="medium">
        <color rgb="FF0000CC"/>
      </right>
      <top/>
      <bottom/>
      <diagonal/>
    </border>
    <border>
      <left/>
      <right style="double">
        <color rgb="FFFF0000"/>
      </right>
      <top/>
      <bottom/>
      <diagonal/>
    </border>
    <border>
      <left style="double">
        <color rgb="FFFF0000"/>
      </left>
      <right/>
      <top/>
      <bottom/>
      <diagonal/>
    </border>
    <border>
      <left/>
      <right/>
      <top/>
      <bottom style="mediumDashed">
        <color rgb="FFC00000"/>
      </bottom>
      <diagonal/>
    </border>
    <border>
      <left style="medium">
        <color rgb="FF0000CC"/>
      </left>
      <right/>
      <top/>
      <bottom style="mediumDashed">
        <color rgb="FFC00000"/>
      </bottom>
      <diagonal/>
    </border>
    <border>
      <left/>
      <right style="medium">
        <color rgb="FF0000CC"/>
      </right>
      <top/>
      <bottom style="mediumDashed">
        <color rgb="FFC00000"/>
      </bottom>
      <diagonal/>
    </border>
    <border>
      <left style="medium">
        <color rgb="FF0000CC"/>
      </left>
      <right style="medium">
        <color rgb="FF0000CC"/>
      </right>
      <top/>
      <bottom style="mediumDashed">
        <color rgb="FFC00000"/>
      </bottom>
      <diagonal/>
    </border>
    <border>
      <left style="medium">
        <color rgb="FF0000CC"/>
      </left>
      <right style="double">
        <color rgb="FFFF0000"/>
      </right>
      <top/>
      <bottom style="mediumDashed">
        <color rgb="FFC00000"/>
      </bottom>
      <diagonal/>
    </border>
    <border>
      <left style="double">
        <color rgb="FFFF0000"/>
      </left>
      <right style="medium">
        <color rgb="FF0000CC"/>
      </right>
      <top/>
      <bottom style="mediumDashed">
        <color rgb="FFC00000"/>
      </bottom>
      <diagonal/>
    </border>
    <border>
      <left/>
      <right style="double">
        <color rgb="FFFF0000"/>
      </right>
      <top/>
      <bottom style="mediumDashed">
        <color rgb="FFC00000"/>
      </bottom>
      <diagonal/>
    </border>
    <border>
      <left style="double">
        <color rgb="FFFF0000"/>
      </left>
      <right/>
      <top/>
      <bottom style="mediumDashed">
        <color rgb="FFC00000"/>
      </bottom>
      <diagonal/>
    </border>
    <border>
      <left style="mediumDashed">
        <color rgb="FFC00000"/>
      </left>
      <right style="hair">
        <color auto="1"/>
      </right>
      <top style="mediumDashed">
        <color rgb="FFC00000"/>
      </top>
      <bottom style="mediumDashed">
        <color rgb="FFC00000"/>
      </bottom>
      <diagonal/>
    </border>
    <border>
      <left style="hair">
        <color auto="1"/>
      </left>
      <right style="hair">
        <color auto="1"/>
      </right>
      <top style="mediumDashed">
        <color rgb="FFC00000"/>
      </top>
      <bottom style="mediumDashed">
        <color rgb="FFC00000"/>
      </bottom>
      <diagonal/>
    </border>
    <border>
      <left style="hair">
        <color auto="1"/>
      </left>
      <right style="medium">
        <color rgb="FF0000CC"/>
      </right>
      <top style="mediumDashed">
        <color rgb="FFC00000"/>
      </top>
      <bottom style="mediumDashed">
        <color rgb="FFC00000"/>
      </bottom>
      <diagonal/>
    </border>
    <border>
      <left style="medium">
        <color rgb="FF0000CC"/>
      </left>
      <right style="hair">
        <color auto="1"/>
      </right>
      <top style="mediumDashed">
        <color rgb="FFC00000"/>
      </top>
      <bottom style="mediumDashed">
        <color rgb="FFC00000"/>
      </bottom>
      <diagonal/>
    </border>
    <border>
      <left style="medium">
        <color rgb="FF0000CC"/>
      </left>
      <right style="medium">
        <color rgb="FF0000CC"/>
      </right>
      <top style="mediumDashed">
        <color rgb="FFC00000"/>
      </top>
      <bottom style="mediumDashed">
        <color rgb="FFC00000"/>
      </bottom>
      <diagonal/>
    </border>
    <border>
      <left style="medium">
        <color rgb="FF0000CC"/>
      </left>
      <right style="double">
        <color rgb="FFFF0000"/>
      </right>
      <top style="mediumDashed">
        <color rgb="FFC00000"/>
      </top>
      <bottom style="mediumDashed">
        <color rgb="FFC00000"/>
      </bottom>
      <diagonal/>
    </border>
    <border>
      <left/>
      <right/>
      <top style="mediumDashed">
        <color rgb="FFC00000"/>
      </top>
      <bottom style="mediumDashed">
        <color rgb="FFC00000"/>
      </bottom>
      <diagonal/>
    </border>
    <border>
      <left style="double">
        <color rgb="FFFF0000"/>
      </left>
      <right style="medium">
        <color rgb="FF0000CC"/>
      </right>
      <top style="mediumDashed">
        <color rgb="FFC00000"/>
      </top>
      <bottom style="mediumDashed">
        <color rgb="FFC00000"/>
      </bottom>
      <diagonal/>
    </border>
    <border>
      <left style="hair">
        <color auto="1"/>
      </left>
      <right/>
      <top style="mediumDashed">
        <color rgb="FFC00000"/>
      </top>
      <bottom style="mediumDashed">
        <color rgb="FFC00000"/>
      </bottom>
      <diagonal/>
    </border>
    <border>
      <left/>
      <right style="hair">
        <color auto="1"/>
      </right>
      <top style="mediumDashed">
        <color rgb="FFC00000"/>
      </top>
      <bottom style="mediumDashed">
        <color rgb="FFC00000"/>
      </bottom>
      <diagonal/>
    </border>
    <border>
      <left style="hair">
        <color auto="1"/>
      </left>
      <right style="mediumDashed">
        <color rgb="FFC00000"/>
      </right>
      <top style="mediumDashed">
        <color rgb="FFC00000"/>
      </top>
      <bottom style="mediumDashed">
        <color rgb="FFC00000"/>
      </bottom>
      <diagonal/>
    </border>
    <border>
      <left/>
      <right style="thick">
        <color theme="0"/>
      </right>
      <top/>
      <bottom style="thin">
        <color theme="9" tint="-0.499984740745262"/>
      </bottom>
      <diagonal/>
    </border>
    <border>
      <left style="thick">
        <color theme="0"/>
      </left>
      <right/>
      <top/>
      <bottom style="thin">
        <color theme="9" tint="-0.499984740745262"/>
      </bottom>
      <diagonal/>
    </border>
    <border>
      <left style="thin">
        <color theme="9" tint="-0.499984740745262"/>
      </left>
      <right style="hair">
        <color auto="1"/>
      </right>
      <top style="thin">
        <color theme="9" tint="-0.499984740745262"/>
      </top>
      <bottom style="hair">
        <color auto="1"/>
      </bottom>
      <diagonal/>
    </border>
    <border>
      <left style="hair">
        <color auto="1"/>
      </left>
      <right style="hair">
        <color auto="1"/>
      </right>
      <top style="thin">
        <color theme="9" tint="-0.499984740745262"/>
      </top>
      <bottom style="hair">
        <color auto="1"/>
      </bottom>
      <diagonal/>
    </border>
    <border>
      <left/>
      <right/>
      <top style="thin">
        <color theme="9" tint="-0.499984740745262"/>
      </top>
      <bottom/>
      <diagonal/>
    </border>
    <border>
      <left style="thin">
        <color theme="9" tint="-0.499984740745262"/>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theme="9" tint="-0.499984740745262"/>
      </left>
      <right/>
      <top/>
      <bottom/>
      <diagonal/>
    </border>
    <border>
      <left style="thin">
        <color theme="9" tint="-0.499984740745262"/>
      </left>
      <right/>
      <top/>
      <bottom style="thin">
        <color theme="9" tint="-0.499984740745262"/>
      </bottom>
      <diagonal/>
    </border>
    <border>
      <left/>
      <right/>
      <top/>
      <bottom style="thin">
        <color theme="9" tint="-0.499984740745262"/>
      </bottom>
      <diagonal/>
    </border>
    <border>
      <left/>
      <right/>
      <top/>
      <bottom style="hair">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diagonal/>
    </border>
    <border>
      <left style="thin">
        <color auto="1"/>
      </left>
      <right style="thin">
        <color auto="1"/>
      </right>
      <top style="dotted">
        <color auto="1"/>
      </top>
      <bottom style="thin">
        <color auto="1"/>
      </bottom>
      <diagonal/>
    </border>
    <border>
      <left style="thin">
        <color rgb="FFFF0000"/>
      </left>
      <right/>
      <top style="hair">
        <color auto="1"/>
      </top>
      <bottom style="hair">
        <color auto="1"/>
      </bottom>
      <diagonal/>
    </border>
    <border>
      <left style="thin">
        <color rgb="FFFF0000"/>
      </left>
      <right style="thin">
        <color rgb="FFFF0000"/>
      </right>
      <top style="hair">
        <color auto="1"/>
      </top>
      <bottom style="hair">
        <color auto="1"/>
      </bottom>
      <diagonal/>
    </border>
    <border>
      <left style="thin">
        <color rgb="FFFF0000"/>
      </left>
      <right/>
      <top style="hair">
        <color auto="1"/>
      </top>
      <bottom style="thin">
        <color rgb="FFFF0000"/>
      </bottom>
      <diagonal/>
    </border>
    <border>
      <left/>
      <right style="hair">
        <color auto="1"/>
      </right>
      <top style="hair">
        <color auto="1"/>
      </top>
      <bottom style="thin">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theme="9" tint="-0.499984740745262"/>
      </left>
      <right style="hair">
        <color auto="1"/>
      </right>
      <top style="thin">
        <color theme="9" tint="-0.499984740745262"/>
      </top>
      <bottom style="hair">
        <color auto="1"/>
      </bottom>
      <diagonal/>
    </border>
    <border>
      <left style="hair">
        <color auto="1"/>
      </left>
      <right/>
      <top style="thin">
        <color theme="9" tint="-0.499984740745262"/>
      </top>
      <bottom style="hair">
        <color auto="1"/>
      </bottom>
      <diagonal/>
    </border>
    <border>
      <left style="hair">
        <color theme="9" tint="-0.499984740745262"/>
      </left>
      <right style="hair">
        <color auto="1"/>
      </right>
      <top style="hair">
        <color auto="1"/>
      </top>
      <bottom style="hair">
        <color auto="1"/>
      </bottom>
      <diagonal/>
    </border>
    <border>
      <left style="hair">
        <color theme="9" tint="-0.499984740745262"/>
      </left>
      <right style="hair">
        <color auto="1"/>
      </right>
      <top style="hair">
        <color auto="1"/>
      </top>
      <bottom style="thin">
        <color theme="9" tint="-0.499984740745262"/>
      </bottom>
      <diagonal/>
    </border>
    <border>
      <left/>
      <right style="thick">
        <color rgb="FFFF0000"/>
      </right>
      <top/>
      <bottom/>
      <diagonal/>
    </border>
    <border>
      <left style="thick">
        <color rgb="FFFF0000"/>
      </left>
      <right/>
      <top/>
      <bottom/>
      <diagonal/>
    </border>
    <border>
      <left style="hair">
        <color auto="1"/>
      </left>
      <right style="thick">
        <color rgb="FFFF0000"/>
      </right>
      <top style="thin">
        <color auto="1"/>
      </top>
      <bottom style="hair">
        <color auto="1"/>
      </bottom>
      <diagonal/>
    </border>
    <border>
      <left style="thick">
        <color rgb="FFFF0000"/>
      </left>
      <right style="hair">
        <color auto="1"/>
      </right>
      <top style="thin">
        <color auto="1"/>
      </top>
      <bottom style="hair">
        <color auto="1"/>
      </bottom>
      <diagonal/>
    </border>
    <border>
      <left style="hair">
        <color auto="1"/>
      </left>
      <right style="thick">
        <color rgb="FFFF0000"/>
      </right>
      <top style="hair">
        <color auto="1"/>
      </top>
      <bottom style="thin">
        <color auto="1"/>
      </bottom>
      <diagonal/>
    </border>
    <border>
      <left style="thick">
        <color rgb="FFFF0000"/>
      </left>
      <right style="hair">
        <color auto="1"/>
      </right>
      <top style="hair">
        <color auto="1"/>
      </top>
      <bottom style="thin">
        <color auto="1"/>
      </bottom>
      <diagonal/>
    </border>
    <border>
      <left style="dashDotDot">
        <color auto="1"/>
      </left>
      <right style="hair">
        <color auto="1"/>
      </right>
      <top style="dashDotDot">
        <color auto="1"/>
      </top>
      <bottom style="hair">
        <color auto="1"/>
      </bottom>
      <diagonal/>
    </border>
    <border>
      <left style="hair">
        <color auto="1"/>
      </left>
      <right style="hair">
        <color auto="1"/>
      </right>
      <top style="dashDotDot">
        <color auto="1"/>
      </top>
      <bottom style="hair">
        <color auto="1"/>
      </bottom>
      <diagonal/>
    </border>
    <border>
      <left style="hair">
        <color auto="1"/>
      </left>
      <right style="dashDotDot">
        <color auto="1"/>
      </right>
      <top style="dashDotDot">
        <color auto="1"/>
      </top>
      <bottom style="hair">
        <color auto="1"/>
      </bottom>
      <diagonal/>
    </border>
    <border>
      <left style="dashDotDot">
        <color auto="1"/>
      </left>
      <right style="hair">
        <color auto="1"/>
      </right>
      <top style="hair">
        <color auto="1"/>
      </top>
      <bottom style="dashDotDot">
        <color auto="1"/>
      </bottom>
      <diagonal/>
    </border>
    <border>
      <left style="hair">
        <color auto="1"/>
      </left>
      <right style="hair">
        <color auto="1"/>
      </right>
      <top style="hair">
        <color auto="1"/>
      </top>
      <bottom style="dashDotDot">
        <color auto="1"/>
      </bottom>
      <diagonal/>
    </border>
    <border>
      <left style="hair">
        <color auto="1"/>
      </left>
      <right style="dashDotDot">
        <color auto="1"/>
      </right>
      <top style="hair">
        <color auto="1"/>
      </top>
      <bottom style="dashDotDot">
        <color auto="1"/>
      </bottom>
      <diagonal/>
    </border>
    <border>
      <left/>
      <right/>
      <top style="thin">
        <color auto="1"/>
      </top>
      <bottom/>
      <diagonal/>
    </border>
    <border>
      <left style="hair">
        <color theme="9" tint="-0.499984740745262"/>
      </left>
      <right/>
      <top style="thin">
        <color theme="9" tint="-0.499984740745262"/>
      </top>
      <bottom style="hair">
        <color auto="1"/>
      </bottom>
      <diagonal/>
    </border>
    <border>
      <left style="hair">
        <color theme="9" tint="-0.499984740745262"/>
      </left>
      <right/>
      <top style="hair">
        <color auto="1"/>
      </top>
      <bottom style="hair">
        <color auto="1"/>
      </bottom>
      <diagonal/>
    </border>
    <border>
      <left/>
      <right style="hair">
        <color auto="1"/>
      </right>
      <top style="thin">
        <color theme="9" tint="-0.499984740745262"/>
      </top>
      <bottom style="hair">
        <color auto="1"/>
      </bottom>
      <diagonal/>
    </border>
    <border>
      <left style="thin">
        <color rgb="FFFF0000"/>
      </left>
      <right/>
      <top/>
      <bottom/>
      <diagonal/>
    </border>
    <border>
      <left/>
      <right style="thin">
        <color rgb="FFFF0000"/>
      </right>
      <top/>
      <bottom/>
      <diagonal/>
    </border>
    <border>
      <left style="thin">
        <color rgb="FFFF0000"/>
      </left>
      <right style="hair">
        <color auto="1"/>
      </right>
      <top style="thin">
        <color theme="9" tint="-0.499984740745262"/>
      </top>
      <bottom style="hair">
        <color auto="1"/>
      </bottom>
      <diagonal/>
    </border>
    <border>
      <left style="hair">
        <color theme="9" tint="-0.499984740745262"/>
      </left>
      <right style="thin">
        <color rgb="FFFF0000"/>
      </right>
      <top style="thin">
        <color theme="9" tint="-0.499984740745262"/>
      </top>
      <bottom style="hair">
        <color auto="1"/>
      </bottom>
      <diagonal/>
    </border>
    <border>
      <left style="thin">
        <color rgb="FFFF0000"/>
      </left>
      <right style="hair">
        <color auto="1"/>
      </right>
      <top style="hair">
        <color auto="1"/>
      </top>
      <bottom style="hair">
        <color auto="1"/>
      </bottom>
      <diagonal/>
    </border>
    <border>
      <left style="hair">
        <color theme="9" tint="-0.499984740745262"/>
      </left>
      <right style="thin">
        <color rgb="FFFF0000"/>
      </right>
      <top style="hair">
        <color auto="1"/>
      </top>
      <bottom style="hair">
        <color auto="1"/>
      </bottom>
      <diagonal/>
    </border>
    <border>
      <left style="thin">
        <color rgb="FFFF0000"/>
      </left>
      <right/>
      <top/>
      <bottom style="thin">
        <color theme="9" tint="-0.499984740745262"/>
      </bottom>
      <diagonal/>
    </border>
    <border>
      <left/>
      <right style="thin">
        <color rgb="FFFF0000"/>
      </right>
      <top/>
      <bottom style="thin">
        <color theme="9" tint="-0.499984740745262"/>
      </bottom>
      <diagonal/>
    </border>
    <border>
      <left style="thin">
        <color rgb="FFFF0000"/>
      </left>
      <right/>
      <top style="thin">
        <color auto="1"/>
      </top>
      <bottom/>
      <diagonal/>
    </border>
    <border>
      <left/>
      <right style="thin">
        <color rgb="FFFF0000"/>
      </right>
      <top style="thin">
        <color auto="1"/>
      </top>
      <bottom/>
      <diagonal/>
    </border>
    <border>
      <left style="dotted">
        <color rgb="FFFF0000"/>
      </left>
      <right style="dotted">
        <color rgb="FFFF0000"/>
      </right>
      <top/>
      <bottom/>
      <diagonal/>
    </border>
    <border>
      <left style="dotted">
        <color rgb="FFFF0000"/>
      </left>
      <right style="dotted">
        <color rgb="FFFF0000"/>
      </right>
      <top style="thin">
        <color theme="9" tint="-0.499984740745262"/>
      </top>
      <bottom/>
      <diagonal/>
    </border>
    <border>
      <left style="dotted">
        <color rgb="FFFF0000"/>
      </left>
      <right style="dotted">
        <color rgb="FFFF0000"/>
      </right>
      <top/>
      <bottom style="thin">
        <color theme="9" tint="-0.499984740745262"/>
      </bottom>
      <diagonal/>
    </border>
    <border>
      <left style="dotted">
        <color rgb="FFFF0000"/>
      </left>
      <right style="dotted">
        <color rgb="FFFF0000"/>
      </right>
      <top style="thin">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top style="hair">
        <color theme="2" tint="-0.749961851863155"/>
      </top>
      <bottom style="hair">
        <color theme="2" tint="-0.749961851863155"/>
      </bottom>
      <diagonal/>
    </border>
    <border>
      <left style="dotted">
        <color rgb="FFFF0000"/>
      </left>
      <right/>
      <top style="hair">
        <color theme="2" tint="-0.749961851863155"/>
      </top>
      <bottom style="hair">
        <color theme="2" tint="-0.749961851863155"/>
      </bottom>
      <diagonal/>
    </border>
    <border>
      <left/>
      <right style="dotted">
        <color rgb="FFFF0000"/>
      </right>
      <top style="hair">
        <color theme="2" tint="-0.749961851863155"/>
      </top>
      <bottom style="hair">
        <color theme="2" tint="-0.749961851863155"/>
      </bottom>
      <diagonal/>
    </border>
    <border>
      <left style="dotted">
        <color auto="1"/>
      </left>
      <right style="hair">
        <color auto="1"/>
      </right>
      <top style="dotted">
        <color auto="1"/>
      </top>
      <bottom style="hair">
        <color auto="1"/>
      </bottom>
      <diagonal/>
    </border>
    <border>
      <left style="hair">
        <color auto="1"/>
      </left>
      <right style="hair">
        <color auto="1"/>
      </right>
      <top style="dotted">
        <color auto="1"/>
      </top>
      <bottom style="hair">
        <color auto="1"/>
      </bottom>
      <diagonal/>
    </border>
    <border>
      <left style="hair">
        <color auto="1"/>
      </left>
      <right style="dotted">
        <color auto="1"/>
      </right>
      <top style="dotted">
        <color auto="1"/>
      </top>
      <bottom style="hair">
        <color auto="1"/>
      </bottom>
      <diagonal/>
    </border>
    <border>
      <left style="dotted">
        <color auto="1"/>
      </left>
      <right style="hair">
        <color auto="1"/>
      </right>
      <top style="hair">
        <color auto="1"/>
      </top>
      <bottom style="dotted">
        <color auto="1"/>
      </bottom>
      <diagonal/>
    </border>
    <border>
      <left/>
      <right/>
      <top style="hair">
        <color auto="1"/>
      </top>
      <bottom/>
      <diagonal/>
    </border>
    <border>
      <left/>
      <right style="hair">
        <color auto="1"/>
      </right>
      <top style="hair">
        <color auto="1"/>
      </top>
      <bottom/>
      <diagonal/>
    </border>
    <border>
      <left/>
      <right style="hair">
        <color auto="1"/>
      </right>
      <top/>
      <bottom style="hair">
        <color auto="1"/>
      </bottom>
      <diagonal/>
    </border>
    <border>
      <left style="hair">
        <color auto="1"/>
      </left>
      <right/>
      <top style="hair">
        <color auto="1"/>
      </top>
      <bottom/>
      <diagonal/>
    </border>
    <border>
      <left style="hair">
        <color auto="1"/>
      </left>
      <right/>
      <top/>
      <bottom style="hair">
        <color auto="1"/>
      </bottom>
      <diagonal/>
    </border>
    <border>
      <left/>
      <right style="dotted">
        <color rgb="FFFF0000"/>
      </right>
      <top/>
      <bottom style="hair">
        <color auto="1"/>
      </bottom>
      <diagonal/>
    </border>
    <border>
      <left style="dotted">
        <color rgb="FFFF0000"/>
      </left>
      <right/>
      <top/>
      <bottom style="hair">
        <color auto="1"/>
      </bottom>
      <diagonal/>
    </border>
    <border>
      <left style="thin">
        <color auto="1"/>
      </left>
      <right/>
      <top style="thin">
        <color auto="1"/>
      </top>
      <bottom style="dotted">
        <color theme="9" tint="-0.24994659260841701"/>
      </bottom>
      <diagonal/>
    </border>
    <border>
      <left/>
      <right/>
      <top style="thin">
        <color auto="1"/>
      </top>
      <bottom style="dotted">
        <color theme="9" tint="-0.24994659260841701"/>
      </bottom>
      <diagonal/>
    </border>
    <border>
      <left/>
      <right style="dotted">
        <color rgb="FFFF0000"/>
      </right>
      <top style="thin">
        <color auto="1"/>
      </top>
      <bottom style="dotted">
        <color theme="9" tint="-0.24994659260841701"/>
      </bottom>
      <diagonal/>
    </border>
    <border>
      <left style="dotted">
        <color rgb="FFFF0000"/>
      </left>
      <right/>
      <top style="thin">
        <color auto="1"/>
      </top>
      <bottom style="dotted">
        <color theme="9" tint="-0.24994659260841701"/>
      </bottom>
      <diagonal/>
    </border>
    <border>
      <left/>
      <right style="thin">
        <color auto="1"/>
      </right>
      <top style="thin">
        <color auto="1"/>
      </top>
      <bottom style="dotted">
        <color theme="9" tint="-0.24994659260841701"/>
      </bottom>
      <diagonal/>
    </border>
    <border>
      <left style="thin">
        <color auto="1"/>
      </left>
      <right/>
      <top style="dotted">
        <color theme="9" tint="-0.24994659260841701"/>
      </top>
      <bottom style="dotted">
        <color theme="9" tint="-0.24994659260841701"/>
      </bottom>
      <diagonal/>
    </border>
    <border>
      <left/>
      <right/>
      <top style="dotted">
        <color theme="9" tint="-0.24994659260841701"/>
      </top>
      <bottom style="dotted">
        <color theme="9" tint="-0.24994659260841701"/>
      </bottom>
      <diagonal/>
    </border>
    <border>
      <left/>
      <right style="dotted">
        <color rgb="FFFF0000"/>
      </right>
      <top style="dotted">
        <color theme="9" tint="-0.24994659260841701"/>
      </top>
      <bottom style="dotted">
        <color theme="9" tint="-0.24994659260841701"/>
      </bottom>
      <diagonal/>
    </border>
    <border>
      <left style="dotted">
        <color rgb="FFFF0000"/>
      </left>
      <right/>
      <top style="dotted">
        <color theme="9" tint="-0.24994659260841701"/>
      </top>
      <bottom style="dotted">
        <color theme="9" tint="-0.24994659260841701"/>
      </bottom>
      <diagonal/>
    </border>
    <border>
      <left/>
      <right style="thin">
        <color auto="1"/>
      </right>
      <top style="dotted">
        <color theme="9" tint="-0.24994659260841701"/>
      </top>
      <bottom style="dotted">
        <color theme="9" tint="-0.24994659260841701"/>
      </bottom>
      <diagonal/>
    </border>
    <border>
      <left style="thin">
        <color auto="1"/>
      </left>
      <right/>
      <top style="dotted">
        <color theme="9" tint="-0.24994659260841701"/>
      </top>
      <bottom style="thin">
        <color auto="1"/>
      </bottom>
      <diagonal/>
    </border>
    <border>
      <left/>
      <right/>
      <top style="dotted">
        <color theme="9" tint="-0.24994659260841701"/>
      </top>
      <bottom style="thin">
        <color auto="1"/>
      </bottom>
      <diagonal/>
    </border>
    <border>
      <left/>
      <right style="dotted">
        <color rgb="FFFF0000"/>
      </right>
      <top style="dotted">
        <color theme="9" tint="-0.24994659260841701"/>
      </top>
      <bottom style="thin">
        <color auto="1"/>
      </bottom>
      <diagonal/>
    </border>
    <border>
      <left style="dotted">
        <color rgb="FFFF0000"/>
      </left>
      <right/>
      <top style="dotted">
        <color theme="9" tint="-0.24994659260841701"/>
      </top>
      <bottom style="thin">
        <color auto="1"/>
      </bottom>
      <diagonal/>
    </border>
    <border>
      <left/>
      <right style="thin">
        <color auto="1"/>
      </right>
      <top style="dotted">
        <color theme="9" tint="-0.24994659260841701"/>
      </top>
      <bottom style="thin">
        <color auto="1"/>
      </bottom>
      <diagonal/>
    </border>
    <border>
      <left/>
      <right/>
      <top style="double">
        <color theme="2" tint="-0.749961851863155"/>
      </top>
      <bottom/>
      <diagonal/>
    </border>
    <border>
      <left/>
      <right/>
      <top style="hair">
        <color theme="2" tint="-0.749961851863155"/>
      </top>
      <bottom/>
      <diagonal/>
    </border>
    <border>
      <left style="medium">
        <color theme="2" tint="-0.499984740745262"/>
      </left>
      <right/>
      <top style="medium">
        <color theme="2" tint="-0.499984740745262"/>
      </top>
      <bottom/>
      <diagonal/>
    </border>
    <border>
      <left/>
      <right/>
      <top style="medium">
        <color theme="2" tint="-0.499984740745262"/>
      </top>
      <bottom/>
      <diagonal/>
    </border>
    <border>
      <left/>
      <right style="medium">
        <color theme="2" tint="-0.499984740745262"/>
      </right>
      <top style="medium">
        <color theme="2" tint="-0.499984740745262"/>
      </top>
      <bottom/>
      <diagonal/>
    </border>
    <border>
      <left style="medium">
        <color theme="2" tint="-0.499984740745262"/>
      </left>
      <right/>
      <top/>
      <bottom/>
      <diagonal/>
    </border>
    <border>
      <left/>
      <right style="medium">
        <color theme="2" tint="-0.499984740745262"/>
      </right>
      <top/>
      <bottom/>
      <diagonal/>
    </border>
    <border>
      <left style="medium">
        <color theme="2" tint="-0.499984740745262"/>
      </left>
      <right/>
      <top/>
      <bottom style="medium">
        <color theme="2" tint="-0.499984740745262"/>
      </bottom>
      <diagonal/>
    </border>
    <border>
      <left/>
      <right/>
      <top/>
      <bottom style="medium">
        <color theme="2" tint="-0.499984740745262"/>
      </bottom>
      <diagonal/>
    </border>
    <border>
      <left/>
      <right style="medium">
        <color theme="2" tint="-0.499984740745262"/>
      </right>
      <top/>
      <bottom style="medium">
        <color theme="2" tint="-0.499984740745262"/>
      </bottom>
      <diagonal/>
    </border>
    <border>
      <left/>
      <right/>
      <top style="mediumDashed">
        <color rgb="FFC00000"/>
      </top>
      <bottom/>
      <diagonal/>
    </border>
    <border>
      <left style="double">
        <color rgb="FFFF0000"/>
      </left>
      <right style="double">
        <color rgb="FFFF0000"/>
      </right>
      <top style="mediumDashed">
        <color rgb="FFC00000"/>
      </top>
      <bottom style="mediumDashed">
        <color rgb="FFC00000"/>
      </bottom>
      <diagonal/>
    </border>
    <border>
      <left style="thin">
        <color theme="9" tint="-0.499984740745262"/>
      </left>
      <right style="hair">
        <color auto="1"/>
      </right>
      <top style="hair">
        <color auto="1"/>
      </top>
      <bottom style="thin">
        <color theme="9" tint="-0.499984740745262"/>
      </bottom>
      <diagonal/>
    </border>
    <border>
      <left style="hair">
        <color theme="9" tint="-0.499984740745262"/>
      </left>
      <right style="hair">
        <color theme="9" tint="-0.499984740745262"/>
      </right>
      <top style="thin">
        <color theme="9" tint="-0.499984740745262"/>
      </top>
      <bottom style="hair">
        <color auto="1"/>
      </bottom>
      <diagonal/>
    </border>
    <border>
      <left style="hair">
        <color theme="9" tint="-0.499984740745262"/>
      </left>
      <right style="hair">
        <color theme="9" tint="-0.499984740745262"/>
      </right>
      <top style="hair">
        <color auto="1"/>
      </top>
      <bottom style="hair">
        <color auto="1"/>
      </bottom>
      <diagonal/>
    </border>
    <border>
      <left style="hair">
        <color auto="1"/>
      </left>
      <right style="thin">
        <color rgb="FFFF0000"/>
      </right>
      <top style="thin">
        <color theme="9" tint="-0.499984740745262"/>
      </top>
      <bottom style="hair">
        <color auto="1"/>
      </bottom>
      <diagonal/>
    </border>
    <border>
      <left style="thin">
        <color rgb="FFFF0000"/>
      </left>
      <right/>
      <top style="thin">
        <color theme="9" tint="-0.499984740745262"/>
      </top>
      <bottom style="hair">
        <color auto="1"/>
      </bottom>
      <diagonal/>
    </border>
    <border>
      <left style="hair">
        <color auto="1"/>
      </left>
      <right style="thin">
        <color rgb="FFFF0000"/>
      </right>
      <top style="hair">
        <color auto="1"/>
      </top>
      <bottom style="hair">
        <color auto="1"/>
      </bottom>
      <diagonal/>
    </border>
    <border>
      <left style="medium">
        <color rgb="FF0000CC"/>
      </left>
      <right/>
      <top style="mediumDashed">
        <color rgb="FFC00000"/>
      </top>
      <bottom style="mediumDashed">
        <color rgb="FFC00000"/>
      </bottom>
      <diagonal/>
    </border>
    <border>
      <left/>
      <right style="medium">
        <color rgb="FF0000CC"/>
      </right>
      <top style="mediumDashed">
        <color rgb="FFC00000"/>
      </top>
      <bottom style="mediumDashed">
        <color rgb="FFC00000"/>
      </bottom>
      <diagonal/>
    </border>
    <border>
      <left/>
      <right style="thin">
        <color rgb="FFFF0000"/>
      </right>
      <top style="thin">
        <color theme="9" tint="-0.499984740745262"/>
      </top>
      <bottom style="hair">
        <color auto="1"/>
      </bottom>
      <diagonal/>
    </border>
    <border>
      <left/>
      <right style="thin">
        <color rgb="FFFF0000"/>
      </right>
      <top style="hair">
        <color auto="1"/>
      </top>
      <bottom style="hair">
        <color auto="1"/>
      </bottom>
      <diagonal/>
    </border>
    <border>
      <left style="thin">
        <color rgb="FFFF0000"/>
      </left>
      <right/>
      <top style="thin">
        <color theme="9" tint="-0.499984740745262"/>
      </top>
      <bottom/>
      <diagonal/>
    </border>
    <border>
      <left/>
      <right style="thin">
        <color rgb="FFFF0000"/>
      </right>
      <top style="thin">
        <color theme="9" tint="-0.499984740745262"/>
      </top>
      <bottom/>
      <diagonal/>
    </border>
    <border>
      <left style="medium">
        <color rgb="FF0000CC"/>
      </left>
      <right style="medium">
        <color rgb="FF0000CC"/>
      </right>
      <top style="mediumDashed">
        <color rgb="FFC00000"/>
      </top>
      <bottom/>
      <diagonal/>
    </border>
    <border>
      <left style="double">
        <color rgb="FFFF0000"/>
      </left>
      <right style="double">
        <color rgb="FFFF0000"/>
      </right>
      <top/>
      <bottom/>
      <diagonal/>
    </border>
    <border>
      <left style="double">
        <color rgb="FFFF0000"/>
      </left>
      <right style="double">
        <color rgb="FFFF0000"/>
      </right>
      <top/>
      <bottom style="mediumDashed">
        <color rgb="FFC00000"/>
      </bottom>
      <diagonal/>
    </border>
    <border>
      <left style="double">
        <color rgb="FFFF0000"/>
      </left>
      <right style="double">
        <color rgb="FFFF0000"/>
      </right>
      <top style="mediumDashed">
        <color rgb="FFC00000"/>
      </top>
      <bottom/>
      <diagonal/>
    </border>
    <border>
      <left style="double">
        <color rgb="FFFF0000"/>
      </left>
      <right style="medium">
        <color rgb="FF0000FF"/>
      </right>
      <top/>
      <bottom/>
      <diagonal/>
    </border>
    <border>
      <left style="double">
        <color rgb="FFFF0000"/>
      </left>
      <right style="medium">
        <color rgb="FF0000FF"/>
      </right>
      <top/>
      <bottom style="mediumDashed">
        <color rgb="FFC00000"/>
      </bottom>
      <diagonal/>
    </border>
    <border>
      <left style="double">
        <color rgb="FFFF0000"/>
      </left>
      <right style="medium">
        <color rgb="FF0000FF"/>
      </right>
      <top style="mediumDashed">
        <color rgb="FFC00000"/>
      </top>
      <bottom style="mediumDashed">
        <color rgb="FFC00000"/>
      </bottom>
      <diagonal/>
    </border>
    <border>
      <left style="double">
        <color rgb="FFFF0000"/>
      </left>
      <right style="medium">
        <color rgb="FF0000FF"/>
      </right>
      <top style="mediumDashed">
        <color rgb="FFC00000"/>
      </top>
      <bottom/>
      <diagonal/>
    </border>
    <border>
      <left style="hair">
        <color auto="1"/>
      </left>
      <right style="medium">
        <color rgb="FF0000FF"/>
      </right>
      <top style="mediumDashed">
        <color rgb="FFC00000"/>
      </top>
      <bottom style="mediumDashed">
        <color rgb="FFC00000"/>
      </bottom>
      <diagonal/>
    </border>
    <border>
      <left/>
      <right style="medium">
        <color rgb="FF0000FF"/>
      </right>
      <top style="mediumDashed">
        <color rgb="FFC00000"/>
      </top>
      <bottom/>
      <diagonal/>
    </border>
    <border>
      <left style="thin">
        <color rgb="FFFF0000"/>
      </left>
      <right style="hair">
        <color theme="9" tint="-0.499984740745262"/>
      </right>
      <top style="thin">
        <color theme="9" tint="-0.499984740745262"/>
      </top>
      <bottom style="hair">
        <color theme="9" tint="-0.499984740745262"/>
      </bottom>
      <diagonal/>
    </border>
    <border>
      <left style="hair">
        <color theme="9" tint="-0.499984740745262"/>
      </left>
      <right style="hair">
        <color theme="9" tint="-0.499984740745262"/>
      </right>
      <top style="thin">
        <color theme="9" tint="-0.499984740745262"/>
      </top>
      <bottom style="hair">
        <color theme="9" tint="-0.499984740745262"/>
      </bottom>
      <diagonal/>
    </border>
    <border>
      <left style="thin">
        <color rgb="FFFF0000"/>
      </left>
      <right style="hair">
        <color theme="9" tint="-0.499984740745262"/>
      </right>
      <top style="hair">
        <color theme="9" tint="-0.499984740745262"/>
      </top>
      <bottom style="hair">
        <color theme="9" tint="-0.499984740745262"/>
      </bottom>
      <diagonal/>
    </border>
    <border>
      <left style="hair">
        <color theme="9" tint="-0.499984740745262"/>
      </left>
      <right style="hair">
        <color theme="9" tint="-0.499984740745262"/>
      </right>
      <top style="hair">
        <color theme="9" tint="-0.499984740745262"/>
      </top>
      <bottom style="hair">
        <color theme="9" tint="-0.499984740745262"/>
      </bottom>
      <diagonal/>
    </border>
    <border>
      <left style="hair">
        <color theme="9" tint="-0.499984740745262"/>
      </left>
      <right style="hair">
        <color theme="9" tint="-0.499984740745262"/>
      </right>
      <top style="hair">
        <color theme="9" tint="-0.499984740745262"/>
      </top>
      <bottom/>
      <diagonal/>
    </border>
    <border>
      <left style="hair">
        <color theme="9" tint="-0.499984740745262"/>
      </left>
      <right/>
      <top style="hair">
        <color theme="9" tint="-0.499984740745262"/>
      </top>
      <bottom/>
      <diagonal/>
    </border>
    <border>
      <left/>
      <right/>
      <top style="hair">
        <color theme="9" tint="-0.499984740745262"/>
      </top>
      <bottom/>
      <diagonal/>
    </border>
    <border>
      <left style="thin">
        <color rgb="FFFF0000"/>
      </left>
      <right/>
      <top style="hair">
        <color theme="9" tint="-0.499984740745262"/>
      </top>
      <bottom/>
      <diagonal/>
    </border>
    <border>
      <left style="hair">
        <color theme="9" tint="-0.499984740745262"/>
      </left>
      <right style="hair">
        <color theme="9" tint="-0.499984740745262"/>
      </right>
      <top style="thin">
        <color theme="9" tint="-0.499984740745262"/>
      </top>
      <bottom/>
      <diagonal/>
    </border>
    <border>
      <left/>
      <right/>
      <top style="hair">
        <color auto="1"/>
      </top>
      <bottom style="thin">
        <color rgb="FFFF0000"/>
      </bottom>
      <diagonal/>
    </border>
    <border>
      <left style="thin">
        <color rgb="FFFF0000"/>
      </left>
      <right style="thin">
        <color rgb="FFFF0000"/>
      </right>
      <top/>
      <bottom style="hair">
        <color auto="1"/>
      </bottom>
      <diagonal/>
    </border>
    <border>
      <left style="thin">
        <color rgb="FFFF0000"/>
      </left>
      <right style="thin">
        <color rgb="FFFF0000"/>
      </right>
      <top/>
      <bottom/>
      <diagonal/>
    </border>
    <border>
      <left/>
      <right/>
      <top style="thin">
        <color theme="9" tint="-0.499984740745262"/>
      </top>
      <bottom style="hair">
        <color auto="1"/>
      </bottom>
      <diagonal/>
    </border>
    <border>
      <left style="thin">
        <color rgb="FFFF0000"/>
      </left>
      <right style="thin">
        <color rgb="FFFF0000"/>
      </right>
      <top style="thin">
        <color theme="9" tint="-0.499984740745262"/>
      </top>
      <bottom style="hair">
        <color auto="1"/>
      </bottom>
      <diagonal/>
    </border>
    <border>
      <left style="thin">
        <color rgb="FFFF0000"/>
      </left>
      <right style="thin">
        <color rgb="FFFF0000"/>
      </right>
      <top style="thin">
        <color auto="1"/>
      </top>
      <bottom/>
      <diagonal/>
    </border>
    <border>
      <left style="thin">
        <color rgb="FFFF0000"/>
      </left>
      <right style="thin">
        <color rgb="FFFF0000"/>
      </right>
      <top/>
      <bottom style="thin">
        <color theme="9" tint="-0.499984740745262"/>
      </bottom>
      <diagonal/>
    </border>
    <border>
      <left style="hair">
        <color auto="1"/>
      </left>
      <right style="thin">
        <color theme="9" tint="-0.499984740745262"/>
      </right>
      <top style="thin">
        <color theme="9" tint="-0.499984740745262"/>
      </top>
      <bottom style="hair">
        <color auto="1"/>
      </bottom>
      <diagonal/>
    </border>
    <border>
      <left style="hair">
        <color auto="1"/>
      </left>
      <right style="thin">
        <color theme="9" tint="-0.499984740745262"/>
      </right>
      <top style="hair">
        <color auto="1"/>
      </top>
      <bottom style="hair">
        <color auto="1"/>
      </bottom>
      <diagonal/>
    </border>
    <border>
      <left/>
      <right style="thin">
        <color theme="9" tint="-0.499984740745262"/>
      </right>
      <top/>
      <bottom/>
      <diagonal/>
    </border>
    <border>
      <left/>
      <right style="thin">
        <color theme="9" tint="-0.499984740745262"/>
      </right>
      <top/>
      <bottom style="thin">
        <color theme="9" tint="-0.499984740745262"/>
      </bottom>
      <diagonal/>
    </border>
    <border>
      <left/>
      <right/>
      <top/>
      <bottom style="medium">
        <color auto="1"/>
      </bottom>
      <diagonal/>
    </border>
    <border>
      <left style="medium">
        <color theme="2" tint="-0.499984740745262"/>
      </left>
      <right/>
      <top/>
      <bottom style="medium">
        <color auto="1"/>
      </bottom>
      <diagonal/>
    </border>
    <border>
      <left/>
      <right style="medium">
        <color theme="2" tint="-0.499984740745262"/>
      </right>
      <top/>
      <bottom style="medium">
        <color auto="1"/>
      </bottom>
      <diagonal/>
    </border>
    <border>
      <left style="thin">
        <color auto="1"/>
      </left>
      <right style="medium">
        <color theme="2" tint="-0.499984740745262"/>
      </right>
      <top/>
      <bottom/>
      <diagonal/>
    </border>
    <border>
      <left/>
      <right style="hair">
        <color theme="2" tint="-0.499984740745262"/>
      </right>
      <top/>
      <bottom style="hair">
        <color theme="2" tint="-0.499984740745262"/>
      </bottom>
      <diagonal/>
    </border>
    <border>
      <left/>
      <right style="hair">
        <color theme="2" tint="-0.499984740745262"/>
      </right>
      <top/>
      <bottom/>
      <diagonal/>
    </border>
    <border>
      <left/>
      <right/>
      <top/>
      <bottom style="hair">
        <color theme="2" tint="-0.499984740745262"/>
      </bottom>
      <diagonal/>
    </border>
    <border>
      <left/>
      <right/>
      <top style="hair">
        <color theme="2" tint="-0.499984740745262"/>
      </top>
      <bottom/>
      <diagonal/>
    </border>
    <border>
      <left/>
      <right style="hair">
        <color theme="2" tint="-0.499984740745262"/>
      </right>
      <top style="hair">
        <color theme="2" tint="-0.499984740745262"/>
      </top>
      <bottom/>
      <diagonal/>
    </border>
    <border>
      <left/>
      <right style="hair">
        <color indexed="64"/>
      </right>
      <top/>
      <bottom style="dashed">
        <color indexed="64"/>
      </bottom>
      <diagonal/>
    </border>
    <border>
      <left/>
      <right/>
      <top/>
      <bottom style="dashed">
        <color indexed="64"/>
      </bottom>
      <diagonal/>
    </border>
    <border>
      <left style="double">
        <color indexed="17"/>
      </left>
      <right/>
      <top/>
      <bottom/>
      <diagonal/>
    </border>
    <border>
      <left style="double">
        <color indexed="10"/>
      </left>
      <right/>
      <top/>
      <bottom/>
      <diagonal/>
    </border>
    <border>
      <left/>
      <right style="hair">
        <color indexed="64"/>
      </right>
      <top style="hair">
        <color indexed="17"/>
      </top>
      <bottom/>
      <diagonal/>
    </border>
    <border>
      <left/>
      <right/>
      <top style="hair">
        <color indexed="17"/>
      </top>
      <bottom/>
      <diagonal/>
    </border>
    <border>
      <left/>
      <right style="hair">
        <color indexed="64"/>
      </right>
      <top style="hair">
        <color indexed="17"/>
      </top>
      <bottom style="hair">
        <color indexed="17"/>
      </bottom>
      <diagonal/>
    </border>
    <border>
      <left/>
      <right/>
      <top style="hair">
        <color indexed="17"/>
      </top>
      <bottom style="hair">
        <color indexed="17"/>
      </bottom>
      <diagonal/>
    </border>
    <border>
      <left/>
      <right style="hair">
        <color indexed="64"/>
      </right>
      <top/>
      <bottom style="hair">
        <color indexed="17"/>
      </bottom>
      <diagonal/>
    </border>
    <border>
      <left/>
      <right/>
      <top/>
      <bottom style="hair">
        <color indexed="17"/>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dotted">
        <color indexed="17"/>
      </left>
      <right style="dotted">
        <color indexed="17"/>
      </right>
      <top style="dotted">
        <color indexed="17"/>
      </top>
      <bottom style="dashed">
        <color indexed="64"/>
      </bottom>
      <diagonal/>
    </border>
    <border>
      <left style="dotted">
        <color indexed="17"/>
      </left>
      <right style="dotted">
        <color indexed="17"/>
      </right>
      <top/>
      <bottom/>
      <diagonal/>
    </border>
    <border>
      <left style="dotted">
        <color indexed="17"/>
      </left>
      <right style="dotted">
        <color indexed="17"/>
      </right>
      <top/>
      <bottom style="hair">
        <color auto="1"/>
      </bottom>
      <diagonal/>
    </border>
    <border>
      <left style="dotted">
        <color indexed="17"/>
      </left>
      <right style="dotted">
        <color indexed="17"/>
      </right>
      <top style="hair">
        <color auto="1"/>
      </top>
      <bottom style="dotted">
        <color indexed="17"/>
      </bottom>
      <diagonal/>
    </border>
  </borders>
  <cellStyleXfs count="1">
    <xf numFmtId="0" fontId="0" fillId="0" borderId="0"/>
  </cellStyleXfs>
  <cellXfs count="690">
    <xf numFmtId="0" fontId="0" fillId="0" borderId="0" xfId="0"/>
    <xf numFmtId="0" fontId="0" fillId="0" borderId="0" xfId="0" applyProtection="1">
      <protection locked="0"/>
    </xf>
    <xf numFmtId="0" fontId="25" fillId="0" borderId="0" xfId="0" applyFont="1" applyAlignment="1" applyProtection="1">
      <alignment horizontal="center"/>
      <protection locked="0"/>
    </xf>
    <xf numFmtId="0" fontId="28" fillId="0" borderId="0" xfId="0" applyFont="1" applyAlignment="1" applyProtection="1">
      <alignment horizontal="center"/>
      <protection locked="0"/>
    </xf>
    <xf numFmtId="0" fontId="0" fillId="0" borderId="0" xfId="0" applyAlignment="1" applyProtection="1">
      <alignment horizontal="right"/>
      <protection locked="0"/>
    </xf>
    <xf numFmtId="0" fontId="25" fillId="0" borderId="23" xfId="0" applyFont="1" applyBorder="1" applyAlignment="1" applyProtection="1">
      <alignment horizontal="center"/>
      <protection locked="0"/>
    </xf>
    <xf numFmtId="0" fontId="25" fillId="0" borderId="0" xfId="0" applyFont="1" applyBorder="1" applyAlignment="1" applyProtection="1">
      <alignment horizontal="center"/>
      <protection locked="0"/>
    </xf>
    <xf numFmtId="0" fontId="29" fillId="0" borderId="0" xfId="0" applyFont="1" applyBorder="1" applyAlignment="1" applyProtection="1">
      <alignment horizontal="center"/>
      <protection locked="0"/>
    </xf>
    <xf numFmtId="0" fontId="29" fillId="0" borderId="0" xfId="0" applyFont="1" applyAlignment="1" applyProtection="1">
      <alignment horizontal="center"/>
      <protection locked="0"/>
    </xf>
    <xf numFmtId="0" fontId="29" fillId="0" borderId="23" xfId="0" applyFont="1" applyBorder="1" applyAlignment="1" applyProtection="1">
      <alignment horizontal="center"/>
      <protection locked="0"/>
    </xf>
    <xf numFmtId="0" fontId="31" fillId="0" borderId="0" xfId="0" applyFont="1" applyAlignment="1" applyProtection="1">
      <alignment horizontal="right"/>
      <protection locked="0"/>
    </xf>
    <xf numFmtId="0" fontId="0" fillId="0" borderId="0" xfId="0" applyAlignment="1" applyProtection="1">
      <alignment horizontal="center"/>
      <protection locked="0"/>
    </xf>
    <xf numFmtId="0" fontId="1" fillId="0" borderId="0" xfId="0" applyFont="1" applyAlignment="1" applyProtection="1">
      <alignment horizontal="center"/>
      <protection locked="0"/>
    </xf>
    <xf numFmtId="0" fontId="32" fillId="0" borderId="0" xfId="0" applyFont="1" applyAlignment="1" applyProtection="1">
      <alignment horizontal="center"/>
      <protection locked="0"/>
    </xf>
    <xf numFmtId="0" fontId="2" fillId="0" borderId="0" xfId="0" applyFont="1" applyAlignment="1" applyProtection="1">
      <alignment horizontal="center"/>
      <protection locked="0"/>
    </xf>
    <xf numFmtId="0" fontId="0" fillId="0" borderId="0" xfId="0" applyFill="1" applyAlignment="1" applyProtection="1">
      <alignment horizontal="center"/>
      <protection locked="0"/>
    </xf>
    <xf numFmtId="0" fontId="32" fillId="0" borderId="0" xfId="0" applyFont="1" applyProtection="1">
      <protection locked="0"/>
    </xf>
    <xf numFmtId="0" fontId="2" fillId="0" borderId="0" xfId="0" applyFont="1" applyProtection="1">
      <protection locked="0"/>
    </xf>
    <xf numFmtId="0" fontId="10" fillId="0" borderId="63" xfId="0" applyFont="1" applyBorder="1" applyAlignment="1" applyProtection="1">
      <alignment horizontal="center"/>
      <protection locked="0"/>
    </xf>
    <xf numFmtId="0" fontId="10" fillId="0" borderId="64" xfId="0" applyFont="1" applyBorder="1" applyAlignment="1" applyProtection="1">
      <alignment horizontal="center"/>
      <protection locked="0"/>
    </xf>
    <xf numFmtId="0" fontId="10" fillId="0" borderId="65" xfId="0" applyFont="1" applyBorder="1" applyAlignment="1" applyProtection="1">
      <alignment horizontal="center"/>
      <protection locked="0"/>
    </xf>
    <xf numFmtId="0" fontId="10" fillId="0" borderId="66" xfId="0" applyFont="1" applyBorder="1" applyAlignment="1" applyProtection="1">
      <alignment horizontal="center"/>
      <protection locked="0"/>
    </xf>
    <xf numFmtId="0" fontId="10" fillId="0" borderId="67" xfId="0" applyFont="1" applyBorder="1" applyAlignment="1" applyProtection="1">
      <alignment horizontal="center"/>
      <protection locked="0"/>
    </xf>
    <xf numFmtId="0" fontId="10" fillId="0" borderId="68" xfId="0" applyFont="1" applyBorder="1" applyAlignment="1" applyProtection="1">
      <alignment horizontal="center"/>
      <protection locked="0"/>
    </xf>
    <xf numFmtId="0" fontId="10" fillId="7" borderId="69" xfId="0" applyFont="1" applyFill="1" applyBorder="1" applyAlignment="1" applyProtection="1">
      <alignment horizontal="center"/>
      <protection locked="0"/>
    </xf>
    <xf numFmtId="0" fontId="10" fillId="0" borderId="70" xfId="0" applyFont="1" applyBorder="1" applyAlignment="1" applyProtection="1">
      <alignment horizontal="center"/>
      <protection locked="0"/>
    </xf>
    <xf numFmtId="0" fontId="10" fillId="0" borderId="69" xfId="0" applyFont="1" applyBorder="1" applyAlignment="1" applyProtection="1">
      <alignment horizontal="center"/>
      <protection locked="0"/>
    </xf>
    <xf numFmtId="0" fontId="10" fillId="0" borderId="71" xfId="0" applyFont="1" applyBorder="1" applyAlignment="1" applyProtection="1">
      <alignment horizontal="center"/>
      <protection locked="0"/>
    </xf>
    <xf numFmtId="0" fontId="10" fillId="0" borderId="72" xfId="0" applyFont="1" applyBorder="1" applyAlignment="1" applyProtection="1">
      <alignment horizontal="center"/>
      <protection locked="0"/>
    </xf>
    <xf numFmtId="0" fontId="10" fillId="0" borderId="73" xfId="0" applyFont="1" applyBorder="1" applyAlignment="1" applyProtection="1">
      <alignment horizontal="center"/>
      <protection locked="0"/>
    </xf>
    <xf numFmtId="0" fontId="3" fillId="0" borderId="0" xfId="0" applyFont="1" applyAlignment="1" applyProtection="1">
      <alignment horizontal="center" vertical="top"/>
      <protection locked="0"/>
    </xf>
    <xf numFmtId="0" fontId="3" fillId="0" borderId="0" xfId="0" applyFont="1" applyBorder="1" applyAlignment="1" applyProtection="1">
      <alignment horizontal="center" vertical="top"/>
      <protection locked="0"/>
    </xf>
    <xf numFmtId="0" fontId="0" fillId="0" borderId="0" xfId="0" applyFill="1" applyAlignment="1" applyProtection="1">
      <alignment horizontal="right"/>
      <protection locked="0"/>
    </xf>
    <xf numFmtId="0" fontId="0" fillId="0" borderId="0" xfId="0" applyFill="1" applyProtection="1">
      <protection locked="0"/>
    </xf>
    <xf numFmtId="0" fontId="3" fillId="0" borderId="0" xfId="0" applyFont="1" applyFill="1" applyProtection="1">
      <protection locked="0"/>
    </xf>
    <xf numFmtId="0" fontId="3" fillId="0" borderId="0" xfId="0" applyFont="1" applyProtection="1">
      <protection locked="0"/>
    </xf>
    <xf numFmtId="0" fontId="0" fillId="0" borderId="0" xfId="0" applyBorder="1" applyProtection="1">
      <protection locked="0"/>
    </xf>
    <xf numFmtId="0" fontId="36" fillId="0" borderId="0" xfId="0" applyFont="1" applyAlignment="1" applyProtection="1">
      <alignment horizontal="center"/>
      <protection locked="0"/>
    </xf>
    <xf numFmtId="0" fontId="0" fillId="0" borderId="0" xfId="0" applyFill="1" applyBorder="1" applyAlignment="1" applyProtection="1">
      <alignment horizontal="right"/>
      <protection locked="0"/>
    </xf>
    <xf numFmtId="0" fontId="43" fillId="0" borderId="0" xfId="0" applyFont="1" applyAlignment="1" applyProtection="1">
      <alignment horizontal="right"/>
      <protection locked="0"/>
    </xf>
    <xf numFmtId="0" fontId="45" fillId="0" borderId="0" xfId="0" applyFont="1" applyProtection="1">
      <protection locked="0"/>
    </xf>
    <xf numFmtId="0" fontId="0" fillId="0" borderId="0" xfId="0" applyBorder="1" applyAlignment="1" applyProtection="1">
      <alignment horizontal="center"/>
      <protection locked="0"/>
    </xf>
    <xf numFmtId="0" fontId="10" fillId="0" borderId="0" xfId="0" applyFont="1" applyFill="1" applyBorder="1" applyAlignment="1" applyProtection="1">
      <alignment horizontal="center"/>
      <protection locked="0"/>
    </xf>
    <xf numFmtId="0" fontId="46" fillId="0" borderId="0" xfId="0" applyFont="1" applyAlignment="1" applyProtection="1">
      <alignment horizontal="center"/>
      <protection locked="0"/>
    </xf>
    <xf numFmtId="0" fontId="45" fillId="0" borderId="0" xfId="0" applyFont="1" applyBorder="1" applyAlignment="1" applyProtection="1">
      <alignment horizontal="center"/>
      <protection locked="0"/>
    </xf>
    <xf numFmtId="0" fontId="10" fillId="0" borderId="0" xfId="0" applyFont="1" applyBorder="1" applyAlignment="1" applyProtection="1">
      <alignment horizontal="center"/>
      <protection locked="0"/>
    </xf>
    <xf numFmtId="0" fontId="46" fillId="0" borderId="0" xfId="0" applyFont="1" applyFill="1" applyBorder="1" applyAlignment="1" applyProtection="1">
      <alignment horizontal="center"/>
      <protection locked="0"/>
    </xf>
    <xf numFmtId="0" fontId="0" fillId="0" borderId="0" xfId="0" applyFill="1" applyBorder="1" applyAlignment="1" applyProtection="1">
      <alignment horizontal="center"/>
      <protection locked="0"/>
    </xf>
    <xf numFmtId="0" fontId="0" fillId="0" borderId="0" xfId="0" applyFill="1" applyBorder="1" applyProtection="1">
      <protection locked="0"/>
    </xf>
    <xf numFmtId="0" fontId="0" fillId="15" borderId="28" xfId="0" applyFill="1" applyBorder="1" applyAlignment="1" applyProtection="1">
      <alignment horizontal="center"/>
    </xf>
    <xf numFmtId="0" fontId="0" fillId="15" borderId="29" xfId="0" applyFill="1" applyBorder="1" applyAlignment="1" applyProtection="1">
      <alignment horizontal="center"/>
    </xf>
    <xf numFmtId="0" fontId="0" fillId="15" borderId="38" xfId="0" applyFill="1" applyBorder="1" applyAlignment="1" applyProtection="1">
      <alignment horizontal="center"/>
    </xf>
    <xf numFmtId="0" fontId="0" fillId="15" borderId="91" xfId="0" applyFill="1" applyBorder="1" applyAlignment="1" applyProtection="1">
      <alignment horizontal="center"/>
    </xf>
    <xf numFmtId="0" fontId="0" fillId="15" borderId="102" xfId="0" applyFill="1" applyBorder="1" applyAlignment="1" applyProtection="1">
      <alignment horizontal="center"/>
    </xf>
    <xf numFmtId="0" fontId="0" fillId="15" borderId="103" xfId="0" applyFill="1" applyBorder="1" applyAlignment="1" applyProtection="1">
      <alignment horizontal="center"/>
    </xf>
    <xf numFmtId="0" fontId="0" fillId="0" borderId="0" xfId="0" applyFont="1" applyAlignment="1" applyProtection="1">
      <alignment horizontal="right"/>
    </xf>
    <xf numFmtId="0" fontId="25" fillId="0" borderId="17" xfId="0" applyFont="1" applyBorder="1" applyAlignment="1" applyProtection="1">
      <alignment horizontal="center"/>
    </xf>
    <xf numFmtId="0" fontId="25" fillId="0" borderId="18" xfId="0" applyFont="1" applyBorder="1" applyAlignment="1" applyProtection="1">
      <alignment horizontal="center"/>
    </xf>
    <xf numFmtId="0" fontId="25" fillId="0" borderId="19" xfId="0" applyFont="1" applyBorder="1" applyAlignment="1" applyProtection="1">
      <alignment horizontal="center"/>
    </xf>
    <xf numFmtId="0" fontId="25" fillId="0" borderId="20" xfId="0" applyFont="1" applyBorder="1" applyAlignment="1" applyProtection="1">
      <alignment horizontal="center"/>
    </xf>
    <xf numFmtId="0" fontId="25" fillId="0" borderId="21" xfId="0" applyFont="1" applyBorder="1" applyAlignment="1" applyProtection="1">
      <alignment horizontal="center"/>
    </xf>
    <xf numFmtId="0" fontId="25" fillId="0" borderId="22" xfId="0" applyFont="1" applyBorder="1" applyAlignment="1" applyProtection="1">
      <alignment horizontal="center"/>
    </xf>
    <xf numFmtId="0" fontId="25" fillId="0" borderId="24" xfId="0" applyFont="1" applyBorder="1" applyAlignment="1" applyProtection="1">
      <alignment horizontal="center"/>
    </xf>
    <xf numFmtId="0" fontId="25" fillId="0" borderId="25" xfId="0" applyFont="1" applyBorder="1" applyAlignment="1" applyProtection="1">
      <alignment horizontal="center"/>
    </xf>
    <xf numFmtId="0" fontId="25" fillId="0" borderId="26" xfId="0" applyFont="1" applyBorder="1" applyAlignment="1" applyProtection="1">
      <alignment horizontal="center"/>
    </xf>
    <xf numFmtId="0" fontId="25" fillId="0" borderId="27" xfId="0" applyFont="1" applyBorder="1" applyAlignment="1" applyProtection="1">
      <alignment horizontal="center"/>
    </xf>
    <xf numFmtId="0" fontId="25" fillId="0" borderId="10" xfId="0" applyFont="1" applyBorder="1" applyAlignment="1" applyProtection="1">
      <alignment horizontal="center"/>
    </xf>
    <xf numFmtId="0" fontId="25" fillId="0" borderId="11" xfId="0" applyFont="1" applyBorder="1" applyAlignment="1" applyProtection="1">
      <alignment horizontal="center"/>
    </xf>
    <xf numFmtId="0" fontId="25" fillId="0" borderId="28" xfId="0" applyFont="1" applyBorder="1" applyAlignment="1" applyProtection="1">
      <alignment horizontal="center"/>
    </xf>
    <xf numFmtId="0" fontId="25" fillId="0" borderId="29" xfId="0" applyFont="1" applyBorder="1" applyAlignment="1" applyProtection="1">
      <alignment horizontal="center"/>
    </xf>
    <xf numFmtId="0" fontId="25" fillId="0" borderId="30" xfId="0" applyFont="1" applyBorder="1" applyAlignment="1" applyProtection="1">
      <alignment horizontal="center"/>
    </xf>
    <xf numFmtId="0" fontId="25" fillId="0" borderId="31" xfId="0" applyFont="1" applyBorder="1" applyAlignment="1" applyProtection="1">
      <alignment horizontal="center"/>
    </xf>
    <xf numFmtId="0" fontId="25" fillId="5" borderId="29" xfId="0" applyFont="1" applyFill="1" applyBorder="1" applyAlignment="1" applyProtection="1">
      <alignment horizontal="center"/>
    </xf>
    <xf numFmtId="0" fontId="30" fillId="5" borderId="29" xfId="0" applyFont="1" applyFill="1" applyBorder="1" applyAlignment="1" applyProtection="1">
      <alignment horizontal="center"/>
    </xf>
    <xf numFmtId="0" fontId="30" fillId="0" borderId="30" xfId="0" applyFont="1" applyBorder="1" applyAlignment="1" applyProtection="1">
      <alignment horizontal="center"/>
    </xf>
    <xf numFmtId="0" fontId="30" fillId="0" borderId="31" xfId="0" applyFont="1" applyBorder="1" applyAlignment="1" applyProtection="1">
      <alignment horizontal="center"/>
    </xf>
    <xf numFmtId="0" fontId="30" fillId="0" borderId="29" xfId="0" applyFont="1" applyBorder="1" applyAlignment="1" applyProtection="1">
      <alignment horizontal="center"/>
    </xf>
    <xf numFmtId="0" fontId="30" fillId="5" borderId="30" xfId="0" applyFont="1" applyFill="1" applyBorder="1" applyAlignment="1" applyProtection="1">
      <alignment horizontal="center"/>
    </xf>
    <xf numFmtId="0" fontId="30" fillId="5" borderId="31" xfId="0" applyFont="1" applyFill="1" applyBorder="1" applyAlignment="1" applyProtection="1">
      <alignment horizontal="center"/>
    </xf>
    <xf numFmtId="0" fontId="30" fillId="0" borderId="32" xfId="0" applyFont="1" applyBorder="1" applyAlignment="1" applyProtection="1">
      <alignment horizontal="center"/>
    </xf>
    <xf numFmtId="0" fontId="54" fillId="0" borderId="104" xfId="0" applyFont="1" applyBorder="1" applyAlignment="1" applyProtection="1">
      <alignment horizontal="center"/>
    </xf>
    <xf numFmtId="0" fontId="54" fillId="0" borderId="105" xfId="0" applyFont="1" applyBorder="1" applyAlignment="1" applyProtection="1">
      <alignment horizontal="center"/>
    </xf>
    <xf numFmtId="0" fontId="54" fillId="0" borderId="106" xfId="0" applyFont="1" applyBorder="1" applyAlignment="1" applyProtection="1">
      <alignment horizontal="center"/>
    </xf>
    <xf numFmtId="0" fontId="10" fillId="0" borderId="92" xfId="0" applyFont="1" applyBorder="1" applyAlignment="1" applyProtection="1">
      <alignment horizontal="center" vertical="center"/>
    </xf>
    <xf numFmtId="0" fontId="10" fillId="0" borderId="80" xfId="0" applyFont="1" applyBorder="1" applyAlignment="1" applyProtection="1">
      <alignment horizontal="center" vertical="center"/>
    </xf>
    <xf numFmtId="0" fontId="10" fillId="0" borderId="93" xfId="0" applyFont="1" applyBorder="1" applyAlignment="1" applyProtection="1">
      <alignment horizontal="center" vertical="center"/>
    </xf>
    <xf numFmtId="0" fontId="53" fillId="0" borderId="107" xfId="0" applyFont="1" applyBorder="1" applyAlignment="1" applyProtection="1">
      <alignment horizontal="center"/>
    </xf>
    <xf numFmtId="0" fontId="53" fillId="0" borderId="108" xfId="0" applyFont="1" applyBorder="1" applyAlignment="1" applyProtection="1">
      <alignment horizontal="center"/>
    </xf>
    <xf numFmtId="0" fontId="53" fillId="0" borderId="109" xfId="0" applyFont="1" applyBorder="1" applyAlignment="1" applyProtection="1">
      <alignment horizontal="center"/>
    </xf>
    <xf numFmtId="0" fontId="33" fillId="14" borderId="0" xfId="0" applyFont="1" applyFill="1" applyAlignment="1" applyProtection="1">
      <alignment horizontal="center"/>
    </xf>
    <xf numFmtId="0" fontId="33" fillId="0" borderId="0" xfId="0" applyFont="1" applyFill="1" applyAlignment="1" applyProtection="1">
      <alignment horizontal="center"/>
    </xf>
    <xf numFmtId="0" fontId="32" fillId="0" borderId="0" xfId="0" applyFont="1" applyProtection="1"/>
    <xf numFmtId="0" fontId="32" fillId="0" borderId="0" xfId="0" applyFont="1" applyBorder="1" applyProtection="1"/>
    <xf numFmtId="0" fontId="47" fillId="0" borderId="0" xfId="0" applyFont="1" applyBorder="1" applyAlignment="1" applyProtection="1">
      <alignment horizontal="center" vertical="top"/>
    </xf>
    <xf numFmtId="0" fontId="47" fillId="0" borderId="48" xfId="0" applyFont="1" applyBorder="1" applyAlignment="1" applyProtection="1">
      <alignment horizontal="center" vertical="top"/>
    </xf>
    <xf numFmtId="0" fontId="47" fillId="0" borderId="49" xfId="0" applyFont="1" applyBorder="1" applyAlignment="1" applyProtection="1">
      <alignment horizontal="center" vertical="top"/>
    </xf>
    <xf numFmtId="0" fontId="47" fillId="0" borderId="50" xfId="0" applyFont="1" applyBorder="1" applyAlignment="1" applyProtection="1">
      <alignment horizontal="center" vertical="top"/>
    </xf>
    <xf numFmtId="0" fontId="47" fillId="0" borderId="51" xfId="0" applyFont="1" applyBorder="1" applyAlignment="1" applyProtection="1">
      <alignment horizontal="center" vertical="top"/>
    </xf>
    <xf numFmtId="0" fontId="35" fillId="0" borderId="0" xfId="0" applyFont="1" applyBorder="1" applyAlignment="1" applyProtection="1">
      <alignment horizontal="center" vertical="top"/>
    </xf>
    <xf numFmtId="0" fontId="47" fillId="0" borderId="52" xfId="0" applyFont="1" applyBorder="1" applyAlignment="1" applyProtection="1">
      <alignment horizontal="center" vertical="top"/>
    </xf>
    <xf numFmtId="0" fontId="47" fillId="0" borderId="53" xfId="0" applyFont="1" applyBorder="1" applyAlignment="1" applyProtection="1">
      <alignment horizontal="center" vertical="top"/>
    </xf>
    <xf numFmtId="0" fontId="48" fillId="0" borderId="0" xfId="0" applyFont="1" applyBorder="1" applyAlignment="1" applyProtection="1">
      <alignment horizontal="center" vertical="top"/>
    </xf>
    <xf numFmtId="0" fontId="47" fillId="0" borderId="54" xfId="0" applyFont="1" applyBorder="1" applyAlignment="1" applyProtection="1">
      <alignment horizontal="center" vertical="top"/>
    </xf>
    <xf numFmtId="0" fontId="0" fillId="14" borderId="0" xfId="0" applyFill="1" applyAlignment="1" applyProtection="1">
      <alignment horizontal="center"/>
    </xf>
    <xf numFmtId="0" fontId="0" fillId="0" borderId="0" xfId="0" applyFill="1" applyAlignment="1" applyProtection="1">
      <alignment horizontal="center"/>
    </xf>
    <xf numFmtId="0" fontId="0" fillId="0" borderId="0" xfId="0" applyProtection="1"/>
    <xf numFmtId="0" fontId="3" fillId="0" borderId="55" xfId="0" applyFont="1" applyBorder="1" applyAlignment="1" applyProtection="1">
      <alignment horizontal="center" vertical="top"/>
    </xf>
    <xf numFmtId="0" fontId="34" fillId="0" borderId="57" xfId="0" applyFont="1" applyBorder="1" applyAlignment="1" applyProtection="1">
      <alignment horizontal="center" vertical="top"/>
    </xf>
    <xf numFmtId="0" fontId="34" fillId="0" borderId="56" xfId="0" applyFont="1" applyBorder="1" applyAlignment="1" applyProtection="1">
      <alignment horizontal="center" vertical="top"/>
    </xf>
    <xf numFmtId="0" fontId="34" fillId="0" borderId="55" xfId="0" applyFont="1" applyBorder="1" applyAlignment="1" applyProtection="1">
      <alignment horizontal="center" vertical="top"/>
    </xf>
    <xf numFmtId="0" fontId="34" fillId="0" borderId="58" xfId="0" applyFont="1" applyBorder="1" applyAlignment="1" applyProtection="1">
      <alignment horizontal="center" vertical="top"/>
    </xf>
    <xf numFmtId="0" fontId="34" fillId="0" borderId="59" xfId="0" applyFont="1" applyBorder="1" applyAlignment="1" applyProtection="1">
      <alignment horizontal="center" vertical="top"/>
    </xf>
    <xf numFmtId="0" fontId="39" fillId="0" borderId="55" xfId="0" applyFont="1" applyBorder="1" applyAlignment="1" applyProtection="1">
      <alignment horizontal="center" vertical="top"/>
    </xf>
    <xf numFmtId="0" fontId="49" fillId="0" borderId="60" xfId="0" applyFont="1" applyBorder="1" applyAlignment="1" applyProtection="1">
      <alignment horizontal="center" vertical="top"/>
    </xf>
    <xf numFmtId="0" fontId="49" fillId="0" borderId="56" xfId="0" applyFont="1" applyBorder="1" applyAlignment="1" applyProtection="1">
      <alignment horizontal="center" vertical="top"/>
    </xf>
    <xf numFmtId="0" fontId="49" fillId="0" borderId="57" xfId="0" applyFont="1" applyBorder="1" applyAlignment="1" applyProtection="1">
      <alignment horizontal="center" vertical="top"/>
    </xf>
    <xf numFmtId="0" fontId="49" fillId="0" borderId="58" xfId="0" applyFont="1" applyBorder="1" applyAlignment="1" applyProtection="1">
      <alignment horizontal="center" vertical="top"/>
    </xf>
    <xf numFmtId="0" fontId="49" fillId="0" borderId="55" xfId="0" applyFont="1" applyBorder="1" applyAlignment="1" applyProtection="1">
      <alignment horizontal="center" vertical="top"/>
    </xf>
    <xf numFmtId="0" fontId="49" fillId="0" borderId="61" xfId="0" applyFont="1" applyBorder="1" applyAlignment="1" applyProtection="1">
      <alignment horizontal="center" vertical="top"/>
    </xf>
    <xf numFmtId="0" fontId="35" fillId="0" borderId="55" xfId="0" applyFont="1" applyBorder="1" applyAlignment="1" applyProtection="1">
      <alignment horizontal="center" vertical="top"/>
    </xf>
    <xf numFmtId="0" fontId="34" fillId="0" borderId="62" xfId="0" applyFont="1" applyBorder="1" applyAlignment="1" applyProtection="1">
      <alignment horizontal="center" vertical="top"/>
    </xf>
    <xf numFmtId="0" fontId="2" fillId="0" borderId="0" xfId="0" applyFont="1" applyBorder="1" applyProtection="1"/>
    <xf numFmtId="0" fontId="2" fillId="0" borderId="0" xfId="0" applyFont="1" applyFill="1" applyBorder="1" applyProtection="1"/>
    <xf numFmtId="0" fontId="26" fillId="0" borderId="0" xfId="0" applyFont="1" applyBorder="1" applyProtection="1"/>
    <xf numFmtId="0" fontId="37" fillId="0" borderId="0" xfId="0" applyFont="1" applyBorder="1" applyAlignment="1" applyProtection="1">
      <alignment horizontal="center" vertical="top"/>
    </xf>
    <xf numFmtId="0" fontId="37" fillId="0" borderId="48" xfId="0" applyFont="1" applyBorder="1" applyAlignment="1" applyProtection="1">
      <alignment horizontal="center" vertical="top"/>
    </xf>
    <xf numFmtId="0" fontId="37" fillId="0" borderId="49" xfId="0" applyFont="1" applyBorder="1" applyAlignment="1" applyProtection="1">
      <alignment horizontal="center" vertical="top"/>
    </xf>
    <xf numFmtId="0" fontId="37" fillId="0" borderId="50" xfId="0" applyFont="1" applyBorder="1" applyAlignment="1" applyProtection="1">
      <alignment horizontal="center" vertical="top"/>
    </xf>
    <xf numFmtId="0" fontId="37" fillId="0" borderId="51" xfId="0" applyFont="1" applyBorder="1" applyAlignment="1" applyProtection="1">
      <alignment horizontal="center" vertical="top"/>
    </xf>
    <xf numFmtId="0" fontId="37" fillId="0" borderId="52" xfId="0" applyFont="1" applyBorder="1" applyAlignment="1" applyProtection="1">
      <alignment horizontal="center" vertical="top"/>
    </xf>
    <xf numFmtId="0" fontId="37" fillId="0" borderId="53" xfId="0" applyFont="1" applyBorder="1" applyAlignment="1" applyProtection="1">
      <alignment horizontal="center" vertical="top"/>
    </xf>
    <xf numFmtId="0" fontId="37" fillId="0" borderId="54" xfId="0" applyFont="1" applyBorder="1" applyAlignment="1" applyProtection="1">
      <alignment horizontal="center" vertical="top"/>
    </xf>
    <xf numFmtId="0" fontId="52" fillId="0" borderId="0" xfId="0" applyFont="1" applyAlignment="1" applyProtection="1">
      <alignment horizontal="center"/>
    </xf>
    <xf numFmtId="0" fontId="50" fillId="0" borderId="0" xfId="0" applyFont="1" applyAlignment="1" applyProtection="1">
      <alignment horizontal="center"/>
    </xf>
    <xf numFmtId="0" fontId="51" fillId="0" borderId="0" xfId="0" applyFont="1" applyAlignment="1" applyProtection="1">
      <alignment horizontal="center"/>
    </xf>
    <xf numFmtId="0" fontId="0" fillId="16" borderId="88" xfId="0" applyFill="1" applyBorder="1" applyAlignment="1" applyProtection="1">
      <alignment horizontal="center"/>
    </xf>
    <xf numFmtId="0" fontId="0" fillId="16" borderId="46" xfId="0" applyFill="1" applyBorder="1" applyAlignment="1" applyProtection="1">
      <alignment horizontal="center"/>
    </xf>
    <xf numFmtId="0" fontId="10" fillId="7" borderId="45" xfId="0" applyFont="1" applyFill="1" applyBorder="1" applyAlignment="1" applyProtection="1">
      <alignment horizontal="center"/>
    </xf>
    <xf numFmtId="0" fontId="10" fillId="7" borderId="47" xfId="0" applyFont="1" applyFill="1" applyBorder="1" applyAlignment="1" applyProtection="1">
      <alignment horizontal="center"/>
    </xf>
    <xf numFmtId="0" fontId="33" fillId="2" borderId="0" xfId="0" applyFont="1" applyFill="1" applyAlignment="1" applyProtection="1">
      <alignment horizontal="center"/>
    </xf>
    <xf numFmtId="0" fontId="0" fillId="2" borderId="0" xfId="0" applyFill="1" applyAlignment="1" applyProtection="1">
      <alignment horizontal="center"/>
    </xf>
    <xf numFmtId="0" fontId="33" fillId="8" borderId="0" xfId="0" applyFont="1" applyFill="1" applyAlignment="1" applyProtection="1">
      <alignment horizontal="center"/>
    </xf>
    <xf numFmtId="0" fontId="0" fillId="8" borderId="0" xfId="0" applyFill="1" applyAlignment="1" applyProtection="1">
      <alignment horizontal="center"/>
    </xf>
    <xf numFmtId="0" fontId="33" fillId="13" borderId="0" xfId="0" applyFont="1" applyFill="1" applyAlignment="1" applyProtection="1">
      <alignment horizontal="center"/>
    </xf>
    <xf numFmtId="0" fontId="0" fillId="13" borderId="0" xfId="0" applyFill="1" applyAlignment="1" applyProtection="1">
      <alignment horizontal="center"/>
    </xf>
    <xf numFmtId="0" fontId="40" fillId="0" borderId="0" xfId="0" applyFont="1" applyAlignment="1" applyProtection="1">
      <alignment horizontal="center" vertical="center"/>
    </xf>
    <xf numFmtId="0" fontId="41" fillId="9" borderId="124" xfId="0" applyFont="1" applyFill="1" applyBorder="1" applyAlignment="1" applyProtection="1">
      <alignment horizontal="center" vertical="center"/>
    </xf>
    <xf numFmtId="0" fontId="40" fillId="10" borderId="114" xfId="0" applyFont="1" applyFill="1" applyBorder="1" applyAlignment="1" applyProtection="1">
      <alignment horizontal="center" vertical="center"/>
    </xf>
    <xf numFmtId="0" fontId="40" fillId="10" borderId="0" xfId="0" applyFont="1" applyFill="1" applyBorder="1" applyAlignment="1" applyProtection="1">
      <alignment horizontal="center" vertical="center"/>
    </xf>
    <xf numFmtId="0" fontId="40" fillId="10" borderId="74" xfId="0" applyFont="1" applyFill="1" applyBorder="1" applyAlignment="1" applyProtection="1">
      <alignment horizontal="center" vertical="center"/>
    </xf>
    <xf numFmtId="0" fontId="40" fillId="11" borderId="75" xfId="0" applyFont="1" applyFill="1" applyBorder="1" applyAlignment="1" applyProtection="1">
      <alignment horizontal="center" vertical="center"/>
    </xf>
    <xf numFmtId="0" fontId="40" fillId="11" borderId="0" xfId="0" applyFont="1" applyFill="1" applyBorder="1" applyAlignment="1" applyProtection="1">
      <alignment horizontal="center" vertical="center"/>
    </xf>
    <xf numFmtId="0" fontId="40" fillId="11" borderId="115" xfId="0" applyFont="1" applyFill="1" applyBorder="1" applyAlignment="1" applyProtection="1">
      <alignment horizontal="center" vertical="center"/>
    </xf>
    <xf numFmtId="0" fontId="40" fillId="9" borderId="124" xfId="0" applyFont="1" applyFill="1" applyBorder="1" applyAlignment="1" applyProtection="1">
      <alignment horizontal="center" vertical="center"/>
    </xf>
    <xf numFmtId="0" fontId="18" fillId="12" borderId="76" xfId="0" applyFont="1" applyFill="1" applyBorder="1" applyAlignment="1" applyProtection="1">
      <alignment horizontal="center" vertical="center"/>
    </xf>
    <xf numFmtId="0" fontId="18" fillId="12" borderId="77" xfId="0" applyFont="1" applyFill="1" applyBorder="1" applyAlignment="1" applyProtection="1">
      <alignment horizontal="center" vertical="center"/>
    </xf>
    <xf numFmtId="0" fontId="18" fillId="12" borderId="95" xfId="0" applyFont="1" applyFill="1" applyBorder="1" applyAlignment="1" applyProtection="1">
      <alignment horizontal="center" vertical="center"/>
    </xf>
    <xf numFmtId="0" fontId="19" fillId="0" borderId="125" xfId="0" applyFont="1" applyBorder="1" applyAlignment="1" applyProtection="1">
      <alignment horizontal="center" vertical="center"/>
    </xf>
    <xf numFmtId="0" fontId="18" fillId="12" borderId="113" xfId="0" applyFont="1" applyFill="1" applyBorder="1" applyAlignment="1" applyProtection="1">
      <alignment horizontal="center" vertical="center"/>
    </xf>
    <xf numFmtId="0" fontId="18" fillId="12" borderId="94" xfId="0" applyFont="1" applyFill="1" applyBorder="1" applyAlignment="1" applyProtection="1">
      <alignment horizontal="center" vertical="center"/>
    </xf>
    <xf numFmtId="0" fontId="18" fillId="12" borderId="111" xfId="0" applyFont="1" applyFill="1" applyBorder="1" applyAlignment="1" applyProtection="1">
      <alignment horizontal="center" vertical="center"/>
    </xf>
    <xf numFmtId="0" fontId="18" fillId="12" borderId="116" xfId="0" applyFont="1" applyFill="1" applyBorder="1" applyAlignment="1" applyProtection="1">
      <alignment horizontal="center" vertical="center"/>
    </xf>
    <xf numFmtId="0" fontId="18" fillId="12" borderId="117" xfId="0" applyFont="1" applyFill="1" applyBorder="1" applyAlignment="1" applyProtection="1">
      <alignment horizontal="center" vertical="center"/>
    </xf>
    <xf numFmtId="0" fontId="18" fillId="12" borderId="79" xfId="0" applyFont="1" applyFill="1" applyBorder="1" applyAlignment="1" applyProtection="1">
      <alignment horizontal="center" vertical="center"/>
    </xf>
    <xf numFmtId="0" fontId="18" fillId="12" borderId="80" xfId="0" applyFont="1" applyFill="1" applyBorder="1" applyAlignment="1" applyProtection="1">
      <alignment horizontal="center" vertical="center"/>
    </xf>
    <xf numFmtId="0" fontId="18" fillId="0" borderId="0" xfId="0" applyFont="1" applyBorder="1" applyAlignment="1" applyProtection="1">
      <alignment horizontal="center" vertical="center"/>
    </xf>
    <xf numFmtId="0" fontId="18" fillId="0" borderId="124" xfId="0" applyFont="1" applyBorder="1" applyAlignment="1" applyProtection="1">
      <alignment horizontal="center" vertical="center"/>
    </xf>
    <xf numFmtId="0" fontId="18" fillId="12" borderId="45" xfId="0" applyFont="1" applyFill="1" applyBorder="1" applyAlignment="1" applyProtection="1">
      <alignment horizontal="center" vertical="center"/>
    </xf>
    <xf numFmtId="0" fontId="18" fillId="12" borderId="96" xfId="0" applyFont="1" applyFill="1" applyBorder="1" applyAlignment="1" applyProtection="1">
      <alignment horizontal="center" vertical="center"/>
    </xf>
    <xf numFmtId="0" fontId="18" fillId="12" borderId="112" xfId="0" applyFont="1" applyFill="1" applyBorder="1" applyAlignment="1" applyProtection="1">
      <alignment horizontal="center" vertical="center"/>
    </xf>
    <xf numFmtId="0" fontId="18" fillId="12" borderId="118" xfId="0" applyFont="1" applyFill="1" applyBorder="1" applyAlignment="1" applyProtection="1">
      <alignment horizontal="center" vertical="center"/>
    </xf>
    <xf numFmtId="0" fontId="18" fillId="12" borderId="119" xfId="0" applyFont="1" applyFill="1" applyBorder="1" applyAlignment="1" applyProtection="1">
      <alignment horizontal="center" vertical="center"/>
    </xf>
    <xf numFmtId="0" fontId="18" fillId="12" borderId="47" xfId="0" applyFont="1" applyFill="1" applyBorder="1" applyAlignment="1" applyProtection="1">
      <alignment horizontal="center" vertical="center"/>
    </xf>
    <xf numFmtId="0" fontId="18" fillId="0" borderId="115" xfId="0" applyFont="1" applyBorder="1" applyAlignment="1" applyProtection="1">
      <alignment horizontal="center" vertical="center"/>
    </xf>
    <xf numFmtId="0" fontId="18" fillId="0" borderId="114" xfId="0" applyFont="1" applyBorder="1" applyAlignment="1" applyProtection="1">
      <alignment horizontal="center" vertical="center"/>
    </xf>
    <xf numFmtId="0" fontId="18" fillId="0" borderId="81" xfId="0" applyFont="1" applyBorder="1" applyAlignment="1" applyProtection="1">
      <alignment horizontal="center" vertical="center"/>
    </xf>
    <xf numFmtId="0" fontId="18" fillId="0" borderId="82" xfId="0" applyFont="1" applyBorder="1" applyAlignment="1" applyProtection="1">
      <alignment horizontal="center" vertical="center"/>
    </xf>
    <xf numFmtId="0" fontId="18" fillId="0" borderId="83" xfId="0" applyFont="1" applyBorder="1" applyAlignment="1" applyProtection="1">
      <alignment horizontal="center" vertical="center"/>
    </xf>
    <xf numFmtId="0" fontId="18" fillId="0" borderId="126" xfId="0" applyFont="1" applyBorder="1" applyAlignment="1" applyProtection="1">
      <alignment horizontal="center" vertical="center"/>
    </xf>
    <xf numFmtId="0" fontId="18" fillId="0" borderId="120" xfId="0" applyFont="1" applyBorder="1" applyAlignment="1" applyProtection="1">
      <alignment horizontal="center" vertical="center"/>
    </xf>
    <xf numFmtId="0" fontId="18" fillId="0" borderId="121" xfId="0" applyFont="1" applyBorder="1" applyAlignment="1" applyProtection="1">
      <alignment horizontal="center" vertical="center"/>
    </xf>
    <xf numFmtId="0" fontId="18" fillId="12" borderId="97" xfId="0" applyFont="1" applyFill="1" applyBorder="1" applyAlignment="1" applyProtection="1">
      <alignment horizontal="center" vertical="center"/>
    </xf>
    <xf numFmtId="0" fontId="10" fillId="6" borderId="0" xfId="0" applyFont="1" applyFill="1" applyAlignment="1" applyProtection="1">
      <alignment horizontal="center"/>
    </xf>
    <xf numFmtId="0" fontId="55" fillId="6" borderId="124" xfId="0" applyFont="1" applyFill="1" applyBorder="1" applyAlignment="1" applyProtection="1">
      <alignment horizontal="center"/>
    </xf>
    <xf numFmtId="0" fontId="10" fillId="6" borderId="114" xfId="0" applyFont="1" applyFill="1" applyBorder="1" applyAlignment="1" applyProtection="1">
      <alignment horizontal="center"/>
    </xf>
    <xf numFmtId="0" fontId="10" fillId="6" borderId="0" xfId="0" applyFont="1" applyFill="1" applyBorder="1" applyAlignment="1" applyProtection="1">
      <alignment horizontal="center"/>
    </xf>
    <xf numFmtId="0" fontId="10" fillId="6" borderId="115" xfId="0" applyFont="1" applyFill="1" applyBorder="1" applyAlignment="1" applyProtection="1">
      <alignment horizontal="center"/>
    </xf>
    <xf numFmtId="0" fontId="10" fillId="6" borderId="78" xfId="0" applyFont="1" applyFill="1" applyBorder="1" applyAlignment="1" applyProtection="1">
      <alignment horizontal="center"/>
    </xf>
    <xf numFmtId="0" fontId="10" fillId="8" borderId="110" xfId="0" applyFont="1" applyFill="1" applyBorder="1" applyAlignment="1" applyProtection="1">
      <alignment horizontal="center"/>
    </xf>
    <xf numFmtId="0" fontId="10" fillId="17" borderId="0" xfId="0" applyFont="1" applyFill="1" applyAlignment="1" applyProtection="1">
      <alignment horizontal="center"/>
    </xf>
    <xf numFmtId="0" fontId="10" fillId="17" borderId="124" xfId="0" applyFont="1" applyFill="1" applyBorder="1" applyAlignment="1" applyProtection="1">
      <alignment horizontal="center"/>
    </xf>
    <xf numFmtId="0" fontId="10" fillId="17" borderId="114" xfId="0" applyFont="1" applyFill="1" applyBorder="1" applyAlignment="1" applyProtection="1">
      <alignment horizontal="center"/>
    </xf>
    <xf numFmtId="0" fontId="10" fillId="17" borderId="0" xfId="0" applyFont="1" applyFill="1" applyBorder="1" applyAlignment="1" applyProtection="1">
      <alignment horizontal="center"/>
    </xf>
    <xf numFmtId="0" fontId="10" fillId="17" borderId="115" xfId="0" applyFont="1" applyFill="1" applyBorder="1" applyAlignment="1" applyProtection="1">
      <alignment horizontal="center"/>
    </xf>
    <xf numFmtId="0" fontId="2" fillId="0" borderId="0" xfId="0" applyFont="1" applyProtection="1"/>
    <xf numFmtId="0" fontId="0" fillId="0" borderId="0" xfId="0" applyAlignment="1" applyProtection="1">
      <alignment horizontal="right"/>
    </xf>
    <xf numFmtId="0" fontId="10" fillId="0" borderId="0" xfId="0" applyFont="1" applyFill="1" applyAlignment="1" applyProtection="1">
      <alignment horizontal="center"/>
    </xf>
    <xf numFmtId="0" fontId="10" fillId="0" borderId="124" xfId="0" applyFont="1" applyFill="1" applyBorder="1" applyAlignment="1" applyProtection="1">
      <alignment horizontal="center"/>
    </xf>
    <xf numFmtId="0" fontId="10" fillId="0" borderId="114" xfId="0" applyFont="1" applyFill="1" applyBorder="1" applyAlignment="1" applyProtection="1">
      <alignment horizontal="center"/>
    </xf>
    <xf numFmtId="0" fontId="10" fillId="0" borderId="0" xfId="0" applyFont="1" applyFill="1" applyBorder="1" applyAlignment="1" applyProtection="1">
      <alignment horizontal="center"/>
    </xf>
    <xf numFmtId="0" fontId="10" fillId="0" borderId="115" xfId="0" applyFont="1" applyFill="1" applyBorder="1" applyAlignment="1" applyProtection="1">
      <alignment horizontal="center"/>
    </xf>
    <xf numFmtId="0" fontId="0" fillId="0" borderId="124" xfId="0" applyBorder="1" applyProtection="1"/>
    <xf numFmtId="0" fontId="0" fillId="0" borderId="114" xfId="0" applyBorder="1" applyProtection="1"/>
    <xf numFmtId="0" fontId="0" fillId="0" borderId="0" xfId="0" applyBorder="1" applyProtection="1"/>
    <xf numFmtId="0" fontId="0" fillId="0" borderId="115" xfId="0" applyBorder="1" applyProtection="1"/>
    <xf numFmtId="0" fontId="0" fillId="2" borderId="124" xfId="0" applyFill="1" applyBorder="1" applyAlignment="1" applyProtection="1">
      <alignment horizontal="center"/>
    </xf>
    <xf numFmtId="0" fontId="0" fillId="2" borderId="114" xfId="0" applyFill="1" applyBorder="1" applyAlignment="1" applyProtection="1">
      <alignment horizontal="center"/>
    </xf>
    <xf numFmtId="0" fontId="0" fillId="2" borderId="0" xfId="0" applyFill="1" applyBorder="1" applyAlignment="1" applyProtection="1">
      <alignment horizontal="center"/>
    </xf>
    <xf numFmtId="0" fontId="0" fillId="2" borderId="115" xfId="0" applyFill="1" applyBorder="1" applyAlignment="1" applyProtection="1">
      <alignment horizontal="center"/>
    </xf>
    <xf numFmtId="0" fontId="42" fillId="0" borderId="0" xfId="0" applyFont="1" applyFill="1" applyBorder="1" applyAlignment="1" applyProtection="1">
      <alignment horizontal="center"/>
    </xf>
    <xf numFmtId="0" fontId="42" fillId="0" borderId="6" xfId="0" applyFont="1" applyFill="1" applyBorder="1" applyAlignment="1" applyProtection="1">
      <alignment horizontal="center"/>
    </xf>
    <xf numFmtId="0" fontId="42" fillId="9" borderId="124" xfId="0" applyFont="1" applyFill="1" applyBorder="1" applyAlignment="1" applyProtection="1">
      <alignment horizontal="center"/>
    </xf>
    <xf numFmtId="0" fontId="42" fillId="0" borderId="5" xfId="0" applyFont="1" applyFill="1" applyBorder="1" applyAlignment="1" applyProtection="1">
      <alignment horizontal="center"/>
    </xf>
    <xf numFmtId="0" fontId="42" fillId="0" borderId="115" xfId="0" applyFont="1" applyFill="1" applyBorder="1" applyAlignment="1" applyProtection="1">
      <alignment horizontal="center"/>
    </xf>
    <xf numFmtId="0" fontId="42" fillId="9" borderId="114" xfId="0" applyFont="1" applyFill="1" applyBorder="1" applyAlignment="1" applyProtection="1">
      <alignment horizontal="center"/>
    </xf>
    <xf numFmtId="0" fontId="42" fillId="9" borderId="0" xfId="0" applyFont="1" applyFill="1" applyBorder="1" applyAlignment="1" applyProtection="1">
      <alignment horizontal="center"/>
    </xf>
    <xf numFmtId="0" fontId="42" fillId="9" borderId="115" xfId="0" applyFont="1" applyFill="1" applyBorder="1" applyAlignment="1" applyProtection="1">
      <alignment horizontal="center"/>
    </xf>
    <xf numFmtId="0" fontId="42" fillId="0" borderId="114" xfId="0" applyFont="1" applyFill="1" applyBorder="1" applyAlignment="1" applyProtection="1">
      <alignment horizontal="center"/>
    </xf>
    <xf numFmtId="0" fontId="0" fillId="15" borderId="45" xfId="0" applyFill="1" applyBorder="1" applyAlignment="1" applyProtection="1">
      <alignment horizontal="center"/>
    </xf>
    <xf numFmtId="0" fontId="0" fillId="15" borderId="46" xfId="0" applyFill="1" applyBorder="1" applyAlignment="1" applyProtection="1">
      <alignment horizontal="center"/>
    </xf>
    <xf numFmtId="0" fontId="0" fillId="8" borderId="90" xfId="0" applyFill="1" applyBorder="1" applyAlignment="1" applyProtection="1">
      <alignment horizontal="center"/>
    </xf>
    <xf numFmtId="0" fontId="0" fillId="8" borderId="46" xfId="0" applyFill="1" applyBorder="1" applyAlignment="1" applyProtection="1">
      <alignment horizontal="center"/>
    </xf>
    <xf numFmtId="0" fontId="0" fillId="8" borderId="47" xfId="0" applyFill="1" applyBorder="1" applyAlignment="1" applyProtection="1">
      <alignment horizontal="center"/>
    </xf>
    <xf numFmtId="0" fontId="0" fillId="18" borderId="45" xfId="0" applyFill="1" applyBorder="1" applyAlignment="1" applyProtection="1">
      <alignment horizontal="center"/>
    </xf>
    <xf numFmtId="0" fontId="0" fillId="18" borderId="46" xfId="0" applyFill="1" applyBorder="1" applyAlignment="1" applyProtection="1">
      <alignment horizontal="center"/>
    </xf>
    <xf numFmtId="0" fontId="0" fillId="19" borderId="88" xfId="0" applyFill="1" applyBorder="1" applyAlignment="1" applyProtection="1">
      <alignment horizontal="center"/>
    </xf>
    <xf numFmtId="0" fontId="0" fillId="19" borderId="46" xfId="0" applyFill="1" applyBorder="1" applyAlignment="1" applyProtection="1">
      <alignment horizontal="center"/>
    </xf>
    <xf numFmtId="0" fontId="0" fillId="20" borderId="90" xfId="0" applyFill="1" applyBorder="1" applyAlignment="1" applyProtection="1">
      <alignment horizontal="center"/>
    </xf>
    <xf numFmtId="0" fontId="0" fillId="20" borderId="46" xfId="0" applyFill="1" applyBorder="1" applyAlignment="1" applyProtection="1">
      <alignment horizontal="center"/>
    </xf>
    <xf numFmtId="0" fontId="0" fillId="20" borderId="47" xfId="0" applyFill="1" applyBorder="1" applyAlignment="1" applyProtection="1">
      <alignment horizontal="center"/>
    </xf>
    <xf numFmtId="0" fontId="0" fillId="0" borderId="128" xfId="0" applyBorder="1" applyAlignment="1" applyProtection="1">
      <alignment horizontal="center"/>
      <protection locked="0"/>
    </xf>
    <xf numFmtId="0" fontId="0" fillId="0" borderId="129" xfId="0" applyBorder="1" applyAlignment="1" applyProtection="1">
      <alignment horizontal="center"/>
      <protection locked="0"/>
    </xf>
    <xf numFmtId="0" fontId="0" fillId="0" borderId="130" xfId="0" applyBorder="1" applyAlignment="1" applyProtection="1">
      <alignment horizontal="center"/>
      <protection locked="0"/>
    </xf>
    <xf numFmtId="0" fontId="57" fillId="0" borderId="0" xfId="0" applyFont="1" applyAlignment="1" applyProtection="1">
      <alignment horizontal="right"/>
    </xf>
    <xf numFmtId="0" fontId="58" fillId="0" borderId="0" xfId="0" applyFont="1" applyAlignment="1" applyProtection="1">
      <alignment horizontal="right"/>
    </xf>
    <xf numFmtId="0" fontId="59" fillId="0" borderId="0" xfId="0" applyFont="1" applyBorder="1" applyAlignment="1" applyProtection="1">
      <alignment horizontal="right"/>
    </xf>
    <xf numFmtId="0" fontId="60" fillId="0" borderId="0" xfId="0" applyFont="1" applyAlignment="1" applyProtection="1">
      <alignment horizontal="right"/>
    </xf>
    <xf numFmtId="0" fontId="2" fillId="0" borderId="0" xfId="0" applyFont="1" applyFill="1" applyAlignment="1" applyProtection="1">
      <alignment horizontal="right"/>
    </xf>
    <xf numFmtId="0" fontId="10" fillId="10" borderId="122" xfId="0" applyFont="1" applyFill="1" applyBorder="1" applyAlignment="1" applyProtection="1">
      <alignment horizontal="center"/>
    </xf>
    <xf numFmtId="0" fontId="10" fillId="10" borderId="110" xfId="0" applyFont="1" applyFill="1" applyBorder="1" applyAlignment="1" applyProtection="1">
      <alignment horizontal="center"/>
    </xf>
    <xf numFmtId="0" fontId="10" fillId="0" borderId="127" xfId="0" applyFont="1" applyFill="1" applyBorder="1" applyAlignment="1" applyProtection="1">
      <alignment horizontal="center"/>
    </xf>
    <xf numFmtId="0" fontId="10" fillId="11" borderId="110" xfId="0" applyFont="1" applyFill="1" applyBorder="1" applyAlignment="1" applyProtection="1">
      <alignment horizontal="center"/>
    </xf>
    <xf numFmtId="0" fontId="10" fillId="11" borderId="123" xfId="0" applyFont="1" applyFill="1" applyBorder="1" applyAlignment="1" applyProtection="1">
      <alignment horizontal="center"/>
    </xf>
    <xf numFmtId="0" fontId="0" fillId="0" borderId="0" xfId="0" applyFill="1" applyBorder="1" applyAlignment="1" applyProtection="1">
      <alignment horizontal="left"/>
    </xf>
    <xf numFmtId="0" fontId="0" fillId="0" borderId="0" xfId="0" applyFill="1" applyBorder="1" applyProtection="1"/>
    <xf numFmtId="0" fontId="2" fillId="0" borderId="0" xfId="0" applyFont="1" applyAlignment="1" applyProtection="1">
      <alignment horizontal="center" vertical="center"/>
      <protection locked="0"/>
    </xf>
    <xf numFmtId="0" fontId="65" fillId="0" borderId="0" xfId="0" applyFont="1" applyAlignment="1" applyProtection="1">
      <alignment horizontal="center" vertical="center"/>
      <protection locked="0"/>
    </xf>
    <xf numFmtId="0" fontId="0" fillId="0" borderId="135" xfId="0" applyBorder="1" applyAlignment="1" applyProtection="1">
      <alignment horizontal="center" vertical="center"/>
      <protection locked="0"/>
    </xf>
    <xf numFmtId="0" fontId="38" fillId="0" borderId="80" xfId="0" applyFont="1" applyFill="1" applyBorder="1" applyAlignment="1" applyProtection="1">
      <alignment horizontal="center" vertical="top"/>
      <protection locked="0"/>
    </xf>
    <xf numFmtId="0" fontId="66" fillId="0" borderId="0" xfId="0" applyFont="1" applyAlignment="1" applyProtection="1">
      <alignment horizontal="center"/>
      <protection locked="0"/>
    </xf>
    <xf numFmtId="0" fontId="0" fillId="0" borderId="0" xfId="0" applyFill="1" applyBorder="1" applyAlignment="1" applyProtection="1">
      <alignment horizontal="center"/>
    </xf>
    <xf numFmtId="0" fontId="46" fillId="0" borderId="0" xfId="0" applyFont="1" applyFill="1" applyBorder="1" applyAlignment="1" applyProtection="1">
      <alignment horizontal="center"/>
    </xf>
    <xf numFmtId="0" fontId="0" fillId="0" borderId="0" xfId="0" applyFill="1" applyBorder="1" applyAlignment="1" applyProtection="1">
      <alignment horizontal="right"/>
    </xf>
    <xf numFmtId="0" fontId="46" fillId="0" borderId="0" xfId="0" applyFont="1" applyAlignment="1" applyProtection="1">
      <alignment horizontal="center"/>
    </xf>
    <xf numFmtId="0" fontId="46" fillId="0" borderId="98" xfId="0" applyFont="1" applyBorder="1" applyAlignment="1" applyProtection="1">
      <alignment horizontal="center"/>
    </xf>
    <xf numFmtId="0" fontId="46" fillId="0" borderId="99" xfId="0" applyFont="1" applyBorder="1" applyAlignment="1" applyProtection="1">
      <alignment horizontal="center"/>
    </xf>
    <xf numFmtId="0" fontId="0" fillId="0" borderId="0" xfId="0" applyAlignment="1" applyProtection="1">
      <alignment horizontal="center"/>
    </xf>
    <xf numFmtId="0" fontId="25" fillId="0" borderId="0" xfId="0" applyFont="1" applyAlignment="1" applyProtection="1">
      <alignment horizontal="center"/>
    </xf>
    <xf numFmtId="0" fontId="26" fillId="0" borderId="0" xfId="0" applyFont="1" applyAlignment="1" applyProtection="1">
      <alignment horizontal="center"/>
    </xf>
    <xf numFmtId="0" fontId="27" fillId="0" borderId="0" xfId="0" applyFont="1" applyAlignment="1" applyProtection="1">
      <alignment horizontal="center"/>
    </xf>
    <xf numFmtId="0" fontId="28" fillId="0" borderId="0" xfId="0" applyFont="1" applyAlignment="1" applyProtection="1">
      <alignment horizontal="center"/>
    </xf>
    <xf numFmtId="0" fontId="28" fillId="0" borderId="33" xfId="0" applyFont="1" applyBorder="1" applyAlignment="1" applyProtection="1">
      <alignment horizontal="center"/>
    </xf>
    <xf numFmtId="0" fontId="28" fillId="0" borderId="23" xfId="0" applyFont="1" applyBorder="1" applyAlignment="1" applyProtection="1">
      <alignment horizontal="center"/>
    </xf>
    <xf numFmtId="0" fontId="43" fillId="0" borderId="0" xfId="0" applyFont="1" applyAlignment="1" applyProtection="1">
      <alignment horizontal="right"/>
    </xf>
    <xf numFmtId="0" fontId="44" fillId="0" borderId="35" xfId="0" applyFont="1" applyBorder="1" applyAlignment="1" applyProtection="1">
      <alignment horizontal="center" vertical="center"/>
    </xf>
    <xf numFmtId="0" fontId="44" fillId="0" borderId="36" xfId="0" applyFont="1" applyBorder="1" applyAlignment="1" applyProtection="1">
      <alignment horizontal="center" vertical="center"/>
    </xf>
    <xf numFmtId="0" fontId="44" fillId="0" borderId="37" xfId="0" applyFont="1" applyBorder="1" applyAlignment="1" applyProtection="1">
      <alignment horizontal="center" vertical="center"/>
    </xf>
    <xf numFmtId="0" fontId="44" fillId="0" borderId="85" xfId="0" applyFont="1" applyBorder="1" applyAlignment="1" applyProtection="1">
      <alignment horizontal="center" vertical="center"/>
    </xf>
    <xf numFmtId="0" fontId="45" fillId="0" borderId="0" xfId="0" applyFont="1" applyProtection="1"/>
    <xf numFmtId="0" fontId="43" fillId="0" borderId="0" xfId="0" applyFont="1" applyFill="1" applyBorder="1" applyAlignment="1" applyProtection="1">
      <alignment horizontal="right"/>
    </xf>
    <xf numFmtId="0" fontId="44" fillId="0" borderId="39" xfId="0" applyFont="1" applyFill="1" applyBorder="1" applyAlignment="1" applyProtection="1">
      <alignment horizontal="center" vertical="center"/>
    </xf>
    <xf numFmtId="0" fontId="44" fillId="0" borderId="40" xfId="0" applyFont="1" applyFill="1" applyBorder="1" applyAlignment="1" applyProtection="1">
      <alignment horizontal="center" vertical="center"/>
    </xf>
    <xf numFmtId="0" fontId="44" fillId="0" borderId="41" xfId="0" applyFont="1" applyFill="1" applyBorder="1" applyAlignment="1" applyProtection="1">
      <alignment horizontal="center" vertical="center"/>
    </xf>
    <xf numFmtId="0" fontId="44" fillId="0" borderId="86" xfId="0" applyFont="1" applyFill="1" applyBorder="1" applyAlignment="1" applyProtection="1">
      <alignment horizontal="center" vertical="center"/>
    </xf>
    <xf numFmtId="0" fontId="45" fillId="6" borderId="0" xfId="0" applyFont="1" applyFill="1" applyProtection="1"/>
    <xf numFmtId="0" fontId="45" fillId="0" borderId="42" xfId="0" applyFont="1" applyBorder="1" applyAlignment="1" applyProtection="1">
      <alignment horizontal="center"/>
    </xf>
    <xf numFmtId="0" fontId="45" fillId="0" borderId="43" xfId="0" applyFont="1" applyBorder="1" applyAlignment="1" applyProtection="1">
      <alignment horizontal="center"/>
    </xf>
    <xf numFmtId="0" fontId="45" fillId="0" borderId="44" xfId="0" applyFont="1" applyBorder="1" applyAlignment="1" applyProtection="1">
      <alignment horizontal="center"/>
    </xf>
    <xf numFmtId="0" fontId="45" fillId="0" borderId="87" xfId="0" applyFont="1" applyBorder="1" applyAlignment="1" applyProtection="1">
      <alignment horizontal="center"/>
    </xf>
    <xf numFmtId="0" fontId="10" fillId="7" borderId="89" xfId="0" applyFont="1" applyFill="1" applyBorder="1" applyAlignment="1" applyProtection="1">
      <alignment horizontal="center"/>
    </xf>
    <xf numFmtId="0" fontId="25" fillId="0" borderId="0" xfId="0" applyFont="1" applyFill="1" applyBorder="1" applyAlignment="1" applyProtection="1">
      <alignment horizontal="center"/>
      <protection locked="0"/>
    </xf>
    <xf numFmtId="0" fontId="0" fillId="0" borderId="0" xfId="0" applyFill="1" applyProtection="1"/>
    <xf numFmtId="0" fontId="2" fillId="0" borderId="0" xfId="0" applyFont="1" applyAlignment="1" applyProtection="1">
      <alignment horizontal="center" vertical="center"/>
    </xf>
    <xf numFmtId="0" fontId="2" fillId="0" borderId="0" xfId="0" applyFont="1" applyBorder="1" applyAlignment="1" applyProtection="1">
      <alignment horizontal="center" vertical="center"/>
    </xf>
    <xf numFmtId="0" fontId="64" fillId="0" borderId="0" xfId="0" applyFont="1" applyFill="1" applyBorder="1" applyAlignment="1" applyProtection="1">
      <alignment horizontal="center" vertical="center"/>
    </xf>
    <xf numFmtId="0" fontId="10" fillId="0" borderId="134" xfId="0" applyFont="1" applyFill="1" applyBorder="1" applyAlignment="1" applyProtection="1">
      <alignment horizontal="center"/>
    </xf>
    <xf numFmtId="0" fontId="10" fillId="0" borderId="135" xfId="0" applyFont="1" applyFill="1" applyBorder="1" applyAlignment="1" applyProtection="1">
      <alignment horizontal="center"/>
    </xf>
    <xf numFmtId="0" fontId="10" fillId="0" borderId="136" xfId="0" applyFont="1" applyFill="1" applyBorder="1" applyAlignment="1" applyProtection="1">
      <alignment horizontal="center"/>
    </xf>
    <xf numFmtId="0" fontId="10" fillId="10" borderId="137" xfId="0" applyFont="1" applyFill="1" applyBorder="1" applyAlignment="1" applyProtection="1">
      <alignment horizontal="center"/>
    </xf>
    <xf numFmtId="0" fontId="10" fillId="21" borderId="0" xfId="0" applyFont="1" applyFill="1" applyBorder="1" applyAlignment="1" applyProtection="1">
      <alignment horizontal="center"/>
    </xf>
    <xf numFmtId="0" fontId="0" fillId="0" borderId="0" xfId="0" applyFill="1" applyBorder="1" applyAlignment="1" applyProtection="1">
      <alignment horizontal="right" vertical="center"/>
    </xf>
    <xf numFmtId="0" fontId="77" fillId="0" borderId="0" xfId="0" applyFont="1" applyAlignment="1" applyProtection="1">
      <alignment horizontal="center" vertical="center"/>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3" fillId="0" borderId="0" xfId="0" applyFont="1" applyAlignment="1" applyProtection="1">
      <alignment horizontal="left" vertical="center"/>
      <protection locked="0"/>
    </xf>
    <xf numFmtId="0" fontId="3" fillId="0" borderId="0" xfId="0" applyFont="1" applyFill="1" applyBorder="1" applyAlignment="1" applyProtection="1">
      <alignment vertical="center"/>
      <protection locked="0"/>
    </xf>
    <xf numFmtId="0" fontId="3" fillId="0" borderId="0" xfId="0" applyFont="1" applyBorder="1" applyAlignment="1" applyProtection="1">
      <alignment vertical="center"/>
      <protection locked="0"/>
    </xf>
    <xf numFmtId="0" fontId="3" fillId="0" borderId="0" xfId="0" applyFont="1" applyFill="1" applyAlignment="1" applyProtection="1">
      <alignment vertical="center"/>
      <protection locked="0"/>
    </xf>
    <xf numFmtId="0" fontId="17" fillId="0" borderId="0" xfId="0" applyFont="1" applyFill="1" applyBorder="1" applyAlignment="1" applyProtection="1">
      <alignment horizontal="center" vertical="center"/>
      <protection locked="0"/>
    </xf>
    <xf numFmtId="0" fontId="70" fillId="0" borderId="0" xfId="0" applyFont="1" applyFill="1" applyBorder="1" applyAlignment="1" applyProtection="1">
      <alignment horizontal="center" vertical="center"/>
      <protection locked="0"/>
    </xf>
    <xf numFmtId="0" fontId="19" fillId="0" borderId="0" xfId="0" applyFont="1" applyFill="1" applyBorder="1" applyAlignment="1" applyProtection="1">
      <alignment horizontal="center" vertical="center"/>
      <protection locked="0"/>
    </xf>
    <xf numFmtId="0" fontId="15" fillId="0" borderId="0" xfId="0" applyFont="1" applyFill="1" applyBorder="1" applyAlignment="1" applyProtection="1">
      <alignment horizontal="center" vertical="center"/>
      <protection locked="0"/>
    </xf>
    <xf numFmtId="0" fontId="72" fillId="0" borderId="0" xfId="0" applyFont="1" applyFill="1" applyBorder="1" applyAlignment="1" applyProtection="1">
      <alignment horizontal="center" vertical="center"/>
      <protection locked="0"/>
    </xf>
    <xf numFmtId="0" fontId="16" fillId="0" borderId="0" xfId="0" applyFont="1" applyFill="1" applyBorder="1" applyAlignment="1" applyProtection="1">
      <alignment horizontal="center" vertical="center"/>
      <protection locked="0"/>
    </xf>
    <xf numFmtId="0" fontId="73" fillId="0" borderId="0" xfId="0" applyFont="1" applyFill="1" applyBorder="1" applyAlignment="1" applyProtection="1">
      <alignment horizontal="center" vertical="center"/>
      <protection locked="0"/>
    </xf>
    <xf numFmtId="0" fontId="74" fillId="0" borderId="0" xfId="0" applyFont="1" applyFill="1" applyBorder="1" applyAlignment="1" applyProtection="1">
      <alignment horizontal="center" vertical="center"/>
      <protection locked="0"/>
    </xf>
    <xf numFmtId="0" fontId="75" fillId="0" borderId="0" xfId="0" applyFont="1" applyBorder="1" applyAlignment="1" applyProtection="1">
      <alignment vertical="center"/>
      <protection locked="0"/>
    </xf>
    <xf numFmtId="0" fontId="8" fillId="0" borderId="0" xfId="0" applyFont="1" applyFill="1" applyBorder="1" applyAlignment="1" applyProtection="1">
      <alignment horizontal="center" vertical="center"/>
      <protection locked="0"/>
    </xf>
    <xf numFmtId="0" fontId="12" fillId="0" borderId="0" xfId="0" applyFont="1" applyFill="1" applyBorder="1" applyAlignment="1" applyProtection="1">
      <alignment horizontal="center" vertical="center"/>
      <protection locked="0"/>
    </xf>
    <xf numFmtId="0" fontId="20" fillId="0" borderId="0" xfId="0" applyFont="1" applyFill="1" applyBorder="1" applyAlignment="1" applyProtection="1">
      <alignment horizontal="center" vertical="center"/>
      <protection locked="0"/>
    </xf>
    <xf numFmtId="0" fontId="23" fillId="0" borderId="0" xfId="0" applyFont="1" applyFill="1" applyBorder="1" applyAlignment="1" applyProtection="1">
      <alignment horizontal="center" vertical="center"/>
      <protection locked="0"/>
    </xf>
    <xf numFmtId="0" fontId="22" fillId="0" borderId="0" xfId="0" applyFont="1" applyFill="1" applyBorder="1" applyAlignment="1" applyProtection="1">
      <alignment horizontal="center" vertical="center"/>
      <protection locked="0"/>
    </xf>
    <xf numFmtId="0" fontId="13" fillId="0" borderId="0" xfId="0" applyFont="1" applyFill="1" applyBorder="1" applyAlignment="1" applyProtection="1">
      <alignment horizontal="center" vertical="center"/>
      <protection locked="0"/>
    </xf>
    <xf numFmtId="0" fontId="6" fillId="0" borderId="0" xfId="0" applyFont="1" applyFill="1" applyBorder="1" applyAlignment="1" applyProtection="1">
      <alignment horizontal="center" vertical="center"/>
      <protection locked="0"/>
    </xf>
    <xf numFmtId="0" fontId="3" fillId="0" borderId="0" xfId="0" applyFont="1" applyFill="1" applyBorder="1" applyAlignment="1" applyProtection="1">
      <alignment horizontal="center" vertical="center"/>
      <protection locked="0"/>
    </xf>
    <xf numFmtId="0" fontId="8" fillId="0" borderId="0" xfId="0" applyFont="1" applyFill="1" applyBorder="1" applyAlignment="1" applyProtection="1">
      <alignment horizontal="right" vertical="center"/>
      <protection locked="0"/>
    </xf>
    <xf numFmtId="0" fontId="11" fillId="0" borderId="0" xfId="0" applyFont="1" applyFill="1" applyBorder="1" applyAlignment="1" applyProtection="1">
      <alignment horizontal="center" vertical="center"/>
      <protection locked="0"/>
    </xf>
    <xf numFmtId="0" fontId="9" fillId="0" borderId="0" xfId="0" applyFont="1" applyFill="1" applyBorder="1" applyAlignment="1" applyProtection="1">
      <alignment horizontal="center" vertical="center"/>
      <protection locked="0"/>
    </xf>
    <xf numFmtId="0" fontId="3" fillId="0" borderId="0" xfId="0" applyFont="1" applyFill="1" applyBorder="1" applyAlignment="1" applyProtection="1">
      <alignment horizontal="left" vertical="center"/>
      <protection locked="0"/>
    </xf>
    <xf numFmtId="0" fontId="14" fillId="0" borderId="0" xfId="0" applyFont="1" applyFill="1" applyBorder="1" applyAlignment="1" applyProtection="1">
      <alignment horizontal="center" vertical="center"/>
      <protection locked="0"/>
    </xf>
    <xf numFmtId="0" fontId="8" fillId="0" borderId="0" xfId="0" applyFont="1" applyFill="1" applyBorder="1" applyAlignment="1" applyProtection="1">
      <alignment vertical="center"/>
      <protection locked="0"/>
    </xf>
    <xf numFmtId="0" fontId="3" fillId="0" borderId="0" xfId="0" applyFont="1" applyBorder="1" applyAlignment="1" applyProtection="1">
      <alignment horizontal="center" vertical="center"/>
      <protection locked="0"/>
    </xf>
    <xf numFmtId="164" fontId="3" fillId="0" borderId="0" xfId="0" applyNumberFormat="1" applyFont="1" applyAlignment="1" applyProtection="1">
      <alignment vertical="center"/>
      <protection locked="0"/>
    </xf>
    <xf numFmtId="0" fontId="3" fillId="0" borderId="0" xfId="0" applyFont="1" applyBorder="1" applyAlignment="1" applyProtection="1">
      <alignment horizontal="left" vertical="center"/>
    </xf>
    <xf numFmtId="0" fontId="3" fillId="0" borderId="0" xfId="0" applyFont="1" applyBorder="1" applyAlignment="1" applyProtection="1">
      <alignment vertical="center"/>
    </xf>
    <xf numFmtId="0" fontId="3" fillId="0" borderId="0" xfId="0" applyFont="1" applyAlignment="1" applyProtection="1">
      <alignment vertical="center"/>
    </xf>
    <xf numFmtId="0" fontId="3" fillId="0" borderId="0" xfId="0" applyFont="1" applyFill="1" applyBorder="1" applyAlignment="1" applyProtection="1">
      <alignment vertical="center"/>
    </xf>
    <xf numFmtId="0" fontId="3" fillId="0" borderId="0" xfId="0" quotePrefix="1" applyFont="1" applyBorder="1" applyAlignment="1" applyProtection="1">
      <alignment vertical="center"/>
    </xf>
    <xf numFmtId="0" fontId="3" fillId="0" borderId="0" xfId="0" applyFont="1" applyBorder="1" applyAlignment="1" applyProtection="1">
      <alignment horizontal="center" vertical="center"/>
    </xf>
    <xf numFmtId="0" fontId="8" fillId="0" borderId="10" xfId="0" applyFont="1" applyBorder="1" applyAlignment="1" applyProtection="1">
      <alignment horizontal="right" vertical="center"/>
    </xf>
    <xf numFmtId="0" fontId="8" fillId="0" borderId="11" xfId="0" applyFont="1" applyBorder="1" applyAlignment="1" applyProtection="1">
      <alignment horizontal="right" vertical="center"/>
    </xf>
    <xf numFmtId="0" fontId="8"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6" fillId="0" borderId="0" xfId="0" applyFont="1" applyBorder="1" applyAlignment="1" applyProtection="1">
      <alignment horizontal="center" vertical="center"/>
    </xf>
    <xf numFmtId="0" fontId="11" fillId="0" borderId="0" xfId="0" applyFont="1" applyBorder="1" applyAlignment="1" applyProtection="1">
      <alignment horizontal="center" vertical="center"/>
    </xf>
    <xf numFmtId="0" fontId="13" fillId="0" borderId="131" xfId="0" applyFont="1" applyBorder="1" applyAlignment="1" applyProtection="1">
      <alignment horizontal="center" vertical="center"/>
    </xf>
    <xf numFmtId="0" fontId="6" fillId="0" borderId="131" xfId="0" applyFont="1" applyBorder="1" applyAlignment="1" applyProtection="1">
      <alignment horizontal="center" vertical="center"/>
    </xf>
    <xf numFmtId="0" fontId="3" fillId="0" borderId="131" xfId="0" applyFont="1" applyBorder="1" applyAlignment="1" applyProtection="1">
      <alignment vertical="center"/>
    </xf>
    <xf numFmtId="0" fontId="11" fillId="0" borderId="131" xfId="0" applyFont="1" applyBorder="1" applyAlignment="1" applyProtection="1">
      <alignment horizontal="center" vertical="center"/>
    </xf>
    <xf numFmtId="0" fontId="19" fillId="4" borderId="131" xfId="0" applyFont="1" applyFill="1" applyBorder="1" applyAlignment="1" applyProtection="1">
      <alignment horizontal="center" vertical="center"/>
    </xf>
    <xf numFmtId="0" fontId="62" fillId="0" borderId="131" xfId="0" applyFont="1" applyBorder="1" applyAlignment="1" applyProtection="1">
      <alignment horizontal="center" vertical="center"/>
    </xf>
    <xf numFmtId="0" fontId="21" fillId="0" borderId="10" xfId="0" applyFont="1" applyBorder="1" applyAlignment="1" applyProtection="1">
      <alignment horizontal="right" vertical="center"/>
    </xf>
    <xf numFmtId="0" fontId="13" fillId="0" borderId="10" xfId="0" applyFont="1" applyBorder="1" applyAlignment="1" applyProtection="1">
      <alignment horizontal="center" vertical="center"/>
    </xf>
    <xf numFmtId="0" fontId="6" fillId="0" borderId="11" xfId="0" applyFont="1" applyBorder="1" applyAlignment="1" applyProtection="1">
      <alignment horizontal="center" vertical="center"/>
    </xf>
    <xf numFmtId="0" fontId="15" fillId="0" borderId="0" xfId="0" applyFont="1" applyBorder="1" applyAlignment="1" applyProtection="1">
      <alignment horizontal="center" vertical="center"/>
    </xf>
    <xf numFmtId="0" fontId="13" fillId="0" borderId="13" xfId="0" applyFont="1" applyBorder="1" applyAlignment="1" applyProtection="1">
      <alignment horizontal="center" vertical="center"/>
    </xf>
    <xf numFmtId="0" fontId="6" fillId="0" borderId="14" xfId="0" applyFont="1" applyBorder="1" applyAlignment="1" applyProtection="1">
      <alignment horizontal="center" vertical="center"/>
    </xf>
    <xf numFmtId="0" fontId="3" fillId="0" borderId="12" xfId="0" applyFont="1" applyBorder="1" applyAlignment="1" applyProtection="1">
      <alignment vertical="center"/>
    </xf>
    <xf numFmtId="0" fontId="19" fillId="3" borderId="12" xfId="0" applyFont="1" applyFill="1" applyBorder="1" applyAlignment="1" applyProtection="1">
      <alignment horizontal="center" vertical="center"/>
    </xf>
    <xf numFmtId="0" fontId="62" fillId="0" borderId="12" xfId="0" applyFont="1" applyBorder="1" applyAlignment="1" applyProtection="1">
      <alignment horizontal="center" vertical="center"/>
    </xf>
    <xf numFmtId="0" fontId="16" fillId="0" borderId="0" xfId="0" applyFont="1" applyBorder="1" applyAlignment="1" applyProtection="1">
      <alignment horizontal="center" vertical="center"/>
    </xf>
    <xf numFmtId="0" fontId="71" fillId="0" borderId="0" xfId="0" applyFont="1" applyFill="1" applyBorder="1" applyAlignment="1" applyProtection="1">
      <alignment horizontal="center" vertical="center"/>
      <protection locked="0"/>
    </xf>
    <xf numFmtId="0" fontId="15" fillId="0" borderId="0" xfId="0" applyFont="1" applyFill="1" applyBorder="1" applyAlignment="1" applyProtection="1">
      <alignment vertical="center"/>
    </xf>
    <xf numFmtId="0" fontId="76" fillId="0" borderId="0" xfId="0" applyFont="1" applyAlignment="1" applyProtection="1">
      <alignment vertical="center"/>
    </xf>
    <xf numFmtId="0" fontId="70" fillId="0" borderId="2" xfId="0" applyFont="1" applyBorder="1" applyAlignment="1" applyProtection="1">
      <alignment horizontal="center" vertical="center"/>
    </xf>
    <xf numFmtId="0" fontId="70" fillId="0" borderId="3" xfId="0" applyFont="1" applyBorder="1" applyAlignment="1" applyProtection="1">
      <alignment horizontal="center" vertical="center"/>
    </xf>
    <xf numFmtId="0" fontId="19" fillId="2" borderId="3" xfId="0" applyFont="1" applyFill="1" applyBorder="1" applyAlignment="1" applyProtection="1">
      <alignment horizontal="center" vertical="center"/>
    </xf>
    <xf numFmtId="0" fontId="19" fillId="2" borderId="4" xfId="0" applyFont="1" applyFill="1" applyBorder="1" applyAlignment="1" applyProtection="1">
      <alignment horizontal="center" vertical="center"/>
    </xf>
    <xf numFmtId="0" fontId="70" fillId="0" borderId="5" xfId="0" applyFont="1" applyBorder="1" applyAlignment="1" applyProtection="1">
      <alignment horizontal="center" vertical="center"/>
    </xf>
    <xf numFmtId="0" fontId="70" fillId="0" borderId="0" xfId="0" applyFont="1" applyBorder="1" applyAlignment="1" applyProtection="1">
      <alignment horizontal="center" vertical="center"/>
    </xf>
    <xf numFmtId="0" fontId="19" fillId="2" borderId="0" xfId="0" applyFont="1" applyFill="1" applyBorder="1" applyAlignment="1" applyProtection="1">
      <alignment horizontal="center" vertical="center"/>
    </xf>
    <xf numFmtId="0" fontId="70" fillId="0" borderId="6" xfId="0" applyFont="1" applyBorder="1" applyAlignment="1" applyProtection="1">
      <alignment horizontal="center" vertical="center"/>
    </xf>
    <xf numFmtId="0" fontId="19" fillId="2" borderId="6" xfId="0" applyFont="1" applyFill="1" applyBorder="1" applyAlignment="1" applyProtection="1">
      <alignment horizontal="center" vertical="center"/>
    </xf>
    <xf numFmtId="0" fontId="19" fillId="0" borderId="0" xfId="0" applyFont="1" applyFill="1" applyBorder="1" applyAlignment="1" applyProtection="1">
      <alignment horizontal="center" vertical="center"/>
    </xf>
    <xf numFmtId="0" fontId="19" fillId="2" borderId="5" xfId="0" applyFont="1" applyFill="1" applyBorder="1" applyAlignment="1" applyProtection="1">
      <alignment horizontal="center" vertical="center"/>
    </xf>
    <xf numFmtId="0" fontId="19" fillId="2" borderId="7" xfId="0" applyFont="1" applyFill="1" applyBorder="1" applyAlignment="1" applyProtection="1">
      <alignment horizontal="center" vertical="center"/>
    </xf>
    <xf numFmtId="0" fontId="19" fillId="2" borderId="8" xfId="0" applyFont="1" applyFill="1" applyBorder="1" applyAlignment="1" applyProtection="1">
      <alignment horizontal="center" vertical="center"/>
    </xf>
    <xf numFmtId="0" fontId="19" fillId="2" borderId="9" xfId="0" applyFont="1" applyFill="1" applyBorder="1" applyAlignment="1" applyProtection="1">
      <alignment horizontal="center" vertical="center"/>
    </xf>
    <xf numFmtId="0" fontId="72" fillId="6" borderId="0" xfId="0" applyFont="1" applyFill="1" applyBorder="1" applyAlignment="1" applyProtection="1">
      <alignment horizontal="center" vertical="center"/>
    </xf>
    <xf numFmtId="0" fontId="74" fillId="6" borderId="0" xfId="0" applyFont="1" applyFill="1" applyBorder="1" applyAlignment="1" applyProtection="1">
      <alignment horizontal="center" vertical="center"/>
    </xf>
    <xf numFmtId="0" fontId="3" fillId="0" borderId="138" xfId="0" applyFont="1" applyBorder="1" applyAlignment="1" applyProtection="1">
      <alignment vertical="center"/>
    </xf>
    <xf numFmtId="0" fontId="3" fillId="0" borderId="138" xfId="0" applyFont="1" applyBorder="1" applyAlignment="1" applyProtection="1">
      <alignment horizontal="center" vertical="center"/>
    </xf>
    <xf numFmtId="0" fontId="3" fillId="0" borderId="139" xfId="0" applyFont="1" applyBorder="1" applyAlignment="1" applyProtection="1">
      <alignment vertical="center"/>
    </xf>
    <xf numFmtId="0" fontId="5" fillId="0" borderId="0" xfId="0" applyFont="1" applyBorder="1" applyAlignment="1" applyProtection="1">
      <alignment horizontal="center" vertical="center"/>
    </xf>
    <xf numFmtId="0" fontId="3" fillId="0" borderId="10" xfId="0" applyFont="1" applyBorder="1" applyAlignment="1" applyProtection="1">
      <alignment vertical="center"/>
    </xf>
    <xf numFmtId="0" fontId="6" fillId="0" borderId="0" xfId="0" applyFont="1" applyBorder="1" applyAlignment="1" applyProtection="1">
      <alignment vertical="center"/>
    </xf>
    <xf numFmtId="0" fontId="78" fillId="17" borderId="1" xfId="0" applyFont="1" applyFill="1" applyBorder="1" applyAlignment="1" applyProtection="1">
      <alignment horizontal="center" vertical="center"/>
    </xf>
    <xf numFmtId="0" fontId="78" fillId="0" borderId="0" xfId="0" applyFont="1" applyBorder="1" applyAlignment="1" applyProtection="1">
      <alignment vertical="center"/>
    </xf>
    <xf numFmtId="0" fontId="39" fillId="0" borderId="0" xfId="0" applyFont="1" applyBorder="1" applyAlignment="1" applyProtection="1">
      <alignment horizontal="center" vertical="center"/>
    </xf>
    <xf numFmtId="0" fontId="6" fillId="0" borderId="10" xfId="0" applyFont="1" applyBorder="1" applyAlignment="1" applyProtection="1">
      <alignment vertical="center"/>
    </xf>
    <xf numFmtId="0" fontId="3" fillId="0" borderId="84" xfId="0" applyFont="1" applyBorder="1" applyAlignment="1" applyProtection="1">
      <alignment vertical="center"/>
    </xf>
    <xf numFmtId="0" fontId="3" fillId="0" borderId="84" xfId="0" applyFont="1" applyBorder="1" applyAlignment="1" applyProtection="1">
      <alignment horizontal="center" vertical="center"/>
    </xf>
    <xf numFmtId="0" fontId="3" fillId="0" borderId="140" xfId="0" applyFont="1" applyBorder="1" applyAlignment="1" applyProtection="1">
      <alignment vertical="center"/>
    </xf>
    <xf numFmtId="0" fontId="3" fillId="0" borderId="138" xfId="0" applyFont="1" applyFill="1" applyBorder="1" applyAlignment="1" applyProtection="1">
      <alignment vertical="center"/>
    </xf>
    <xf numFmtId="0" fontId="6" fillId="0" borderId="0" xfId="0" applyFont="1" applyFill="1" applyBorder="1" applyAlignment="1" applyProtection="1">
      <alignment vertical="center"/>
    </xf>
    <xf numFmtId="0" fontId="78" fillId="0" borderId="0" xfId="0" applyFont="1" applyFill="1" applyBorder="1" applyAlignment="1" applyProtection="1">
      <alignment vertical="center"/>
    </xf>
    <xf numFmtId="0" fontId="3" fillId="0" borderId="84" xfId="0" applyFont="1" applyFill="1" applyBorder="1" applyAlignment="1" applyProtection="1">
      <alignment vertical="center"/>
    </xf>
    <xf numFmtId="0" fontId="0" fillId="0" borderId="0" xfId="0" applyAlignment="1">
      <alignment horizontal="center"/>
    </xf>
    <xf numFmtId="0" fontId="6" fillId="0" borderId="0" xfId="0" applyFont="1" applyFill="1" applyBorder="1" applyAlignment="1" applyProtection="1">
      <alignment vertical="center"/>
      <protection locked="0"/>
    </xf>
    <xf numFmtId="0" fontId="67" fillId="0" borderId="0" xfId="0" applyFont="1" applyBorder="1" applyAlignment="1" applyProtection="1">
      <alignment horizontal="left"/>
    </xf>
    <xf numFmtId="0" fontId="67" fillId="0" borderId="0" xfId="0" applyFont="1" applyBorder="1" applyAlignment="1" applyProtection="1">
      <alignment horizontal="left" vertical="top"/>
    </xf>
    <xf numFmtId="0" fontId="67" fillId="0" borderId="0" xfId="0" applyFont="1" applyBorder="1" applyAlignment="1" applyProtection="1">
      <alignment horizontal="center" vertical="center"/>
    </xf>
    <xf numFmtId="0" fontId="10" fillId="0" borderId="0" xfId="0" applyFont="1" applyBorder="1" applyAlignment="1" applyProtection="1">
      <alignment horizontal="center" vertical="center"/>
    </xf>
    <xf numFmtId="0" fontId="68" fillId="0" borderId="0" xfId="0" applyFont="1" applyFill="1" applyBorder="1" applyAlignment="1" applyProtection="1">
      <alignment horizontal="center" vertical="center"/>
    </xf>
    <xf numFmtId="0" fontId="69" fillId="0" borderId="0" xfId="0" applyFont="1" applyBorder="1" applyAlignment="1" applyProtection="1">
      <alignment vertical="center"/>
    </xf>
    <xf numFmtId="0" fontId="3" fillId="0" borderId="141" xfId="0" applyFont="1" applyBorder="1" applyAlignment="1" applyProtection="1">
      <alignment vertical="center"/>
    </xf>
    <xf numFmtId="0" fontId="80" fillId="15" borderId="138" xfId="0" applyFont="1" applyFill="1" applyBorder="1" applyAlignment="1" applyProtection="1">
      <alignment horizontal="center" vertical="top"/>
    </xf>
    <xf numFmtId="0" fontId="80" fillId="0" borderId="138" xfId="0" applyFont="1" applyFill="1" applyBorder="1" applyAlignment="1" applyProtection="1">
      <alignment horizontal="left" vertical="top"/>
    </xf>
    <xf numFmtId="0" fontId="3" fillId="0" borderId="11" xfId="0" applyFont="1" applyBorder="1" applyAlignment="1" applyProtection="1">
      <alignment vertical="center"/>
    </xf>
    <xf numFmtId="0" fontId="85" fillId="0" borderId="0" xfId="0" applyFont="1" applyBorder="1" applyAlignment="1" applyProtection="1">
      <alignment horizontal="center" vertical="center"/>
    </xf>
    <xf numFmtId="0" fontId="85" fillId="0" borderId="0" xfId="0" applyFont="1" applyFill="1" applyBorder="1" applyAlignment="1" applyProtection="1">
      <alignment horizontal="center" vertical="center"/>
    </xf>
    <xf numFmtId="0" fontId="85" fillId="0" borderId="11" xfId="0" applyFont="1" applyBorder="1" applyAlignment="1" applyProtection="1">
      <alignment horizontal="center" vertical="center"/>
    </xf>
    <xf numFmtId="0" fontId="70" fillId="0" borderId="145" xfId="0" applyFont="1" applyBorder="1" applyAlignment="1" applyProtection="1">
      <alignment horizontal="center" vertical="center"/>
    </xf>
    <xf numFmtId="0" fontId="70" fillId="0" borderId="146" xfId="0" applyFont="1" applyBorder="1" applyAlignment="1" applyProtection="1">
      <alignment horizontal="center" vertical="center"/>
    </xf>
    <xf numFmtId="0" fontId="19" fillId="2" borderId="146" xfId="0" applyFont="1" applyFill="1" applyBorder="1" applyAlignment="1" applyProtection="1">
      <alignment horizontal="center" vertical="center"/>
    </xf>
    <xf numFmtId="0" fontId="19" fillId="2" borderId="147" xfId="0" applyFont="1" applyFill="1" applyBorder="1" applyAlignment="1" applyProtection="1">
      <alignment horizontal="center" vertical="center"/>
    </xf>
    <xf numFmtId="0" fontId="70" fillId="0" borderId="148" xfId="0" applyFont="1" applyBorder="1" applyAlignment="1" applyProtection="1">
      <alignment horizontal="center" vertical="center"/>
    </xf>
    <xf numFmtId="0" fontId="70" fillId="0" borderId="147" xfId="0" applyFont="1" applyBorder="1" applyAlignment="1" applyProtection="1">
      <alignment horizontal="center" vertical="center"/>
    </xf>
    <xf numFmtId="0" fontId="70" fillId="0" borderId="149" xfId="0" applyFont="1" applyBorder="1" applyAlignment="1" applyProtection="1">
      <alignment horizontal="center" vertical="center"/>
    </xf>
    <xf numFmtId="0" fontId="19" fillId="2" borderId="150" xfId="0" applyFont="1" applyFill="1" applyBorder="1" applyAlignment="1" applyProtection="1">
      <alignment horizontal="center" vertical="center"/>
    </xf>
    <xf numFmtId="0" fontId="70" fillId="0" borderId="151" xfId="0" applyFont="1" applyBorder="1" applyAlignment="1" applyProtection="1">
      <alignment horizontal="center" vertical="center"/>
    </xf>
    <xf numFmtId="0" fontId="19" fillId="2" borderId="152" xfId="0" applyFont="1" applyFill="1" applyBorder="1" applyAlignment="1" applyProtection="1">
      <alignment horizontal="center" vertical="center"/>
    </xf>
    <xf numFmtId="0" fontId="70" fillId="0" borderId="153" xfId="0" applyFont="1" applyBorder="1" applyAlignment="1" applyProtection="1">
      <alignment horizontal="center" vertical="center"/>
    </xf>
    <xf numFmtId="0" fontId="19" fillId="2" borderId="151" xfId="0" applyFont="1" applyFill="1" applyBorder="1" applyAlignment="1" applyProtection="1">
      <alignment horizontal="center" vertical="center"/>
    </xf>
    <xf numFmtId="0" fontId="70" fillId="0" borderId="152" xfId="0" applyFont="1" applyBorder="1" applyAlignment="1" applyProtection="1">
      <alignment horizontal="center" vertical="center"/>
    </xf>
    <xf numFmtId="0" fontId="70" fillId="0" borderId="154" xfId="0" applyFont="1" applyBorder="1" applyAlignment="1" applyProtection="1">
      <alignment horizontal="center" vertical="center"/>
    </xf>
    <xf numFmtId="0" fontId="70" fillId="0" borderId="151" xfId="0" applyFont="1" applyFill="1" applyBorder="1" applyAlignment="1" applyProtection="1">
      <alignment horizontal="center" vertical="center"/>
    </xf>
    <xf numFmtId="0" fontId="19" fillId="2" borderId="154" xfId="0" applyFont="1" applyFill="1" applyBorder="1" applyAlignment="1" applyProtection="1">
      <alignment horizontal="center" vertical="center"/>
    </xf>
    <xf numFmtId="0" fontId="70" fillId="0" borderId="150" xfId="0" applyFont="1" applyBorder="1" applyAlignment="1" applyProtection="1">
      <alignment horizontal="center" vertical="center"/>
    </xf>
    <xf numFmtId="0" fontId="70" fillId="0" borderId="152" xfId="0" applyFont="1" applyFill="1" applyBorder="1" applyAlignment="1" applyProtection="1">
      <alignment horizontal="center" vertical="center"/>
    </xf>
    <xf numFmtId="0" fontId="19" fillId="2" borderId="153" xfId="0" applyFont="1" applyFill="1" applyBorder="1" applyAlignment="1" applyProtection="1">
      <alignment horizontal="center" vertical="center"/>
    </xf>
    <xf numFmtId="0" fontId="19" fillId="2" borderId="155" xfId="0" applyFont="1" applyFill="1" applyBorder="1" applyAlignment="1" applyProtection="1">
      <alignment horizontal="center" vertical="center"/>
    </xf>
    <xf numFmtId="0" fontId="19" fillId="2" borderId="156" xfId="0" applyFont="1" applyFill="1" applyBorder="1" applyAlignment="1" applyProtection="1">
      <alignment horizontal="center" vertical="center"/>
    </xf>
    <xf numFmtId="0" fontId="70" fillId="0" borderId="156" xfId="0" applyFont="1" applyBorder="1" applyAlignment="1" applyProtection="1">
      <alignment horizontal="center" vertical="center"/>
    </xf>
    <xf numFmtId="0" fontId="19" fillId="2" borderId="157" xfId="0" applyFont="1" applyFill="1" applyBorder="1" applyAlignment="1" applyProtection="1">
      <alignment horizontal="center" vertical="center"/>
    </xf>
    <xf numFmtId="0" fontId="19" fillId="2" borderId="158" xfId="0" applyFont="1" applyFill="1" applyBorder="1" applyAlignment="1" applyProtection="1">
      <alignment horizontal="center" vertical="center"/>
    </xf>
    <xf numFmtId="0" fontId="70" fillId="0" borderId="157" xfId="0" applyFont="1" applyBorder="1" applyAlignment="1" applyProtection="1">
      <alignment horizontal="center" vertical="center"/>
    </xf>
    <xf numFmtId="0" fontId="19" fillId="2" borderId="159" xfId="0" applyFont="1" applyFill="1" applyBorder="1" applyAlignment="1" applyProtection="1">
      <alignment horizontal="center" vertical="center"/>
    </xf>
    <xf numFmtId="0" fontId="3" fillId="0" borderId="142" xfId="0" applyFont="1" applyBorder="1" applyAlignment="1" applyProtection="1">
      <alignment vertical="center"/>
    </xf>
    <xf numFmtId="0" fontId="87" fillId="2" borderId="84" xfId="0" applyFont="1" applyFill="1" applyBorder="1" applyAlignment="1" applyProtection="1">
      <alignment horizontal="center" vertical="center"/>
    </xf>
    <xf numFmtId="0" fontId="87" fillId="2" borderId="143" xfId="0" applyFont="1" applyFill="1" applyBorder="1" applyAlignment="1" applyProtection="1">
      <alignment horizontal="center" vertical="center"/>
    </xf>
    <xf numFmtId="0" fontId="87" fillId="2" borderId="144" xfId="0" applyFont="1" applyFill="1" applyBorder="1" applyAlignment="1" applyProtection="1">
      <alignment horizontal="center" vertical="center"/>
    </xf>
    <xf numFmtId="0" fontId="63" fillId="2" borderId="84" xfId="0" applyFont="1" applyFill="1" applyBorder="1" applyAlignment="1" applyProtection="1">
      <alignment horizontal="center" vertical="center"/>
    </xf>
    <xf numFmtId="0" fontId="63" fillId="2" borderId="143" xfId="0" applyFont="1" applyFill="1" applyBorder="1" applyAlignment="1" applyProtection="1">
      <alignment horizontal="center" vertical="center"/>
    </xf>
    <xf numFmtId="0" fontId="3" fillId="8" borderId="0" xfId="0" applyFont="1" applyFill="1" applyBorder="1" applyAlignment="1" applyProtection="1">
      <alignment horizontal="center" vertical="center"/>
    </xf>
    <xf numFmtId="0" fontId="6" fillId="0" borderId="0" xfId="0" applyFont="1" applyFill="1" applyBorder="1" applyAlignment="1" applyProtection="1">
      <alignment horizontal="center" vertical="center"/>
    </xf>
    <xf numFmtId="0" fontId="0" fillId="15" borderId="0" xfId="0" applyFill="1"/>
    <xf numFmtId="0" fontId="88" fillId="0" borderId="0" xfId="0" applyFont="1" applyBorder="1" applyAlignment="1" applyProtection="1">
      <alignment horizontal="center" vertical="center"/>
    </xf>
    <xf numFmtId="0" fontId="90" fillId="0" borderId="2" xfId="0" applyFont="1" applyBorder="1" applyAlignment="1" applyProtection="1">
      <alignment horizontal="center" vertical="center"/>
    </xf>
    <xf numFmtId="0" fontId="90" fillId="0" borderId="3" xfId="0" applyFont="1" applyBorder="1" applyAlignment="1" applyProtection="1">
      <alignment horizontal="center" vertical="center"/>
    </xf>
    <xf numFmtId="0" fontId="90" fillId="0" borderId="4" xfId="0" applyFont="1" applyBorder="1" applyAlignment="1" applyProtection="1">
      <alignment horizontal="center" vertical="center"/>
    </xf>
    <xf numFmtId="0" fontId="90" fillId="0" borderId="5" xfId="0" applyFont="1" applyBorder="1" applyAlignment="1" applyProtection="1">
      <alignment horizontal="center" vertical="center"/>
    </xf>
    <xf numFmtId="0" fontId="90" fillId="0" borderId="0" xfId="0" applyFont="1" applyBorder="1" applyAlignment="1" applyProtection="1">
      <alignment horizontal="center" vertical="center"/>
    </xf>
    <xf numFmtId="0" fontId="90" fillId="0" borderId="6" xfId="0" applyFont="1" applyBorder="1" applyAlignment="1" applyProtection="1">
      <alignment horizontal="center" vertical="center"/>
    </xf>
    <xf numFmtId="0" fontId="90" fillId="0" borderId="132" xfId="0" applyFont="1" applyBorder="1" applyAlignment="1" applyProtection="1">
      <alignment horizontal="center" vertical="center"/>
    </xf>
    <xf numFmtId="0" fontId="90" fillId="0" borderId="131" xfId="0" applyFont="1" applyBorder="1" applyAlignment="1" applyProtection="1">
      <alignment horizontal="center" vertical="center"/>
    </xf>
    <xf numFmtId="0" fontId="90" fillId="0" borderId="133" xfId="0" applyFont="1" applyBorder="1" applyAlignment="1" applyProtection="1">
      <alignment horizontal="center" vertical="center"/>
    </xf>
    <xf numFmtId="0" fontId="90" fillId="0" borderId="7" xfId="0" applyFont="1" applyBorder="1" applyAlignment="1" applyProtection="1">
      <alignment horizontal="center" vertical="center"/>
    </xf>
    <xf numFmtId="0" fontId="90" fillId="0" borderId="8" xfId="0" applyFont="1" applyBorder="1" applyAlignment="1" applyProtection="1">
      <alignment horizontal="center" vertical="center"/>
    </xf>
    <xf numFmtId="0" fontId="90" fillId="0" borderId="9" xfId="0" applyFont="1" applyBorder="1" applyAlignment="1" applyProtection="1">
      <alignment horizontal="center" vertical="center"/>
    </xf>
    <xf numFmtId="0" fontId="91" fillId="0" borderId="0" xfId="0" applyFont="1" applyBorder="1" applyAlignment="1" applyProtection="1">
      <alignment horizontal="center" vertical="center"/>
    </xf>
    <xf numFmtId="0" fontId="92" fillId="0" borderId="0" xfId="0" applyFont="1" applyBorder="1" applyAlignment="1" applyProtection="1">
      <alignment horizontal="center" vertical="center"/>
    </xf>
    <xf numFmtId="0" fontId="90" fillId="4" borderId="0" xfId="0" applyFont="1" applyFill="1" applyBorder="1" applyAlignment="1" applyProtection="1">
      <alignment horizontal="center" vertical="center"/>
    </xf>
    <xf numFmtId="0" fontId="90" fillId="4" borderId="131" xfId="0" applyFont="1" applyFill="1" applyBorder="1" applyAlignment="1" applyProtection="1">
      <alignment horizontal="center" vertical="center"/>
    </xf>
    <xf numFmtId="0" fontId="95" fillId="0" borderId="2" xfId="0" applyFont="1" applyBorder="1" applyAlignment="1" applyProtection="1">
      <alignment horizontal="center" vertical="center"/>
    </xf>
    <xf numFmtId="0" fontId="95" fillId="0" borderId="3" xfId="0" applyFont="1" applyBorder="1" applyAlignment="1" applyProtection="1">
      <alignment horizontal="center" vertical="center"/>
    </xf>
    <xf numFmtId="0" fontId="95" fillId="0" borderId="4" xfId="0" applyFont="1" applyBorder="1" applyAlignment="1" applyProtection="1">
      <alignment horizontal="center" vertical="center"/>
    </xf>
    <xf numFmtId="0" fontId="95" fillId="0" borderId="5" xfId="0" applyFont="1" applyBorder="1" applyAlignment="1" applyProtection="1">
      <alignment horizontal="center" vertical="center"/>
    </xf>
    <xf numFmtId="0" fontId="95" fillId="0" borderId="0" xfId="0" applyFont="1" applyBorder="1" applyAlignment="1" applyProtection="1">
      <alignment horizontal="center" vertical="center"/>
    </xf>
    <xf numFmtId="0" fontId="95" fillId="0" borderId="6" xfId="0" applyFont="1" applyBorder="1" applyAlignment="1" applyProtection="1">
      <alignment horizontal="center" vertical="center"/>
    </xf>
    <xf numFmtId="0" fontId="95" fillId="0" borderId="15" xfId="0" applyFont="1" applyBorder="1" applyAlignment="1" applyProtection="1">
      <alignment horizontal="center" vertical="center"/>
    </xf>
    <xf numFmtId="0" fontId="95" fillId="0" borderId="12" xfId="0" applyFont="1" applyBorder="1" applyAlignment="1" applyProtection="1">
      <alignment horizontal="center" vertical="center"/>
    </xf>
    <xf numFmtId="0" fontId="95" fillId="0" borderId="16" xfId="0" applyFont="1" applyBorder="1" applyAlignment="1" applyProtection="1">
      <alignment horizontal="center" vertical="center"/>
    </xf>
    <xf numFmtId="0" fontId="95" fillId="0" borderId="7" xfId="0" applyFont="1" applyBorder="1" applyAlignment="1" applyProtection="1">
      <alignment horizontal="center" vertical="center"/>
    </xf>
    <xf numFmtId="0" fontId="95" fillId="0" borderId="8" xfId="0" applyFont="1" applyBorder="1" applyAlignment="1" applyProtection="1">
      <alignment horizontal="center" vertical="center"/>
    </xf>
    <xf numFmtId="0" fontId="95" fillId="0" borderId="9" xfId="0" applyFont="1" applyBorder="1" applyAlignment="1" applyProtection="1">
      <alignment horizontal="center" vertical="center"/>
    </xf>
    <xf numFmtId="0" fontId="96" fillId="0" borderId="0" xfId="0" applyFont="1" applyBorder="1" applyAlignment="1" applyProtection="1">
      <alignment horizontal="center" vertical="center"/>
    </xf>
    <xf numFmtId="0" fontId="92" fillId="0" borderId="11" xfId="0" applyFont="1" applyBorder="1" applyAlignment="1" applyProtection="1">
      <alignment horizontal="left" vertical="center"/>
    </xf>
    <xf numFmtId="0" fontId="97" fillId="0" borderId="0" xfId="0" applyFont="1" applyBorder="1" applyAlignment="1" applyProtection="1">
      <alignment vertical="center"/>
    </xf>
    <xf numFmtId="0" fontId="95" fillId="3" borderId="0" xfId="0" applyFont="1" applyFill="1" applyBorder="1" applyAlignment="1" applyProtection="1">
      <alignment horizontal="center" vertical="center"/>
    </xf>
    <xf numFmtId="0" fontId="95" fillId="3" borderId="12" xfId="0" applyFont="1" applyFill="1" applyBorder="1" applyAlignment="1" applyProtection="1">
      <alignment horizontal="center" vertical="center"/>
    </xf>
    <xf numFmtId="0" fontId="93" fillId="3" borderId="0" xfId="0" applyFont="1" applyFill="1" applyBorder="1" applyAlignment="1" applyProtection="1">
      <alignment horizontal="center" vertical="center"/>
    </xf>
    <xf numFmtId="0" fontId="96" fillId="3" borderId="1" xfId="0" applyFont="1" applyFill="1" applyBorder="1" applyAlignment="1" applyProtection="1">
      <alignment horizontal="center" vertical="center"/>
    </xf>
    <xf numFmtId="0" fontId="90" fillId="4" borderId="161" xfId="0" applyFont="1" applyFill="1" applyBorder="1" applyAlignment="1" applyProtection="1">
      <alignment horizontal="center" vertical="center"/>
    </xf>
    <xf numFmtId="0" fontId="91" fillId="22" borderId="160" xfId="0" applyFont="1" applyFill="1" applyBorder="1" applyAlignment="1" applyProtection="1">
      <alignment vertical="center"/>
    </xf>
    <xf numFmtId="0" fontId="94" fillId="0" borderId="0" xfId="0" applyFont="1" applyBorder="1" applyAlignment="1" applyProtection="1">
      <alignment horizontal="center" vertical="center"/>
    </xf>
    <xf numFmtId="0" fontId="72" fillId="0" borderId="0" xfId="0" applyFont="1" applyFill="1" applyBorder="1" applyAlignment="1" applyProtection="1">
      <alignment horizontal="center" vertical="center"/>
    </xf>
    <xf numFmtId="0" fontId="16" fillId="0" borderId="0" xfId="0" applyFont="1" applyFill="1" applyBorder="1" applyAlignment="1" applyProtection="1">
      <alignment horizontal="center" vertical="center"/>
    </xf>
    <xf numFmtId="0" fontId="8" fillId="0" borderId="0" xfId="0" applyFont="1" applyBorder="1" applyAlignment="1" applyProtection="1">
      <alignment vertical="center"/>
    </xf>
    <xf numFmtId="0" fontId="8" fillId="0" borderId="0" xfId="0" applyFont="1" applyFill="1" applyBorder="1" applyAlignment="1" applyProtection="1">
      <alignment vertical="center"/>
    </xf>
    <xf numFmtId="0" fontId="3" fillId="0" borderId="162" xfId="0" applyFont="1" applyBorder="1" applyAlignment="1" applyProtection="1">
      <alignment vertical="center"/>
    </xf>
    <xf numFmtId="0" fontId="3" fillId="0" borderId="163" xfId="0" applyFont="1" applyBorder="1" applyAlignment="1" applyProtection="1">
      <alignment horizontal="left" vertical="center"/>
    </xf>
    <xf numFmtId="0" fontId="3" fillId="0" borderId="163" xfId="0" applyFont="1" applyBorder="1" applyAlignment="1" applyProtection="1">
      <alignment vertical="center"/>
    </xf>
    <xf numFmtId="0" fontId="24" fillId="0" borderId="163" xfId="0" applyFont="1" applyBorder="1" applyAlignment="1" applyProtection="1">
      <alignment horizontal="center" vertical="center"/>
    </xf>
    <xf numFmtId="0" fontId="3" fillId="0" borderId="163" xfId="0" applyFont="1" applyFill="1" applyBorder="1" applyAlignment="1" applyProtection="1">
      <alignment vertical="center"/>
    </xf>
    <xf numFmtId="0" fontId="3" fillId="0" borderId="164" xfId="0" applyFont="1" applyBorder="1" applyAlignment="1" applyProtection="1">
      <alignment vertical="center"/>
    </xf>
    <xf numFmtId="0" fontId="3" fillId="0" borderId="165" xfId="0" applyFont="1" applyBorder="1" applyAlignment="1" applyProtection="1">
      <alignment vertical="center"/>
    </xf>
    <xf numFmtId="0" fontId="3" fillId="0" borderId="166" xfId="0" applyFont="1" applyBorder="1" applyAlignment="1" applyProtection="1">
      <alignment vertical="center"/>
    </xf>
    <xf numFmtId="0" fontId="3" fillId="0" borderId="165" xfId="0" applyFont="1" applyBorder="1" applyAlignment="1" applyProtection="1">
      <alignment vertical="center"/>
      <protection locked="0"/>
    </xf>
    <xf numFmtId="0" fontId="37" fillId="0" borderId="170" xfId="0" applyFont="1" applyBorder="1" applyAlignment="1" applyProtection="1">
      <alignment horizontal="center" vertical="top"/>
    </xf>
    <xf numFmtId="0" fontId="35" fillId="0" borderId="170" xfId="0" applyFont="1" applyBorder="1" applyAlignment="1" applyProtection="1">
      <alignment horizontal="center" vertical="top"/>
    </xf>
    <xf numFmtId="0" fontId="10" fillId="7" borderId="171" xfId="0" applyFont="1" applyFill="1" applyBorder="1" applyAlignment="1" applyProtection="1">
      <alignment horizontal="center"/>
      <protection locked="0"/>
    </xf>
    <xf numFmtId="0" fontId="0" fillId="0" borderId="64" xfId="0" applyBorder="1" applyProtection="1">
      <protection locked="0"/>
    </xf>
    <xf numFmtId="0" fontId="10" fillId="24" borderId="0" xfId="0" applyFont="1" applyFill="1" applyAlignment="1" applyProtection="1">
      <alignment horizontal="center"/>
    </xf>
    <xf numFmtId="0" fontId="47" fillId="0" borderId="0" xfId="0" applyFont="1" applyFill="1" applyBorder="1" applyAlignment="1" applyProtection="1">
      <alignment horizontal="center" vertical="top"/>
    </xf>
    <xf numFmtId="0" fontId="0" fillId="0" borderId="48" xfId="0" applyBorder="1" applyProtection="1">
      <protection locked="0"/>
    </xf>
    <xf numFmtId="0" fontId="10" fillId="0" borderId="178" xfId="0" applyFont="1" applyBorder="1" applyAlignment="1" applyProtection="1">
      <alignment horizontal="center"/>
      <protection locked="0"/>
    </xf>
    <xf numFmtId="0" fontId="10" fillId="0" borderId="179" xfId="0" applyFont="1" applyBorder="1" applyAlignment="1" applyProtection="1">
      <alignment horizontal="center"/>
      <protection locked="0"/>
    </xf>
    <xf numFmtId="0" fontId="10" fillId="24" borderId="182" xfId="0" applyFont="1" applyFill="1" applyBorder="1" applyAlignment="1" applyProtection="1">
      <alignment horizontal="center"/>
    </xf>
    <xf numFmtId="0" fontId="10" fillId="24" borderId="78" xfId="0" applyFont="1" applyFill="1" applyBorder="1" applyAlignment="1" applyProtection="1">
      <alignment horizontal="center"/>
    </xf>
    <xf numFmtId="0" fontId="10" fillId="24" borderId="183" xfId="0" applyFont="1" applyFill="1" applyBorder="1" applyAlignment="1" applyProtection="1">
      <alignment horizontal="center"/>
    </xf>
    <xf numFmtId="0" fontId="37" fillId="0" borderId="184" xfId="0" applyFont="1" applyBorder="1" applyAlignment="1" applyProtection="1">
      <alignment horizontal="center" vertical="top"/>
    </xf>
    <xf numFmtId="0" fontId="47" fillId="0" borderId="185" xfId="0" applyFont="1" applyBorder="1" applyAlignment="1" applyProtection="1">
      <alignment horizontal="center" vertical="top"/>
    </xf>
    <xf numFmtId="0" fontId="35" fillId="0" borderId="186" xfId="0" applyFont="1" applyBorder="1" applyAlignment="1" applyProtection="1">
      <alignment horizontal="center" vertical="top"/>
    </xf>
    <xf numFmtId="0" fontId="35" fillId="0" borderId="187" xfId="0" applyFont="1" applyBorder="1" applyAlignment="1" applyProtection="1">
      <alignment horizontal="center" vertical="top"/>
    </xf>
    <xf numFmtId="0" fontId="47" fillId="0" borderId="188" xfId="0" applyFont="1" applyBorder="1" applyAlignment="1" applyProtection="1">
      <alignment horizontal="center" vertical="top"/>
    </xf>
    <xf numFmtId="0" fontId="34" fillId="0" borderId="189" xfId="0" applyFont="1" applyBorder="1" applyAlignment="1" applyProtection="1">
      <alignment horizontal="center" vertical="top"/>
    </xf>
    <xf numFmtId="0" fontId="10" fillId="0" borderId="190" xfId="0" applyFont="1" applyBorder="1" applyAlignment="1" applyProtection="1">
      <alignment horizontal="center"/>
      <protection locked="0"/>
    </xf>
    <xf numFmtId="0" fontId="37" fillId="0" borderId="191" xfId="0" applyFont="1" applyBorder="1" applyAlignment="1" applyProtection="1">
      <alignment horizontal="center" vertical="top"/>
    </xf>
    <xf numFmtId="0" fontId="10" fillId="0" borderId="192" xfId="0" applyFont="1" applyBorder="1" applyAlignment="1" applyProtection="1">
      <alignment horizontal="center"/>
      <protection locked="0"/>
    </xf>
    <xf numFmtId="0" fontId="37" fillId="0" borderId="193" xfId="0" applyFont="1" applyBorder="1" applyAlignment="1" applyProtection="1">
      <alignment horizontal="center" vertical="top"/>
    </xf>
    <xf numFmtId="0" fontId="98" fillId="0" borderId="0" xfId="0" applyFont="1" applyAlignment="1" applyProtection="1">
      <alignment horizontal="center" vertical="center"/>
      <protection locked="0"/>
    </xf>
    <xf numFmtId="0" fontId="10" fillId="24" borderId="114" xfId="0" applyFont="1" applyFill="1" applyBorder="1" applyAlignment="1" applyProtection="1">
      <alignment horizontal="center"/>
    </xf>
    <xf numFmtId="0" fontId="10" fillId="24" borderId="0" xfId="0" applyFont="1" applyFill="1" applyBorder="1" applyAlignment="1" applyProtection="1">
      <alignment horizontal="center"/>
    </xf>
    <xf numFmtId="0" fontId="10" fillId="24" borderId="115" xfId="0" applyFont="1" applyFill="1" applyBorder="1" applyAlignment="1" applyProtection="1">
      <alignment horizontal="center"/>
    </xf>
    <xf numFmtId="0" fontId="48" fillId="0" borderId="185" xfId="0" applyFont="1" applyBorder="1" applyAlignment="1" applyProtection="1">
      <alignment horizontal="center" vertical="top"/>
    </xf>
    <xf numFmtId="0" fontId="99" fillId="7" borderId="171" xfId="0" applyFont="1" applyFill="1" applyBorder="1" applyAlignment="1" applyProtection="1">
      <alignment horizontal="center"/>
      <protection locked="0"/>
    </xf>
    <xf numFmtId="0" fontId="0" fillId="20" borderId="84" xfId="0" applyFill="1" applyBorder="1" applyAlignment="1" applyProtection="1">
      <alignment horizontal="center"/>
    </xf>
    <xf numFmtId="0" fontId="10" fillId="7" borderId="204" xfId="0" applyFont="1" applyFill="1" applyBorder="1" applyAlignment="1" applyProtection="1">
      <alignment horizontal="center"/>
    </xf>
    <xf numFmtId="0" fontId="0" fillId="18" borderId="88" xfId="0" applyFill="1" applyBorder="1" applyAlignment="1" applyProtection="1">
      <alignment horizontal="center"/>
    </xf>
    <xf numFmtId="0" fontId="0" fillId="15" borderId="90" xfId="0" applyFill="1" applyBorder="1" applyAlignment="1" applyProtection="1">
      <alignment horizontal="center"/>
    </xf>
    <xf numFmtId="0" fontId="0" fillId="15" borderId="203" xfId="0" applyFill="1" applyBorder="1" applyAlignment="1" applyProtection="1">
      <alignment horizontal="center"/>
    </xf>
    <xf numFmtId="0" fontId="0" fillId="20" borderId="88" xfId="0" applyFill="1" applyBorder="1" applyAlignment="1" applyProtection="1">
      <alignment horizontal="center"/>
    </xf>
    <xf numFmtId="0" fontId="0" fillId="8" borderId="88" xfId="0" applyFill="1" applyBorder="1" applyAlignment="1" applyProtection="1">
      <alignment horizontal="center"/>
    </xf>
    <xf numFmtId="0" fontId="100" fillId="0" borderId="0" xfId="0" applyFont="1" applyAlignment="1" applyProtection="1">
      <alignment horizontal="center"/>
    </xf>
    <xf numFmtId="0" fontId="41" fillId="0" borderId="205" xfId="0" applyFont="1" applyBorder="1" applyAlignment="1" applyProtection="1">
      <alignment horizontal="center" vertical="center"/>
    </xf>
    <xf numFmtId="0" fontId="10" fillId="24" borderId="205" xfId="0" applyFont="1" applyFill="1" applyBorder="1" applyAlignment="1" applyProtection="1">
      <alignment horizontal="center"/>
    </xf>
    <xf numFmtId="0" fontId="10" fillId="0" borderId="205" xfId="0" applyFont="1" applyFill="1" applyBorder="1" applyAlignment="1" applyProtection="1">
      <alignment horizontal="center"/>
    </xf>
    <xf numFmtId="0" fontId="10" fillId="8" borderId="208" xfId="0" applyFont="1" applyFill="1" applyBorder="1" applyAlignment="1" applyProtection="1">
      <alignment horizontal="center"/>
    </xf>
    <xf numFmtId="0" fontId="10" fillId="17" borderId="205" xfId="0" applyFont="1" applyFill="1" applyBorder="1" applyAlignment="1" applyProtection="1">
      <alignment horizontal="center"/>
    </xf>
    <xf numFmtId="0" fontId="0" fillId="0" borderId="205" xfId="0" applyBorder="1" applyProtection="1"/>
    <xf numFmtId="0" fontId="0" fillId="2" borderId="205" xfId="0" applyFill="1" applyBorder="1" applyAlignment="1" applyProtection="1">
      <alignment horizontal="center"/>
    </xf>
    <xf numFmtId="0" fontId="42" fillId="0" borderId="205" xfId="0" applyFont="1" applyFill="1" applyBorder="1" applyAlignment="1" applyProtection="1">
      <alignment horizontal="center"/>
    </xf>
    <xf numFmtId="0" fontId="101" fillId="23" borderId="76" xfId="0" applyFont="1" applyFill="1" applyBorder="1" applyAlignment="1" applyProtection="1">
      <alignment horizontal="center" vertical="center"/>
    </xf>
    <xf numFmtId="0" fontId="101" fillId="23" borderId="94" xfId="0" applyFont="1" applyFill="1" applyBorder="1" applyAlignment="1" applyProtection="1">
      <alignment horizontal="center" vertical="center"/>
    </xf>
    <xf numFmtId="0" fontId="101" fillId="23" borderId="113" xfId="0" applyFont="1" applyFill="1" applyBorder="1" applyAlignment="1" applyProtection="1">
      <alignment horizontal="center" vertical="center"/>
    </xf>
    <xf numFmtId="0" fontId="101" fillId="23" borderId="173" xfId="0" applyFont="1" applyFill="1" applyBorder="1" applyAlignment="1" applyProtection="1">
      <alignment horizontal="center" vertical="center"/>
    </xf>
    <xf numFmtId="0" fontId="101" fillId="23" borderId="117" xfId="0" applyFont="1" applyFill="1" applyBorder="1" applyAlignment="1" applyProtection="1">
      <alignment horizontal="center" vertical="center"/>
    </xf>
    <xf numFmtId="0" fontId="101" fillId="23" borderId="116" xfId="0" applyFont="1" applyFill="1" applyBorder="1" applyAlignment="1" applyProtection="1">
      <alignment horizontal="center" vertical="center"/>
    </xf>
    <xf numFmtId="0" fontId="101" fillId="23" borderId="77" xfId="0" applyFont="1" applyFill="1" applyBorder="1" applyAlignment="1" applyProtection="1">
      <alignment horizontal="center" vertical="center"/>
    </xf>
    <xf numFmtId="0" fontId="101" fillId="23" borderId="175" xfId="0" applyFont="1" applyFill="1" applyBorder="1" applyAlignment="1" applyProtection="1">
      <alignment horizontal="center" vertical="center"/>
    </xf>
    <xf numFmtId="0" fontId="101" fillId="23" borderId="176" xfId="0" applyFont="1" applyFill="1" applyBorder="1" applyAlignment="1" applyProtection="1">
      <alignment horizontal="center" vertical="center"/>
    </xf>
    <xf numFmtId="0" fontId="101" fillId="23" borderId="96" xfId="0" applyFont="1" applyFill="1" applyBorder="1" applyAlignment="1" applyProtection="1">
      <alignment horizontal="center" vertical="center"/>
    </xf>
    <xf numFmtId="0" fontId="101" fillId="23" borderId="112" xfId="0" applyFont="1" applyFill="1" applyBorder="1" applyAlignment="1" applyProtection="1">
      <alignment horizontal="center" vertical="center"/>
    </xf>
    <xf numFmtId="0" fontId="101" fillId="25" borderId="207" xfId="0" applyFont="1" applyFill="1" applyBorder="1" applyAlignment="1" applyProtection="1">
      <alignment horizontal="center" vertical="center"/>
    </xf>
    <xf numFmtId="0" fontId="101" fillId="23" borderId="206" xfId="0" applyFont="1" applyFill="1" applyBorder="1" applyAlignment="1" applyProtection="1">
      <alignment horizontal="center" vertical="center"/>
    </xf>
    <xf numFmtId="0" fontId="101" fillId="23" borderId="180" xfId="0" applyFont="1" applyFill="1" applyBorder="1" applyAlignment="1" applyProtection="1">
      <alignment horizontal="center" vertical="center"/>
    </xf>
    <xf numFmtId="0" fontId="101" fillId="23" borderId="194" xfId="0" applyFont="1" applyFill="1" applyBorder="1" applyAlignment="1" applyProtection="1">
      <alignment horizontal="center" vertical="center"/>
    </xf>
    <xf numFmtId="0" fontId="101" fillId="23" borderId="195" xfId="0" applyFont="1" applyFill="1" applyBorder="1" applyAlignment="1" applyProtection="1">
      <alignment horizontal="center" vertical="center"/>
    </xf>
    <xf numFmtId="0" fontId="101" fillId="23" borderId="202" xfId="0" applyFont="1" applyFill="1" applyBorder="1" applyAlignment="1" applyProtection="1">
      <alignment horizontal="center" vertical="center"/>
    </xf>
    <xf numFmtId="0" fontId="101" fillId="23" borderId="95" xfId="0" applyFont="1" applyFill="1" applyBorder="1" applyAlignment="1" applyProtection="1">
      <alignment horizontal="center" vertical="center"/>
    </xf>
    <xf numFmtId="0" fontId="101" fillId="23" borderId="79" xfId="0" applyFont="1" applyFill="1" applyBorder="1" applyAlignment="1" applyProtection="1">
      <alignment horizontal="center" vertical="center"/>
    </xf>
    <xf numFmtId="0" fontId="102" fillId="0" borderId="0" xfId="0" applyFont="1" applyProtection="1">
      <protection locked="0"/>
    </xf>
    <xf numFmtId="0" fontId="101" fillId="23" borderId="174" xfId="0" applyFont="1" applyFill="1" applyBorder="1" applyAlignment="1" applyProtection="1">
      <alignment horizontal="center" vertical="center"/>
    </xf>
    <xf numFmtId="0" fontId="101" fillId="23" borderId="119" xfId="0" applyFont="1" applyFill="1" applyBorder="1" applyAlignment="1" applyProtection="1">
      <alignment horizontal="center" vertical="center"/>
    </xf>
    <xf numFmtId="0" fontId="101" fillId="23" borderId="118" xfId="0" applyFont="1" applyFill="1" applyBorder="1" applyAlignment="1" applyProtection="1">
      <alignment horizontal="center" vertical="center"/>
    </xf>
    <xf numFmtId="0" fontId="101" fillId="23" borderId="80" xfId="0" applyFont="1" applyFill="1" applyBorder="1" applyAlignment="1" applyProtection="1">
      <alignment horizontal="center" vertical="center"/>
    </xf>
    <xf numFmtId="0" fontId="101" fillId="23" borderId="177" xfId="0" applyFont="1" applyFill="1" applyBorder="1" applyAlignment="1" applyProtection="1">
      <alignment horizontal="center" vertical="center"/>
    </xf>
    <xf numFmtId="0" fontId="101" fillId="23" borderId="88" xfId="0" applyFont="1" applyFill="1" applyBorder="1" applyAlignment="1" applyProtection="1">
      <alignment horizontal="center" vertical="center"/>
    </xf>
    <xf numFmtId="0" fontId="102" fillId="0" borderId="205" xfId="0" applyFont="1" applyBorder="1" applyProtection="1">
      <protection locked="0"/>
    </xf>
    <xf numFmtId="0" fontId="101" fillId="23" borderId="181" xfId="0" applyFont="1" applyFill="1" applyBorder="1" applyAlignment="1" applyProtection="1">
      <alignment horizontal="center" vertical="center"/>
    </xf>
    <xf numFmtId="0" fontId="101" fillId="23" borderId="196" xfId="0" applyFont="1" applyFill="1" applyBorder="1" applyAlignment="1" applyProtection="1">
      <alignment horizontal="center" vertical="center"/>
    </xf>
    <xf numFmtId="0" fontId="101" fillId="23" borderId="197" xfId="0" applyFont="1" applyFill="1" applyBorder="1" applyAlignment="1" applyProtection="1">
      <alignment horizontal="center" vertical="center"/>
    </xf>
    <xf numFmtId="0" fontId="101" fillId="23" borderId="198" xfId="0" applyFont="1" applyFill="1" applyBorder="1" applyAlignment="1" applyProtection="1">
      <alignment horizontal="center" vertical="center"/>
    </xf>
    <xf numFmtId="0" fontId="101" fillId="23" borderId="199" xfId="0" applyFont="1" applyFill="1" applyBorder="1" applyAlignment="1" applyProtection="1">
      <alignment horizontal="center" vertical="center"/>
    </xf>
    <xf numFmtId="0" fontId="101" fillId="23" borderId="200" xfId="0" applyFont="1" applyFill="1" applyBorder="1" applyAlignment="1" applyProtection="1">
      <alignment horizontal="center" vertical="center"/>
    </xf>
    <xf numFmtId="0" fontId="101" fillId="23" borderId="45" xfId="0" applyFont="1" applyFill="1" applyBorder="1" applyAlignment="1" applyProtection="1">
      <alignment horizontal="center" vertical="center"/>
    </xf>
    <xf numFmtId="0" fontId="102" fillId="0" borderId="0" xfId="0" applyFont="1" applyBorder="1" applyProtection="1">
      <protection locked="0"/>
    </xf>
    <xf numFmtId="0" fontId="101" fillId="0" borderId="0" xfId="0" applyFont="1" applyBorder="1" applyAlignment="1" applyProtection="1">
      <alignment horizontal="center" vertical="center"/>
    </xf>
    <xf numFmtId="0" fontId="102" fillId="0" borderId="115" xfId="0" applyFont="1" applyBorder="1" applyProtection="1">
      <protection locked="0"/>
    </xf>
    <xf numFmtId="0" fontId="102" fillId="0" borderId="114" xfId="0" applyFont="1" applyBorder="1" applyProtection="1">
      <protection locked="0"/>
    </xf>
    <xf numFmtId="0" fontId="101" fillId="0" borderId="115" xfId="0" applyFont="1" applyBorder="1" applyAlignment="1" applyProtection="1">
      <alignment horizontal="center" vertical="center"/>
    </xf>
    <xf numFmtId="0" fontId="102" fillId="0" borderId="201" xfId="0" applyFont="1" applyBorder="1" applyProtection="1">
      <protection locked="0"/>
    </xf>
    <xf numFmtId="0" fontId="101" fillId="23" borderId="172" xfId="0" applyFont="1" applyFill="1" applyBorder="1" applyAlignment="1" applyProtection="1">
      <alignment horizontal="center" vertical="center"/>
    </xf>
    <xf numFmtId="0" fontId="101" fillId="23" borderId="97" xfId="0" applyFont="1" applyFill="1" applyBorder="1" applyAlignment="1" applyProtection="1">
      <alignment horizontal="center" vertical="center"/>
    </xf>
    <xf numFmtId="0" fontId="101" fillId="0" borderId="83" xfId="0" applyFont="1" applyBorder="1" applyAlignment="1" applyProtection="1">
      <alignment horizontal="center" vertical="center"/>
    </xf>
    <xf numFmtId="0" fontId="101" fillId="0" borderId="120" xfId="0" applyFont="1" applyBorder="1" applyAlignment="1" applyProtection="1">
      <alignment horizontal="center" vertical="center"/>
    </xf>
    <xf numFmtId="0" fontId="101" fillId="0" borderId="121" xfId="0" applyFont="1" applyBorder="1" applyAlignment="1" applyProtection="1">
      <alignment horizontal="center" vertical="center"/>
    </xf>
    <xf numFmtId="0" fontId="41" fillId="11" borderId="0" xfId="0" applyFont="1" applyFill="1" applyBorder="1" applyAlignment="1" applyProtection="1">
      <alignment horizontal="center" vertical="center"/>
    </xf>
    <xf numFmtId="0" fontId="10" fillId="24" borderId="208" xfId="0" applyFont="1" applyFill="1" applyBorder="1" applyAlignment="1" applyProtection="1">
      <alignment horizontal="center"/>
    </xf>
    <xf numFmtId="0" fontId="102" fillId="0" borderId="83" xfId="0" applyFont="1" applyBorder="1" applyProtection="1">
      <protection locked="0"/>
    </xf>
    <xf numFmtId="0" fontId="102" fillId="0" borderId="121" xfId="0" applyFont="1" applyBorder="1" applyProtection="1">
      <protection locked="0"/>
    </xf>
    <xf numFmtId="0" fontId="102" fillId="0" borderId="209" xfId="0" applyFont="1" applyBorder="1" applyProtection="1">
      <protection locked="0"/>
    </xf>
    <xf numFmtId="0" fontId="102" fillId="0" borderId="120" xfId="0" applyFont="1" applyBorder="1" applyProtection="1">
      <protection locked="0"/>
    </xf>
    <xf numFmtId="0" fontId="101" fillId="0" borderId="209" xfId="0" applyFont="1" applyBorder="1" applyAlignment="1" applyProtection="1">
      <alignment horizontal="center" vertical="center"/>
    </xf>
    <xf numFmtId="0" fontId="101" fillId="23" borderId="210" xfId="0" applyFont="1" applyFill="1" applyBorder="1" applyAlignment="1" applyProtection="1">
      <alignment horizontal="center" vertical="center"/>
    </xf>
    <xf numFmtId="0" fontId="101" fillId="23" borderId="211" xfId="0" applyFont="1" applyFill="1" applyBorder="1" applyAlignment="1" applyProtection="1">
      <alignment horizontal="center" vertical="center"/>
    </xf>
    <xf numFmtId="0" fontId="102" fillId="0" borderId="212" xfId="0" applyFont="1" applyBorder="1" applyProtection="1">
      <protection locked="0"/>
    </xf>
    <xf numFmtId="0" fontId="101" fillId="0" borderId="213" xfId="0" applyFont="1" applyBorder="1" applyAlignment="1" applyProtection="1">
      <alignment horizontal="center" vertical="center"/>
    </xf>
    <xf numFmtId="0" fontId="82" fillId="0" borderId="0" xfId="0" applyFont="1" applyFill="1" applyBorder="1" applyAlignment="1">
      <alignment horizontal="center" vertical="center"/>
    </xf>
    <xf numFmtId="0" fontId="70" fillId="0" borderId="0" xfId="0" applyFont="1" applyFill="1" applyBorder="1" applyAlignment="1">
      <alignment horizontal="center" vertical="center"/>
    </xf>
    <xf numFmtId="0" fontId="19" fillId="0" borderId="0" xfId="0" applyFont="1" applyFill="1" applyBorder="1" applyAlignment="1">
      <alignment horizontal="center" vertical="center"/>
    </xf>
    <xf numFmtId="0" fontId="3" fillId="0" borderId="0" xfId="0" applyFont="1" applyFill="1" applyBorder="1" applyAlignment="1">
      <alignment vertical="center"/>
    </xf>
    <xf numFmtId="0" fontId="80" fillId="0" borderId="0" xfId="0" applyFont="1" applyFill="1" applyBorder="1" applyAlignment="1">
      <alignment horizontal="center" vertical="top"/>
    </xf>
    <xf numFmtId="0" fontId="80" fillId="0" borderId="0" xfId="0" applyFont="1" applyFill="1" applyBorder="1" applyAlignment="1">
      <alignment horizontal="left" vertical="top"/>
    </xf>
    <xf numFmtId="0" fontId="0" fillId="0" borderId="0" xfId="0" applyFill="1" applyBorder="1"/>
    <xf numFmtId="0" fontId="63" fillId="3" borderId="0" xfId="0" applyFont="1" applyFill="1" applyBorder="1" applyAlignment="1" applyProtection="1">
      <alignment horizontal="center" vertical="center"/>
    </xf>
    <xf numFmtId="0" fontId="103" fillId="0" borderId="0" xfId="0" applyFont="1" applyBorder="1" applyAlignment="1" applyProtection="1">
      <alignment horizontal="center" vertical="center"/>
    </xf>
    <xf numFmtId="0" fontId="103" fillId="0" borderId="131" xfId="0" applyFont="1" applyBorder="1" applyAlignment="1" applyProtection="1">
      <alignment horizontal="center" vertical="center"/>
    </xf>
    <xf numFmtId="0" fontId="63" fillId="4" borderId="161" xfId="0" applyFont="1" applyFill="1" applyBorder="1" applyAlignment="1" applyProtection="1">
      <alignment horizontal="center" vertical="center"/>
    </xf>
    <xf numFmtId="0" fontId="63" fillId="4" borderId="131" xfId="0" applyFont="1" applyFill="1" applyBorder="1" applyAlignment="1" applyProtection="1">
      <alignment horizontal="center" vertical="center"/>
    </xf>
    <xf numFmtId="0" fontId="10" fillId="0" borderId="0" xfId="0" applyFont="1" applyBorder="1" applyAlignment="1" applyProtection="1">
      <alignment vertical="center"/>
    </xf>
    <xf numFmtId="0" fontId="10" fillId="0" borderId="0" xfId="0" quotePrefix="1" applyFont="1" applyBorder="1" applyAlignment="1" applyProtection="1">
      <alignment vertical="center"/>
    </xf>
    <xf numFmtId="0" fontId="3" fillId="0" borderId="167" xfId="0" applyFont="1" applyBorder="1" applyAlignment="1" applyProtection="1">
      <alignment vertical="center"/>
    </xf>
    <xf numFmtId="0" fontId="3" fillId="0" borderId="168" xfId="0" applyFont="1" applyBorder="1" applyAlignment="1" applyProtection="1">
      <alignment vertical="center"/>
    </xf>
    <xf numFmtId="0" fontId="3" fillId="0" borderId="168" xfId="0" applyFont="1" applyFill="1" applyBorder="1" applyAlignment="1" applyProtection="1">
      <alignment vertical="center"/>
    </xf>
    <xf numFmtId="0" fontId="3" fillId="0" borderId="169" xfId="0" applyFont="1" applyBorder="1" applyAlignment="1" applyProtection="1">
      <alignment vertical="center"/>
    </xf>
    <xf numFmtId="0" fontId="8" fillId="6" borderId="0" xfId="0" applyFont="1" applyFill="1" applyBorder="1" applyAlignment="1" applyProtection="1">
      <alignment horizontal="center" vertical="center"/>
    </xf>
    <xf numFmtId="0" fontId="8" fillId="6" borderId="12" xfId="0" applyFont="1" applyFill="1" applyBorder="1" applyAlignment="1" applyProtection="1">
      <alignment horizontal="center" vertical="center"/>
    </xf>
    <xf numFmtId="0" fontId="3" fillId="0" borderId="214" xfId="0" applyFont="1" applyBorder="1" applyAlignment="1" applyProtection="1">
      <alignment horizontal="center" vertical="center"/>
    </xf>
    <xf numFmtId="0" fontId="3" fillId="0" borderId="214" xfId="0" applyFont="1" applyBorder="1" applyAlignment="1" applyProtection="1">
      <alignment horizontal="left" vertical="center"/>
    </xf>
    <xf numFmtId="0" fontId="3" fillId="0" borderId="214" xfId="0" applyFont="1" applyBorder="1" applyAlignment="1" applyProtection="1">
      <alignment vertical="center"/>
    </xf>
    <xf numFmtId="0" fontId="3" fillId="0" borderId="214" xfId="0" applyFont="1" applyFill="1" applyBorder="1" applyAlignment="1" applyProtection="1">
      <alignment vertical="center"/>
    </xf>
    <xf numFmtId="0" fontId="3" fillId="0" borderId="215" xfId="0" applyFont="1" applyBorder="1" applyAlignment="1" applyProtection="1">
      <alignment vertical="center"/>
      <protection locked="0"/>
    </xf>
    <xf numFmtId="0" fontId="3" fillId="0" borderId="216" xfId="0" applyFont="1" applyBorder="1" applyAlignment="1" applyProtection="1">
      <alignment vertical="center"/>
    </xf>
    <xf numFmtId="0" fontId="3" fillId="0" borderId="217" xfId="0" applyFont="1" applyBorder="1" applyAlignment="1" applyProtection="1">
      <alignment vertical="center"/>
    </xf>
    <xf numFmtId="0" fontId="81" fillId="15" borderId="163" xfId="0" applyFont="1" applyFill="1" applyBorder="1" applyAlignment="1" applyProtection="1">
      <alignment horizontal="center" vertical="top"/>
    </xf>
    <xf numFmtId="0" fontId="86" fillId="15" borderId="163" xfId="0" applyFont="1" applyFill="1" applyBorder="1" applyAlignment="1" applyProtection="1">
      <alignment horizontal="center" vertical="top"/>
    </xf>
    <xf numFmtId="0" fontId="3" fillId="0" borderId="168" xfId="0" applyFont="1" applyBorder="1" applyAlignment="1" applyProtection="1">
      <alignment horizontal="right" vertical="center"/>
    </xf>
    <xf numFmtId="0" fontId="3" fillId="0" borderId="163" xfId="0" applyFont="1" applyBorder="1" applyAlignment="1" applyProtection="1">
      <alignment horizontal="center" vertical="center"/>
    </xf>
    <xf numFmtId="0" fontId="3" fillId="0" borderId="219" xfId="0" applyFont="1" applyFill="1" applyBorder="1" applyAlignment="1" applyProtection="1">
      <alignment vertical="center"/>
    </xf>
    <xf numFmtId="0" fontId="78" fillId="0" borderId="219" xfId="0" applyFont="1" applyFill="1" applyBorder="1" applyAlignment="1" applyProtection="1">
      <alignment vertical="center"/>
    </xf>
    <xf numFmtId="0" fontId="6" fillId="0" borderId="219" xfId="0" applyFont="1" applyFill="1" applyBorder="1" applyAlignment="1" applyProtection="1">
      <alignment vertical="center"/>
    </xf>
    <xf numFmtId="0" fontId="3" fillId="0" borderId="219" xfId="0" applyFont="1" applyBorder="1" applyAlignment="1" applyProtection="1">
      <alignment vertical="center"/>
    </xf>
    <xf numFmtId="0" fontId="70" fillId="0" borderId="219" xfId="0" applyFont="1" applyFill="1" applyBorder="1" applyAlignment="1" applyProtection="1">
      <alignment horizontal="center" vertical="center"/>
    </xf>
    <xf numFmtId="0" fontId="19" fillId="0" borderId="219" xfId="0" applyFont="1" applyFill="1" applyBorder="1" applyAlignment="1" applyProtection="1">
      <alignment horizontal="center" vertical="center"/>
    </xf>
    <xf numFmtId="0" fontId="73" fillId="0" borderId="219" xfId="0" applyFont="1" applyFill="1" applyBorder="1" applyAlignment="1" applyProtection="1">
      <alignment horizontal="center" vertical="center"/>
    </xf>
    <xf numFmtId="0" fontId="3" fillId="0" borderId="220" xfId="0" applyFont="1" applyBorder="1" applyAlignment="1" applyProtection="1">
      <alignment vertical="center"/>
    </xf>
    <xf numFmtId="0" fontId="3" fillId="0" borderId="218" xfId="0" applyFont="1" applyBorder="1" applyAlignment="1" applyProtection="1">
      <alignment vertical="center"/>
    </xf>
    <xf numFmtId="0" fontId="3" fillId="0" borderId="221" xfId="0" applyFont="1" applyFill="1" applyBorder="1" applyAlignment="1" applyProtection="1">
      <alignment horizontal="center" vertical="center"/>
    </xf>
    <xf numFmtId="0" fontId="3" fillId="0" borderId="222" xfId="0" applyFont="1" applyFill="1" applyBorder="1" applyAlignment="1" applyProtection="1">
      <alignment horizontal="center" vertical="center"/>
    </xf>
    <xf numFmtId="0" fontId="0" fillId="0" borderId="141" xfId="0" applyBorder="1"/>
    <xf numFmtId="0" fontId="0" fillId="0" borderId="138" xfId="0" applyBorder="1"/>
    <xf numFmtId="0" fontId="0" fillId="0" borderId="139" xfId="0" applyBorder="1"/>
    <xf numFmtId="0" fontId="0" fillId="0" borderId="11" xfId="0" applyBorder="1"/>
    <xf numFmtId="0" fontId="0" fillId="0" borderId="0" xfId="0" applyBorder="1"/>
    <xf numFmtId="0" fontId="0" fillId="0" borderId="10" xfId="0" applyBorder="1"/>
    <xf numFmtId="0" fontId="0" fillId="0" borderId="142" xfId="0" applyBorder="1"/>
    <xf numFmtId="0" fontId="0" fillId="0" borderId="84" xfId="0" applyBorder="1"/>
    <xf numFmtId="0" fontId="0" fillId="0" borderId="140" xfId="0" applyBorder="1"/>
    <xf numFmtId="0" fontId="108" fillId="26" borderId="141" xfId="0" applyFont="1" applyFill="1" applyBorder="1" applyAlignment="1">
      <alignment horizontal="center" vertical="center"/>
    </xf>
    <xf numFmtId="0" fontId="108" fillId="26" borderId="138" xfId="0" applyFont="1" applyFill="1" applyBorder="1" applyAlignment="1">
      <alignment horizontal="center" vertical="center"/>
    </xf>
    <xf numFmtId="0" fontId="108" fillId="26" borderId="139" xfId="0" applyFont="1" applyFill="1" applyBorder="1" applyAlignment="1">
      <alignment horizontal="center" vertical="center"/>
    </xf>
    <xf numFmtId="0" fontId="109" fillId="26" borderId="11" xfId="0" applyFont="1" applyFill="1" applyBorder="1" applyAlignment="1">
      <alignment horizontal="center" vertical="center"/>
    </xf>
    <xf numFmtId="0" fontId="110" fillId="26" borderId="224" xfId="0" applyFont="1" applyFill="1" applyBorder="1" applyAlignment="1">
      <alignment horizontal="center"/>
    </xf>
    <xf numFmtId="0" fontId="109" fillId="26" borderId="0" xfId="0" applyFont="1" applyFill="1" applyBorder="1" applyAlignment="1">
      <alignment horizontal="center" vertical="center"/>
    </xf>
    <xf numFmtId="0" fontId="108" fillId="26" borderId="10" xfId="0" applyFont="1" applyFill="1" applyBorder="1" applyAlignment="1">
      <alignment horizontal="center" vertical="center"/>
    </xf>
    <xf numFmtId="0" fontId="109" fillId="26" borderId="10" xfId="0" applyFont="1" applyFill="1" applyBorder="1" applyAlignment="1">
      <alignment horizontal="right" vertical="center"/>
    </xf>
    <xf numFmtId="1" fontId="111" fillId="0" borderId="0" xfId="0" applyNumberFormat="1" applyFont="1" applyFill="1" applyBorder="1" applyAlignment="1">
      <alignment horizontal="center"/>
    </xf>
    <xf numFmtId="1" fontId="112" fillId="27" borderId="225" xfId="0" applyNumberFormat="1" applyFont="1" applyFill="1" applyBorder="1" applyAlignment="1">
      <alignment horizontal="center" vertical="center"/>
    </xf>
    <xf numFmtId="0" fontId="113" fillId="28" borderId="10" xfId="0" applyFont="1" applyFill="1" applyBorder="1" applyAlignment="1">
      <alignment horizontal="center" vertical="center"/>
    </xf>
    <xf numFmtId="0" fontId="108" fillId="26" borderId="11" xfId="0" applyFont="1" applyFill="1" applyBorder="1" applyAlignment="1">
      <alignment horizontal="center" vertical="center"/>
    </xf>
    <xf numFmtId="0" fontId="108" fillId="26" borderId="140" xfId="0" applyFont="1" applyFill="1" applyBorder="1" applyAlignment="1">
      <alignment horizontal="right" vertical="center"/>
    </xf>
    <xf numFmtId="1" fontId="108" fillId="26" borderId="84" xfId="0" applyNumberFormat="1" applyFont="1" applyFill="1" applyBorder="1" applyAlignment="1">
      <alignment horizontal="center" vertical="center"/>
    </xf>
    <xf numFmtId="0" fontId="114" fillId="27" borderId="0" xfId="0" applyFont="1" applyFill="1" applyBorder="1" applyAlignment="1">
      <alignment horizontal="center" vertical="center"/>
    </xf>
    <xf numFmtId="0" fontId="108" fillId="26" borderId="139" xfId="0" applyFont="1" applyFill="1" applyBorder="1" applyAlignment="1">
      <alignment horizontal="right" vertical="center"/>
    </xf>
    <xf numFmtId="0" fontId="112" fillId="27" borderId="226" xfId="0" applyFont="1" applyFill="1" applyBorder="1" applyAlignment="1">
      <alignment horizontal="center" vertical="center"/>
    </xf>
    <xf numFmtId="0" fontId="109" fillId="26" borderId="10" xfId="0" applyFont="1" applyFill="1" applyBorder="1" applyAlignment="1">
      <alignment horizontal="center" vertical="center"/>
    </xf>
    <xf numFmtId="0" fontId="115" fillId="26" borderId="228" xfId="0" applyFont="1" applyFill="1" applyBorder="1" applyAlignment="1">
      <alignment horizontal="center" vertical="center"/>
    </xf>
    <xf numFmtId="0" fontId="116" fillId="27" borderId="228" xfId="0" applyFont="1" applyFill="1" applyBorder="1" applyAlignment="1">
      <alignment horizontal="center" vertical="center"/>
    </xf>
    <xf numFmtId="0" fontId="118" fillId="26" borderId="230" xfId="0" applyFont="1" applyFill="1" applyBorder="1" applyAlignment="1">
      <alignment horizontal="center" vertical="center"/>
    </xf>
    <xf numFmtId="0" fontId="119" fillId="26" borderId="10" xfId="0" quotePrefix="1" applyFont="1" applyFill="1" applyBorder="1" applyAlignment="1">
      <alignment horizontal="left" vertical="center"/>
    </xf>
    <xf numFmtId="0" fontId="108" fillId="26" borderId="0" xfId="0" applyFont="1" applyFill="1" applyBorder="1" applyAlignment="1">
      <alignment horizontal="center" vertical="center"/>
    </xf>
    <xf numFmtId="0" fontId="119" fillId="26" borderId="233" xfId="0" quotePrefix="1" applyFont="1" applyFill="1" applyBorder="1" applyAlignment="1">
      <alignment horizontal="right" vertical="center"/>
    </xf>
    <xf numFmtId="0" fontId="120" fillId="26" borderId="234" xfId="0" applyFont="1" applyFill="1" applyBorder="1" applyAlignment="1">
      <alignment horizontal="left" vertical="center"/>
    </xf>
    <xf numFmtId="0" fontId="108" fillId="26" borderId="234" xfId="0" applyFont="1" applyFill="1" applyBorder="1" applyAlignment="1">
      <alignment horizontal="center" vertical="center"/>
    </xf>
    <xf numFmtId="165" fontId="122" fillId="26" borderId="235" xfId="0" applyNumberFormat="1" applyFont="1" applyFill="1" applyBorder="1" applyAlignment="1">
      <alignment horizontal="center" vertical="center"/>
    </xf>
    <xf numFmtId="0" fontId="123" fillId="26" borderId="223" xfId="0" applyFont="1" applyFill="1" applyBorder="1" applyAlignment="1">
      <alignment horizontal="right" vertical="center"/>
    </xf>
    <xf numFmtId="0" fontId="124" fillId="12" borderId="0" xfId="0" applyFont="1" applyFill="1" applyAlignment="1">
      <alignment horizontal="center" vertical="center"/>
    </xf>
    <xf numFmtId="0" fontId="115" fillId="26" borderId="0" xfId="0" applyFont="1" applyFill="1" applyBorder="1" applyAlignment="1">
      <alignment horizontal="center" vertical="center"/>
    </xf>
    <xf numFmtId="0" fontId="110" fillId="26" borderId="236" xfId="0" applyFont="1" applyFill="1" applyBorder="1" applyAlignment="1">
      <alignment horizontal="center"/>
    </xf>
    <xf numFmtId="1" fontId="111" fillId="0" borderId="237" xfId="0" applyNumberFormat="1" applyFont="1" applyFill="1" applyBorder="1" applyAlignment="1">
      <alignment horizontal="center"/>
    </xf>
    <xf numFmtId="1" fontId="108" fillId="26" borderId="238" xfId="0" applyNumberFormat="1" applyFont="1" applyFill="1" applyBorder="1" applyAlignment="1">
      <alignment horizontal="center" vertical="center"/>
    </xf>
    <xf numFmtId="0" fontId="108" fillId="26" borderId="239" xfId="0" applyFont="1" applyFill="1" applyBorder="1" applyAlignment="1">
      <alignment horizontal="center" vertical="center"/>
    </xf>
    <xf numFmtId="0" fontId="127" fillId="26" borderId="232" xfId="0" applyFont="1" applyFill="1" applyBorder="1" applyAlignment="1">
      <alignment horizontal="center" vertical="center"/>
    </xf>
    <xf numFmtId="2" fontId="128" fillId="27" borderId="232" xfId="0" applyNumberFormat="1" applyFont="1" applyFill="1" applyBorder="1" applyAlignment="1">
      <alignment horizontal="center" vertical="center"/>
    </xf>
    <xf numFmtId="0" fontId="126" fillId="26" borderId="231" xfId="0" applyFont="1" applyFill="1" applyBorder="1" applyAlignment="1">
      <alignment horizontal="left" vertical="center"/>
    </xf>
    <xf numFmtId="0" fontId="117" fillId="26" borderId="229" xfId="0" applyFont="1" applyFill="1" applyBorder="1" applyAlignment="1">
      <alignment horizontal="left" vertical="center"/>
    </xf>
    <xf numFmtId="0" fontId="125" fillId="26" borderId="227" xfId="0" applyFont="1" applyFill="1" applyBorder="1" applyAlignment="1">
      <alignment horizontal="left" vertical="center"/>
    </xf>
    <xf numFmtId="0" fontId="127" fillId="26" borderId="232" xfId="0" applyFont="1" applyFill="1" applyBorder="1" applyAlignment="1">
      <alignment horizontal="left" vertical="center"/>
    </xf>
    <xf numFmtId="0" fontId="38" fillId="6" borderId="0" xfId="0" applyFont="1" applyFill="1"/>
    <xf numFmtId="0" fontId="73" fillId="6" borderId="3" xfId="0" applyFont="1" applyFill="1" applyBorder="1" applyAlignment="1" applyProtection="1">
      <alignment horizontal="center" vertical="center"/>
    </xf>
    <xf numFmtId="0" fontId="0" fillId="0" borderId="3" xfId="0" applyBorder="1" applyAlignment="1">
      <alignment horizontal="center" vertical="center"/>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xf numFmtId="0" fontId="0" fillId="0" borderId="100" xfId="0" applyBorder="1" applyAlignment="1" applyProtection="1">
      <alignment horizontal="center"/>
      <protection locked="0"/>
    </xf>
    <xf numFmtId="0" fontId="0" fillId="0" borderId="101" xfId="0" applyBorder="1" applyAlignment="1" applyProtection="1">
      <alignment horizontal="center"/>
      <protection locked="0"/>
    </xf>
    <xf numFmtId="0" fontId="0" fillId="0" borderId="21" xfId="0" applyBorder="1" applyAlignment="1" applyProtection="1">
      <alignment horizontal="center"/>
      <protection locked="0"/>
    </xf>
    <xf numFmtId="0" fontId="0" fillId="0" borderId="34" xfId="0" applyBorder="1" applyAlignment="1" applyProtection="1">
      <alignment horizontal="center"/>
      <protection locked="0"/>
    </xf>
    <xf numFmtId="0" fontId="27" fillId="29" borderId="0" xfId="0" applyFont="1" applyFill="1" applyAlignment="1" applyProtection="1">
      <alignment horizontal="center"/>
    </xf>
  </cellXfs>
  <cellStyles count="1">
    <cellStyle name="Normal" xfId="0" builtinId="0"/>
  </cellStyles>
  <dxfs count="24">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
      <font>
        <b/>
        <i val="0"/>
        <strike val="0"/>
        <color rgb="FFFF0000"/>
      </font>
      <fill>
        <patternFill>
          <bgColor rgb="FF00FF00"/>
        </patternFill>
      </fill>
    </dxf>
  </dxfs>
  <tableStyles count="0" defaultTableStyle="TableStyleMedium2" defaultPivotStyle="PivotStyleMedium9"/>
  <colors>
    <mruColors>
      <color rgb="FFCCFF99"/>
      <color rgb="FF00823B"/>
      <color rgb="FF0000FF"/>
      <color rgb="FFD8D27E"/>
      <color rgb="FF9900CC"/>
      <color rgb="FF99FF66"/>
      <color rgb="FF333333"/>
      <color rgb="FF602E04"/>
      <color rgb="FF99FF99"/>
      <color rgb="FFFF66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95250</xdr:colOff>
      <xdr:row>1</xdr:row>
      <xdr:rowOff>47625</xdr:rowOff>
    </xdr:from>
    <xdr:to>
      <xdr:col>27</xdr:col>
      <xdr:colOff>171450</xdr:colOff>
      <xdr:row>16</xdr:row>
      <xdr:rowOff>114300</xdr:rowOff>
    </xdr:to>
    <xdr:pic>
      <xdr:nvPicPr>
        <xdr:cNvPr id="2" name="Picture 1"/>
        <xdr:cNvPicPr>
          <a:picLocks noChangeAspect="1"/>
        </xdr:cNvPicPr>
      </xdr:nvPicPr>
      <xdr:blipFill>
        <a:blip xmlns:r="http://schemas.openxmlformats.org/officeDocument/2006/relationships" r:embed="rId1"/>
        <a:stretch>
          <a:fillRect/>
        </a:stretch>
      </xdr:blipFill>
      <xdr:spPr>
        <a:xfrm>
          <a:off x="5162550" y="257175"/>
          <a:ext cx="3305175" cy="3248025"/>
        </a:xfrm>
        <a:prstGeom prst="rect">
          <a:avLst/>
        </a:prstGeom>
      </xdr:spPr>
    </xdr:pic>
    <xdr:clientData/>
  </xdr:twoCellAnchor>
  <xdr:twoCellAnchor editAs="oneCell">
    <xdr:from>
      <xdr:col>15</xdr:col>
      <xdr:colOff>85727</xdr:colOff>
      <xdr:row>18</xdr:row>
      <xdr:rowOff>76200</xdr:rowOff>
    </xdr:from>
    <xdr:to>
      <xdr:col>27</xdr:col>
      <xdr:colOff>142876</xdr:colOff>
      <xdr:row>33</xdr:row>
      <xdr:rowOff>123825</xdr:rowOff>
    </xdr:to>
    <xdr:pic>
      <xdr:nvPicPr>
        <xdr:cNvPr id="6" name="Picture 5"/>
        <xdr:cNvPicPr>
          <a:picLocks noChangeAspect="1"/>
        </xdr:cNvPicPr>
      </xdr:nvPicPr>
      <xdr:blipFill>
        <a:blip xmlns:r="http://schemas.openxmlformats.org/officeDocument/2006/relationships" r:embed="rId2"/>
        <a:stretch>
          <a:fillRect/>
        </a:stretch>
      </xdr:blipFill>
      <xdr:spPr>
        <a:xfrm>
          <a:off x="5153027" y="3886200"/>
          <a:ext cx="3286124" cy="32289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86"/>
  <sheetViews>
    <sheetView showGridLines="0" zoomScaleNormal="100" workbookViewId="0"/>
  </sheetViews>
  <sheetFormatPr defaultColWidth="4" defaultRowHeight="16.5" x14ac:dyDescent="0.25"/>
  <cols>
    <col min="1" max="1" width="2.140625" style="292" customWidth="1"/>
    <col min="2" max="2" width="4.140625" style="294" customWidth="1"/>
    <col min="3" max="3" width="2.140625" style="294" customWidth="1"/>
    <col min="4" max="5" width="4.140625" style="292" customWidth="1"/>
    <col min="6" max="6" width="4.42578125" style="292" customWidth="1"/>
    <col min="7" max="24" width="4.140625" style="292" customWidth="1"/>
    <col min="25" max="25" width="4.140625" style="297" customWidth="1"/>
    <col min="26" max="26" width="2.140625" style="292" customWidth="1"/>
    <col min="27" max="27" width="4" style="292"/>
    <col min="28" max="28" width="15.7109375" style="292" customWidth="1"/>
    <col min="29" max="29" width="4.42578125" style="292" bestFit="1" customWidth="1"/>
    <col min="30" max="33" width="4" style="292"/>
    <col min="34" max="34" width="4.42578125" style="292" bestFit="1" customWidth="1"/>
    <col min="35" max="40" width="4" style="292"/>
    <col min="41" max="41" width="4.42578125" style="292" bestFit="1" customWidth="1"/>
    <col min="42" max="45" width="4" style="292"/>
    <col min="46" max="46" width="4.42578125" style="292" bestFit="1" customWidth="1"/>
    <col min="47" max="16384" width="4" style="292"/>
  </cols>
  <sheetData>
    <row r="1" spans="1:26" ht="17.25" x14ac:dyDescent="0.25">
      <c r="A1" s="480"/>
      <c r="B1" s="481"/>
      <c r="C1" s="481"/>
      <c r="D1" s="482"/>
      <c r="E1" s="482"/>
      <c r="F1" s="482"/>
      <c r="G1" s="482"/>
      <c r="H1" s="482"/>
      <c r="I1" s="482"/>
      <c r="J1" s="482"/>
      <c r="K1" s="482"/>
      <c r="L1" s="482"/>
      <c r="M1" s="483" t="s">
        <v>0</v>
      </c>
      <c r="N1" s="482"/>
      <c r="O1" s="482"/>
      <c r="P1" s="482"/>
      <c r="Q1" s="482"/>
      <c r="R1" s="482"/>
      <c r="S1" s="482"/>
      <c r="T1" s="482"/>
      <c r="U1" s="482"/>
      <c r="V1" s="482"/>
      <c r="W1" s="482"/>
      <c r="X1" s="482"/>
      <c r="Y1" s="484"/>
      <c r="Z1" s="485"/>
    </row>
    <row r="2" spans="1:26" x14ac:dyDescent="0.25">
      <c r="A2" s="486"/>
      <c r="B2" s="323"/>
      <c r="C2" s="323"/>
      <c r="D2" s="324"/>
      <c r="E2" s="324"/>
      <c r="F2" s="324"/>
      <c r="G2" s="324"/>
      <c r="H2" s="324"/>
      <c r="I2" s="324"/>
      <c r="J2" s="324"/>
      <c r="K2" s="324"/>
      <c r="L2" s="324"/>
      <c r="M2" s="324"/>
      <c r="N2" s="324"/>
      <c r="O2" s="324"/>
      <c r="P2" s="324"/>
      <c r="Q2" s="324"/>
      <c r="R2" s="324"/>
      <c r="S2" s="324"/>
      <c r="T2" s="324"/>
      <c r="U2" s="324"/>
      <c r="V2" s="324"/>
      <c r="W2" s="324"/>
      <c r="X2" s="324"/>
      <c r="Y2" s="326"/>
      <c r="Z2" s="487"/>
    </row>
    <row r="3" spans="1:26" x14ac:dyDescent="0.25">
      <c r="A3" s="486"/>
      <c r="B3" s="323" t="s">
        <v>3</v>
      </c>
      <c r="C3" s="323"/>
      <c r="D3" s="324" t="s">
        <v>1</v>
      </c>
      <c r="E3" s="324"/>
      <c r="F3" s="324"/>
      <c r="G3" s="324"/>
      <c r="H3" s="324"/>
      <c r="I3" s="324"/>
      <c r="J3" s="324"/>
      <c r="K3" s="324"/>
      <c r="L3" s="324"/>
      <c r="M3" s="324"/>
      <c r="N3" s="324"/>
      <c r="O3" s="324"/>
      <c r="P3" s="324"/>
      <c r="Q3" s="324"/>
      <c r="R3" s="324"/>
      <c r="S3" s="324"/>
      <c r="T3" s="324"/>
      <c r="U3" s="324"/>
      <c r="V3" s="324"/>
      <c r="W3" s="324"/>
      <c r="X3" s="324"/>
      <c r="Y3" s="326"/>
      <c r="Z3" s="487"/>
    </row>
    <row r="4" spans="1:26" x14ac:dyDescent="0.25">
      <c r="A4" s="486"/>
      <c r="B4" s="323"/>
      <c r="C4" s="323"/>
      <c r="D4" s="324"/>
      <c r="E4" s="324"/>
      <c r="F4" s="324"/>
      <c r="G4" s="324"/>
      <c r="H4" s="324"/>
      <c r="I4" s="324"/>
      <c r="J4" s="324"/>
      <c r="K4" s="324"/>
      <c r="L4" s="324"/>
      <c r="M4" s="324"/>
      <c r="N4" s="324"/>
      <c r="O4" s="324"/>
      <c r="P4" s="324"/>
      <c r="Q4" s="324"/>
      <c r="R4" s="324"/>
      <c r="S4" s="324"/>
      <c r="T4" s="324"/>
      <c r="U4" s="324"/>
      <c r="V4" s="324"/>
      <c r="W4" s="324"/>
      <c r="X4" s="324"/>
      <c r="Y4" s="326"/>
      <c r="Z4" s="487"/>
    </row>
    <row r="5" spans="1:26" x14ac:dyDescent="0.25">
      <c r="A5" s="486"/>
      <c r="B5" s="323" t="s">
        <v>9</v>
      </c>
      <c r="C5" s="323"/>
      <c r="D5" s="324" t="s">
        <v>2</v>
      </c>
      <c r="E5" s="324"/>
      <c r="F5" s="324"/>
      <c r="G5" s="324"/>
      <c r="H5" s="324"/>
      <c r="I5" s="324"/>
      <c r="J5" s="324"/>
      <c r="K5" s="324"/>
      <c r="L5" s="324"/>
      <c r="M5" s="324"/>
      <c r="N5" s="324"/>
      <c r="O5" s="324"/>
      <c r="P5" s="324"/>
      <c r="Q5" s="324"/>
      <c r="R5" s="324"/>
      <c r="S5" s="324"/>
      <c r="T5" s="324"/>
      <c r="U5" s="324"/>
      <c r="V5" s="324"/>
      <c r="W5" s="324"/>
      <c r="X5" s="324"/>
      <c r="Y5" s="326"/>
      <c r="Z5" s="487"/>
    </row>
    <row r="6" spans="1:26" x14ac:dyDescent="0.25">
      <c r="A6" s="486"/>
      <c r="B6" s="323"/>
      <c r="C6" s="323"/>
      <c r="D6" s="324" t="s">
        <v>7</v>
      </c>
      <c r="E6" s="324"/>
      <c r="F6" s="324"/>
      <c r="G6" s="324"/>
      <c r="H6" s="324"/>
      <c r="I6" s="324"/>
      <c r="J6" s="324"/>
      <c r="K6" s="324"/>
      <c r="L6" s="324"/>
      <c r="M6" s="324"/>
      <c r="N6" s="324"/>
      <c r="O6" s="324"/>
      <c r="P6" s="324"/>
      <c r="Q6" s="324"/>
      <c r="R6" s="324"/>
      <c r="S6" s="324"/>
      <c r="T6" s="324"/>
      <c r="U6" s="324"/>
      <c r="V6" s="324"/>
      <c r="W6" s="324"/>
      <c r="X6" s="324"/>
      <c r="Y6" s="326"/>
      <c r="Z6" s="487"/>
    </row>
    <row r="7" spans="1:26" x14ac:dyDescent="0.25">
      <c r="A7" s="486"/>
      <c r="B7" s="323"/>
      <c r="C7" s="323"/>
      <c r="D7" s="324" t="s">
        <v>8</v>
      </c>
      <c r="E7" s="324"/>
      <c r="F7" s="324"/>
      <c r="G7" s="324"/>
      <c r="H7" s="324"/>
      <c r="I7" s="324"/>
      <c r="J7" s="324"/>
      <c r="K7" s="324"/>
      <c r="L7" s="324"/>
      <c r="M7" s="324"/>
      <c r="N7" s="324"/>
      <c r="O7" s="324"/>
      <c r="P7" s="324"/>
      <c r="Q7" s="324"/>
      <c r="R7" s="324"/>
      <c r="S7" s="324"/>
      <c r="T7" s="324"/>
      <c r="U7" s="324"/>
      <c r="V7" s="324"/>
      <c r="W7" s="324"/>
      <c r="X7" s="324"/>
      <c r="Y7" s="326"/>
      <c r="Z7" s="487"/>
    </row>
    <row r="8" spans="1:26" x14ac:dyDescent="0.25">
      <c r="A8" s="486"/>
      <c r="B8" s="323"/>
      <c r="C8" s="323"/>
      <c r="D8" s="327" t="s">
        <v>114</v>
      </c>
      <c r="E8" s="324"/>
      <c r="F8" s="324"/>
      <c r="G8" s="324"/>
      <c r="H8" s="324"/>
      <c r="I8" s="324"/>
      <c r="J8" s="324"/>
      <c r="K8" s="324"/>
      <c r="L8" s="324"/>
      <c r="M8" s="324"/>
      <c r="N8" s="324"/>
      <c r="O8" s="324"/>
      <c r="P8" s="324"/>
      <c r="Q8" s="324"/>
      <c r="R8" s="324"/>
      <c r="S8" s="324"/>
      <c r="T8" s="324"/>
      <c r="U8" s="324"/>
      <c r="V8" s="324"/>
      <c r="W8" s="324"/>
      <c r="X8" s="324"/>
      <c r="Y8" s="326"/>
      <c r="Z8" s="487"/>
    </row>
    <row r="9" spans="1:26" x14ac:dyDescent="0.25">
      <c r="A9" s="486"/>
      <c r="B9" s="323"/>
      <c r="C9" s="323"/>
      <c r="D9" s="324" t="s">
        <v>5</v>
      </c>
      <c r="E9" s="324"/>
      <c r="F9" s="324"/>
      <c r="G9" s="324"/>
      <c r="H9" s="324"/>
      <c r="I9" s="324"/>
      <c r="J9" s="324"/>
      <c r="K9" s="324"/>
      <c r="L9" s="324"/>
      <c r="M9" s="324"/>
      <c r="N9" s="324"/>
      <c r="O9" s="324"/>
      <c r="P9" s="324"/>
      <c r="Q9" s="324"/>
      <c r="R9" s="324"/>
      <c r="S9" s="324"/>
      <c r="T9" s="324"/>
      <c r="U9" s="324"/>
      <c r="V9" s="324"/>
      <c r="W9" s="324"/>
      <c r="X9" s="324"/>
      <c r="Y9" s="326"/>
      <c r="Z9" s="487"/>
    </row>
    <row r="10" spans="1:26" x14ac:dyDescent="0.25">
      <c r="A10" s="486"/>
      <c r="B10" s="323"/>
      <c r="C10" s="323"/>
      <c r="D10" s="324" t="s">
        <v>6</v>
      </c>
      <c r="E10" s="324"/>
      <c r="F10" s="324"/>
      <c r="G10" s="324"/>
      <c r="H10" s="324"/>
      <c r="I10" s="324"/>
      <c r="J10" s="324"/>
      <c r="K10" s="324"/>
      <c r="L10" s="324"/>
      <c r="M10" s="324"/>
      <c r="N10" s="324"/>
      <c r="O10" s="324"/>
      <c r="P10" s="324"/>
      <c r="Q10" s="324"/>
      <c r="R10" s="324"/>
      <c r="S10" s="324"/>
      <c r="T10" s="324"/>
      <c r="U10" s="324"/>
      <c r="V10" s="324"/>
      <c r="W10" s="324"/>
      <c r="X10" s="324"/>
      <c r="Y10" s="326"/>
      <c r="Z10" s="487"/>
    </row>
    <row r="11" spans="1:26" x14ac:dyDescent="0.25">
      <c r="A11" s="486"/>
      <c r="B11" s="323"/>
      <c r="C11" s="323"/>
      <c r="D11" s="324" t="s">
        <v>100</v>
      </c>
      <c r="E11" s="324"/>
      <c r="F11" s="324"/>
      <c r="G11" s="324"/>
      <c r="H11" s="324"/>
      <c r="I11" s="324"/>
      <c r="J11" s="324"/>
      <c r="K11" s="324"/>
      <c r="L11" s="324"/>
      <c r="M11" s="324"/>
      <c r="N11" s="324"/>
      <c r="O11" s="324"/>
      <c r="P11" s="324"/>
      <c r="Q11" s="324"/>
      <c r="R11" s="324"/>
      <c r="S11" s="324"/>
      <c r="T11" s="324"/>
      <c r="U11" s="324"/>
      <c r="V11" s="324"/>
      <c r="W11" s="324"/>
      <c r="X11" s="324"/>
      <c r="Y11" s="326"/>
      <c r="Z11" s="487"/>
    </row>
    <row r="12" spans="1:26" x14ac:dyDescent="0.25">
      <c r="A12" s="486"/>
      <c r="B12" s="323"/>
      <c r="C12" s="323"/>
      <c r="D12" s="324" t="s">
        <v>115</v>
      </c>
      <c r="E12" s="324"/>
      <c r="F12" s="324"/>
      <c r="G12" s="324"/>
      <c r="H12" s="324"/>
      <c r="I12" s="324"/>
      <c r="J12" s="324"/>
      <c r="K12" s="324"/>
      <c r="L12" s="324"/>
      <c r="M12" s="324"/>
      <c r="N12" s="324"/>
      <c r="O12" s="324"/>
      <c r="P12" s="324"/>
      <c r="Q12" s="324"/>
      <c r="R12" s="324"/>
      <c r="S12" s="324"/>
      <c r="T12" s="324"/>
      <c r="U12" s="324"/>
      <c r="V12" s="324"/>
      <c r="W12" s="324"/>
      <c r="X12" s="324"/>
      <c r="Y12" s="326"/>
      <c r="Z12" s="487"/>
    </row>
    <row r="13" spans="1:26" x14ac:dyDescent="0.25">
      <c r="A13" s="486"/>
      <c r="B13" s="323"/>
      <c r="C13" s="323"/>
      <c r="D13" s="324" t="s">
        <v>224</v>
      </c>
      <c r="E13" s="324"/>
      <c r="F13" s="324"/>
      <c r="G13" s="324"/>
      <c r="H13" s="324"/>
      <c r="I13" s="324"/>
      <c r="J13" s="324"/>
      <c r="K13" s="324"/>
      <c r="L13" s="324"/>
      <c r="M13" s="324"/>
      <c r="N13" s="324"/>
      <c r="O13" s="324"/>
      <c r="P13" s="324"/>
      <c r="Q13" s="324"/>
      <c r="R13" s="324"/>
      <c r="S13" s="324"/>
      <c r="T13" s="324"/>
      <c r="U13" s="324"/>
      <c r="V13" s="324"/>
      <c r="W13" s="324"/>
      <c r="X13" s="324"/>
      <c r="Y13" s="326"/>
      <c r="Z13" s="487"/>
    </row>
    <row r="14" spans="1:26" x14ac:dyDescent="0.25">
      <c r="A14" s="486"/>
      <c r="B14" s="323"/>
      <c r="C14" s="323"/>
      <c r="D14" s="324" t="s">
        <v>277</v>
      </c>
      <c r="E14" s="324"/>
      <c r="F14" s="324"/>
      <c r="G14" s="324"/>
      <c r="H14" s="324"/>
      <c r="I14" s="324"/>
      <c r="J14" s="324"/>
      <c r="K14" s="324"/>
      <c r="L14" s="324"/>
      <c r="M14" s="324"/>
      <c r="N14" s="324"/>
      <c r="O14" s="324"/>
      <c r="P14" s="324"/>
      <c r="Q14" s="324"/>
      <c r="R14" s="324"/>
      <c r="S14" s="324"/>
      <c r="T14" s="324"/>
      <c r="U14" s="324"/>
      <c r="V14" s="324"/>
      <c r="W14" s="324"/>
      <c r="X14" s="324"/>
      <c r="Y14" s="326"/>
      <c r="Z14" s="487"/>
    </row>
    <row r="15" spans="1:26" x14ac:dyDescent="0.25">
      <c r="A15" s="486"/>
      <c r="B15" s="323"/>
      <c r="C15" s="323"/>
      <c r="D15" s="324"/>
      <c r="E15" s="324"/>
      <c r="F15" s="324"/>
      <c r="G15" s="324"/>
      <c r="H15" s="324"/>
      <c r="I15" s="324"/>
      <c r="J15" s="324"/>
      <c r="K15" s="324"/>
      <c r="L15" s="324"/>
      <c r="M15" s="324"/>
      <c r="N15" s="324"/>
      <c r="O15" s="324"/>
      <c r="P15" s="324"/>
      <c r="Q15" s="324"/>
      <c r="R15" s="324"/>
      <c r="S15" s="324"/>
      <c r="T15" s="324"/>
      <c r="U15" s="324"/>
      <c r="V15" s="324"/>
      <c r="W15" s="324"/>
      <c r="X15" s="324"/>
      <c r="Y15" s="326"/>
      <c r="Z15" s="487"/>
    </row>
    <row r="16" spans="1:26" x14ac:dyDescent="0.25">
      <c r="A16" s="486"/>
      <c r="B16" s="323" t="s">
        <v>4</v>
      </c>
      <c r="C16" s="323"/>
      <c r="D16" s="324" t="s">
        <v>254</v>
      </c>
      <c r="E16" s="324"/>
      <c r="F16" s="324"/>
      <c r="G16" s="324"/>
      <c r="H16" s="324"/>
      <c r="I16" s="324"/>
      <c r="J16" s="324"/>
      <c r="K16" s="324"/>
      <c r="L16" s="324"/>
      <c r="M16" s="324"/>
      <c r="N16" s="324"/>
      <c r="O16" s="324"/>
      <c r="P16" s="324"/>
      <c r="Q16" s="324"/>
      <c r="R16" s="324"/>
      <c r="S16" s="324"/>
      <c r="T16" s="324"/>
      <c r="U16" s="324"/>
      <c r="V16" s="324"/>
      <c r="W16" s="324"/>
      <c r="X16" s="324"/>
      <c r="Y16" s="326"/>
      <c r="Z16" s="487"/>
    </row>
    <row r="17" spans="1:26" x14ac:dyDescent="0.25">
      <c r="A17" s="486"/>
      <c r="B17" s="323"/>
      <c r="C17" s="323"/>
      <c r="D17" s="323" t="s">
        <v>94</v>
      </c>
      <c r="E17" s="324"/>
      <c r="F17" s="324"/>
      <c r="G17" s="324"/>
      <c r="H17" s="324"/>
      <c r="I17" s="324"/>
      <c r="J17" s="324"/>
      <c r="K17" s="324"/>
      <c r="L17" s="324"/>
      <c r="M17" s="324"/>
      <c r="N17" s="324"/>
      <c r="O17" s="324"/>
      <c r="P17" s="324"/>
      <c r="Q17" s="324"/>
      <c r="R17" s="324"/>
      <c r="S17" s="324"/>
      <c r="T17" s="324"/>
      <c r="U17" s="324"/>
      <c r="V17" s="324"/>
      <c r="W17" s="324"/>
      <c r="X17" s="324" t="s">
        <v>294</v>
      </c>
      <c r="Y17" s="326"/>
      <c r="Z17" s="487"/>
    </row>
    <row r="18" spans="1:26" x14ac:dyDescent="0.25">
      <c r="A18" s="486"/>
      <c r="B18" s="323"/>
      <c r="C18" s="323"/>
      <c r="D18" s="324" t="s">
        <v>10</v>
      </c>
      <c r="E18" s="324"/>
      <c r="F18" s="324"/>
      <c r="G18" s="324"/>
      <c r="H18" s="324"/>
      <c r="I18" s="324"/>
      <c r="J18" s="324"/>
      <c r="K18" s="324"/>
      <c r="L18" s="324"/>
      <c r="M18" s="324"/>
      <c r="N18" s="324"/>
      <c r="O18" s="324"/>
      <c r="P18" s="324"/>
      <c r="Q18" s="324"/>
      <c r="R18" s="324"/>
      <c r="S18" s="324"/>
      <c r="T18" s="324"/>
      <c r="U18" s="324"/>
      <c r="V18" s="324"/>
      <c r="W18" s="324"/>
      <c r="X18" s="324"/>
      <c r="Y18" s="326"/>
      <c r="Z18" s="487"/>
    </row>
    <row r="19" spans="1:26" x14ac:dyDescent="0.25">
      <c r="A19" s="486"/>
      <c r="B19" s="323"/>
      <c r="C19" s="323"/>
      <c r="D19" s="324" t="s">
        <v>11</v>
      </c>
      <c r="E19" s="324"/>
      <c r="F19" s="324"/>
      <c r="G19" s="324"/>
      <c r="H19" s="324"/>
      <c r="I19" s="324"/>
      <c r="J19" s="324"/>
      <c r="K19" s="324"/>
      <c r="L19" s="324"/>
      <c r="M19" s="324"/>
      <c r="N19" s="324"/>
      <c r="O19" s="324"/>
      <c r="P19" s="324"/>
      <c r="Q19" s="324"/>
      <c r="R19" s="324"/>
      <c r="S19" s="324"/>
      <c r="T19" s="324"/>
      <c r="U19" s="324"/>
      <c r="V19" s="324"/>
      <c r="W19" s="324"/>
      <c r="X19" s="324"/>
      <c r="Y19" s="326"/>
      <c r="Z19" s="487"/>
    </row>
    <row r="20" spans="1:26" x14ac:dyDescent="0.25">
      <c r="A20" s="486"/>
      <c r="B20" s="323"/>
      <c r="C20" s="323"/>
      <c r="D20" s="324" t="s">
        <v>108</v>
      </c>
      <c r="E20" s="324"/>
      <c r="F20" s="324"/>
      <c r="G20" s="324"/>
      <c r="H20" s="324"/>
      <c r="I20" s="324"/>
      <c r="J20" s="324"/>
      <c r="K20" s="324"/>
      <c r="L20" s="324"/>
      <c r="M20" s="324"/>
      <c r="N20" s="324"/>
      <c r="O20" s="324"/>
      <c r="P20" s="324"/>
      <c r="Q20" s="324"/>
      <c r="R20" s="324"/>
      <c r="S20" s="324"/>
      <c r="T20" s="324"/>
      <c r="U20" s="324"/>
      <c r="V20" s="324"/>
      <c r="W20" s="324"/>
      <c r="X20" s="324"/>
      <c r="Y20" s="326"/>
      <c r="Z20" s="487"/>
    </row>
    <row r="21" spans="1:26" x14ac:dyDescent="0.25">
      <c r="A21" s="486"/>
      <c r="B21" s="323"/>
      <c r="C21" s="323"/>
      <c r="D21" s="324" t="s">
        <v>70</v>
      </c>
      <c r="E21" s="324"/>
      <c r="F21" s="324"/>
      <c r="G21" s="324"/>
      <c r="H21" s="324"/>
      <c r="I21" s="324"/>
      <c r="J21" s="324"/>
      <c r="K21" s="324"/>
      <c r="L21" s="324"/>
      <c r="M21" s="324"/>
      <c r="N21" s="324"/>
      <c r="O21" s="324"/>
      <c r="P21" s="324"/>
      <c r="Q21" s="324"/>
      <c r="R21" s="324"/>
      <c r="S21" s="324"/>
      <c r="T21" s="324"/>
      <c r="U21" s="324"/>
      <c r="V21" s="324"/>
      <c r="W21" s="324"/>
      <c r="X21" s="324"/>
      <c r="Y21" s="326"/>
      <c r="Z21" s="487"/>
    </row>
    <row r="22" spans="1:26" x14ac:dyDescent="0.25">
      <c r="A22" s="486"/>
      <c r="B22" s="323"/>
      <c r="C22" s="323"/>
      <c r="D22" s="324" t="s">
        <v>109</v>
      </c>
      <c r="E22" s="324"/>
      <c r="F22" s="324"/>
      <c r="G22" s="324"/>
      <c r="H22" s="324"/>
      <c r="I22" s="324"/>
      <c r="J22" s="324"/>
      <c r="K22" s="324"/>
      <c r="L22" s="324"/>
      <c r="M22" s="324"/>
      <c r="N22" s="324"/>
      <c r="O22" s="324"/>
      <c r="P22" s="324"/>
      <c r="Q22" s="324"/>
      <c r="R22" s="324"/>
      <c r="S22" s="324"/>
      <c r="T22" s="324"/>
      <c r="U22" s="324"/>
      <c r="V22" s="324"/>
      <c r="W22" s="324"/>
      <c r="X22" s="324"/>
      <c r="Y22" s="326"/>
      <c r="Z22" s="487"/>
    </row>
    <row r="23" spans="1:26" x14ac:dyDescent="0.25">
      <c r="A23" s="486"/>
      <c r="B23" s="323"/>
      <c r="C23" s="323"/>
      <c r="D23" s="324"/>
      <c r="E23" s="324"/>
      <c r="F23" s="324"/>
      <c r="G23" s="324"/>
      <c r="H23" s="324"/>
      <c r="I23" s="324"/>
      <c r="J23" s="324"/>
      <c r="K23" s="324"/>
      <c r="L23" s="324"/>
      <c r="M23" s="324"/>
      <c r="N23" s="324"/>
      <c r="O23" s="324"/>
      <c r="P23" s="324"/>
      <c r="Q23" s="324"/>
      <c r="R23" s="324"/>
      <c r="S23" s="324"/>
      <c r="T23" s="324"/>
      <c r="U23" s="324"/>
      <c r="V23" s="324"/>
      <c r="W23" s="324"/>
      <c r="X23" s="324"/>
      <c r="Y23" s="326"/>
      <c r="Z23" s="487"/>
    </row>
    <row r="24" spans="1:26" x14ac:dyDescent="0.25">
      <c r="A24" s="486"/>
      <c r="B24" s="323" t="s">
        <v>12</v>
      </c>
      <c r="C24" s="323"/>
      <c r="D24" s="324" t="s">
        <v>13</v>
      </c>
      <c r="E24" s="324"/>
      <c r="F24" s="324"/>
      <c r="G24" s="324"/>
      <c r="H24" s="324"/>
      <c r="I24" s="324"/>
      <c r="J24" s="324"/>
      <c r="K24" s="324"/>
      <c r="L24" s="324"/>
      <c r="M24" s="324"/>
      <c r="N24" s="324"/>
      <c r="O24" s="324"/>
      <c r="P24" s="324"/>
      <c r="Q24" s="324"/>
      <c r="R24" s="324"/>
      <c r="S24" s="324"/>
      <c r="T24" s="324"/>
      <c r="U24" s="324"/>
      <c r="V24" s="324"/>
      <c r="W24" s="324"/>
      <c r="X24" s="324"/>
      <c r="Y24" s="326"/>
      <c r="Z24" s="487"/>
    </row>
    <row r="25" spans="1:26" x14ac:dyDescent="0.25">
      <c r="A25" s="486"/>
      <c r="B25" s="323"/>
      <c r="C25" s="323"/>
      <c r="D25" s="324" t="s">
        <v>116</v>
      </c>
      <c r="E25" s="324"/>
      <c r="F25" s="324"/>
      <c r="G25" s="324"/>
      <c r="H25" s="324"/>
      <c r="I25" s="324"/>
      <c r="J25" s="324"/>
      <c r="K25" s="324"/>
      <c r="L25" s="324"/>
      <c r="M25" s="324"/>
      <c r="N25" s="324"/>
      <c r="O25" s="324"/>
      <c r="P25" s="324"/>
      <c r="Q25" s="324"/>
      <c r="R25" s="324"/>
      <c r="S25" s="324"/>
      <c r="T25" s="324"/>
      <c r="U25" s="324"/>
      <c r="V25" s="324"/>
      <c r="W25" s="324"/>
      <c r="X25" s="324"/>
      <c r="Y25" s="326"/>
      <c r="Z25" s="487"/>
    </row>
    <row r="26" spans="1:26" x14ac:dyDescent="0.25">
      <c r="A26" s="486"/>
      <c r="B26" s="323"/>
      <c r="C26" s="323"/>
      <c r="D26" s="324" t="s">
        <v>117</v>
      </c>
      <c r="E26" s="324"/>
      <c r="F26" s="324"/>
      <c r="G26" s="324"/>
      <c r="H26" s="324"/>
      <c r="I26" s="324"/>
      <c r="J26" s="324"/>
      <c r="K26" s="324"/>
      <c r="L26" s="324"/>
      <c r="M26" s="324"/>
      <c r="N26" s="324"/>
      <c r="O26" s="324"/>
      <c r="P26" s="324"/>
      <c r="Q26" s="324"/>
      <c r="R26" s="324"/>
      <c r="S26" s="324"/>
      <c r="T26" s="324"/>
      <c r="U26" s="324"/>
      <c r="V26" s="324"/>
      <c r="W26" s="324"/>
      <c r="X26" s="324"/>
      <c r="Y26" s="326"/>
      <c r="Z26" s="487"/>
    </row>
    <row r="27" spans="1:26" x14ac:dyDescent="0.25">
      <c r="A27" s="486"/>
      <c r="B27" s="323"/>
      <c r="C27" s="323"/>
      <c r="D27" s="324" t="s">
        <v>14</v>
      </c>
      <c r="E27" s="324"/>
      <c r="F27" s="324"/>
      <c r="G27" s="324"/>
      <c r="H27" s="324"/>
      <c r="I27" s="324"/>
      <c r="J27" s="324"/>
      <c r="K27" s="324"/>
      <c r="L27" s="324"/>
      <c r="M27" s="324"/>
      <c r="N27" s="324"/>
      <c r="O27" s="324"/>
      <c r="P27" s="324"/>
      <c r="Q27" s="324"/>
      <c r="R27" s="324"/>
      <c r="S27" s="324"/>
      <c r="T27" s="324"/>
      <c r="U27" s="324"/>
      <c r="V27" s="324"/>
      <c r="W27" s="324"/>
      <c r="X27" s="324"/>
      <c r="Y27" s="326"/>
      <c r="Z27" s="487"/>
    </row>
    <row r="28" spans="1:26" x14ac:dyDescent="0.25">
      <c r="A28" s="486"/>
      <c r="B28" s="323"/>
      <c r="C28" s="323"/>
      <c r="D28" s="324" t="s">
        <v>15</v>
      </c>
      <c r="E28" s="324"/>
      <c r="F28" s="324"/>
      <c r="G28" s="324"/>
      <c r="H28" s="324"/>
      <c r="I28" s="324"/>
      <c r="J28" s="324"/>
      <c r="K28" s="324"/>
      <c r="L28" s="324"/>
      <c r="M28" s="324"/>
      <c r="N28" s="324"/>
      <c r="O28" s="324"/>
      <c r="P28" s="324"/>
      <c r="Q28" s="324"/>
      <c r="R28" s="324"/>
      <c r="S28" s="324"/>
      <c r="T28" s="324"/>
      <c r="U28" s="324"/>
      <c r="V28" s="324"/>
      <c r="W28" s="324"/>
      <c r="X28" s="324"/>
      <c r="Y28" s="326"/>
      <c r="Z28" s="487"/>
    </row>
    <row r="29" spans="1:26" x14ac:dyDescent="0.25">
      <c r="A29" s="486"/>
      <c r="B29" s="323"/>
      <c r="C29" s="323"/>
      <c r="D29" s="324" t="s">
        <v>16</v>
      </c>
      <c r="E29" s="324"/>
      <c r="F29" s="324"/>
      <c r="G29" s="324"/>
      <c r="H29" s="324"/>
      <c r="I29" s="324"/>
      <c r="J29" s="324"/>
      <c r="K29" s="324"/>
      <c r="L29" s="324"/>
      <c r="M29" s="324"/>
      <c r="N29" s="324"/>
      <c r="O29" s="324"/>
      <c r="P29" s="324"/>
      <c r="Q29" s="324"/>
      <c r="R29" s="324"/>
      <c r="S29" s="324"/>
      <c r="T29" s="324"/>
      <c r="U29" s="324"/>
      <c r="V29" s="324"/>
      <c r="W29" s="324"/>
      <c r="X29" s="324"/>
      <c r="Y29" s="326"/>
      <c r="Z29" s="487"/>
    </row>
    <row r="30" spans="1:26" x14ac:dyDescent="0.25">
      <c r="A30" s="486"/>
      <c r="B30" s="323"/>
      <c r="C30" s="323"/>
      <c r="D30" s="324" t="s">
        <v>255</v>
      </c>
      <c r="E30" s="324"/>
      <c r="F30" s="324"/>
      <c r="G30" s="324"/>
      <c r="H30" s="324"/>
      <c r="I30" s="324"/>
      <c r="J30" s="324"/>
      <c r="K30" s="324"/>
      <c r="L30" s="324"/>
      <c r="M30" s="324"/>
      <c r="N30" s="324"/>
      <c r="O30" s="324"/>
      <c r="P30" s="324"/>
      <c r="Q30" s="324"/>
      <c r="R30" s="324"/>
      <c r="S30" s="324"/>
      <c r="T30" s="324"/>
      <c r="U30" s="324"/>
      <c r="V30" s="324"/>
      <c r="W30" s="324"/>
      <c r="X30" s="324"/>
      <c r="Y30" s="326"/>
      <c r="Z30" s="487"/>
    </row>
    <row r="31" spans="1:26" x14ac:dyDescent="0.25">
      <c r="A31" s="486"/>
      <c r="B31" s="323"/>
      <c r="C31" s="323"/>
      <c r="D31" s="324" t="s">
        <v>256</v>
      </c>
      <c r="E31" s="324"/>
      <c r="F31" s="324"/>
      <c r="G31" s="324"/>
      <c r="H31" s="324"/>
      <c r="I31" s="324"/>
      <c r="J31" s="324"/>
      <c r="K31" s="324"/>
      <c r="L31" s="324"/>
      <c r="M31" s="324"/>
      <c r="N31" s="324"/>
      <c r="O31" s="324"/>
      <c r="P31" s="324"/>
      <c r="Q31" s="324"/>
      <c r="R31" s="324"/>
      <c r="S31" s="324"/>
      <c r="T31" s="324"/>
      <c r="U31" s="324"/>
      <c r="V31" s="324"/>
      <c r="W31" s="324"/>
      <c r="X31" s="324"/>
      <c r="Y31" s="326"/>
      <c r="Z31" s="487"/>
    </row>
    <row r="32" spans="1:26" x14ac:dyDescent="0.25">
      <c r="A32" s="486"/>
      <c r="B32" s="323"/>
      <c r="C32" s="323"/>
      <c r="D32" s="324" t="s">
        <v>206</v>
      </c>
      <c r="E32" s="324"/>
      <c r="F32" s="324"/>
      <c r="G32" s="324"/>
      <c r="H32" s="324"/>
      <c r="I32" s="324"/>
      <c r="J32" s="324"/>
      <c r="K32" s="324"/>
      <c r="L32" s="324"/>
      <c r="M32" s="324"/>
      <c r="N32" s="324"/>
      <c r="O32" s="324"/>
      <c r="P32" s="324"/>
      <c r="Q32" s="324"/>
      <c r="R32" s="324"/>
      <c r="S32" s="324"/>
      <c r="T32" s="324"/>
      <c r="U32" s="324"/>
      <c r="V32" s="324"/>
      <c r="W32" s="324"/>
      <c r="X32" s="324"/>
      <c r="Y32" s="326"/>
      <c r="Z32" s="487"/>
    </row>
    <row r="33" spans="1:26" x14ac:dyDescent="0.25">
      <c r="A33" s="486"/>
      <c r="B33" s="323"/>
      <c r="C33" s="323"/>
      <c r="D33" s="324"/>
      <c r="E33" s="324"/>
      <c r="F33" s="324"/>
      <c r="G33" s="324"/>
      <c r="H33" s="324"/>
      <c r="I33" s="324"/>
      <c r="J33" s="324"/>
      <c r="K33" s="324"/>
      <c r="L33" s="324"/>
      <c r="M33" s="324"/>
      <c r="N33" s="324"/>
      <c r="O33" s="324"/>
      <c r="P33" s="324"/>
      <c r="Q33" s="324"/>
      <c r="R33" s="324"/>
      <c r="S33" s="324"/>
      <c r="T33" s="324"/>
      <c r="U33" s="324"/>
      <c r="V33" s="324"/>
      <c r="W33" s="324"/>
      <c r="X33" s="324"/>
      <c r="Y33" s="326"/>
      <c r="Z33" s="487"/>
    </row>
    <row r="34" spans="1:26" x14ac:dyDescent="0.25">
      <c r="A34" s="486"/>
      <c r="B34" s="323" t="s">
        <v>17</v>
      </c>
      <c r="C34" s="323"/>
      <c r="D34" s="324" t="s">
        <v>18</v>
      </c>
      <c r="E34" s="324"/>
      <c r="F34" s="324"/>
      <c r="G34" s="324"/>
      <c r="H34" s="324"/>
      <c r="I34" s="324"/>
      <c r="J34" s="324"/>
      <c r="K34" s="324"/>
      <c r="L34" s="324"/>
      <c r="M34" s="324"/>
      <c r="N34" s="324"/>
      <c r="O34" s="324"/>
      <c r="P34" s="324"/>
      <c r="Q34" s="324"/>
      <c r="R34" s="324"/>
      <c r="S34" s="324"/>
      <c r="T34" s="324"/>
      <c r="U34" s="324"/>
      <c r="V34" s="324"/>
      <c r="W34" s="324"/>
      <c r="X34" s="324"/>
      <c r="Y34" s="326"/>
      <c r="Z34" s="487"/>
    </row>
    <row r="35" spans="1:26" x14ac:dyDescent="0.25">
      <c r="A35" s="486"/>
      <c r="B35" s="323"/>
      <c r="C35" s="323"/>
      <c r="D35" s="324" t="s">
        <v>19</v>
      </c>
      <c r="E35" s="324"/>
      <c r="F35" s="324"/>
      <c r="G35" s="324"/>
      <c r="H35" s="324"/>
      <c r="I35" s="324"/>
      <c r="J35" s="324"/>
      <c r="K35" s="324"/>
      <c r="L35" s="324"/>
      <c r="M35" s="324"/>
      <c r="N35" s="324"/>
      <c r="O35" s="324"/>
      <c r="P35" s="324"/>
      <c r="Q35" s="324"/>
      <c r="R35" s="324"/>
      <c r="S35" s="324"/>
      <c r="T35" s="324"/>
      <c r="U35" s="324"/>
      <c r="V35" s="324"/>
      <c r="W35" s="324"/>
      <c r="X35" s="324"/>
      <c r="Y35" s="326"/>
      <c r="Z35" s="487"/>
    </row>
    <row r="36" spans="1:26" x14ac:dyDescent="0.25">
      <c r="A36" s="486"/>
      <c r="B36" s="323"/>
      <c r="C36" s="323"/>
      <c r="D36" s="324" t="s">
        <v>215</v>
      </c>
      <c r="E36" s="324"/>
      <c r="F36" s="324"/>
      <c r="G36" s="324"/>
      <c r="H36" s="324"/>
      <c r="I36" s="324"/>
      <c r="J36" s="324"/>
      <c r="K36" s="324"/>
      <c r="L36" s="324"/>
      <c r="M36" s="324"/>
      <c r="N36" s="324"/>
      <c r="O36" s="324"/>
      <c r="P36" s="324"/>
      <c r="Q36" s="324"/>
      <c r="R36" s="324"/>
      <c r="S36" s="324"/>
      <c r="T36" s="324"/>
      <c r="U36" s="324"/>
      <c r="V36" s="324"/>
      <c r="W36" s="324"/>
      <c r="X36" s="324"/>
      <c r="Y36" s="326"/>
      <c r="Z36" s="487"/>
    </row>
    <row r="37" spans="1:26" x14ac:dyDescent="0.25">
      <c r="A37" s="486"/>
      <c r="B37" s="323"/>
      <c r="C37" s="323"/>
      <c r="D37" s="324" t="s">
        <v>216</v>
      </c>
      <c r="E37" s="324"/>
      <c r="F37" s="324"/>
      <c r="G37" s="324"/>
      <c r="H37" s="324"/>
      <c r="I37" s="324"/>
      <c r="J37" s="324"/>
      <c r="K37" s="324"/>
      <c r="L37" s="324"/>
      <c r="M37" s="324"/>
      <c r="N37" s="324"/>
      <c r="O37" s="324"/>
      <c r="P37" s="324"/>
      <c r="Q37" s="324"/>
      <c r="R37" s="324"/>
      <c r="S37" s="324"/>
      <c r="T37" s="324"/>
      <c r="U37" s="324"/>
      <c r="V37" s="324"/>
      <c r="W37" s="324"/>
      <c r="X37" s="324"/>
      <c r="Y37" s="326"/>
      <c r="Z37" s="487"/>
    </row>
    <row r="38" spans="1:26" x14ac:dyDescent="0.25">
      <c r="A38" s="486"/>
      <c r="B38" s="323"/>
      <c r="C38" s="323"/>
      <c r="D38" s="324" t="s">
        <v>247</v>
      </c>
      <c r="E38" s="324"/>
      <c r="F38" s="324"/>
      <c r="G38" s="324"/>
      <c r="H38" s="324"/>
      <c r="I38" s="324"/>
      <c r="J38" s="324"/>
      <c r="K38" s="324"/>
      <c r="L38" s="324"/>
      <c r="M38" s="324"/>
      <c r="N38" s="324"/>
      <c r="O38" s="324"/>
      <c r="P38" s="324"/>
      <c r="Q38" s="324"/>
      <c r="R38" s="324"/>
      <c r="S38" s="324"/>
      <c r="T38" s="324"/>
      <c r="U38" s="324"/>
      <c r="V38" s="324"/>
      <c r="W38" s="324"/>
      <c r="X38" s="324"/>
      <c r="Y38" s="326"/>
      <c r="Z38" s="487"/>
    </row>
    <row r="39" spans="1:26" x14ac:dyDescent="0.25">
      <c r="A39" s="486"/>
      <c r="B39" s="323"/>
      <c r="C39" s="323"/>
      <c r="D39" s="324" t="s">
        <v>248</v>
      </c>
      <c r="E39" s="324"/>
      <c r="F39" s="324"/>
      <c r="G39" s="324"/>
      <c r="H39" s="324"/>
      <c r="I39" s="324"/>
      <c r="J39" s="324"/>
      <c r="K39" s="324"/>
      <c r="L39" s="324"/>
      <c r="M39" s="324"/>
      <c r="N39" s="324"/>
      <c r="O39" s="324"/>
      <c r="P39" s="324"/>
      <c r="Q39" s="324"/>
      <c r="R39" s="324"/>
      <c r="S39" s="324"/>
      <c r="T39" s="324"/>
      <c r="U39" s="324"/>
      <c r="V39" s="324"/>
      <c r="W39" s="324"/>
      <c r="X39" s="324"/>
      <c r="Y39" s="326"/>
      <c r="Z39" s="487"/>
    </row>
    <row r="40" spans="1:26" x14ac:dyDescent="0.25">
      <c r="A40" s="486"/>
      <c r="B40" s="323"/>
      <c r="C40" s="323"/>
      <c r="D40" s="324"/>
      <c r="E40" s="324"/>
      <c r="F40" s="324"/>
      <c r="G40" s="324"/>
      <c r="H40" s="324"/>
      <c r="I40" s="324"/>
      <c r="J40" s="324"/>
      <c r="K40" s="324"/>
      <c r="L40" s="324"/>
      <c r="M40" s="324"/>
      <c r="N40" s="324"/>
      <c r="O40" s="324"/>
      <c r="P40" s="324"/>
      <c r="Q40" s="324"/>
      <c r="R40" s="324"/>
      <c r="S40" s="324"/>
      <c r="T40" s="324"/>
      <c r="U40" s="324"/>
      <c r="V40" s="324"/>
      <c r="W40" s="324"/>
      <c r="X40" s="324"/>
      <c r="Y40" s="326"/>
      <c r="Z40" s="487"/>
    </row>
    <row r="41" spans="1:26" x14ac:dyDescent="0.25">
      <c r="A41" s="486"/>
      <c r="B41" s="323"/>
      <c r="C41" s="323"/>
      <c r="D41" s="324" t="s">
        <v>125</v>
      </c>
      <c r="E41" s="324"/>
      <c r="F41" s="324"/>
      <c r="G41" s="324"/>
      <c r="H41" s="324"/>
      <c r="I41" s="324"/>
      <c r="J41" s="324"/>
      <c r="K41" s="324"/>
      <c r="L41" s="324"/>
      <c r="M41" s="324"/>
      <c r="N41" s="324"/>
      <c r="O41" s="324"/>
      <c r="P41" s="324"/>
      <c r="Q41" s="324"/>
      <c r="R41" s="324"/>
      <c r="S41" s="324"/>
      <c r="T41" s="324"/>
      <c r="U41" s="324"/>
      <c r="V41" s="324"/>
      <c r="W41" s="324"/>
      <c r="X41" s="324"/>
      <c r="Y41" s="326"/>
      <c r="Z41" s="487"/>
    </row>
    <row r="42" spans="1:26" x14ac:dyDescent="0.25">
      <c r="A42" s="486"/>
      <c r="B42" s="323"/>
      <c r="C42" s="323"/>
      <c r="D42" s="324" t="s">
        <v>126</v>
      </c>
      <c r="E42" s="324"/>
      <c r="F42" s="324"/>
      <c r="G42" s="324"/>
      <c r="H42" s="324"/>
      <c r="I42" s="324"/>
      <c r="J42" s="324"/>
      <c r="K42" s="324"/>
      <c r="L42" s="324"/>
      <c r="M42" s="324"/>
      <c r="N42" s="324"/>
      <c r="O42" s="324"/>
      <c r="P42" s="324"/>
      <c r="Q42" s="324"/>
      <c r="R42" s="324"/>
      <c r="S42" s="324"/>
      <c r="T42" s="324"/>
      <c r="U42" s="324"/>
      <c r="V42" s="324"/>
      <c r="W42" s="324"/>
      <c r="X42" s="324"/>
      <c r="Y42" s="326"/>
      <c r="Z42" s="487"/>
    </row>
    <row r="43" spans="1:26" x14ac:dyDescent="0.25">
      <c r="A43" s="486"/>
      <c r="B43" s="323"/>
      <c r="C43" s="323"/>
      <c r="D43" s="324" t="s">
        <v>127</v>
      </c>
      <c r="E43" s="324"/>
      <c r="F43" s="324"/>
      <c r="G43" s="324"/>
      <c r="H43" s="324"/>
      <c r="I43" s="324"/>
      <c r="J43" s="324"/>
      <c r="K43" s="324"/>
      <c r="L43" s="324"/>
      <c r="M43" s="324"/>
      <c r="N43" s="324"/>
      <c r="O43" s="324"/>
      <c r="P43" s="324"/>
      <c r="Q43" s="324"/>
      <c r="R43" s="324"/>
      <c r="S43" s="324"/>
      <c r="T43" s="324"/>
      <c r="U43" s="324"/>
      <c r="V43" s="324"/>
      <c r="W43" s="324"/>
      <c r="X43" s="324"/>
      <c r="Y43" s="326"/>
      <c r="Z43" s="487"/>
    </row>
    <row r="44" spans="1:26" x14ac:dyDescent="0.25">
      <c r="A44" s="486"/>
      <c r="B44" s="323"/>
      <c r="C44" s="323"/>
      <c r="D44" s="324" t="s">
        <v>128</v>
      </c>
      <c r="E44" s="324"/>
      <c r="F44" s="324"/>
      <c r="G44" s="324"/>
      <c r="H44" s="324"/>
      <c r="I44" s="324"/>
      <c r="J44" s="324"/>
      <c r="K44" s="324"/>
      <c r="L44" s="324"/>
      <c r="M44" s="324"/>
      <c r="N44" s="324"/>
      <c r="O44" s="324"/>
      <c r="P44" s="324"/>
      <c r="Q44" s="324"/>
      <c r="R44" s="324"/>
      <c r="S44" s="324"/>
      <c r="T44" s="324"/>
      <c r="U44" s="324"/>
      <c r="V44" s="324"/>
      <c r="W44" s="324"/>
      <c r="X44" s="324"/>
      <c r="Y44" s="326"/>
      <c r="Z44" s="487"/>
    </row>
    <row r="45" spans="1:26" x14ac:dyDescent="0.25">
      <c r="A45" s="486"/>
      <c r="B45" s="323"/>
      <c r="C45" s="323"/>
      <c r="D45" s="324" t="s">
        <v>229</v>
      </c>
      <c r="E45" s="324"/>
      <c r="F45" s="324"/>
      <c r="G45" s="324"/>
      <c r="H45" s="324"/>
      <c r="I45" s="324"/>
      <c r="J45" s="324"/>
      <c r="K45" s="324"/>
      <c r="L45" s="324"/>
      <c r="M45" s="324"/>
      <c r="N45" s="324"/>
      <c r="O45" s="324"/>
      <c r="P45" s="324"/>
      <c r="Q45" s="324"/>
      <c r="R45" s="324"/>
      <c r="S45" s="324"/>
      <c r="T45" s="324"/>
      <c r="U45" s="324"/>
      <c r="V45" s="324"/>
      <c r="W45" s="324"/>
      <c r="X45" s="324"/>
      <c r="Y45" s="326"/>
      <c r="Z45" s="487"/>
    </row>
    <row r="46" spans="1:26" x14ac:dyDescent="0.25">
      <c r="A46" s="486"/>
      <c r="B46" s="323"/>
      <c r="C46" s="323"/>
      <c r="D46" s="324" t="s">
        <v>306</v>
      </c>
      <c r="E46" s="324"/>
      <c r="F46" s="324"/>
      <c r="G46" s="324"/>
      <c r="H46" s="324"/>
      <c r="I46" s="324"/>
      <c r="J46" s="324"/>
      <c r="K46" s="324"/>
      <c r="L46" s="324"/>
      <c r="M46" s="324"/>
      <c r="N46" s="324"/>
      <c r="O46" s="324"/>
      <c r="P46" s="324"/>
      <c r="Q46" s="324"/>
      <c r="R46" s="324"/>
      <c r="S46" s="324"/>
      <c r="T46" s="324"/>
      <c r="U46" s="324"/>
      <c r="V46" s="324"/>
      <c r="W46" s="324"/>
      <c r="X46" s="324"/>
      <c r="Y46" s="326"/>
      <c r="Z46" s="487"/>
    </row>
    <row r="47" spans="1:26" x14ac:dyDescent="0.25">
      <c r="A47" s="486"/>
      <c r="B47" s="323"/>
      <c r="C47" s="323"/>
      <c r="D47" s="324"/>
      <c r="E47" s="324"/>
      <c r="F47" s="324"/>
      <c r="G47" s="324"/>
      <c r="H47" s="324"/>
      <c r="I47" s="324"/>
      <c r="J47" s="324"/>
      <c r="K47" s="324"/>
      <c r="L47" s="324"/>
      <c r="M47" s="324"/>
      <c r="N47" s="324"/>
      <c r="O47" s="324"/>
      <c r="P47" s="324"/>
      <c r="Q47" s="324"/>
      <c r="R47" s="324"/>
      <c r="S47" s="324"/>
      <c r="T47" s="324"/>
      <c r="U47" s="324"/>
      <c r="V47" s="324"/>
      <c r="W47" s="324"/>
      <c r="X47" s="324"/>
      <c r="Y47" s="326"/>
      <c r="Z47" s="487"/>
    </row>
    <row r="48" spans="1:26" x14ac:dyDescent="0.25">
      <c r="A48" s="486"/>
      <c r="B48" s="323"/>
      <c r="C48" s="323"/>
      <c r="D48" s="324" t="s">
        <v>257</v>
      </c>
      <c r="E48" s="324"/>
      <c r="F48" s="324"/>
      <c r="G48" s="324"/>
      <c r="H48" s="324"/>
      <c r="I48" s="324"/>
      <c r="J48" s="324"/>
      <c r="K48" s="324"/>
      <c r="L48" s="324"/>
      <c r="M48" s="324"/>
      <c r="N48" s="324"/>
      <c r="O48" s="324"/>
      <c r="P48" s="324"/>
      <c r="Q48" s="324"/>
      <c r="R48" s="324"/>
      <c r="S48" s="324"/>
      <c r="T48" s="324"/>
      <c r="U48" s="324"/>
      <c r="V48" s="324"/>
      <c r="W48" s="324"/>
      <c r="X48" s="324"/>
      <c r="Y48" s="326"/>
      <c r="Z48" s="487"/>
    </row>
    <row r="49" spans="1:26" x14ac:dyDescent="0.25">
      <c r="A49" s="486"/>
      <c r="B49" s="323"/>
      <c r="C49" s="323"/>
      <c r="D49" s="324" t="s">
        <v>111</v>
      </c>
      <c r="E49" s="324"/>
      <c r="F49" s="324"/>
      <c r="G49" s="324"/>
      <c r="H49" s="324"/>
      <c r="I49" s="324"/>
      <c r="J49" s="324"/>
      <c r="K49" s="324"/>
      <c r="L49" s="324"/>
      <c r="M49" s="324"/>
      <c r="N49" s="324"/>
      <c r="O49" s="324"/>
      <c r="P49" s="324"/>
      <c r="Q49" s="324"/>
      <c r="R49" s="324"/>
      <c r="S49" s="324"/>
      <c r="T49" s="324"/>
      <c r="U49" s="324"/>
      <c r="V49" s="324"/>
      <c r="W49" s="324"/>
      <c r="X49" s="324"/>
      <c r="Y49" s="326"/>
      <c r="Z49" s="487"/>
    </row>
    <row r="50" spans="1:26" x14ac:dyDescent="0.25">
      <c r="A50" s="486"/>
      <c r="B50" s="323"/>
      <c r="C50" s="323"/>
      <c r="D50" s="324"/>
      <c r="E50" s="324"/>
      <c r="F50" s="324"/>
      <c r="G50" s="324"/>
      <c r="H50" s="324"/>
      <c r="I50" s="324"/>
      <c r="J50" s="324"/>
      <c r="K50" s="324"/>
      <c r="L50" s="324"/>
      <c r="M50" s="324"/>
      <c r="N50" s="324"/>
      <c r="O50" s="324"/>
      <c r="P50" s="324"/>
      <c r="Q50" s="324"/>
      <c r="R50" s="324"/>
      <c r="S50" s="324"/>
      <c r="T50" s="324"/>
      <c r="U50" s="324"/>
      <c r="V50" s="324"/>
      <c r="W50" s="324"/>
      <c r="X50" s="324"/>
      <c r="Y50" s="326"/>
      <c r="Z50" s="487"/>
    </row>
    <row r="51" spans="1:26" x14ac:dyDescent="0.25">
      <c r="A51" s="486"/>
      <c r="B51" s="323" t="s">
        <v>28</v>
      </c>
      <c r="C51" s="323"/>
      <c r="D51" s="324" t="s">
        <v>295</v>
      </c>
      <c r="E51" s="324"/>
      <c r="F51" s="324"/>
      <c r="G51" s="324"/>
      <c r="H51" s="324"/>
      <c r="I51" s="324"/>
      <c r="J51" s="324"/>
      <c r="K51" s="324"/>
      <c r="L51" s="324"/>
      <c r="M51" s="324"/>
      <c r="N51" s="324"/>
      <c r="O51" s="324"/>
      <c r="P51" s="324"/>
      <c r="Q51" s="324"/>
      <c r="R51" s="324"/>
      <c r="S51" s="324"/>
      <c r="T51" s="324"/>
      <c r="U51" s="324"/>
      <c r="V51" s="324"/>
      <c r="W51" s="324"/>
      <c r="X51" s="324"/>
      <c r="Y51" s="326"/>
      <c r="Z51" s="487"/>
    </row>
    <row r="52" spans="1:26" x14ac:dyDescent="0.25">
      <c r="A52" s="486"/>
      <c r="B52" s="323"/>
      <c r="C52" s="323"/>
      <c r="D52" s="324" t="s">
        <v>296</v>
      </c>
      <c r="E52" s="324"/>
      <c r="F52" s="324"/>
      <c r="G52" s="324"/>
      <c r="H52" s="324"/>
      <c r="I52" s="324"/>
      <c r="J52" s="324"/>
      <c r="K52" s="324"/>
      <c r="L52" s="324"/>
      <c r="M52" s="324"/>
      <c r="N52" s="324"/>
      <c r="O52" s="324"/>
      <c r="P52" s="324"/>
      <c r="Q52" s="324"/>
      <c r="R52" s="324"/>
      <c r="S52" s="324"/>
      <c r="T52" s="324"/>
      <c r="U52" s="324"/>
      <c r="V52" s="324"/>
      <c r="W52" s="324"/>
      <c r="X52" s="324"/>
      <c r="Y52" s="326"/>
      <c r="Z52" s="487"/>
    </row>
    <row r="53" spans="1:26" ht="16.5" customHeight="1" x14ac:dyDescent="0.25">
      <c r="A53" s="486"/>
      <c r="B53" s="324"/>
      <c r="C53" s="324"/>
      <c r="D53" s="324"/>
      <c r="E53" s="324"/>
      <c r="F53" s="324"/>
      <c r="G53" s="324"/>
      <c r="H53" s="324"/>
      <c r="I53" s="324"/>
      <c r="J53" s="328"/>
      <c r="K53" s="324"/>
      <c r="L53" s="324"/>
      <c r="M53" s="324"/>
      <c r="N53" s="324"/>
      <c r="O53" s="324"/>
      <c r="P53" s="324"/>
      <c r="Q53" s="324"/>
      <c r="R53" s="324"/>
      <c r="S53" s="324"/>
      <c r="T53" s="324"/>
      <c r="U53" s="324"/>
      <c r="V53" s="324"/>
      <c r="W53" s="324"/>
      <c r="X53" s="324"/>
      <c r="Y53" s="326"/>
      <c r="Z53" s="487"/>
    </row>
    <row r="54" spans="1:26" ht="16.5" customHeight="1" x14ac:dyDescent="0.25">
      <c r="A54" s="486"/>
      <c r="B54" s="324"/>
      <c r="C54" s="324"/>
      <c r="D54" s="324"/>
      <c r="E54" s="324"/>
      <c r="F54" s="324"/>
      <c r="G54" s="329"/>
      <c r="H54" s="330" t="s">
        <v>26</v>
      </c>
      <c r="I54" s="324"/>
      <c r="J54" s="328"/>
      <c r="K54" s="324"/>
      <c r="L54" s="324"/>
      <c r="M54" s="437" t="s">
        <v>214</v>
      </c>
      <c r="N54" s="324"/>
      <c r="O54" s="324"/>
      <c r="P54" s="324"/>
      <c r="Q54" s="324"/>
      <c r="R54" s="324"/>
      <c r="S54" s="324"/>
      <c r="T54" s="324"/>
      <c r="U54" s="324"/>
      <c r="V54" s="324"/>
      <c r="W54" s="324"/>
      <c r="X54" s="324"/>
      <c r="Y54" s="326"/>
      <c r="Z54" s="487"/>
    </row>
    <row r="55" spans="1:26" x14ac:dyDescent="0.25">
      <c r="A55" s="486"/>
      <c r="B55" s="324"/>
      <c r="C55" s="324"/>
      <c r="D55" s="324"/>
      <c r="E55" s="324"/>
      <c r="F55" s="324"/>
      <c r="G55" s="329"/>
      <c r="H55" s="330" t="s">
        <v>27</v>
      </c>
      <c r="I55" s="331">
        <v>128</v>
      </c>
      <c r="J55" s="331">
        <v>64</v>
      </c>
      <c r="K55" s="331">
        <v>32</v>
      </c>
      <c r="L55" s="331">
        <v>16</v>
      </c>
      <c r="M55" s="331">
        <v>8</v>
      </c>
      <c r="N55" s="331">
        <v>4</v>
      </c>
      <c r="O55" s="331">
        <v>2</v>
      </c>
      <c r="P55" s="331">
        <v>1</v>
      </c>
      <c r="Q55" s="324"/>
      <c r="R55" s="324"/>
      <c r="S55" s="324"/>
      <c r="T55" s="451" t="s">
        <v>21</v>
      </c>
      <c r="U55" s="451" t="s">
        <v>22</v>
      </c>
      <c r="V55" s="324"/>
      <c r="W55" s="324"/>
      <c r="X55" s="324"/>
      <c r="Y55" s="326"/>
      <c r="Z55" s="487"/>
    </row>
    <row r="56" spans="1:26" x14ac:dyDescent="0.25">
      <c r="A56" s="486"/>
      <c r="B56" s="324"/>
      <c r="C56" s="324"/>
      <c r="D56" s="324"/>
      <c r="E56" s="324"/>
      <c r="F56" s="324"/>
      <c r="G56" s="332">
        <v>1</v>
      </c>
      <c r="H56" s="333">
        <v>32</v>
      </c>
      <c r="I56" s="324"/>
      <c r="J56" s="328"/>
      <c r="K56" s="438">
        <v>1</v>
      </c>
      <c r="L56" s="439">
        <v>0</v>
      </c>
      <c r="M56" s="439">
        <v>0</v>
      </c>
      <c r="N56" s="439">
        <v>0</v>
      </c>
      <c r="O56" s="439">
        <v>0</v>
      </c>
      <c r="P56" s="440">
        <v>0</v>
      </c>
      <c r="Q56" s="324"/>
      <c r="R56" s="324"/>
      <c r="S56" s="324"/>
      <c r="T56" s="452">
        <f t="shared" ref="T56:T87" si="0">COUNTIF(K56:P56,1)</f>
        <v>1</v>
      </c>
      <c r="U56" s="452">
        <f t="shared" ref="U56:U87" si="1">COUNTIF(K56:P56,0)</f>
        <v>5</v>
      </c>
      <c r="V56" s="324"/>
      <c r="W56" s="324"/>
      <c r="X56" s="324"/>
      <c r="Y56" s="326"/>
      <c r="Z56" s="487"/>
    </row>
    <row r="57" spans="1:26" x14ac:dyDescent="0.25">
      <c r="A57" s="486"/>
      <c r="B57" s="324"/>
      <c r="C57" s="324"/>
      <c r="D57" s="324"/>
      <c r="E57" s="324"/>
      <c r="F57" s="324"/>
      <c r="G57" s="332">
        <v>2</v>
      </c>
      <c r="H57" s="333">
        <v>33</v>
      </c>
      <c r="I57" s="324"/>
      <c r="J57" s="328"/>
      <c r="K57" s="441">
        <v>1</v>
      </c>
      <c r="L57" s="442">
        <v>0</v>
      </c>
      <c r="M57" s="442">
        <v>0</v>
      </c>
      <c r="N57" s="442">
        <v>0</v>
      </c>
      <c r="O57" s="442">
        <v>0</v>
      </c>
      <c r="P57" s="443">
        <v>1</v>
      </c>
      <c r="Q57" s="324"/>
      <c r="R57" s="324"/>
      <c r="S57" s="324"/>
      <c r="T57" s="452">
        <f t="shared" si="0"/>
        <v>2</v>
      </c>
      <c r="U57" s="452">
        <f t="shared" si="1"/>
        <v>4</v>
      </c>
      <c r="V57" s="324"/>
      <c r="W57" s="324"/>
      <c r="X57" s="324"/>
      <c r="Y57" s="326"/>
      <c r="Z57" s="487"/>
    </row>
    <row r="58" spans="1:26" x14ac:dyDescent="0.25">
      <c r="A58" s="486"/>
      <c r="B58" s="324"/>
      <c r="C58" s="324"/>
      <c r="D58" s="324"/>
      <c r="E58" s="324"/>
      <c r="F58" s="324"/>
      <c r="G58" s="332">
        <v>3</v>
      </c>
      <c r="H58" s="333">
        <v>34</v>
      </c>
      <c r="I58" s="324"/>
      <c r="J58" s="328"/>
      <c r="K58" s="441">
        <v>1</v>
      </c>
      <c r="L58" s="442">
        <v>0</v>
      </c>
      <c r="M58" s="442">
        <v>0</v>
      </c>
      <c r="N58" s="442">
        <v>0</v>
      </c>
      <c r="O58" s="442">
        <v>1</v>
      </c>
      <c r="P58" s="443">
        <v>0</v>
      </c>
      <c r="Q58" s="324"/>
      <c r="R58" s="324"/>
      <c r="S58" s="324"/>
      <c r="T58" s="452">
        <f t="shared" si="0"/>
        <v>2</v>
      </c>
      <c r="U58" s="452">
        <f t="shared" si="1"/>
        <v>4</v>
      </c>
      <c r="V58" s="324"/>
      <c r="W58" s="324"/>
      <c r="X58" s="324"/>
      <c r="Y58" s="326"/>
      <c r="Z58" s="487"/>
    </row>
    <row r="59" spans="1:26" x14ac:dyDescent="0.25">
      <c r="A59" s="486"/>
      <c r="B59" s="324"/>
      <c r="C59" s="324"/>
      <c r="D59" s="324"/>
      <c r="E59" s="324"/>
      <c r="F59" s="324"/>
      <c r="G59" s="332">
        <v>4</v>
      </c>
      <c r="H59" s="333">
        <v>35</v>
      </c>
      <c r="I59" s="324"/>
      <c r="J59" s="328"/>
      <c r="K59" s="441">
        <v>1</v>
      </c>
      <c r="L59" s="442">
        <v>0</v>
      </c>
      <c r="M59" s="442">
        <v>0</v>
      </c>
      <c r="N59" s="442">
        <v>0</v>
      </c>
      <c r="O59" s="442">
        <v>1</v>
      </c>
      <c r="P59" s="443">
        <v>1</v>
      </c>
      <c r="Q59" s="324"/>
      <c r="R59" s="324"/>
      <c r="S59" s="324"/>
      <c r="T59" s="452">
        <f t="shared" si="0"/>
        <v>3</v>
      </c>
      <c r="U59" s="452">
        <f t="shared" si="1"/>
        <v>3</v>
      </c>
      <c r="V59" s="324"/>
      <c r="W59" s="324"/>
      <c r="X59" s="324"/>
      <c r="Y59" s="326"/>
      <c r="Z59" s="487"/>
    </row>
    <row r="60" spans="1:26" x14ac:dyDescent="0.25">
      <c r="A60" s="486"/>
      <c r="B60" s="324"/>
      <c r="C60" s="324"/>
      <c r="D60" s="324"/>
      <c r="E60" s="324"/>
      <c r="F60" s="324"/>
      <c r="G60" s="332">
        <v>5</v>
      </c>
      <c r="H60" s="333">
        <v>36</v>
      </c>
      <c r="I60" s="324"/>
      <c r="J60" s="328"/>
      <c r="K60" s="441">
        <v>1</v>
      </c>
      <c r="L60" s="442">
        <v>0</v>
      </c>
      <c r="M60" s="442">
        <v>0</v>
      </c>
      <c r="N60" s="442">
        <v>1</v>
      </c>
      <c r="O60" s="442">
        <v>0</v>
      </c>
      <c r="P60" s="443">
        <v>0</v>
      </c>
      <c r="Q60" s="324"/>
      <c r="R60" s="324"/>
      <c r="S60" s="324"/>
      <c r="T60" s="452">
        <f t="shared" si="0"/>
        <v>2</v>
      </c>
      <c r="U60" s="452">
        <f t="shared" si="1"/>
        <v>4</v>
      </c>
      <c r="V60" s="324"/>
      <c r="W60" s="324"/>
      <c r="X60" s="324"/>
      <c r="Y60" s="326"/>
      <c r="Z60" s="487"/>
    </row>
    <row r="61" spans="1:26" x14ac:dyDescent="0.25">
      <c r="A61" s="486"/>
      <c r="B61" s="324"/>
      <c r="C61" s="324"/>
      <c r="D61" s="324"/>
      <c r="E61" s="324"/>
      <c r="F61" s="324"/>
      <c r="G61" s="332">
        <v>6</v>
      </c>
      <c r="H61" s="333">
        <v>37</v>
      </c>
      <c r="I61" s="324"/>
      <c r="J61" s="328"/>
      <c r="K61" s="441">
        <v>1</v>
      </c>
      <c r="L61" s="442">
        <v>0</v>
      </c>
      <c r="M61" s="442">
        <v>0</v>
      </c>
      <c r="N61" s="442">
        <v>1</v>
      </c>
      <c r="O61" s="442">
        <v>0</v>
      </c>
      <c r="P61" s="443">
        <v>1</v>
      </c>
      <c r="Q61" s="324"/>
      <c r="R61" s="324"/>
      <c r="S61" s="324"/>
      <c r="T61" s="452">
        <f t="shared" si="0"/>
        <v>3</v>
      </c>
      <c r="U61" s="452">
        <f t="shared" si="1"/>
        <v>3</v>
      </c>
      <c r="V61" s="324"/>
      <c r="W61" s="324"/>
      <c r="X61" s="324"/>
      <c r="Y61" s="326"/>
      <c r="Z61" s="487"/>
    </row>
    <row r="62" spans="1:26" x14ac:dyDescent="0.25">
      <c r="A62" s="486"/>
      <c r="B62" s="324"/>
      <c r="C62" s="324"/>
      <c r="D62" s="324"/>
      <c r="E62" s="324"/>
      <c r="F62" s="324"/>
      <c r="G62" s="332">
        <v>7</v>
      </c>
      <c r="H62" s="333">
        <v>38</v>
      </c>
      <c r="I62" s="324"/>
      <c r="J62" s="328"/>
      <c r="K62" s="441">
        <v>1</v>
      </c>
      <c r="L62" s="442">
        <v>0</v>
      </c>
      <c r="M62" s="442">
        <v>0</v>
      </c>
      <c r="N62" s="442">
        <v>1</v>
      </c>
      <c r="O62" s="442">
        <v>1</v>
      </c>
      <c r="P62" s="443">
        <v>0</v>
      </c>
      <c r="Q62" s="324"/>
      <c r="R62" s="324"/>
      <c r="S62" s="324"/>
      <c r="T62" s="452">
        <f t="shared" si="0"/>
        <v>3</v>
      </c>
      <c r="U62" s="452">
        <f t="shared" si="1"/>
        <v>3</v>
      </c>
      <c r="V62" s="324"/>
      <c r="W62" s="324"/>
      <c r="X62" s="324"/>
      <c r="Y62" s="326"/>
      <c r="Z62" s="487"/>
    </row>
    <row r="63" spans="1:26" x14ac:dyDescent="0.25">
      <c r="A63" s="486"/>
      <c r="B63" s="324"/>
      <c r="C63" s="324"/>
      <c r="D63" s="324"/>
      <c r="E63" s="324"/>
      <c r="F63" s="324"/>
      <c r="G63" s="332">
        <v>8</v>
      </c>
      <c r="H63" s="333">
        <v>39</v>
      </c>
      <c r="I63" s="324"/>
      <c r="J63" s="328"/>
      <c r="K63" s="441">
        <v>1</v>
      </c>
      <c r="L63" s="442">
        <v>0</v>
      </c>
      <c r="M63" s="442">
        <v>0</v>
      </c>
      <c r="N63" s="442">
        <v>1</v>
      </c>
      <c r="O63" s="442">
        <v>1</v>
      </c>
      <c r="P63" s="443">
        <v>1</v>
      </c>
      <c r="Q63" s="324"/>
      <c r="R63" s="324"/>
      <c r="S63" s="324"/>
      <c r="T63" s="452">
        <f t="shared" si="0"/>
        <v>4</v>
      </c>
      <c r="U63" s="452">
        <f t="shared" si="1"/>
        <v>2</v>
      </c>
      <c r="V63" s="324"/>
      <c r="W63" s="324"/>
      <c r="X63" s="324"/>
      <c r="Y63" s="326"/>
      <c r="Z63" s="487"/>
    </row>
    <row r="64" spans="1:26" x14ac:dyDescent="0.25">
      <c r="A64" s="486"/>
      <c r="B64" s="324"/>
      <c r="C64" s="324"/>
      <c r="D64" s="324"/>
      <c r="E64" s="324"/>
      <c r="F64" s="324"/>
      <c r="G64" s="332">
        <v>9</v>
      </c>
      <c r="H64" s="333">
        <v>40</v>
      </c>
      <c r="I64" s="324"/>
      <c r="J64" s="328"/>
      <c r="K64" s="441">
        <v>1</v>
      </c>
      <c r="L64" s="442">
        <v>0</v>
      </c>
      <c r="M64" s="442">
        <v>1</v>
      </c>
      <c r="N64" s="442">
        <v>0</v>
      </c>
      <c r="O64" s="442">
        <v>0</v>
      </c>
      <c r="P64" s="443">
        <v>0</v>
      </c>
      <c r="Q64" s="324"/>
      <c r="R64" s="324"/>
      <c r="S64" s="324"/>
      <c r="T64" s="452">
        <f t="shared" si="0"/>
        <v>2</v>
      </c>
      <c r="U64" s="452">
        <f t="shared" si="1"/>
        <v>4</v>
      </c>
      <c r="V64" s="324"/>
      <c r="W64" s="324"/>
      <c r="X64" s="324"/>
      <c r="Y64" s="326"/>
      <c r="Z64" s="487"/>
    </row>
    <row r="65" spans="1:26" x14ac:dyDescent="0.25">
      <c r="A65" s="486"/>
      <c r="B65" s="324"/>
      <c r="C65" s="324"/>
      <c r="D65" s="324"/>
      <c r="E65" s="324"/>
      <c r="F65" s="324"/>
      <c r="G65" s="332">
        <v>10</v>
      </c>
      <c r="H65" s="333">
        <v>41</v>
      </c>
      <c r="I65" s="324"/>
      <c r="J65" s="328"/>
      <c r="K65" s="441">
        <v>1</v>
      </c>
      <c r="L65" s="442">
        <v>0</v>
      </c>
      <c r="M65" s="442">
        <v>1</v>
      </c>
      <c r="N65" s="442">
        <v>0</v>
      </c>
      <c r="O65" s="442">
        <v>0</v>
      </c>
      <c r="P65" s="443">
        <v>1</v>
      </c>
      <c r="Q65" s="324"/>
      <c r="R65" s="324"/>
      <c r="S65" s="324"/>
      <c r="T65" s="452">
        <f t="shared" si="0"/>
        <v>3</v>
      </c>
      <c r="U65" s="452">
        <f t="shared" si="1"/>
        <v>3</v>
      </c>
      <c r="V65" s="324"/>
      <c r="W65" s="324"/>
      <c r="X65" s="324"/>
      <c r="Y65" s="326"/>
      <c r="Z65" s="487"/>
    </row>
    <row r="66" spans="1:26" x14ac:dyDescent="0.25">
      <c r="A66" s="486"/>
      <c r="B66" s="324"/>
      <c r="C66" s="324"/>
      <c r="D66" s="324"/>
      <c r="E66" s="324"/>
      <c r="F66" s="324"/>
      <c r="G66" s="332">
        <v>11</v>
      </c>
      <c r="H66" s="333">
        <v>42</v>
      </c>
      <c r="I66" s="324"/>
      <c r="J66" s="328"/>
      <c r="K66" s="441">
        <v>1</v>
      </c>
      <c r="L66" s="442">
        <v>0</v>
      </c>
      <c r="M66" s="442">
        <v>1</v>
      </c>
      <c r="N66" s="442">
        <v>0</v>
      </c>
      <c r="O66" s="442">
        <v>1</v>
      </c>
      <c r="P66" s="443">
        <v>0</v>
      </c>
      <c r="Q66" s="324"/>
      <c r="R66" s="324"/>
      <c r="S66" s="324"/>
      <c r="T66" s="452">
        <f t="shared" si="0"/>
        <v>3</v>
      </c>
      <c r="U66" s="452">
        <f t="shared" si="1"/>
        <v>3</v>
      </c>
      <c r="V66" s="324"/>
      <c r="W66" s="324"/>
      <c r="X66" s="324"/>
      <c r="Y66" s="326"/>
      <c r="Z66" s="487"/>
    </row>
    <row r="67" spans="1:26" x14ac:dyDescent="0.25">
      <c r="A67" s="486"/>
      <c r="B67" s="324"/>
      <c r="C67" s="324"/>
      <c r="D67" s="324"/>
      <c r="E67" s="324"/>
      <c r="F67" s="324"/>
      <c r="G67" s="332">
        <v>12</v>
      </c>
      <c r="H67" s="333">
        <v>43</v>
      </c>
      <c r="I67" s="324"/>
      <c r="J67" s="328"/>
      <c r="K67" s="441">
        <v>1</v>
      </c>
      <c r="L67" s="442">
        <v>0</v>
      </c>
      <c r="M67" s="442">
        <v>1</v>
      </c>
      <c r="N67" s="442">
        <v>0</v>
      </c>
      <c r="O67" s="442">
        <v>1</v>
      </c>
      <c r="P67" s="443">
        <v>1</v>
      </c>
      <c r="Q67" s="324"/>
      <c r="R67" s="324"/>
      <c r="S67" s="324"/>
      <c r="T67" s="452">
        <f t="shared" si="0"/>
        <v>4</v>
      </c>
      <c r="U67" s="452">
        <f t="shared" si="1"/>
        <v>2</v>
      </c>
      <c r="V67" s="324"/>
      <c r="W67" s="324"/>
      <c r="X67" s="324"/>
      <c r="Y67" s="326"/>
      <c r="Z67" s="487"/>
    </row>
    <row r="68" spans="1:26" x14ac:dyDescent="0.25">
      <c r="A68" s="486"/>
      <c r="B68" s="324"/>
      <c r="C68" s="324"/>
      <c r="D68" s="324"/>
      <c r="E68" s="324"/>
      <c r="F68" s="324"/>
      <c r="G68" s="332">
        <v>13</v>
      </c>
      <c r="H68" s="333">
        <v>44</v>
      </c>
      <c r="I68" s="324"/>
      <c r="J68" s="328"/>
      <c r="K68" s="441">
        <v>1</v>
      </c>
      <c r="L68" s="442">
        <v>0</v>
      </c>
      <c r="M68" s="442">
        <v>1</v>
      </c>
      <c r="N68" s="442">
        <v>1</v>
      </c>
      <c r="O68" s="442">
        <v>0</v>
      </c>
      <c r="P68" s="443">
        <v>0</v>
      </c>
      <c r="Q68" s="324"/>
      <c r="R68" s="324"/>
      <c r="S68" s="324"/>
      <c r="T68" s="452">
        <f t="shared" si="0"/>
        <v>3</v>
      </c>
      <c r="U68" s="452">
        <f t="shared" si="1"/>
        <v>3</v>
      </c>
      <c r="V68" s="324"/>
      <c r="W68" s="324"/>
      <c r="X68" s="324"/>
      <c r="Y68" s="326"/>
      <c r="Z68" s="487"/>
    </row>
    <row r="69" spans="1:26" x14ac:dyDescent="0.25">
      <c r="A69" s="486"/>
      <c r="B69" s="324"/>
      <c r="C69" s="324"/>
      <c r="D69" s="324"/>
      <c r="E69" s="324"/>
      <c r="F69" s="324"/>
      <c r="G69" s="332">
        <v>14</v>
      </c>
      <c r="H69" s="333">
        <v>45</v>
      </c>
      <c r="I69" s="324"/>
      <c r="J69" s="328"/>
      <c r="K69" s="441">
        <v>1</v>
      </c>
      <c r="L69" s="442">
        <v>0</v>
      </c>
      <c r="M69" s="442">
        <v>1</v>
      </c>
      <c r="N69" s="442">
        <v>1</v>
      </c>
      <c r="O69" s="442">
        <v>0</v>
      </c>
      <c r="P69" s="443">
        <v>1</v>
      </c>
      <c r="Q69" s="324"/>
      <c r="R69" s="324"/>
      <c r="S69" s="324"/>
      <c r="T69" s="452">
        <f t="shared" si="0"/>
        <v>4</v>
      </c>
      <c r="U69" s="452">
        <f t="shared" si="1"/>
        <v>2</v>
      </c>
      <c r="V69" s="324"/>
      <c r="W69" s="324"/>
      <c r="X69" s="324"/>
      <c r="Y69" s="326"/>
      <c r="Z69" s="487"/>
    </row>
    <row r="70" spans="1:26" x14ac:dyDescent="0.25">
      <c r="A70" s="486"/>
      <c r="B70" s="324"/>
      <c r="C70" s="324"/>
      <c r="D70" s="324"/>
      <c r="E70" s="324"/>
      <c r="F70" s="324"/>
      <c r="G70" s="332">
        <v>15</v>
      </c>
      <c r="H70" s="333">
        <v>46</v>
      </c>
      <c r="I70" s="324"/>
      <c r="J70" s="328"/>
      <c r="K70" s="441">
        <v>1</v>
      </c>
      <c r="L70" s="442">
        <v>0</v>
      </c>
      <c r="M70" s="442">
        <v>1</v>
      </c>
      <c r="N70" s="442">
        <v>1</v>
      </c>
      <c r="O70" s="442">
        <v>1</v>
      </c>
      <c r="P70" s="443">
        <v>0</v>
      </c>
      <c r="Q70" s="324"/>
      <c r="R70" s="324"/>
      <c r="S70" s="324"/>
      <c r="T70" s="452">
        <f t="shared" si="0"/>
        <v>4</v>
      </c>
      <c r="U70" s="452">
        <f t="shared" si="1"/>
        <v>2</v>
      </c>
      <c r="V70" s="324"/>
      <c r="W70" s="324"/>
      <c r="X70" s="324"/>
      <c r="Y70" s="326"/>
      <c r="Z70" s="487"/>
    </row>
    <row r="71" spans="1:26" x14ac:dyDescent="0.25">
      <c r="A71" s="486"/>
      <c r="B71" s="324"/>
      <c r="C71" s="324"/>
      <c r="D71" s="324"/>
      <c r="E71" s="324"/>
      <c r="F71" s="324"/>
      <c r="G71" s="332">
        <v>16</v>
      </c>
      <c r="H71" s="333">
        <v>47</v>
      </c>
      <c r="I71" s="324"/>
      <c r="J71" s="328"/>
      <c r="K71" s="441">
        <v>1</v>
      </c>
      <c r="L71" s="442">
        <v>0</v>
      </c>
      <c r="M71" s="442">
        <v>1</v>
      </c>
      <c r="N71" s="442">
        <v>1</v>
      </c>
      <c r="O71" s="442">
        <v>1</v>
      </c>
      <c r="P71" s="443">
        <v>1</v>
      </c>
      <c r="Q71" s="324"/>
      <c r="R71" s="324"/>
      <c r="S71" s="324"/>
      <c r="T71" s="452">
        <f t="shared" si="0"/>
        <v>5</v>
      </c>
      <c r="U71" s="452">
        <f t="shared" si="1"/>
        <v>1</v>
      </c>
      <c r="V71" s="324"/>
      <c r="W71" s="324"/>
      <c r="X71" s="324"/>
      <c r="Y71" s="326"/>
      <c r="Z71" s="487"/>
    </row>
    <row r="72" spans="1:26" x14ac:dyDescent="0.25">
      <c r="A72" s="486"/>
      <c r="B72" s="324"/>
      <c r="C72" s="324"/>
      <c r="D72" s="324"/>
      <c r="E72" s="324"/>
      <c r="F72" s="324"/>
      <c r="G72" s="332">
        <v>17</v>
      </c>
      <c r="H72" s="333">
        <v>48</v>
      </c>
      <c r="I72" s="324"/>
      <c r="J72" s="328"/>
      <c r="K72" s="441">
        <v>1</v>
      </c>
      <c r="L72" s="442">
        <v>1</v>
      </c>
      <c r="M72" s="442">
        <v>0</v>
      </c>
      <c r="N72" s="442">
        <v>0</v>
      </c>
      <c r="O72" s="442">
        <v>0</v>
      </c>
      <c r="P72" s="443">
        <v>0</v>
      </c>
      <c r="Q72" s="324"/>
      <c r="R72" s="324"/>
      <c r="S72" s="324"/>
      <c r="T72" s="452">
        <f t="shared" si="0"/>
        <v>2</v>
      </c>
      <c r="U72" s="452">
        <f t="shared" si="1"/>
        <v>4</v>
      </c>
      <c r="V72" s="324"/>
      <c r="W72" s="324"/>
      <c r="X72" s="324"/>
      <c r="Y72" s="326"/>
      <c r="Z72" s="487"/>
    </row>
    <row r="73" spans="1:26" x14ac:dyDescent="0.25">
      <c r="A73" s="486"/>
      <c r="B73" s="324"/>
      <c r="C73" s="324"/>
      <c r="D73" s="324"/>
      <c r="E73" s="324"/>
      <c r="F73" s="324"/>
      <c r="G73" s="332">
        <v>18</v>
      </c>
      <c r="H73" s="333">
        <v>49</v>
      </c>
      <c r="I73" s="324"/>
      <c r="J73" s="328"/>
      <c r="K73" s="441">
        <v>1</v>
      </c>
      <c r="L73" s="442">
        <v>1</v>
      </c>
      <c r="M73" s="442">
        <v>0</v>
      </c>
      <c r="N73" s="442">
        <v>0</v>
      </c>
      <c r="O73" s="442">
        <v>0</v>
      </c>
      <c r="P73" s="443">
        <v>1</v>
      </c>
      <c r="Q73" s="324"/>
      <c r="R73" s="324"/>
      <c r="S73" s="324"/>
      <c r="T73" s="452">
        <f t="shared" si="0"/>
        <v>3</v>
      </c>
      <c r="U73" s="452">
        <f t="shared" si="1"/>
        <v>3</v>
      </c>
      <c r="V73" s="324"/>
      <c r="W73" s="324"/>
      <c r="X73" s="324"/>
      <c r="Y73" s="326"/>
      <c r="Z73" s="487"/>
    </row>
    <row r="74" spans="1:26" x14ac:dyDescent="0.25">
      <c r="A74" s="486"/>
      <c r="B74" s="324"/>
      <c r="C74" s="324"/>
      <c r="D74" s="324"/>
      <c r="E74" s="324"/>
      <c r="F74" s="324"/>
      <c r="G74" s="332">
        <v>19</v>
      </c>
      <c r="H74" s="333">
        <v>50</v>
      </c>
      <c r="I74" s="324"/>
      <c r="J74" s="328"/>
      <c r="K74" s="441">
        <v>1</v>
      </c>
      <c r="L74" s="442">
        <v>1</v>
      </c>
      <c r="M74" s="442">
        <v>0</v>
      </c>
      <c r="N74" s="442">
        <v>0</v>
      </c>
      <c r="O74" s="442">
        <v>1</v>
      </c>
      <c r="P74" s="443">
        <v>0</v>
      </c>
      <c r="Q74" s="324"/>
      <c r="R74" s="324"/>
      <c r="S74" s="324"/>
      <c r="T74" s="452">
        <f t="shared" si="0"/>
        <v>3</v>
      </c>
      <c r="U74" s="452">
        <f t="shared" si="1"/>
        <v>3</v>
      </c>
      <c r="V74" s="324"/>
      <c r="W74" s="324"/>
      <c r="X74" s="324"/>
      <c r="Y74" s="326"/>
      <c r="Z74" s="487"/>
    </row>
    <row r="75" spans="1:26" x14ac:dyDescent="0.25">
      <c r="A75" s="486"/>
      <c r="B75" s="324"/>
      <c r="C75" s="324"/>
      <c r="D75" s="324"/>
      <c r="E75" s="324"/>
      <c r="F75" s="324"/>
      <c r="G75" s="332">
        <v>20</v>
      </c>
      <c r="H75" s="333">
        <v>51</v>
      </c>
      <c r="I75" s="324"/>
      <c r="J75" s="328"/>
      <c r="K75" s="441">
        <v>1</v>
      </c>
      <c r="L75" s="442">
        <v>1</v>
      </c>
      <c r="M75" s="442">
        <v>0</v>
      </c>
      <c r="N75" s="442">
        <v>0</v>
      </c>
      <c r="O75" s="442">
        <v>1</v>
      </c>
      <c r="P75" s="443">
        <v>1</v>
      </c>
      <c r="Q75" s="324"/>
      <c r="R75" s="324"/>
      <c r="S75" s="324"/>
      <c r="T75" s="452">
        <f t="shared" si="0"/>
        <v>4</v>
      </c>
      <c r="U75" s="452">
        <f t="shared" si="1"/>
        <v>2</v>
      </c>
      <c r="V75" s="324"/>
      <c r="W75" s="324"/>
      <c r="X75" s="324"/>
      <c r="Y75" s="326"/>
      <c r="Z75" s="487"/>
    </row>
    <row r="76" spans="1:26" x14ac:dyDescent="0.25">
      <c r="A76" s="486"/>
      <c r="B76" s="324"/>
      <c r="C76" s="324"/>
      <c r="D76" s="324"/>
      <c r="E76" s="324"/>
      <c r="F76" s="324"/>
      <c r="G76" s="332">
        <v>21</v>
      </c>
      <c r="H76" s="333">
        <v>52</v>
      </c>
      <c r="I76" s="324"/>
      <c r="J76" s="328"/>
      <c r="K76" s="441">
        <v>1</v>
      </c>
      <c r="L76" s="442">
        <v>1</v>
      </c>
      <c r="M76" s="442">
        <v>0</v>
      </c>
      <c r="N76" s="442">
        <v>1</v>
      </c>
      <c r="O76" s="442">
        <v>0</v>
      </c>
      <c r="P76" s="443">
        <v>0</v>
      </c>
      <c r="Q76" s="324"/>
      <c r="R76" s="324"/>
      <c r="S76" s="324"/>
      <c r="T76" s="452">
        <f t="shared" si="0"/>
        <v>3</v>
      </c>
      <c r="U76" s="452">
        <f t="shared" si="1"/>
        <v>3</v>
      </c>
      <c r="V76" s="324"/>
      <c r="W76" s="324"/>
      <c r="X76" s="324"/>
      <c r="Y76" s="326"/>
      <c r="Z76" s="487"/>
    </row>
    <row r="77" spans="1:26" x14ac:dyDescent="0.25">
      <c r="A77" s="486"/>
      <c r="B77" s="324"/>
      <c r="C77" s="324"/>
      <c r="D77" s="324"/>
      <c r="E77" s="324"/>
      <c r="F77" s="324"/>
      <c r="G77" s="332">
        <v>22</v>
      </c>
      <c r="H77" s="333">
        <v>53</v>
      </c>
      <c r="I77" s="324"/>
      <c r="J77" s="328"/>
      <c r="K77" s="441">
        <v>1</v>
      </c>
      <c r="L77" s="442">
        <v>1</v>
      </c>
      <c r="M77" s="442">
        <v>0</v>
      </c>
      <c r="N77" s="442">
        <v>1</v>
      </c>
      <c r="O77" s="442">
        <v>0</v>
      </c>
      <c r="P77" s="443">
        <v>1</v>
      </c>
      <c r="Q77" s="324"/>
      <c r="R77" s="324"/>
      <c r="S77" s="324"/>
      <c r="T77" s="452">
        <f t="shared" si="0"/>
        <v>4</v>
      </c>
      <c r="U77" s="452">
        <f t="shared" si="1"/>
        <v>2</v>
      </c>
      <c r="V77" s="324"/>
      <c r="W77" s="324"/>
      <c r="X77" s="324"/>
      <c r="Y77" s="326"/>
      <c r="Z77" s="487"/>
    </row>
    <row r="78" spans="1:26" x14ac:dyDescent="0.25">
      <c r="A78" s="486"/>
      <c r="B78" s="324"/>
      <c r="C78" s="324"/>
      <c r="D78" s="324"/>
      <c r="E78" s="324"/>
      <c r="F78" s="324"/>
      <c r="G78" s="332">
        <v>23</v>
      </c>
      <c r="H78" s="333">
        <v>54</v>
      </c>
      <c r="I78" s="324"/>
      <c r="J78" s="328"/>
      <c r="K78" s="441">
        <v>1</v>
      </c>
      <c r="L78" s="442">
        <v>1</v>
      </c>
      <c r="M78" s="442">
        <v>0</v>
      </c>
      <c r="N78" s="442">
        <v>1</v>
      </c>
      <c r="O78" s="442">
        <v>1</v>
      </c>
      <c r="P78" s="443">
        <v>0</v>
      </c>
      <c r="Q78" s="324"/>
      <c r="R78" s="324"/>
      <c r="S78" s="324"/>
      <c r="T78" s="452">
        <f t="shared" si="0"/>
        <v>4</v>
      </c>
      <c r="U78" s="452">
        <f t="shared" si="1"/>
        <v>2</v>
      </c>
      <c r="V78" s="324"/>
      <c r="W78" s="324"/>
      <c r="X78" s="324"/>
      <c r="Y78" s="326"/>
      <c r="Z78" s="487"/>
    </row>
    <row r="79" spans="1:26" x14ac:dyDescent="0.25">
      <c r="A79" s="486"/>
      <c r="B79" s="324"/>
      <c r="C79" s="324"/>
      <c r="D79" s="324"/>
      <c r="E79" s="324"/>
      <c r="F79" s="324"/>
      <c r="G79" s="332">
        <v>24</v>
      </c>
      <c r="H79" s="333">
        <v>55</v>
      </c>
      <c r="I79" s="324"/>
      <c r="J79" s="328"/>
      <c r="K79" s="441">
        <v>1</v>
      </c>
      <c r="L79" s="442">
        <v>1</v>
      </c>
      <c r="M79" s="442">
        <v>0</v>
      </c>
      <c r="N79" s="442">
        <v>1</v>
      </c>
      <c r="O79" s="442">
        <v>1</v>
      </c>
      <c r="P79" s="443">
        <v>1</v>
      </c>
      <c r="Q79" s="324"/>
      <c r="R79" s="324"/>
      <c r="S79" s="324"/>
      <c r="T79" s="452">
        <f t="shared" si="0"/>
        <v>5</v>
      </c>
      <c r="U79" s="452">
        <f t="shared" si="1"/>
        <v>1</v>
      </c>
      <c r="V79" s="324"/>
      <c r="W79" s="324"/>
      <c r="X79" s="324"/>
      <c r="Y79" s="326"/>
      <c r="Z79" s="487"/>
    </row>
    <row r="80" spans="1:26" x14ac:dyDescent="0.25">
      <c r="A80" s="486"/>
      <c r="B80" s="324"/>
      <c r="C80" s="324"/>
      <c r="D80" s="324"/>
      <c r="E80" s="324"/>
      <c r="F80" s="324"/>
      <c r="G80" s="332">
        <v>25</v>
      </c>
      <c r="H80" s="333">
        <v>56</v>
      </c>
      <c r="I80" s="324"/>
      <c r="J80" s="328"/>
      <c r="K80" s="441">
        <v>1</v>
      </c>
      <c r="L80" s="442">
        <v>1</v>
      </c>
      <c r="M80" s="442">
        <v>1</v>
      </c>
      <c r="N80" s="442">
        <v>0</v>
      </c>
      <c r="O80" s="442">
        <v>0</v>
      </c>
      <c r="P80" s="443">
        <v>0</v>
      </c>
      <c r="Q80" s="324"/>
      <c r="R80" s="324"/>
      <c r="S80" s="324"/>
      <c r="T80" s="452">
        <f t="shared" si="0"/>
        <v>3</v>
      </c>
      <c r="U80" s="452">
        <f t="shared" si="1"/>
        <v>3</v>
      </c>
      <c r="V80" s="324"/>
      <c r="W80" s="324"/>
      <c r="X80" s="324"/>
      <c r="Y80" s="326"/>
      <c r="Z80" s="487"/>
    </row>
    <row r="81" spans="1:26" x14ac:dyDescent="0.25">
      <c r="A81" s="486"/>
      <c r="B81" s="324"/>
      <c r="C81" s="324"/>
      <c r="D81" s="324"/>
      <c r="E81" s="324"/>
      <c r="F81" s="324"/>
      <c r="G81" s="332">
        <v>26</v>
      </c>
      <c r="H81" s="333">
        <v>57</v>
      </c>
      <c r="I81" s="324"/>
      <c r="J81" s="328"/>
      <c r="K81" s="441">
        <v>1</v>
      </c>
      <c r="L81" s="442">
        <v>1</v>
      </c>
      <c r="M81" s="442">
        <v>1</v>
      </c>
      <c r="N81" s="442">
        <v>0</v>
      </c>
      <c r="O81" s="442">
        <v>0</v>
      </c>
      <c r="P81" s="443">
        <v>1</v>
      </c>
      <c r="Q81" s="324"/>
      <c r="R81" s="324"/>
      <c r="S81" s="324"/>
      <c r="T81" s="452">
        <f t="shared" si="0"/>
        <v>4</v>
      </c>
      <c r="U81" s="452">
        <f t="shared" si="1"/>
        <v>2</v>
      </c>
      <c r="V81" s="324"/>
      <c r="W81" s="324"/>
      <c r="X81" s="324"/>
      <c r="Y81" s="326"/>
      <c r="Z81" s="487"/>
    </row>
    <row r="82" spans="1:26" x14ac:dyDescent="0.25">
      <c r="A82" s="486"/>
      <c r="B82" s="324"/>
      <c r="C82" s="324"/>
      <c r="D82" s="324"/>
      <c r="E82" s="324"/>
      <c r="F82" s="324"/>
      <c r="G82" s="332">
        <v>27</v>
      </c>
      <c r="H82" s="333">
        <v>58</v>
      </c>
      <c r="I82" s="324"/>
      <c r="J82" s="328"/>
      <c r="K82" s="441">
        <v>1</v>
      </c>
      <c r="L82" s="442">
        <v>1</v>
      </c>
      <c r="M82" s="442">
        <v>1</v>
      </c>
      <c r="N82" s="442">
        <v>0</v>
      </c>
      <c r="O82" s="442">
        <v>1</v>
      </c>
      <c r="P82" s="443">
        <v>0</v>
      </c>
      <c r="Q82" s="324"/>
      <c r="R82" s="324"/>
      <c r="S82" s="324"/>
      <c r="T82" s="452">
        <f t="shared" si="0"/>
        <v>4</v>
      </c>
      <c r="U82" s="452">
        <f t="shared" si="1"/>
        <v>2</v>
      </c>
      <c r="V82" s="324"/>
      <c r="W82" s="324"/>
      <c r="X82" s="324"/>
      <c r="Y82" s="326"/>
      <c r="Z82" s="487"/>
    </row>
    <row r="83" spans="1:26" x14ac:dyDescent="0.25">
      <c r="A83" s="486"/>
      <c r="B83" s="324"/>
      <c r="C83" s="324"/>
      <c r="D83" s="324"/>
      <c r="E83" s="324"/>
      <c r="F83" s="324"/>
      <c r="G83" s="332">
        <v>28</v>
      </c>
      <c r="H83" s="333">
        <v>59</v>
      </c>
      <c r="I83" s="324"/>
      <c r="J83" s="324"/>
      <c r="K83" s="441">
        <v>1</v>
      </c>
      <c r="L83" s="442">
        <v>1</v>
      </c>
      <c r="M83" s="442">
        <v>1</v>
      </c>
      <c r="N83" s="442">
        <v>0</v>
      </c>
      <c r="O83" s="442">
        <v>1</v>
      </c>
      <c r="P83" s="443">
        <v>1</v>
      </c>
      <c r="Q83" s="324"/>
      <c r="R83" s="324"/>
      <c r="S83" s="324"/>
      <c r="T83" s="452">
        <f t="shared" si="0"/>
        <v>5</v>
      </c>
      <c r="U83" s="452">
        <f t="shared" si="1"/>
        <v>1</v>
      </c>
      <c r="V83" s="324"/>
      <c r="W83" s="324"/>
      <c r="X83" s="324"/>
      <c r="Y83" s="326"/>
      <c r="Z83" s="487"/>
    </row>
    <row r="84" spans="1:26" x14ac:dyDescent="0.25">
      <c r="A84" s="486"/>
      <c r="B84" s="324"/>
      <c r="C84" s="324"/>
      <c r="D84" s="324"/>
      <c r="E84" s="324"/>
      <c r="F84" s="324"/>
      <c r="G84" s="332">
        <v>29</v>
      </c>
      <c r="H84" s="333">
        <v>60</v>
      </c>
      <c r="I84" s="324"/>
      <c r="J84" s="324"/>
      <c r="K84" s="441">
        <v>1</v>
      </c>
      <c r="L84" s="442">
        <v>1</v>
      </c>
      <c r="M84" s="442">
        <v>1</v>
      </c>
      <c r="N84" s="442">
        <v>1</v>
      </c>
      <c r="O84" s="442">
        <v>0</v>
      </c>
      <c r="P84" s="443">
        <v>0</v>
      </c>
      <c r="Q84" s="324"/>
      <c r="R84" s="324"/>
      <c r="S84" s="324"/>
      <c r="T84" s="452">
        <f t="shared" si="0"/>
        <v>4</v>
      </c>
      <c r="U84" s="452">
        <f t="shared" si="1"/>
        <v>2</v>
      </c>
      <c r="V84" s="324"/>
      <c r="W84" s="324"/>
      <c r="X84" s="324"/>
      <c r="Y84" s="326"/>
      <c r="Z84" s="487"/>
    </row>
    <row r="85" spans="1:26" x14ac:dyDescent="0.25">
      <c r="A85" s="486"/>
      <c r="B85" s="324"/>
      <c r="C85" s="324"/>
      <c r="D85" s="324"/>
      <c r="E85" s="324"/>
      <c r="F85" s="324"/>
      <c r="G85" s="332">
        <v>30</v>
      </c>
      <c r="H85" s="333">
        <v>61</v>
      </c>
      <c r="I85" s="324"/>
      <c r="J85" s="324"/>
      <c r="K85" s="441">
        <v>1</v>
      </c>
      <c r="L85" s="442">
        <v>1</v>
      </c>
      <c r="M85" s="442">
        <v>1</v>
      </c>
      <c r="N85" s="442">
        <v>1</v>
      </c>
      <c r="O85" s="442">
        <v>0</v>
      </c>
      <c r="P85" s="443">
        <v>1</v>
      </c>
      <c r="Q85" s="324"/>
      <c r="R85" s="324"/>
      <c r="S85" s="324"/>
      <c r="T85" s="452">
        <f t="shared" si="0"/>
        <v>5</v>
      </c>
      <c r="U85" s="452">
        <f t="shared" si="1"/>
        <v>1</v>
      </c>
      <c r="V85" s="324"/>
      <c r="W85" s="324"/>
      <c r="X85" s="324"/>
      <c r="Y85" s="326"/>
      <c r="Z85" s="487"/>
    </row>
    <row r="86" spans="1:26" x14ac:dyDescent="0.25">
      <c r="A86" s="486"/>
      <c r="B86" s="324"/>
      <c r="C86" s="324"/>
      <c r="D86" s="324"/>
      <c r="E86" s="324"/>
      <c r="F86" s="324"/>
      <c r="G86" s="332">
        <v>31</v>
      </c>
      <c r="H86" s="333">
        <v>62</v>
      </c>
      <c r="I86" s="324"/>
      <c r="J86" s="324"/>
      <c r="K86" s="441">
        <v>1</v>
      </c>
      <c r="L86" s="442">
        <v>1</v>
      </c>
      <c r="M86" s="442">
        <v>1</v>
      </c>
      <c r="N86" s="442">
        <v>1</v>
      </c>
      <c r="O86" s="442">
        <v>1</v>
      </c>
      <c r="P86" s="443">
        <v>0</v>
      </c>
      <c r="Q86" s="324"/>
      <c r="R86" s="324"/>
      <c r="S86" s="324"/>
      <c r="T86" s="452">
        <f t="shared" si="0"/>
        <v>5</v>
      </c>
      <c r="U86" s="452">
        <f t="shared" si="1"/>
        <v>1</v>
      </c>
      <c r="V86" s="324"/>
      <c r="W86" s="324"/>
      <c r="X86" s="324"/>
      <c r="Y86" s="326"/>
      <c r="Z86" s="487"/>
    </row>
    <row r="87" spans="1:26" x14ac:dyDescent="0.25">
      <c r="A87" s="486"/>
      <c r="B87" s="324"/>
      <c r="C87" s="324"/>
      <c r="D87" s="324"/>
      <c r="E87" s="324"/>
      <c r="F87" s="324"/>
      <c r="G87" s="335">
        <v>32</v>
      </c>
      <c r="H87" s="336">
        <v>63</v>
      </c>
      <c r="I87" s="337"/>
      <c r="J87" s="337"/>
      <c r="K87" s="444">
        <v>1</v>
      </c>
      <c r="L87" s="445">
        <v>1</v>
      </c>
      <c r="M87" s="445">
        <v>1</v>
      </c>
      <c r="N87" s="445">
        <v>1</v>
      </c>
      <c r="O87" s="445">
        <v>1</v>
      </c>
      <c r="P87" s="446">
        <v>1</v>
      </c>
      <c r="Q87" s="337"/>
      <c r="R87" s="337"/>
      <c r="S87" s="337"/>
      <c r="T87" s="453">
        <f t="shared" si="0"/>
        <v>6</v>
      </c>
      <c r="U87" s="339">
        <f t="shared" si="1"/>
        <v>0</v>
      </c>
      <c r="V87" s="340">
        <v>32</v>
      </c>
      <c r="W87" s="324"/>
      <c r="X87" s="324"/>
      <c r="Y87" s="326"/>
      <c r="Z87" s="487"/>
    </row>
    <row r="88" spans="1:26" x14ac:dyDescent="0.25">
      <c r="A88" s="486"/>
      <c r="B88" s="324"/>
      <c r="C88" s="324"/>
      <c r="D88" s="324"/>
      <c r="E88" s="324"/>
      <c r="F88" s="324"/>
      <c r="G88" s="335">
        <v>33</v>
      </c>
      <c r="H88" s="336">
        <v>64</v>
      </c>
      <c r="I88" s="337"/>
      <c r="J88" s="338">
        <v>1</v>
      </c>
      <c r="K88" s="444">
        <v>0</v>
      </c>
      <c r="L88" s="445">
        <v>0</v>
      </c>
      <c r="M88" s="445">
        <v>0</v>
      </c>
      <c r="N88" s="445">
        <v>0</v>
      </c>
      <c r="O88" s="445">
        <v>0</v>
      </c>
      <c r="P88" s="446">
        <v>0</v>
      </c>
      <c r="Q88" s="337"/>
      <c r="R88" s="337"/>
      <c r="S88" s="337"/>
      <c r="T88" s="600">
        <f t="shared" ref="T88:T119" si="2">COUNTIF(K88:P88,1)</f>
        <v>0</v>
      </c>
      <c r="U88" s="453">
        <f t="shared" ref="U88:U119" si="3">COUNTIF(K88:P88,0)</f>
        <v>6</v>
      </c>
      <c r="V88" s="598">
        <v>33</v>
      </c>
      <c r="W88" s="324"/>
      <c r="X88" s="324"/>
      <c r="Y88" s="326"/>
      <c r="Z88" s="487"/>
    </row>
    <row r="89" spans="1:26" x14ac:dyDescent="0.25">
      <c r="A89" s="486"/>
      <c r="B89" s="324"/>
      <c r="C89" s="324"/>
      <c r="D89" s="324"/>
      <c r="E89" s="324"/>
      <c r="F89" s="324"/>
      <c r="G89" s="332">
        <v>34</v>
      </c>
      <c r="H89" s="333">
        <v>65</v>
      </c>
      <c r="I89" s="324"/>
      <c r="J89" s="334">
        <v>1</v>
      </c>
      <c r="K89" s="441">
        <v>0</v>
      </c>
      <c r="L89" s="442">
        <v>0</v>
      </c>
      <c r="M89" s="442">
        <v>0</v>
      </c>
      <c r="N89" s="442">
        <v>0</v>
      </c>
      <c r="O89" s="442">
        <v>0</v>
      </c>
      <c r="P89" s="443">
        <v>1</v>
      </c>
      <c r="Q89" s="324"/>
      <c r="R89" s="324"/>
      <c r="S89" s="324"/>
      <c r="T89" s="452">
        <f t="shared" si="2"/>
        <v>1</v>
      </c>
      <c r="U89" s="452">
        <f t="shared" si="3"/>
        <v>5</v>
      </c>
      <c r="V89" s="324"/>
      <c r="W89" s="324"/>
      <c r="X89" s="324"/>
      <c r="Y89" s="326"/>
      <c r="Z89" s="487"/>
    </row>
    <row r="90" spans="1:26" x14ac:dyDescent="0.25">
      <c r="A90" s="486"/>
      <c r="B90" s="324"/>
      <c r="C90" s="324"/>
      <c r="D90" s="324"/>
      <c r="E90" s="324"/>
      <c r="F90" s="324"/>
      <c r="G90" s="332">
        <v>35</v>
      </c>
      <c r="H90" s="333">
        <v>66</v>
      </c>
      <c r="I90" s="324"/>
      <c r="J90" s="334">
        <v>1</v>
      </c>
      <c r="K90" s="441">
        <v>0</v>
      </c>
      <c r="L90" s="442">
        <v>0</v>
      </c>
      <c r="M90" s="442">
        <v>0</v>
      </c>
      <c r="N90" s="442">
        <v>0</v>
      </c>
      <c r="O90" s="442">
        <v>1</v>
      </c>
      <c r="P90" s="443">
        <v>0</v>
      </c>
      <c r="Q90" s="324"/>
      <c r="R90" s="324"/>
      <c r="S90" s="324"/>
      <c r="T90" s="452">
        <f t="shared" si="2"/>
        <v>1</v>
      </c>
      <c r="U90" s="452">
        <f t="shared" si="3"/>
        <v>5</v>
      </c>
      <c r="V90" s="324"/>
      <c r="W90" s="324"/>
      <c r="X90" s="324"/>
      <c r="Y90" s="326"/>
      <c r="Z90" s="487"/>
    </row>
    <row r="91" spans="1:26" x14ac:dyDescent="0.25">
      <c r="A91" s="486"/>
      <c r="B91" s="324"/>
      <c r="C91" s="324"/>
      <c r="D91" s="324"/>
      <c r="E91" s="324"/>
      <c r="F91" s="324"/>
      <c r="G91" s="332">
        <v>36</v>
      </c>
      <c r="H91" s="333">
        <v>67</v>
      </c>
      <c r="I91" s="324"/>
      <c r="J91" s="334">
        <v>1</v>
      </c>
      <c r="K91" s="441">
        <v>0</v>
      </c>
      <c r="L91" s="442">
        <v>0</v>
      </c>
      <c r="M91" s="442">
        <v>0</v>
      </c>
      <c r="N91" s="442">
        <v>0</v>
      </c>
      <c r="O91" s="442">
        <v>1</v>
      </c>
      <c r="P91" s="443">
        <v>1</v>
      </c>
      <c r="Q91" s="324"/>
      <c r="R91" s="324"/>
      <c r="S91" s="324"/>
      <c r="T91" s="452">
        <f t="shared" si="2"/>
        <v>2</v>
      </c>
      <c r="U91" s="452">
        <f t="shared" si="3"/>
        <v>4</v>
      </c>
      <c r="V91" s="324"/>
      <c r="W91" s="324"/>
      <c r="X91" s="324"/>
      <c r="Y91" s="326"/>
      <c r="Z91" s="487"/>
    </row>
    <row r="92" spans="1:26" x14ac:dyDescent="0.25">
      <c r="A92" s="486"/>
      <c r="B92" s="324"/>
      <c r="C92" s="324"/>
      <c r="D92" s="324"/>
      <c r="E92" s="324"/>
      <c r="F92" s="324"/>
      <c r="G92" s="332">
        <v>37</v>
      </c>
      <c r="H92" s="333">
        <v>68</v>
      </c>
      <c r="I92" s="324"/>
      <c r="J92" s="334">
        <v>1</v>
      </c>
      <c r="K92" s="441">
        <v>0</v>
      </c>
      <c r="L92" s="442">
        <v>0</v>
      </c>
      <c r="M92" s="442">
        <v>0</v>
      </c>
      <c r="N92" s="442">
        <v>1</v>
      </c>
      <c r="O92" s="442">
        <v>0</v>
      </c>
      <c r="P92" s="443">
        <v>0</v>
      </c>
      <c r="Q92" s="324"/>
      <c r="R92" s="324"/>
      <c r="S92" s="324"/>
      <c r="T92" s="452">
        <f t="shared" si="2"/>
        <v>1</v>
      </c>
      <c r="U92" s="452">
        <f t="shared" si="3"/>
        <v>5</v>
      </c>
      <c r="V92" s="324"/>
      <c r="W92" s="324"/>
      <c r="X92" s="324"/>
      <c r="Y92" s="326"/>
      <c r="Z92" s="487"/>
    </row>
    <row r="93" spans="1:26" x14ac:dyDescent="0.25">
      <c r="A93" s="486"/>
      <c r="B93" s="324"/>
      <c r="C93" s="324"/>
      <c r="D93" s="324"/>
      <c r="E93" s="324"/>
      <c r="F93" s="324"/>
      <c r="G93" s="332">
        <v>38</v>
      </c>
      <c r="H93" s="333">
        <v>69</v>
      </c>
      <c r="I93" s="324"/>
      <c r="J93" s="334">
        <v>1</v>
      </c>
      <c r="K93" s="441">
        <v>0</v>
      </c>
      <c r="L93" s="442">
        <v>0</v>
      </c>
      <c r="M93" s="442">
        <v>0</v>
      </c>
      <c r="N93" s="442">
        <v>1</v>
      </c>
      <c r="O93" s="442">
        <v>0</v>
      </c>
      <c r="P93" s="443">
        <v>1</v>
      </c>
      <c r="Q93" s="324"/>
      <c r="R93" s="324"/>
      <c r="S93" s="324"/>
      <c r="T93" s="452">
        <f t="shared" si="2"/>
        <v>2</v>
      </c>
      <c r="U93" s="452">
        <f t="shared" si="3"/>
        <v>4</v>
      </c>
      <c r="V93" s="324"/>
      <c r="W93" s="324"/>
      <c r="X93" s="324"/>
      <c r="Y93" s="326"/>
      <c r="Z93" s="487"/>
    </row>
    <row r="94" spans="1:26" x14ac:dyDescent="0.25">
      <c r="A94" s="486"/>
      <c r="B94" s="324"/>
      <c r="C94" s="324"/>
      <c r="D94" s="324"/>
      <c r="E94" s="324"/>
      <c r="F94" s="324"/>
      <c r="G94" s="332">
        <v>39</v>
      </c>
      <c r="H94" s="333">
        <v>70</v>
      </c>
      <c r="I94" s="324"/>
      <c r="J94" s="334">
        <v>1</v>
      </c>
      <c r="K94" s="441">
        <v>0</v>
      </c>
      <c r="L94" s="442">
        <v>0</v>
      </c>
      <c r="M94" s="442">
        <v>0</v>
      </c>
      <c r="N94" s="442">
        <v>1</v>
      </c>
      <c r="O94" s="442">
        <v>1</v>
      </c>
      <c r="P94" s="443">
        <v>0</v>
      </c>
      <c r="Q94" s="324"/>
      <c r="R94" s="324"/>
      <c r="S94" s="324"/>
      <c r="T94" s="452">
        <f t="shared" si="2"/>
        <v>2</v>
      </c>
      <c r="U94" s="452">
        <f t="shared" si="3"/>
        <v>4</v>
      </c>
      <c r="V94" s="324"/>
      <c r="W94" s="324"/>
      <c r="X94" s="324"/>
      <c r="Y94" s="326"/>
      <c r="Z94" s="487"/>
    </row>
    <row r="95" spans="1:26" x14ac:dyDescent="0.25">
      <c r="A95" s="486"/>
      <c r="B95" s="324"/>
      <c r="C95" s="324"/>
      <c r="D95" s="324"/>
      <c r="E95" s="324"/>
      <c r="F95" s="324"/>
      <c r="G95" s="332">
        <v>40</v>
      </c>
      <c r="H95" s="333">
        <v>71</v>
      </c>
      <c r="I95" s="324"/>
      <c r="J95" s="334">
        <v>1</v>
      </c>
      <c r="K95" s="441">
        <v>0</v>
      </c>
      <c r="L95" s="442">
        <v>0</v>
      </c>
      <c r="M95" s="442">
        <v>0</v>
      </c>
      <c r="N95" s="442">
        <v>1</v>
      </c>
      <c r="O95" s="442">
        <v>1</v>
      </c>
      <c r="P95" s="443">
        <v>1</v>
      </c>
      <c r="Q95" s="324"/>
      <c r="R95" s="324"/>
      <c r="S95" s="324"/>
      <c r="T95" s="452">
        <f t="shared" si="2"/>
        <v>3</v>
      </c>
      <c r="U95" s="452">
        <f t="shared" si="3"/>
        <v>3</v>
      </c>
      <c r="V95" s="324"/>
      <c r="W95" s="324"/>
      <c r="X95" s="324"/>
      <c r="Y95" s="326"/>
      <c r="Z95" s="487"/>
    </row>
    <row r="96" spans="1:26" x14ac:dyDescent="0.25">
      <c r="A96" s="486"/>
      <c r="B96" s="324"/>
      <c r="C96" s="324"/>
      <c r="D96" s="324"/>
      <c r="E96" s="324"/>
      <c r="F96" s="324"/>
      <c r="G96" s="332">
        <v>41</v>
      </c>
      <c r="H96" s="333">
        <v>72</v>
      </c>
      <c r="I96" s="324"/>
      <c r="J96" s="334">
        <v>1</v>
      </c>
      <c r="K96" s="441">
        <v>0</v>
      </c>
      <c r="L96" s="442">
        <v>0</v>
      </c>
      <c r="M96" s="442">
        <v>1</v>
      </c>
      <c r="N96" s="442">
        <v>0</v>
      </c>
      <c r="O96" s="442">
        <v>0</v>
      </c>
      <c r="P96" s="443">
        <v>0</v>
      </c>
      <c r="Q96" s="324"/>
      <c r="R96" s="324"/>
      <c r="S96" s="324"/>
      <c r="T96" s="452">
        <f t="shared" si="2"/>
        <v>1</v>
      </c>
      <c r="U96" s="452">
        <f t="shared" si="3"/>
        <v>5</v>
      </c>
      <c r="V96" s="324"/>
      <c r="W96" s="324"/>
      <c r="X96" s="324"/>
      <c r="Y96" s="326"/>
      <c r="Z96" s="487"/>
    </row>
    <row r="97" spans="1:26" x14ac:dyDescent="0.25">
      <c r="A97" s="486"/>
      <c r="B97" s="324"/>
      <c r="C97" s="324"/>
      <c r="D97" s="324"/>
      <c r="E97" s="324"/>
      <c r="F97" s="324"/>
      <c r="G97" s="332">
        <v>42</v>
      </c>
      <c r="H97" s="333">
        <v>73</v>
      </c>
      <c r="I97" s="324"/>
      <c r="J97" s="334">
        <v>1</v>
      </c>
      <c r="K97" s="441">
        <v>0</v>
      </c>
      <c r="L97" s="442">
        <v>0</v>
      </c>
      <c r="M97" s="442">
        <v>1</v>
      </c>
      <c r="N97" s="442">
        <v>0</v>
      </c>
      <c r="O97" s="442">
        <v>0</v>
      </c>
      <c r="P97" s="443">
        <v>1</v>
      </c>
      <c r="Q97" s="324"/>
      <c r="R97" s="324"/>
      <c r="S97" s="324"/>
      <c r="T97" s="452">
        <f t="shared" si="2"/>
        <v>2</v>
      </c>
      <c r="U97" s="452">
        <f t="shared" si="3"/>
        <v>4</v>
      </c>
      <c r="V97" s="324"/>
      <c r="W97" s="324"/>
      <c r="X97" s="324"/>
      <c r="Y97" s="326"/>
      <c r="Z97" s="487"/>
    </row>
    <row r="98" spans="1:26" x14ac:dyDescent="0.25">
      <c r="A98" s="486"/>
      <c r="B98" s="324"/>
      <c r="C98" s="324"/>
      <c r="D98" s="324"/>
      <c r="E98" s="324"/>
      <c r="F98" s="324"/>
      <c r="G98" s="332">
        <v>43</v>
      </c>
      <c r="H98" s="333">
        <v>74</v>
      </c>
      <c r="I98" s="324"/>
      <c r="J98" s="334">
        <v>1</v>
      </c>
      <c r="K98" s="441">
        <v>0</v>
      </c>
      <c r="L98" s="442">
        <v>0</v>
      </c>
      <c r="M98" s="442">
        <v>1</v>
      </c>
      <c r="N98" s="442">
        <v>0</v>
      </c>
      <c r="O98" s="442">
        <v>1</v>
      </c>
      <c r="P98" s="443">
        <v>0</v>
      </c>
      <c r="Q98" s="324"/>
      <c r="R98" s="324"/>
      <c r="S98" s="324"/>
      <c r="T98" s="452">
        <f t="shared" si="2"/>
        <v>2</v>
      </c>
      <c r="U98" s="452">
        <f t="shared" si="3"/>
        <v>4</v>
      </c>
      <c r="V98" s="324"/>
      <c r="W98" s="324"/>
      <c r="X98" s="324"/>
      <c r="Y98" s="326"/>
      <c r="Z98" s="487"/>
    </row>
    <row r="99" spans="1:26" x14ac:dyDescent="0.25">
      <c r="A99" s="486"/>
      <c r="B99" s="324"/>
      <c r="C99" s="324"/>
      <c r="D99" s="324"/>
      <c r="E99" s="324"/>
      <c r="F99" s="324"/>
      <c r="G99" s="332">
        <v>44</v>
      </c>
      <c r="H99" s="333">
        <v>75</v>
      </c>
      <c r="I99" s="324"/>
      <c r="J99" s="334">
        <v>1</v>
      </c>
      <c r="K99" s="441">
        <v>0</v>
      </c>
      <c r="L99" s="442">
        <v>0</v>
      </c>
      <c r="M99" s="442">
        <v>1</v>
      </c>
      <c r="N99" s="442">
        <v>0</v>
      </c>
      <c r="O99" s="442">
        <v>1</v>
      </c>
      <c r="P99" s="443">
        <v>1</v>
      </c>
      <c r="Q99" s="324"/>
      <c r="R99" s="324"/>
      <c r="S99" s="324"/>
      <c r="T99" s="452">
        <f t="shared" si="2"/>
        <v>3</v>
      </c>
      <c r="U99" s="452">
        <f t="shared" si="3"/>
        <v>3</v>
      </c>
      <c r="V99" s="324"/>
      <c r="W99" s="324"/>
      <c r="X99" s="324"/>
      <c r="Y99" s="326"/>
      <c r="Z99" s="487"/>
    </row>
    <row r="100" spans="1:26" x14ac:dyDescent="0.25">
      <c r="A100" s="486"/>
      <c r="B100" s="324"/>
      <c r="C100" s="324"/>
      <c r="D100" s="324"/>
      <c r="E100" s="324"/>
      <c r="F100" s="324"/>
      <c r="G100" s="332">
        <v>45</v>
      </c>
      <c r="H100" s="333">
        <v>76</v>
      </c>
      <c r="I100" s="324"/>
      <c r="J100" s="334">
        <v>1</v>
      </c>
      <c r="K100" s="441">
        <v>0</v>
      </c>
      <c r="L100" s="442">
        <v>0</v>
      </c>
      <c r="M100" s="442">
        <v>1</v>
      </c>
      <c r="N100" s="442">
        <v>1</v>
      </c>
      <c r="O100" s="442">
        <v>0</v>
      </c>
      <c r="P100" s="443">
        <v>0</v>
      </c>
      <c r="Q100" s="324"/>
      <c r="R100" s="324"/>
      <c r="S100" s="324"/>
      <c r="T100" s="452">
        <f t="shared" si="2"/>
        <v>2</v>
      </c>
      <c r="U100" s="452">
        <f t="shared" si="3"/>
        <v>4</v>
      </c>
      <c r="V100" s="324"/>
      <c r="W100" s="324"/>
      <c r="X100" s="324"/>
      <c r="Y100" s="326"/>
      <c r="Z100" s="487"/>
    </row>
    <row r="101" spans="1:26" x14ac:dyDescent="0.25">
      <c r="A101" s="486"/>
      <c r="B101" s="324"/>
      <c r="C101" s="324"/>
      <c r="D101" s="324"/>
      <c r="E101" s="324"/>
      <c r="F101" s="324"/>
      <c r="G101" s="332">
        <v>46</v>
      </c>
      <c r="H101" s="333">
        <v>77</v>
      </c>
      <c r="I101" s="324"/>
      <c r="J101" s="334">
        <v>1</v>
      </c>
      <c r="K101" s="441">
        <v>0</v>
      </c>
      <c r="L101" s="442">
        <v>0</v>
      </c>
      <c r="M101" s="442">
        <v>1</v>
      </c>
      <c r="N101" s="442">
        <v>1</v>
      </c>
      <c r="O101" s="442">
        <v>0</v>
      </c>
      <c r="P101" s="443">
        <v>1</v>
      </c>
      <c r="Q101" s="324"/>
      <c r="R101" s="324"/>
      <c r="S101" s="324"/>
      <c r="T101" s="452">
        <f t="shared" si="2"/>
        <v>3</v>
      </c>
      <c r="U101" s="452">
        <f t="shared" si="3"/>
        <v>3</v>
      </c>
      <c r="V101" s="324"/>
      <c r="W101" s="324"/>
      <c r="X101" s="324"/>
      <c r="Y101" s="326"/>
      <c r="Z101" s="487"/>
    </row>
    <row r="102" spans="1:26" x14ac:dyDescent="0.25">
      <c r="A102" s="486"/>
      <c r="B102" s="324"/>
      <c r="C102" s="324"/>
      <c r="D102" s="324"/>
      <c r="E102" s="324"/>
      <c r="F102" s="324"/>
      <c r="G102" s="332">
        <v>47</v>
      </c>
      <c r="H102" s="333">
        <v>78</v>
      </c>
      <c r="I102" s="324"/>
      <c r="J102" s="334">
        <v>1</v>
      </c>
      <c r="K102" s="441">
        <v>0</v>
      </c>
      <c r="L102" s="442">
        <v>0</v>
      </c>
      <c r="M102" s="442">
        <v>1</v>
      </c>
      <c r="N102" s="442">
        <v>1</v>
      </c>
      <c r="O102" s="442">
        <v>1</v>
      </c>
      <c r="P102" s="443">
        <v>0</v>
      </c>
      <c r="Q102" s="324"/>
      <c r="R102" s="324"/>
      <c r="S102" s="324"/>
      <c r="T102" s="452">
        <f t="shared" si="2"/>
        <v>3</v>
      </c>
      <c r="U102" s="452">
        <f t="shared" si="3"/>
        <v>3</v>
      </c>
      <c r="V102" s="324"/>
      <c r="W102" s="324"/>
      <c r="X102" s="324"/>
      <c r="Y102" s="326"/>
      <c r="Z102" s="487"/>
    </row>
    <row r="103" spans="1:26" x14ac:dyDescent="0.25">
      <c r="A103" s="486"/>
      <c r="B103" s="324"/>
      <c r="C103" s="324"/>
      <c r="D103" s="324"/>
      <c r="E103" s="324"/>
      <c r="F103" s="324"/>
      <c r="G103" s="332">
        <v>48</v>
      </c>
      <c r="H103" s="333">
        <v>79</v>
      </c>
      <c r="I103" s="324"/>
      <c r="J103" s="334">
        <v>1</v>
      </c>
      <c r="K103" s="441">
        <v>0</v>
      </c>
      <c r="L103" s="442">
        <v>0</v>
      </c>
      <c r="M103" s="442">
        <v>1</v>
      </c>
      <c r="N103" s="442">
        <v>1</v>
      </c>
      <c r="O103" s="442">
        <v>1</v>
      </c>
      <c r="P103" s="443">
        <v>1</v>
      </c>
      <c r="Q103" s="324"/>
      <c r="R103" s="324"/>
      <c r="S103" s="324"/>
      <c r="T103" s="452">
        <f t="shared" si="2"/>
        <v>4</v>
      </c>
      <c r="U103" s="452">
        <f t="shared" si="3"/>
        <v>2</v>
      </c>
      <c r="V103" s="324"/>
      <c r="W103" s="324"/>
      <c r="X103" s="324"/>
      <c r="Y103" s="326"/>
      <c r="Z103" s="487"/>
    </row>
    <row r="104" spans="1:26" x14ac:dyDescent="0.25">
      <c r="A104" s="486"/>
      <c r="B104" s="324"/>
      <c r="C104" s="324"/>
      <c r="D104" s="324"/>
      <c r="E104" s="324"/>
      <c r="F104" s="324"/>
      <c r="G104" s="332">
        <v>49</v>
      </c>
      <c r="H104" s="333">
        <v>80</v>
      </c>
      <c r="I104" s="324"/>
      <c r="J104" s="334">
        <v>1</v>
      </c>
      <c r="K104" s="441">
        <v>0</v>
      </c>
      <c r="L104" s="442">
        <v>1</v>
      </c>
      <c r="M104" s="442">
        <v>0</v>
      </c>
      <c r="N104" s="442">
        <v>0</v>
      </c>
      <c r="O104" s="442">
        <v>0</v>
      </c>
      <c r="P104" s="443">
        <v>0</v>
      </c>
      <c r="Q104" s="324"/>
      <c r="R104" s="324"/>
      <c r="S104" s="324"/>
      <c r="T104" s="452">
        <f t="shared" si="2"/>
        <v>1</v>
      </c>
      <c r="U104" s="452">
        <f t="shared" si="3"/>
        <v>5</v>
      </c>
      <c r="V104" s="324"/>
      <c r="W104" s="324"/>
      <c r="X104" s="324"/>
      <c r="Y104" s="326"/>
      <c r="Z104" s="487"/>
    </row>
    <row r="105" spans="1:26" x14ac:dyDescent="0.25">
      <c r="A105" s="486"/>
      <c r="B105" s="324"/>
      <c r="C105" s="324"/>
      <c r="D105" s="324"/>
      <c r="E105" s="324"/>
      <c r="F105" s="324"/>
      <c r="G105" s="332">
        <v>50</v>
      </c>
      <c r="H105" s="333">
        <v>81</v>
      </c>
      <c r="I105" s="324"/>
      <c r="J105" s="334">
        <v>1</v>
      </c>
      <c r="K105" s="441">
        <v>0</v>
      </c>
      <c r="L105" s="442">
        <v>1</v>
      </c>
      <c r="M105" s="442">
        <v>0</v>
      </c>
      <c r="N105" s="442">
        <v>0</v>
      </c>
      <c r="O105" s="442">
        <v>0</v>
      </c>
      <c r="P105" s="443">
        <v>1</v>
      </c>
      <c r="Q105" s="324"/>
      <c r="R105" s="324"/>
      <c r="S105" s="324"/>
      <c r="T105" s="452">
        <f t="shared" si="2"/>
        <v>2</v>
      </c>
      <c r="U105" s="452">
        <f t="shared" si="3"/>
        <v>4</v>
      </c>
      <c r="V105" s="324"/>
      <c r="W105" s="324"/>
      <c r="X105" s="324"/>
      <c r="Y105" s="326"/>
      <c r="Z105" s="487"/>
    </row>
    <row r="106" spans="1:26" x14ac:dyDescent="0.25">
      <c r="A106" s="486"/>
      <c r="B106" s="324"/>
      <c r="C106" s="324"/>
      <c r="D106" s="324"/>
      <c r="E106" s="324"/>
      <c r="F106" s="324"/>
      <c r="G106" s="332">
        <v>51</v>
      </c>
      <c r="H106" s="333">
        <v>82</v>
      </c>
      <c r="I106" s="324"/>
      <c r="J106" s="334">
        <v>1</v>
      </c>
      <c r="K106" s="441">
        <v>0</v>
      </c>
      <c r="L106" s="442">
        <v>1</v>
      </c>
      <c r="M106" s="442">
        <v>0</v>
      </c>
      <c r="N106" s="442">
        <v>0</v>
      </c>
      <c r="O106" s="442">
        <v>1</v>
      </c>
      <c r="P106" s="443">
        <v>0</v>
      </c>
      <c r="Q106" s="324"/>
      <c r="R106" s="324"/>
      <c r="S106" s="324"/>
      <c r="T106" s="452">
        <f t="shared" si="2"/>
        <v>2</v>
      </c>
      <c r="U106" s="452">
        <f t="shared" si="3"/>
        <v>4</v>
      </c>
      <c r="V106" s="324"/>
      <c r="W106" s="324"/>
      <c r="X106" s="324"/>
      <c r="Y106" s="326"/>
      <c r="Z106" s="487"/>
    </row>
    <row r="107" spans="1:26" x14ac:dyDescent="0.25">
      <c r="A107" s="486"/>
      <c r="B107" s="324"/>
      <c r="C107" s="324"/>
      <c r="D107" s="324"/>
      <c r="E107" s="324"/>
      <c r="F107" s="324"/>
      <c r="G107" s="332">
        <v>52</v>
      </c>
      <c r="H107" s="333">
        <v>83</v>
      </c>
      <c r="I107" s="324"/>
      <c r="J107" s="334">
        <v>1</v>
      </c>
      <c r="K107" s="441">
        <v>0</v>
      </c>
      <c r="L107" s="442">
        <v>1</v>
      </c>
      <c r="M107" s="442">
        <v>0</v>
      </c>
      <c r="N107" s="442">
        <v>0</v>
      </c>
      <c r="O107" s="442">
        <v>1</v>
      </c>
      <c r="P107" s="443">
        <v>1</v>
      </c>
      <c r="Q107" s="324"/>
      <c r="R107" s="324"/>
      <c r="S107" s="324"/>
      <c r="T107" s="452">
        <f t="shared" si="2"/>
        <v>3</v>
      </c>
      <c r="U107" s="452">
        <f t="shared" si="3"/>
        <v>3</v>
      </c>
      <c r="V107" s="324"/>
      <c r="W107" s="324"/>
      <c r="X107" s="324"/>
      <c r="Y107" s="326"/>
      <c r="Z107" s="487"/>
    </row>
    <row r="108" spans="1:26" x14ac:dyDescent="0.25">
      <c r="A108" s="486"/>
      <c r="B108" s="324"/>
      <c r="C108" s="324"/>
      <c r="D108" s="324"/>
      <c r="E108" s="324"/>
      <c r="F108" s="324"/>
      <c r="G108" s="332">
        <v>53</v>
      </c>
      <c r="H108" s="333">
        <v>84</v>
      </c>
      <c r="I108" s="324"/>
      <c r="J108" s="334">
        <v>1</v>
      </c>
      <c r="K108" s="441">
        <v>0</v>
      </c>
      <c r="L108" s="442">
        <v>1</v>
      </c>
      <c r="M108" s="442">
        <v>0</v>
      </c>
      <c r="N108" s="442">
        <v>1</v>
      </c>
      <c r="O108" s="442">
        <v>0</v>
      </c>
      <c r="P108" s="443">
        <v>0</v>
      </c>
      <c r="Q108" s="324"/>
      <c r="R108" s="324"/>
      <c r="S108" s="324"/>
      <c r="T108" s="452">
        <f t="shared" si="2"/>
        <v>2</v>
      </c>
      <c r="U108" s="452">
        <f t="shared" si="3"/>
        <v>4</v>
      </c>
      <c r="V108" s="324"/>
      <c r="W108" s="324"/>
      <c r="X108" s="324"/>
      <c r="Y108" s="326"/>
      <c r="Z108" s="487"/>
    </row>
    <row r="109" spans="1:26" x14ac:dyDescent="0.25">
      <c r="A109" s="486"/>
      <c r="B109" s="324"/>
      <c r="C109" s="324"/>
      <c r="D109" s="324"/>
      <c r="E109" s="324"/>
      <c r="F109" s="324"/>
      <c r="G109" s="332">
        <v>54</v>
      </c>
      <c r="H109" s="333">
        <v>85</v>
      </c>
      <c r="I109" s="324"/>
      <c r="J109" s="334">
        <v>1</v>
      </c>
      <c r="K109" s="441">
        <v>0</v>
      </c>
      <c r="L109" s="442">
        <v>1</v>
      </c>
      <c r="M109" s="442">
        <v>0</v>
      </c>
      <c r="N109" s="442">
        <v>1</v>
      </c>
      <c r="O109" s="442">
        <v>0</v>
      </c>
      <c r="P109" s="443">
        <v>1</v>
      </c>
      <c r="Q109" s="324"/>
      <c r="R109" s="324"/>
      <c r="S109" s="324"/>
      <c r="T109" s="452">
        <f t="shared" si="2"/>
        <v>3</v>
      </c>
      <c r="U109" s="452">
        <f t="shared" si="3"/>
        <v>3</v>
      </c>
      <c r="V109" s="324"/>
      <c r="W109" s="324"/>
      <c r="X109" s="324"/>
      <c r="Y109" s="326"/>
      <c r="Z109" s="487"/>
    </row>
    <row r="110" spans="1:26" x14ac:dyDescent="0.25">
      <c r="A110" s="486"/>
      <c r="B110" s="324"/>
      <c r="C110" s="324"/>
      <c r="D110" s="324"/>
      <c r="E110" s="324"/>
      <c r="F110" s="324"/>
      <c r="G110" s="332">
        <v>55</v>
      </c>
      <c r="H110" s="333">
        <v>86</v>
      </c>
      <c r="I110" s="324"/>
      <c r="J110" s="334">
        <v>1</v>
      </c>
      <c r="K110" s="441">
        <v>0</v>
      </c>
      <c r="L110" s="442">
        <v>1</v>
      </c>
      <c r="M110" s="442">
        <v>0</v>
      </c>
      <c r="N110" s="442">
        <v>1</v>
      </c>
      <c r="O110" s="442">
        <v>1</v>
      </c>
      <c r="P110" s="443">
        <v>0</v>
      </c>
      <c r="Q110" s="324"/>
      <c r="R110" s="324"/>
      <c r="S110" s="324"/>
      <c r="T110" s="452">
        <f t="shared" si="2"/>
        <v>3</v>
      </c>
      <c r="U110" s="452">
        <f t="shared" si="3"/>
        <v>3</v>
      </c>
      <c r="V110" s="324"/>
      <c r="W110" s="324"/>
      <c r="X110" s="324"/>
      <c r="Y110" s="326"/>
      <c r="Z110" s="487"/>
    </row>
    <row r="111" spans="1:26" x14ac:dyDescent="0.25">
      <c r="A111" s="486"/>
      <c r="B111" s="324"/>
      <c r="C111" s="324"/>
      <c r="D111" s="324"/>
      <c r="E111" s="324"/>
      <c r="F111" s="324"/>
      <c r="G111" s="332">
        <v>56</v>
      </c>
      <c r="H111" s="333">
        <v>87</v>
      </c>
      <c r="I111" s="324"/>
      <c r="J111" s="334">
        <v>1</v>
      </c>
      <c r="K111" s="441">
        <v>0</v>
      </c>
      <c r="L111" s="442">
        <v>1</v>
      </c>
      <c r="M111" s="442">
        <v>0</v>
      </c>
      <c r="N111" s="442">
        <v>1</v>
      </c>
      <c r="O111" s="442">
        <v>1</v>
      </c>
      <c r="P111" s="443">
        <v>1</v>
      </c>
      <c r="Q111" s="324"/>
      <c r="R111" s="324"/>
      <c r="S111" s="324"/>
      <c r="T111" s="452">
        <f t="shared" si="2"/>
        <v>4</v>
      </c>
      <c r="U111" s="452">
        <f t="shared" si="3"/>
        <v>2</v>
      </c>
      <c r="V111" s="324"/>
      <c r="W111" s="324"/>
      <c r="X111" s="324"/>
      <c r="Y111" s="326"/>
      <c r="Z111" s="487"/>
    </row>
    <row r="112" spans="1:26" x14ac:dyDescent="0.25">
      <c r="A112" s="486"/>
      <c r="B112" s="324"/>
      <c r="C112" s="324"/>
      <c r="D112" s="324"/>
      <c r="E112" s="324"/>
      <c r="F112" s="324"/>
      <c r="G112" s="332">
        <v>57</v>
      </c>
      <c r="H112" s="333">
        <v>88</v>
      </c>
      <c r="I112" s="324"/>
      <c r="J112" s="334">
        <v>1</v>
      </c>
      <c r="K112" s="441">
        <v>0</v>
      </c>
      <c r="L112" s="442">
        <v>1</v>
      </c>
      <c r="M112" s="442">
        <v>1</v>
      </c>
      <c r="N112" s="442">
        <v>0</v>
      </c>
      <c r="O112" s="442">
        <v>0</v>
      </c>
      <c r="P112" s="443">
        <v>0</v>
      </c>
      <c r="Q112" s="324"/>
      <c r="R112" s="324"/>
      <c r="S112" s="324"/>
      <c r="T112" s="452">
        <f t="shared" si="2"/>
        <v>2</v>
      </c>
      <c r="U112" s="452">
        <f t="shared" si="3"/>
        <v>4</v>
      </c>
      <c r="V112" s="324"/>
      <c r="W112" s="324"/>
      <c r="X112" s="324"/>
      <c r="Y112" s="326"/>
      <c r="Z112" s="487"/>
    </row>
    <row r="113" spans="1:26" x14ac:dyDescent="0.25">
      <c r="A113" s="486"/>
      <c r="B113" s="324"/>
      <c r="C113" s="324"/>
      <c r="D113" s="324"/>
      <c r="E113" s="324"/>
      <c r="F113" s="324"/>
      <c r="G113" s="332">
        <v>58</v>
      </c>
      <c r="H113" s="333">
        <v>89</v>
      </c>
      <c r="I113" s="324"/>
      <c r="J113" s="334">
        <v>1</v>
      </c>
      <c r="K113" s="441">
        <v>0</v>
      </c>
      <c r="L113" s="442">
        <v>1</v>
      </c>
      <c r="M113" s="442">
        <v>1</v>
      </c>
      <c r="N113" s="442">
        <v>0</v>
      </c>
      <c r="O113" s="442">
        <v>0</v>
      </c>
      <c r="P113" s="443">
        <v>1</v>
      </c>
      <c r="Q113" s="324"/>
      <c r="R113" s="324"/>
      <c r="S113" s="324"/>
      <c r="T113" s="452">
        <f t="shared" si="2"/>
        <v>3</v>
      </c>
      <c r="U113" s="452">
        <f t="shared" si="3"/>
        <v>3</v>
      </c>
      <c r="V113" s="324"/>
      <c r="W113" s="324"/>
      <c r="X113" s="324"/>
      <c r="Y113" s="326"/>
      <c r="Z113" s="487"/>
    </row>
    <row r="114" spans="1:26" x14ac:dyDescent="0.25">
      <c r="A114" s="486"/>
      <c r="B114" s="324"/>
      <c r="C114" s="324"/>
      <c r="D114" s="324"/>
      <c r="E114" s="324"/>
      <c r="F114" s="324"/>
      <c r="G114" s="332">
        <v>59</v>
      </c>
      <c r="H114" s="333">
        <v>90</v>
      </c>
      <c r="I114" s="324"/>
      <c r="J114" s="334">
        <v>1</v>
      </c>
      <c r="K114" s="441">
        <v>0</v>
      </c>
      <c r="L114" s="442">
        <v>1</v>
      </c>
      <c r="M114" s="442">
        <v>1</v>
      </c>
      <c r="N114" s="442">
        <v>0</v>
      </c>
      <c r="O114" s="442">
        <v>1</v>
      </c>
      <c r="P114" s="443">
        <v>0</v>
      </c>
      <c r="Q114" s="324"/>
      <c r="R114" s="324"/>
      <c r="S114" s="324"/>
      <c r="T114" s="452">
        <f t="shared" si="2"/>
        <v>3</v>
      </c>
      <c r="U114" s="452">
        <f t="shared" si="3"/>
        <v>3</v>
      </c>
      <c r="V114" s="324"/>
      <c r="W114" s="324"/>
      <c r="X114" s="324"/>
      <c r="Y114" s="326"/>
      <c r="Z114" s="487"/>
    </row>
    <row r="115" spans="1:26" x14ac:dyDescent="0.25">
      <c r="A115" s="486"/>
      <c r="B115" s="324"/>
      <c r="C115" s="324"/>
      <c r="D115" s="324"/>
      <c r="E115" s="324"/>
      <c r="F115" s="324"/>
      <c r="G115" s="332">
        <v>60</v>
      </c>
      <c r="H115" s="333">
        <v>91</v>
      </c>
      <c r="I115" s="324"/>
      <c r="J115" s="334">
        <v>1</v>
      </c>
      <c r="K115" s="441">
        <v>0</v>
      </c>
      <c r="L115" s="442">
        <v>1</v>
      </c>
      <c r="M115" s="442">
        <v>1</v>
      </c>
      <c r="N115" s="442">
        <v>0</v>
      </c>
      <c r="O115" s="442">
        <v>1</v>
      </c>
      <c r="P115" s="443">
        <v>1</v>
      </c>
      <c r="Q115" s="324"/>
      <c r="R115" s="324"/>
      <c r="S115" s="324"/>
      <c r="T115" s="452">
        <f t="shared" si="2"/>
        <v>4</v>
      </c>
      <c r="U115" s="452">
        <f t="shared" si="3"/>
        <v>2</v>
      </c>
      <c r="V115" s="324"/>
      <c r="W115" s="324"/>
      <c r="X115" s="324"/>
      <c r="Y115" s="326"/>
      <c r="Z115" s="487"/>
    </row>
    <row r="116" spans="1:26" x14ac:dyDescent="0.25">
      <c r="A116" s="486"/>
      <c r="B116" s="324"/>
      <c r="C116" s="324"/>
      <c r="D116" s="324"/>
      <c r="E116" s="324"/>
      <c r="F116" s="324"/>
      <c r="G116" s="332">
        <v>61</v>
      </c>
      <c r="H116" s="333">
        <v>92</v>
      </c>
      <c r="I116" s="324"/>
      <c r="J116" s="334">
        <v>1</v>
      </c>
      <c r="K116" s="441">
        <v>0</v>
      </c>
      <c r="L116" s="442">
        <v>1</v>
      </c>
      <c r="M116" s="442">
        <v>1</v>
      </c>
      <c r="N116" s="442">
        <v>1</v>
      </c>
      <c r="O116" s="442">
        <v>0</v>
      </c>
      <c r="P116" s="443">
        <v>0</v>
      </c>
      <c r="Q116" s="324"/>
      <c r="R116" s="324"/>
      <c r="S116" s="324"/>
      <c r="T116" s="452">
        <f t="shared" si="2"/>
        <v>3</v>
      </c>
      <c r="U116" s="452">
        <f t="shared" si="3"/>
        <v>3</v>
      </c>
      <c r="V116" s="324"/>
      <c r="W116" s="324"/>
      <c r="X116" s="324"/>
      <c r="Y116" s="326"/>
      <c r="Z116" s="487"/>
    </row>
    <row r="117" spans="1:26" x14ac:dyDescent="0.25">
      <c r="A117" s="486"/>
      <c r="B117" s="324"/>
      <c r="C117" s="324"/>
      <c r="D117" s="324"/>
      <c r="E117" s="324"/>
      <c r="F117" s="324"/>
      <c r="G117" s="332">
        <v>62</v>
      </c>
      <c r="H117" s="333">
        <v>93</v>
      </c>
      <c r="I117" s="324"/>
      <c r="J117" s="334">
        <v>1</v>
      </c>
      <c r="K117" s="441">
        <v>0</v>
      </c>
      <c r="L117" s="442">
        <v>1</v>
      </c>
      <c r="M117" s="442">
        <v>1</v>
      </c>
      <c r="N117" s="442">
        <v>1</v>
      </c>
      <c r="O117" s="442">
        <v>0</v>
      </c>
      <c r="P117" s="443">
        <v>1</v>
      </c>
      <c r="Q117" s="324"/>
      <c r="R117" s="324"/>
      <c r="S117" s="324"/>
      <c r="T117" s="452">
        <f t="shared" si="2"/>
        <v>4</v>
      </c>
      <c r="U117" s="452">
        <f t="shared" si="3"/>
        <v>2</v>
      </c>
      <c r="V117" s="324"/>
      <c r="W117" s="324"/>
      <c r="X117" s="324"/>
      <c r="Y117" s="326"/>
      <c r="Z117" s="487"/>
    </row>
    <row r="118" spans="1:26" x14ac:dyDescent="0.25">
      <c r="A118" s="486"/>
      <c r="B118" s="324"/>
      <c r="C118" s="324"/>
      <c r="D118" s="324"/>
      <c r="E118" s="324"/>
      <c r="F118" s="324"/>
      <c r="G118" s="332">
        <v>63</v>
      </c>
      <c r="H118" s="333">
        <v>94</v>
      </c>
      <c r="I118" s="324"/>
      <c r="J118" s="334">
        <v>1</v>
      </c>
      <c r="K118" s="441">
        <v>0</v>
      </c>
      <c r="L118" s="442">
        <v>1</v>
      </c>
      <c r="M118" s="442">
        <v>1</v>
      </c>
      <c r="N118" s="442">
        <v>1</v>
      </c>
      <c r="O118" s="442">
        <v>1</v>
      </c>
      <c r="P118" s="443">
        <v>0</v>
      </c>
      <c r="Q118" s="324"/>
      <c r="R118" s="324"/>
      <c r="S118" s="324"/>
      <c r="T118" s="452">
        <f t="shared" si="2"/>
        <v>4</v>
      </c>
      <c r="U118" s="452">
        <f t="shared" si="3"/>
        <v>2</v>
      </c>
      <c r="V118" s="324"/>
      <c r="W118" s="324"/>
      <c r="X118" s="324"/>
      <c r="Y118" s="326"/>
      <c r="Z118" s="487"/>
    </row>
    <row r="119" spans="1:26" x14ac:dyDescent="0.25">
      <c r="A119" s="486"/>
      <c r="B119" s="324"/>
      <c r="C119" s="324"/>
      <c r="D119" s="324"/>
      <c r="E119" s="324"/>
      <c r="F119" s="324"/>
      <c r="G119" s="332">
        <v>64</v>
      </c>
      <c r="H119" s="333">
        <v>95</v>
      </c>
      <c r="I119" s="324"/>
      <c r="J119" s="334">
        <v>1</v>
      </c>
      <c r="K119" s="441">
        <v>0</v>
      </c>
      <c r="L119" s="442">
        <v>1</v>
      </c>
      <c r="M119" s="442">
        <v>1</v>
      </c>
      <c r="N119" s="442">
        <v>1</v>
      </c>
      <c r="O119" s="442">
        <v>1</v>
      </c>
      <c r="P119" s="443">
        <v>1</v>
      </c>
      <c r="Q119" s="324"/>
      <c r="R119" s="324"/>
      <c r="S119" s="324"/>
      <c r="T119" s="452">
        <f t="shared" si="2"/>
        <v>5</v>
      </c>
      <c r="U119" s="452">
        <f t="shared" si="3"/>
        <v>1</v>
      </c>
      <c r="V119" s="324"/>
      <c r="W119" s="324"/>
      <c r="X119" s="324"/>
      <c r="Y119" s="326"/>
      <c r="Z119" s="487"/>
    </row>
    <row r="120" spans="1:26" x14ac:dyDescent="0.25">
      <c r="A120" s="486"/>
      <c r="B120" s="324"/>
      <c r="C120" s="324"/>
      <c r="D120" s="324"/>
      <c r="E120" s="324"/>
      <c r="F120" s="324"/>
      <c r="G120" s="332">
        <v>65</v>
      </c>
      <c r="H120" s="333">
        <v>96</v>
      </c>
      <c r="I120" s="324"/>
      <c r="J120" s="334">
        <v>1</v>
      </c>
      <c r="K120" s="441">
        <v>1</v>
      </c>
      <c r="L120" s="442">
        <v>0</v>
      </c>
      <c r="M120" s="442">
        <v>0</v>
      </c>
      <c r="N120" s="442">
        <v>0</v>
      </c>
      <c r="O120" s="442">
        <v>0</v>
      </c>
      <c r="P120" s="443">
        <v>0</v>
      </c>
      <c r="Q120" s="324"/>
      <c r="R120" s="324"/>
      <c r="S120" s="324"/>
      <c r="T120" s="452">
        <f t="shared" ref="T120:T152" si="4">COUNTIF(K120:P120,1)</f>
        <v>1</v>
      </c>
      <c r="U120" s="452">
        <f t="shared" ref="U120:U152" si="5">COUNTIF(K120:P120,0)</f>
        <v>5</v>
      </c>
      <c r="V120" s="324"/>
      <c r="W120" s="324"/>
      <c r="X120" s="324"/>
      <c r="Y120" s="326"/>
      <c r="Z120" s="487"/>
    </row>
    <row r="121" spans="1:26" x14ac:dyDescent="0.25">
      <c r="A121" s="486"/>
      <c r="B121" s="324"/>
      <c r="C121" s="324"/>
      <c r="D121" s="324"/>
      <c r="E121" s="324"/>
      <c r="F121" s="324"/>
      <c r="G121" s="332">
        <v>66</v>
      </c>
      <c r="H121" s="333">
        <v>97</v>
      </c>
      <c r="I121" s="324"/>
      <c r="J121" s="334">
        <v>1</v>
      </c>
      <c r="K121" s="441">
        <v>1</v>
      </c>
      <c r="L121" s="442">
        <v>0</v>
      </c>
      <c r="M121" s="442">
        <v>0</v>
      </c>
      <c r="N121" s="442">
        <v>0</v>
      </c>
      <c r="O121" s="442">
        <v>0</v>
      </c>
      <c r="P121" s="443">
        <v>1</v>
      </c>
      <c r="Q121" s="324"/>
      <c r="R121" s="324"/>
      <c r="S121" s="324"/>
      <c r="T121" s="452">
        <f t="shared" si="4"/>
        <v>2</v>
      </c>
      <c r="U121" s="452">
        <f t="shared" si="5"/>
        <v>4</v>
      </c>
      <c r="V121" s="324"/>
      <c r="W121" s="324"/>
      <c r="X121" s="324"/>
      <c r="Y121" s="326"/>
      <c r="Z121" s="487"/>
    </row>
    <row r="122" spans="1:26" x14ac:dyDescent="0.25">
      <c r="A122" s="486"/>
      <c r="B122" s="324"/>
      <c r="C122" s="324"/>
      <c r="D122" s="324"/>
      <c r="E122" s="324"/>
      <c r="F122" s="324"/>
      <c r="G122" s="332">
        <v>67</v>
      </c>
      <c r="H122" s="333">
        <v>98</v>
      </c>
      <c r="I122" s="324"/>
      <c r="J122" s="334">
        <v>1</v>
      </c>
      <c r="K122" s="441">
        <v>1</v>
      </c>
      <c r="L122" s="442">
        <v>0</v>
      </c>
      <c r="M122" s="442">
        <v>0</v>
      </c>
      <c r="N122" s="442">
        <v>0</v>
      </c>
      <c r="O122" s="442">
        <v>1</v>
      </c>
      <c r="P122" s="443">
        <v>0</v>
      </c>
      <c r="Q122" s="324"/>
      <c r="R122" s="324"/>
      <c r="S122" s="324"/>
      <c r="T122" s="452">
        <f t="shared" si="4"/>
        <v>2</v>
      </c>
      <c r="U122" s="452">
        <f t="shared" si="5"/>
        <v>4</v>
      </c>
      <c r="V122" s="324"/>
      <c r="W122" s="324"/>
      <c r="X122" s="324"/>
      <c r="Y122" s="326"/>
      <c r="Z122" s="487"/>
    </row>
    <row r="123" spans="1:26" x14ac:dyDescent="0.25">
      <c r="A123" s="486"/>
      <c r="B123" s="324"/>
      <c r="C123" s="324"/>
      <c r="D123" s="324"/>
      <c r="E123" s="324"/>
      <c r="F123" s="324"/>
      <c r="G123" s="332">
        <v>68</v>
      </c>
      <c r="H123" s="333">
        <v>99</v>
      </c>
      <c r="I123" s="324"/>
      <c r="J123" s="334">
        <v>1</v>
      </c>
      <c r="K123" s="441">
        <v>1</v>
      </c>
      <c r="L123" s="442">
        <v>0</v>
      </c>
      <c r="M123" s="442">
        <v>0</v>
      </c>
      <c r="N123" s="442">
        <v>0</v>
      </c>
      <c r="O123" s="442">
        <v>1</v>
      </c>
      <c r="P123" s="443">
        <v>1</v>
      </c>
      <c r="Q123" s="324"/>
      <c r="R123" s="324"/>
      <c r="S123" s="324"/>
      <c r="T123" s="452">
        <f t="shared" si="4"/>
        <v>3</v>
      </c>
      <c r="U123" s="452">
        <f t="shared" si="5"/>
        <v>3</v>
      </c>
      <c r="V123" s="324"/>
      <c r="W123" s="324"/>
      <c r="X123" s="324"/>
      <c r="Y123" s="326"/>
      <c r="Z123" s="487"/>
    </row>
    <row r="124" spans="1:26" x14ac:dyDescent="0.25">
      <c r="A124" s="486"/>
      <c r="B124" s="324"/>
      <c r="C124" s="324"/>
      <c r="D124" s="324"/>
      <c r="E124" s="324"/>
      <c r="F124" s="324"/>
      <c r="G124" s="332">
        <v>69</v>
      </c>
      <c r="H124" s="333">
        <v>100</v>
      </c>
      <c r="I124" s="324"/>
      <c r="J124" s="334">
        <v>1</v>
      </c>
      <c r="K124" s="441">
        <v>1</v>
      </c>
      <c r="L124" s="442">
        <v>0</v>
      </c>
      <c r="M124" s="442">
        <v>0</v>
      </c>
      <c r="N124" s="442">
        <v>1</v>
      </c>
      <c r="O124" s="442">
        <v>0</v>
      </c>
      <c r="P124" s="443">
        <v>0</v>
      </c>
      <c r="Q124" s="324"/>
      <c r="R124" s="324"/>
      <c r="S124" s="324"/>
      <c r="T124" s="452">
        <f t="shared" si="4"/>
        <v>2</v>
      </c>
      <c r="U124" s="452">
        <f t="shared" si="5"/>
        <v>4</v>
      </c>
      <c r="V124" s="324"/>
      <c r="W124" s="324"/>
      <c r="X124" s="324"/>
      <c r="Y124" s="326"/>
      <c r="Z124" s="487"/>
    </row>
    <row r="125" spans="1:26" x14ac:dyDescent="0.25">
      <c r="A125" s="486"/>
      <c r="B125" s="324"/>
      <c r="C125" s="324"/>
      <c r="D125" s="324"/>
      <c r="E125" s="324"/>
      <c r="F125" s="324"/>
      <c r="G125" s="332">
        <v>70</v>
      </c>
      <c r="H125" s="333">
        <v>101</v>
      </c>
      <c r="I125" s="324"/>
      <c r="J125" s="334">
        <v>1</v>
      </c>
      <c r="K125" s="441">
        <v>1</v>
      </c>
      <c r="L125" s="442">
        <v>0</v>
      </c>
      <c r="M125" s="442">
        <v>0</v>
      </c>
      <c r="N125" s="442">
        <v>1</v>
      </c>
      <c r="O125" s="442">
        <v>0</v>
      </c>
      <c r="P125" s="443">
        <v>1</v>
      </c>
      <c r="Q125" s="324"/>
      <c r="R125" s="324"/>
      <c r="S125" s="324"/>
      <c r="T125" s="452">
        <f t="shared" si="4"/>
        <v>3</v>
      </c>
      <c r="U125" s="452">
        <f t="shared" si="5"/>
        <v>3</v>
      </c>
      <c r="V125" s="324"/>
      <c r="W125" s="324"/>
      <c r="X125" s="324"/>
      <c r="Y125" s="326"/>
      <c r="Z125" s="487"/>
    </row>
    <row r="126" spans="1:26" x14ac:dyDescent="0.25">
      <c r="A126" s="486"/>
      <c r="B126" s="324"/>
      <c r="C126" s="324"/>
      <c r="D126" s="324"/>
      <c r="E126" s="324"/>
      <c r="F126" s="324"/>
      <c r="G126" s="332">
        <v>71</v>
      </c>
      <c r="H126" s="333">
        <v>102</v>
      </c>
      <c r="I126" s="324"/>
      <c r="J126" s="334">
        <v>1</v>
      </c>
      <c r="K126" s="441">
        <v>1</v>
      </c>
      <c r="L126" s="442">
        <v>0</v>
      </c>
      <c r="M126" s="442">
        <v>0</v>
      </c>
      <c r="N126" s="442">
        <v>1</v>
      </c>
      <c r="O126" s="442">
        <v>1</v>
      </c>
      <c r="P126" s="443">
        <v>0</v>
      </c>
      <c r="Q126" s="324"/>
      <c r="R126" s="324"/>
      <c r="S126" s="324"/>
      <c r="T126" s="452">
        <f t="shared" si="4"/>
        <v>3</v>
      </c>
      <c r="U126" s="452">
        <f t="shared" si="5"/>
        <v>3</v>
      </c>
      <c r="V126" s="324"/>
      <c r="W126" s="324"/>
      <c r="X126" s="324"/>
      <c r="Y126" s="326"/>
      <c r="Z126" s="487"/>
    </row>
    <row r="127" spans="1:26" x14ac:dyDescent="0.25">
      <c r="A127" s="486"/>
      <c r="B127" s="324"/>
      <c r="C127" s="324"/>
      <c r="D127" s="324"/>
      <c r="E127" s="324"/>
      <c r="F127" s="324"/>
      <c r="G127" s="332">
        <v>72</v>
      </c>
      <c r="H127" s="333">
        <v>103</v>
      </c>
      <c r="I127" s="324"/>
      <c r="J127" s="334">
        <v>1</v>
      </c>
      <c r="K127" s="441">
        <v>1</v>
      </c>
      <c r="L127" s="442">
        <v>0</v>
      </c>
      <c r="M127" s="442">
        <v>0</v>
      </c>
      <c r="N127" s="442">
        <v>1</v>
      </c>
      <c r="O127" s="442">
        <v>1</v>
      </c>
      <c r="P127" s="443">
        <v>1</v>
      </c>
      <c r="Q127" s="324"/>
      <c r="R127" s="324"/>
      <c r="S127" s="324"/>
      <c r="T127" s="452">
        <f t="shared" si="4"/>
        <v>4</v>
      </c>
      <c r="U127" s="452">
        <f t="shared" si="5"/>
        <v>2</v>
      </c>
      <c r="V127" s="324"/>
      <c r="W127" s="324"/>
      <c r="X127" s="324"/>
      <c r="Y127" s="326"/>
      <c r="Z127" s="487"/>
    </row>
    <row r="128" spans="1:26" x14ac:dyDescent="0.25">
      <c r="A128" s="486"/>
      <c r="B128" s="324"/>
      <c r="C128" s="324"/>
      <c r="D128" s="324"/>
      <c r="E128" s="324"/>
      <c r="F128" s="324"/>
      <c r="G128" s="332">
        <v>73</v>
      </c>
      <c r="H128" s="333">
        <v>104</v>
      </c>
      <c r="I128" s="324"/>
      <c r="J128" s="334">
        <v>1</v>
      </c>
      <c r="K128" s="441">
        <v>1</v>
      </c>
      <c r="L128" s="442">
        <v>0</v>
      </c>
      <c r="M128" s="442">
        <v>1</v>
      </c>
      <c r="N128" s="442">
        <v>0</v>
      </c>
      <c r="O128" s="442">
        <v>0</v>
      </c>
      <c r="P128" s="443">
        <v>0</v>
      </c>
      <c r="Q128" s="324"/>
      <c r="R128" s="324"/>
      <c r="S128" s="324"/>
      <c r="T128" s="452">
        <f t="shared" si="4"/>
        <v>2</v>
      </c>
      <c r="U128" s="452">
        <f t="shared" si="5"/>
        <v>4</v>
      </c>
      <c r="V128" s="324"/>
      <c r="W128" s="324"/>
      <c r="X128" s="324"/>
      <c r="Y128" s="326"/>
      <c r="Z128" s="487"/>
    </row>
    <row r="129" spans="1:26" x14ac:dyDescent="0.25">
      <c r="A129" s="486"/>
      <c r="B129" s="324"/>
      <c r="C129" s="324"/>
      <c r="D129" s="324"/>
      <c r="E129" s="324"/>
      <c r="F129" s="324"/>
      <c r="G129" s="332">
        <v>74</v>
      </c>
      <c r="H129" s="333">
        <v>105</v>
      </c>
      <c r="I129" s="324"/>
      <c r="J129" s="334">
        <v>1</v>
      </c>
      <c r="K129" s="441">
        <v>1</v>
      </c>
      <c r="L129" s="442">
        <v>0</v>
      </c>
      <c r="M129" s="442">
        <v>1</v>
      </c>
      <c r="N129" s="442">
        <v>0</v>
      </c>
      <c r="O129" s="442">
        <v>0</v>
      </c>
      <c r="P129" s="443">
        <v>1</v>
      </c>
      <c r="Q129" s="324"/>
      <c r="R129" s="324"/>
      <c r="S129" s="324"/>
      <c r="T129" s="452">
        <f t="shared" si="4"/>
        <v>3</v>
      </c>
      <c r="U129" s="452">
        <f t="shared" si="5"/>
        <v>3</v>
      </c>
      <c r="V129" s="324"/>
      <c r="W129" s="324"/>
      <c r="X129" s="324"/>
      <c r="Y129" s="326"/>
      <c r="Z129" s="487"/>
    </row>
    <row r="130" spans="1:26" x14ac:dyDescent="0.25">
      <c r="A130" s="486"/>
      <c r="B130" s="324"/>
      <c r="C130" s="324"/>
      <c r="D130" s="324"/>
      <c r="E130" s="324"/>
      <c r="F130" s="324"/>
      <c r="G130" s="332">
        <v>75</v>
      </c>
      <c r="H130" s="333">
        <v>106</v>
      </c>
      <c r="I130" s="324"/>
      <c r="J130" s="334">
        <v>1</v>
      </c>
      <c r="K130" s="441">
        <v>1</v>
      </c>
      <c r="L130" s="442">
        <v>0</v>
      </c>
      <c r="M130" s="442">
        <v>1</v>
      </c>
      <c r="N130" s="442">
        <v>0</v>
      </c>
      <c r="O130" s="442">
        <v>1</v>
      </c>
      <c r="P130" s="443">
        <v>0</v>
      </c>
      <c r="Q130" s="324"/>
      <c r="R130" s="324"/>
      <c r="S130" s="324"/>
      <c r="T130" s="452">
        <f t="shared" si="4"/>
        <v>3</v>
      </c>
      <c r="U130" s="452">
        <f t="shared" si="5"/>
        <v>3</v>
      </c>
      <c r="V130" s="324"/>
      <c r="W130" s="324"/>
      <c r="X130" s="324"/>
      <c r="Y130" s="326"/>
      <c r="Z130" s="487"/>
    </row>
    <row r="131" spans="1:26" x14ac:dyDescent="0.25">
      <c r="A131" s="486"/>
      <c r="B131" s="324"/>
      <c r="C131" s="324"/>
      <c r="D131" s="324"/>
      <c r="E131" s="324"/>
      <c r="F131" s="324"/>
      <c r="G131" s="332">
        <v>76</v>
      </c>
      <c r="H131" s="333">
        <v>107</v>
      </c>
      <c r="I131" s="324"/>
      <c r="J131" s="334">
        <v>1</v>
      </c>
      <c r="K131" s="441">
        <v>1</v>
      </c>
      <c r="L131" s="442">
        <v>0</v>
      </c>
      <c r="M131" s="442">
        <v>1</v>
      </c>
      <c r="N131" s="442">
        <v>0</v>
      </c>
      <c r="O131" s="442">
        <v>1</v>
      </c>
      <c r="P131" s="443">
        <v>1</v>
      </c>
      <c r="Q131" s="324"/>
      <c r="R131" s="324"/>
      <c r="S131" s="324"/>
      <c r="T131" s="452">
        <f t="shared" si="4"/>
        <v>4</v>
      </c>
      <c r="U131" s="452">
        <f t="shared" si="5"/>
        <v>2</v>
      </c>
      <c r="V131" s="324"/>
      <c r="W131" s="324"/>
      <c r="X131" s="324"/>
      <c r="Y131" s="326"/>
      <c r="Z131" s="487"/>
    </row>
    <row r="132" spans="1:26" x14ac:dyDescent="0.25">
      <c r="A132" s="486"/>
      <c r="B132" s="324"/>
      <c r="C132" s="324"/>
      <c r="D132" s="324"/>
      <c r="E132" s="324"/>
      <c r="F132" s="324"/>
      <c r="G132" s="332">
        <v>77</v>
      </c>
      <c r="H132" s="333">
        <v>108</v>
      </c>
      <c r="I132" s="324"/>
      <c r="J132" s="334">
        <v>1</v>
      </c>
      <c r="K132" s="441">
        <v>1</v>
      </c>
      <c r="L132" s="442">
        <v>0</v>
      </c>
      <c r="M132" s="442">
        <v>1</v>
      </c>
      <c r="N132" s="442">
        <v>1</v>
      </c>
      <c r="O132" s="442">
        <v>0</v>
      </c>
      <c r="P132" s="443">
        <v>0</v>
      </c>
      <c r="Q132" s="324"/>
      <c r="R132" s="324"/>
      <c r="S132" s="324"/>
      <c r="T132" s="452">
        <f t="shared" si="4"/>
        <v>3</v>
      </c>
      <c r="U132" s="452">
        <f t="shared" si="5"/>
        <v>3</v>
      </c>
      <c r="V132" s="324"/>
      <c r="W132" s="324"/>
      <c r="X132" s="324"/>
      <c r="Y132" s="326"/>
      <c r="Z132" s="487"/>
    </row>
    <row r="133" spans="1:26" x14ac:dyDescent="0.25">
      <c r="A133" s="486"/>
      <c r="B133" s="324"/>
      <c r="C133" s="324"/>
      <c r="D133" s="324"/>
      <c r="E133" s="324"/>
      <c r="F133" s="324"/>
      <c r="G133" s="332">
        <v>78</v>
      </c>
      <c r="H133" s="333">
        <v>109</v>
      </c>
      <c r="I133" s="324"/>
      <c r="J133" s="334">
        <v>1</v>
      </c>
      <c r="K133" s="441">
        <v>1</v>
      </c>
      <c r="L133" s="442">
        <v>0</v>
      </c>
      <c r="M133" s="442">
        <v>1</v>
      </c>
      <c r="N133" s="442">
        <v>1</v>
      </c>
      <c r="O133" s="442">
        <v>0</v>
      </c>
      <c r="P133" s="443">
        <v>1</v>
      </c>
      <c r="Q133" s="324"/>
      <c r="R133" s="324"/>
      <c r="S133" s="324"/>
      <c r="T133" s="452">
        <f t="shared" si="4"/>
        <v>4</v>
      </c>
      <c r="U133" s="452">
        <f t="shared" si="5"/>
        <v>2</v>
      </c>
      <c r="V133" s="324"/>
      <c r="W133" s="324"/>
      <c r="X133" s="324"/>
      <c r="Y133" s="326"/>
      <c r="Z133" s="487"/>
    </row>
    <row r="134" spans="1:26" x14ac:dyDescent="0.25">
      <c r="A134" s="486"/>
      <c r="B134" s="324"/>
      <c r="C134" s="324"/>
      <c r="D134" s="324"/>
      <c r="E134" s="324"/>
      <c r="F134" s="324"/>
      <c r="G134" s="332">
        <v>79</v>
      </c>
      <c r="H134" s="333">
        <v>110</v>
      </c>
      <c r="I134" s="324"/>
      <c r="J134" s="334">
        <v>1</v>
      </c>
      <c r="K134" s="441">
        <v>1</v>
      </c>
      <c r="L134" s="442">
        <v>0</v>
      </c>
      <c r="M134" s="442">
        <v>1</v>
      </c>
      <c r="N134" s="442">
        <v>1</v>
      </c>
      <c r="O134" s="442">
        <v>1</v>
      </c>
      <c r="P134" s="443">
        <v>0</v>
      </c>
      <c r="Q134" s="324"/>
      <c r="R134" s="324"/>
      <c r="S134" s="324"/>
      <c r="T134" s="452">
        <f t="shared" si="4"/>
        <v>4</v>
      </c>
      <c r="U134" s="452">
        <f t="shared" si="5"/>
        <v>2</v>
      </c>
      <c r="V134" s="324"/>
      <c r="W134" s="324"/>
      <c r="X134" s="324"/>
      <c r="Y134" s="326"/>
      <c r="Z134" s="487"/>
    </row>
    <row r="135" spans="1:26" x14ac:dyDescent="0.25">
      <c r="A135" s="486"/>
      <c r="B135" s="324"/>
      <c r="C135" s="324"/>
      <c r="D135" s="324"/>
      <c r="E135" s="324"/>
      <c r="F135" s="324"/>
      <c r="G135" s="332">
        <v>80</v>
      </c>
      <c r="H135" s="333">
        <v>111</v>
      </c>
      <c r="I135" s="324"/>
      <c r="J135" s="334">
        <v>1</v>
      </c>
      <c r="K135" s="441">
        <v>1</v>
      </c>
      <c r="L135" s="442">
        <v>0</v>
      </c>
      <c r="M135" s="442">
        <v>1</v>
      </c>
      <c r="N135" s="442">
        <v>1</v>
      </c>
      <c r="O135" s="442">
        <v>1</v>
      </c>
      <c r="P135" s="443">
        <v>1</v>
      </c>
      <c r="Q135" s="324"/>
      <c r="R135" s="324"/>
      <c r="S135" s="324"/>
      <c r="T135" s="452">
        <f t="shared" si="4"/>
        <v>5</v>
      </c>
      <c r="U135" s="452">
        <f t="shared" si="5"/>
        <v>1</v>
      </c>
      <c r="V135" s="324"/>
      <c r="W135" s="324"/>
      <c r="X135" s="324"/>
      <c r="Y135" s="326"/>
      <c r="Z135" s="487"/>
    </row>
    <row r="136" spans="1:26" x14ac:dyDescent="0.25">
      <c r="A136" s="486"/>
      <c r="B136" s="324"/>
      <c r="C136" s="324"/>
      <c r="D136" s="324"/>
      <c r="E136" s="324"/>
      <c r="F136" s="324"/>
      <c r="G136" s="332">
        <v>81</v>
      </c>
      <c r="H136" s="333">
        <v>112</v>
      </c>
      <c r="I136" s="324"/>
      <c r="J136" s="334">
        <v>1</v>
      </c>
      <c r="K136" s="441">
        <v>1</v>
      </c>
      <c r="L136" s="442">
        <v>1</v>
      </c>
      <c r="M136" s="442">
        <v>0</v>
      </c>
      <c r="N136" s="442">
        <v>0</v>
      </c>
      <c r="O136" s="442">
        <v>0</v>
      </c>
      <c r="P136" s="443">
        <v>0</v>
      </c>
      <c r="Q136" s="324"/>
      <c r="R136" s="324"/>
      <c r="S136" s="324"/>
      <c r="T136" s="452">
        <f t="shared" si="4"/>
        <v>2</v>
      </c>
      <c r="U136" s="452">
        <f t="shared" si="5"/>
        <v>4</v>
      </c>
      <c r="V136" s="324"/>
      <c r="W136" s="324"/>
      <c r="X136" s="324"/>
      <c r="Y136" s="326"/>
      <c r="Z136" s="487"/>
    </row>
    <row r="137" spans="1:26" x14ac:dyDescent="0.25">
      <c r="A137" s="486"/>
      <c r="B137" s="324"/>
      <c r="C137" s="324"/>
      <c r="D137" s="324"/>
      <c r="E137" s="324"/>
      <c r="F137" s="324"/>
      <c r="G137" s="332">
        <v>82</v>
      </c>
      <c r="H137" s="333">
        <v>113</v>
      </c>
      <c r="I137" s="324"/>
      <c r="J137" s="334">
        <v>1</v>
      </c>
      <c r="K137" s="441">
        <v>1</v>
      </c>
      <c r="L137" s="442">
        <v>1</v>
      </c>
      <c r="M137" s="442">
        <v>0</v>
      </c>
      <c r="N137" s="442">
        <v>0</v>
      </c>
      <c r="O137" s="442">
        <v>0</v>
      </c>
      <c r="P137" s="443">
        <v>1</v>
      </c>
      <c r="Q137" s="324"/>
      <c r="R137" s="324"/>
      <c r="S137" s="324"/>
      <c r="T137" s="452">
        <f t="shared" si="4"/>
        <v>3</v>
      </c>
      <c r="U137" s="452">
        <f t="shared" si="5"/>
        <v>3</v>
      </c>
      <c r="V137" s="324"/>
      <c r="W137" s="324"/>
      <c r="X137" s="324"/>
      <c r="Y137" s="326"/>
      <c r="Z137" s="487"/>
    </row>
    <row r="138" spans="1:26" x14ac:dyDescent="0.25">
      <c r="A138" s="486"/>
      <c r="B138" s="324"/>
      <c r="C138" s="324"/>
      <c r="D138" s="324"/>
      <c r="E138" s="324"/>
      <c r="F138" s="324"/>
      <c r="G138" s="332">
        <v>83</v>
      </c>
      <c r="H138" s="333">
        <v>114</v>
      </c>
      <c r="I138" s="324"/>
      <c r="J138" s="334">
        <v>1</v>
      </c>
      <c r="K138" s="441">
        <v>1</v>
      </c>
      <c r="L138" s="442">
        <v>1</v>
      </c>
      <c r="M138" s="442">
        <v>0</v>
      </c>
      <c r="N138" s="442">
        <v>0</v>
      </c>
      <c r="O138" s="442">
        <v>1</v>
      </c>
      <c r="P138" s="443">
        <v>0</v>
      </c>
      <c r="Q138" s="324"/>
      <c r="R138" s="324"/>
      <c r="S138" s="324"/>
      <c r="T138" s="452">
        <f t="shared" si="4"/>
        <v>3</v>
      </c>
      <c r="U138" s="452">
        <f t="shared" si="5"/>
        <v>3</v>
      </c>
      <c r="V138" s="324"/>
      <c r="W138" s="324"/>
      <c r="X138" s="324"/>
      <c r="Y138" s="326"/>
      <c r="Z138" s="487"/>
    </row>
    <row r="139" spans="1:26" x14ac:dyDescent="0.25">
      <c r="A139" s="486"/>
      <c r="B139" s="324"/>
      <c r="C139" s="324"/>
      <c r="D139" s="324"/>
      <c r="E139" s="324"/>
      <c r="F139" s="324"/>
      <c r="G139" s="332">
        <v>84</v>
      </c>
      <c r="H139" s="333">
        <v>115</v>
      </c>
      <c r="I139" s="324"/>
      <c r="J139" s="334">
        <v>1</v>
      </c>
      <c r="K139" s="441">
        <v>1</v>
      </c>
      <c r="L139" s="442">
        <v>1</v>
      </c>
      <c r="M139" s="442">
        <v>0</v>
      </c>
      <c r="N139" s="442">
        <v>0</v>
      </c>
      <c r="O139" s="442">
        <v>1</v>
      </c>
      <c r="P139" s="443">
        <v>1</v>
      </c>
      <c r="Q139" s="324"/>
      <c r="R139" s="324"/>
      <c r="S139" s="324"/>
      <c r="T139" s="452">
        <f t="shared" si="4"/>
        <v>4</v>
      </c>
      <c r="U139" s="452">
        <f t="shared" si="5"/>
        <v>2</v>
      </c>
      <c r="V139" s="324"/>
      <c r="W139" s="324"/>
      <c r="X139" s="324"/>
      <c r="Y139" s="326"/>
      <c r="Z139" s="487"/>
    </row>
    <row r="140" spans="1:26" x14ac:dyDescent="0.25">
      <c r="A140" s="486"/>
      <c r="B140" s="324"/>
      <c r="C140" s="324"/>
      <c r="D140" s="324"/>
      <c r="E140" s="324"/>
      <c r="F140" s="324"/>
      <c r="G140" s="332">
        <v>85</v>
      </c>
      <c r="H140" s="333">
        <v>116</v>
      </c>
      <c r="I140" s="324"/>
      <c r="J140" s="334">
        <v>1</v>
      </c>
      <c r="K140" s="441">
        <v>1</v>
      </c>
      <c r="L140" s="442">
        <v>1</v>
      </c>
      <c r="M140" s="442">
        <v>0</v>
      </c>
      <c r="N140" s="442">
        <v>1</v>
      </c>
      <c r="O140" s="442">
        <v>0</v>
      </c>
      <c r="P140" s="443">
        <v>0</v>
      </c>
      <c r="Q140" s="324"/>
      <c r="R140" s="324"/>
      <c r="S140" s="324"/>
      <c r="T140" s="452">
        <f t="shared" si="4"/>
        <v>3</v>
      </c>
      <c r="U140" s="452">
        <f t="shared" si="5"/>
        <v>3</v>
      </c>
      <c r="V140" s="324"/>
      <c r="W140" s="324"/>
      <c r="X140" s="324"/>
      <c r="Y140" s="326"/>
      <c r="Z140" s="487"/>
    </row>
    <row r="141" spans="1:26" x14ac:dyDescent="0.25">
      <c r="A141" s="486"/>
      <c r="B141" s="324"/>
      <c r="C141" s="324"/>
      <c r="D141" s="324"/>
      <c r="E141" s="324"/>
      <c r="F141" s="324"/>
      <c r="G141" s="332">
        <v>86</v>
      </c>
      <c r="H141" s="333">
        <v>117</v>
      </c>
      <c r="I141" s="324"/>
      <c r="J141" s="334">
        <v>1</v>
      </c>
      <c r="K141" s="441">
        <v>1</v>
      </c>
      <c r="L141" s="442">
        <v>1</v>
      </c>
      <c r="M141" s="442">
        <v>0</v>
      </c>
      <c r="N141" s="442">
        <v>1</v>
      </c>
      <c r="O141" s="442">
        <v>0</v>
      </c>
      <c r="P141" s="443">
        <v>1</v>
      </c>
      <c r="Q141" s="324"/>
      <c r="R141" s="324"/>
      <c r="S141" s="324"/>
      <c r="T141" s="452">
        <f t="shared" si="4"/>
        <v>4</v>
      </c>
      <c r="U141" s="452">
        <f t="shared" si="5"/>
        <v>2</v>
      </c>
      <c r="V141" s="324"/>
      <c r="W141" s="324"/>
      <c r="X141" s="324"/>
      <c r="Y141" s="326"/>
      <c r="Z141" s="487"/>
    </row>
    <row r="142" spans="1:26" x14ac:dyDescent="0.25">
      <c r="A142" s="486"/>
      <c r="B142" s="324"/>
      <c r="C142" s="324"/>
      <c r="D142" s="324"/>
      <c r="E142" s="324"/>
      <c r="F142" s="324"/>
      <c r="G142" s="332">
        <v>87</v>
      </c>
      <c r="H142" s="333">
        <v>118</v>
      </c>
      <c r="I142" s="324"/>
      <c r="J142" s="334">
        <v>1</v>
      </c>
      <c r="K142" s="441">
        <v>1</v>
      </c>
      <c r="L142" s="442">
        <v>1</v>
      </c>
      <c r="M142" s="442">
        <v>0</v>
      </c>
      <c r="N142" s="442">
        <v>1</v>
      </c>
      <c r="O142" s="442">
        <v>1</v>
      </c>
      <c r="P142" s="443">
        <v>0</v>
      </c>
      <c r="Q142" s="324"/>
      <c r="R142" s="324"/>
      <c r="S142" s="324"/>
      <c r="T142" s="452">
        <f t="shared" si="4"/>
        <v>4</v>
      </c>
      <c r="U142" s="452">
        <f t="shared" si="5"/>
        <v>2</v>
      </c>
      <c r="V142" s="324"/>
      <c r="W142" s="324"/>
      <c r="X142" s="324"/>
      <c r="Y142" s="326"/>
      <c r="Z142" s="487"/>
    </row>
    <row r="143" spans="1:26" x14ac:dyDescent="0.25">
      <c r="A143" s="486"/>
      <c r="B143" s="324"/>
      <c r="C143" s="324"/>
      <c r="D143" s="324"/>
      <c r="E143" s="324"/>
      <c r="F143" s="324"/>
      <c r="G143" s="332">
        <v>88</v>
      </c>
      <c r="H143" s="333">
        <v>119</v>
      </c>
      <c r="I143" s="324"/>
      <c r="J143" s="334">
        <v>1</v>
      </c>
      <c r="K143" s="441">
        <v>1</v>
      </c>
      <c r="L143" s="442">
        <v>1</v>
      </c>
      <c r="M143" s="442">
        <v>0</v>
      </c>
      <c r="N143" s="442">
        <v>1</v>
      </c>
      <c r="O143" s="442">
        <v>1</v>
      </c>
      <c r="P143" s="443">
        <v>1</v>
      </c>
      <c r="Q143" s="324"/>
      <c r="R143" s="324"/>
      <c r="S143" s="324"/>
      <c r="T143" s="452">
        <f t="shared" si="4"/>
        <v>5</v>
      </c>
      <c r="U143" s="452">
        <f t="shared" si="5"/>
        <v>1</v>
      </c>
      <c r="V143" s="324"/>
      <c r="W143" s="324"/>
      <c r="X143" s="324"/>
      <c r="Y143" s="326"/>
      <c r="Z143" s="487"/>
    </row>
    <row r="144" spans="1:26" x14ac:dyDescent="0.25">
      <c r="A144" s="486"/>
      <c r="B144" s="324"/>
      <c r="C144" s="324"/>
      <c r="D144" s="324"/>
      <c r="E144" s="324"/>
      <c r="F144" s="324"/>
      <c r="G144" s="332">
        <v>89</v>
      </c>
      <c r="H144" s="333">
        <v>120</v>
      </c>
      <c r="I144" s="324"/>
      <c r="J144" s="334">
        <v>1</v>
      </c>
      <c r="K144" s="441">
        <v>1</v>
      </c>
      <c r="L144" s="442">
        <v>1</v>
      </c>
      <c r="M144" s="442">
        <v>1</v>
      </c>
      <c r="N144" s="442">
        <v>0</v>
      </c>
      <c r="O144" s="442">
        <v>0</v>
      </c>
      <c r="P144" s="443">
        <v>0</v>
      </c>
      <c r="Q144" s="324"/>
      <c r="R144" s="324"/>
      <c r="S144" s="324"/>
      <c r="T144" s="452">
        <f t="shared" si="4"/>
        <v>3</v>
      </c>
      <c r="U144" s="452">
        <f t="shared" si="5"/>
        <v>3</v>
      </c>
      <c r="V144" s="324"/>
      <c r="W144" s="324"/>
      <c r="X144" s="324"/>
      <c r="Y144" s="326"/>
      <c r="Z144" s="487"/>
    </row>
    <row r="145" spans="1:26" x14ac:dyDescent="0.25">
      <c r="A145" s="486"/>
      <c r="B145" s="324"/>
      <c r="C145" s="324"/>
      <c r="D145" s="324"/>
      <c r="E145" s="324"/>
      <c r="F145" s="324"/>
      <c r="G145" s="332">
        <v>90</v>
      </c>
      <c r="H145" s="333">
        <v>121</v>
      </c>
      <c r="I145" s="324"/>
      <c r="J145" s="334">
        <v>1</v>
      </c>
      <c r="K145" s="441">
        <v>1</v>
      </c>
      <c r="L145" s="442">
        <v>1</v>
      </c>
      <c r="M145" s="442">
        <v>1</v>
      </c>
      <c r="N145" s="442">
        <v>0</v>
      </c>
      <c r="O145" s="442">
        <v>0</v>
      </c>
      <c r="P145" s="443">
        <v>1</v>
      </c>
      <c r="Q145" s="324"/>
      <c r="R145" s="324"/>
      <c r="S145" s="324"/>
      <c r="T145" s="452">
        <f t="shared" si="4"/>
        <v>4</v>
      </c>
      <c r="U145" s="452">
        <f t="shared" si="5"/>
        <v>2</v>
      </c>
      <c r="V145" s="324"/>
      <c r="W145" s="324"/>
      <c r="X145" s="324"/>
      <c r="Y145" s="326"/>
      <c r="Z145" s="487"/>
    </row>
    <row r="146" spans="1:26" x14ac:dyDescent="0.25">
      <c r="A146" s="486"/>
      <c r="B146" s="324"/>
      <c r="C146" s="324"/>
      <c r="D146" s="324"/>
      <c r="E146" s="324"/>
      <c r="F146" s="324"/>
      <c r="G146" s="332">
        <v>91</v>
      </c>
      <c r="H146" s="333">
        <v>122</v>
      </c>
      <c r="I146" s="324"/>
      <c r="J146" s="334">
        <v>1</v>
      </c>
      <c r="K146" s="441">
        <v>1</v>
      </c>
      <c r="L146" s="442">
        <v>1</v>
      </c>
      <c r="M146" s="442">
        <v>1</v>
      </c>
      <c r="N146" s="442">
        <v>0</v>
      </c>
      <c r="O146" s="442">
        <v>1</v>
      </c>
      <c r="P146" s="443">
        <v>0</v>
      </c>
      <c r="Q146" s="324"/>
      <c r="R146" s="324"/>
      <c r="S146" s="324"/>
      <c r="T146" s="452">
        <f t="shared" si="4"/>
        <v>4</v>
      </c>
      <c r="U146" s="452">
        <f t="shared" si="5"/>
        <v>2</v>
      </c>
      <c r="V146" s="324"/>
      <c r="W146" s="324"/>
      <c r="X146" s="324"/>
      <c r="Y146" s="326"/>
      <c r="Z146" s="487"/>
    </row>
    <row r="147" spans="1:26" x14ac:dyDescent="0.25">
      <c r="A147" s="486"/>
      <c r="B147" s="324"/>
      <c r="C147" s="324"/>
      <c r="D147" s="324"/>
      <c r="E147" s="324"/>
      <c r="F147" s="324"/>
      <c r="G147" s="332">
        <v>92</v>
      </c>
      <c r="H147" s="333">
        <v>123</v>
      </c>
      <c r="I147" s="324"/>
      <c r="J147" s="334">
        <v>1</v>
      </c>
      <c r="K147" s="441">
        <v>1</v>
      </c>
      <c r="L147" s="442">
        <v>1</v>
      </c>
      <c r="M147" s="442">
        <v>1</v>
      </c>
      <c r="N147" s="442">
        <v>0</v>
      </c>
      <c r="O147" s="442">
        <v>1</v>
      </c>
      <c r="P147" s="443">
        <v>1</v>
      </c>
      <c r="Q147" s="324"/>
      <c r="R147" s="324"/>
      <c r="S147" s="324"/>
      <c r="T147" s="452">
        <f t="shared" si="4"/>
        <v>5</v>
      </c>
      <c r="U147" s="452">
        <f t="shared" si="5"/>
        <v>1</v>
      </c>
      <c r="V147" s="324"/>
      <c r="W147" s="324"/>
      <c r="X147" s="324"/>
      <c r="Y147" s="326"/>
      <c r="Z147" s="487"/>
    </row>
    <row r="148" spans="1:26" x14ac:dyDescent="0.25">
      <c r="A148" s="486"/>
      <c r="B148" s="324"/>
      <c r="C148" s="324"/>
      <c r="D148" s="324"/>
      <c r="E148" s="324"/>
      <c r="F148" s="324"/>
      <c r="G148" s="332">
        <v>93</v>
      </c>
      <c r="H148" s="333">
        <v>124</v>
      </c>
      <c r="I148" s="324"/>
      <c r="J148" s="334">
        <v>1</v>
      </c>
      <c r="K148" s="441">
        <v>1</v>
      </c>
      <c r="L148" s="442">
        <v>1</v>
      </c>
      <c r="M148" s="442">
        <v>1</v>
      </c>
      <c r="N148" s="442">
        <v>1</v>
      </c>
      <c r="O148" s="442">
        <v>0</v>
      </c>
      <c r="P148" s="443">
        <v>0</v>
      </c>
      <c r="Q148" s="324"/>
      <c r="R148" s="324"/>
      <c r="S148" s="324"/>
      <c r="T148" s="452">
        <f t="shared" si="4"/>
        <v>4</v>
      </c>
      <c r="U148" s="452">
        <f t="shared" si="5"/>
        <v>2</v>
      </c>
      <c r="V148" s="324"/>
      <c r="W148" s="324"/>
      <c r="X148" s="324"/>
      <c r="Y148" s="326"/>
      <c r="Z148" s="487"/>
    </row>
    <row r="149" spans="1:26" x14ac:dyDescent="0.25">
      <c r="A149" s="486"/>
      <c r="B149" s="324"/>
      <c r="C149" s="324"/>
      <c r="D149" s="324"/>
      <c r="E149" s="324"/>
      <c r="F149" s="324"/>
      <c r="G149" s="332">
        <v>94</v>
      </c>
      <c r="H149" s="333">
        <v>125</v>
      </c>
      <c r="I149" s="324"/>
      <c r="J149" s="334">
        <v>1</v>
      </c>
      <c r="K149" s="441">
        <v>1</v>
      </c>
      <c r="L149" s="442">
        <v>1</v>
      </c>
      <c r="M149" s="442">
        <v>1</v>
      </c>
      <c r="N149" s="442">
        <v>1</v>
      </c>
      <c r="O149" s="442">
        <v>0</v>
      </c>
      <c r="P149" s="443">
        <v>1</v>
      </c>
      <c r="Q149" s="324"/>
      <c r="R149" s="324"/>
      <c r="S149" s="324"/>
      <c r="T149" s="452">
        <f t="shared" si="4"/>
        <v>5</v>
      </c>
      <c r="U149" s="452">
        <f t="shared" si="5"/>
        <v>1</v>
      </c>
      <c r="V149" s="324"/>
      <c r="W149" s="324"/>
      <c r="X149" s="324"/>
      <c r="Y149" s="326"/>
      <c r="Z149" s="487"/>
    </row>
    <row r="150" spans="1:26" x14ac:dyDescent="0.25">
      <c r="A150" s="486"/>
      <c r="B150" s="324"/>
      <c r="C150" s="324"/>
      <c r="D150" s="324"/>
      <c r="E150" s="324"/>
      <c r="F150" s="324"/>
      <c r="G150" s="332">
        <v>95</v>
      </c>
      <c r="H150" s="333">
        <v>126</v>
      </c>
      <c r="I150" s="324"/>
      <c r="J150" s="334">
        <v>1</v>
      </c>
      <c r="K150" s="441">
        <v>1</v>
      </c>
      <c r="L150" s="442">
        <v>1</v>
      </c>
      <c r="M150" s="442">
        <v>1</v>
      </c>
      <c r="N150" s="442">
        <v>1</v>
      </c>
      <c r="O150" s="442">
        <v>1</v>
      </c>
      <c r="P150" s="443">
        <v>0</v>
      </c>
      <c r="Q150" s="324"/>
      <c r="R150" s="324"/>
      <c r="S150" s="324"/>
      <c r="T150" s="452">
        <f t="shared" si="4"/>
        <v>5</v>
      </c>
      <c r="U150" s="452">
        <f t="shared" si="5"/>
        <v>1</v>
      </c>
      <c r="V150" s="324"/>
      <c r="W150" s="324"/>
      <c r="X150" s="324"/>
      <c r="Y150" s="326"/>
      <c r="Z150" s="487"/>
    </row>
    <row r="151" spans="1:26" x14ac:dyDescent="0.25">
      <c r="A151" s="486"/>
      <c r="B151" s="324"/>
      <c r="C151" s="324"/>
      <c r="D151" s="324"/>
      <c r="E151" s="324"/>
      <c r="F151" s="324"/>
      <c r="G151" s="335">
        <v>96</v>
      </c>
      <c r="H151" s="336">
        <v>127</v>
      </c>
      <c r="I151" s="337"/>
      <c r="J151" s="338">
        <v>1</v>
      </c>
      <c r="K151" s="444">
        <v>1</v>
      </c>
      <c r="L151" s="445">
        <v>1</v>
      </c>
      <c r="M151" s="445">
        <v>1</v>
      </c>
      <c r="N151" s="445">
        <v>1</v>
      </c>
      <c r="O151" s="445">
        <v>1</v>
      </c>
      <c r="P151" s="446">
        <v>1</v>
      </c>
      <c r="Q151" s="337"/>
      <c r="R151" s="337"/>
      <c r="S151" s="337"/>
      <c r="T151" s="453">
        <f t="shared" si="4"/>
        <v>6</v>
      </c>
      <c r="U151" s="339">
        <f t="shared" si="5"/>
        <v>0</v>
      </c>
      <c r="V151" s="340">
        <v>96</v>
      </c>
      <c r="W151" s="324"/>
      <c r="X151" s="324"/>
      <c r="Y151" s="326"/>
      <c r="Z151" s="487"/>
    </row>
    <row r="152" spans="1:26" ht="17.25" thickBot="1" x14ac:dyDescent="0.3">
      <c r="A152" s="486"/>
      <c r="B152" s="324"/>
      <c r="C152" s="324"/>
      <c r="D152" s="324"/>
      <c r="E152" s="324"/>
      <c r="F152" s="324"/>
      <c r="G152" s="335">
        <v>97</v>
      </c>
      <c r="H152" s="336">
        <v>128</v>
      </c>
      <c r="I152" s="338">
        <v>1</v>
      </c>
      <c r="J152" s="338">
        <v>0</v>
      </c>
      <c r="K152" s="447">
        <v>0</v>
      </c>
      <c r="L152" s="448">
        <v>0</v>
      </c>
      <c r="M152" s="448">
        <v>0</v>
      </c>
      <c r="N152" s="448">
        <v>0</v>
      </c>
      <c r="O152" s="448">
        <v>0</v>
      </c>
      <c r="P152" s="449">
        <v>0</v>
      </c>
      <c r="Q152" s="337"/>
      <c r="R152" s="337"/>
      <c r="S152" s="337"/>
      <c r="T152" s="599">
        <f t="shared" si="4"/>
        <v>0</v>
      </c>
      <c r="U152" s="473">
        <f t="shared" si="5"/>
        <v>6</v>
      </c>
      <c r="V152" s="598">
        <v>97</v>
      </c>
      <c r="W152" s="324"/>
      <c r="X152" s="324"/>
      <c r="Y152" s="326"/>
      <c r="Z152" s="487"/>
    </row>
    <row r="153" spans="1:26" ht="17.25" thickTop="1" x14ac:dyDescent="0.25">
      <c r="A153" s="486"/>
      <c r="B153" s="324"/>
      <c r="C153" s="324"/>
      <c r="D153" s="324"/>
      <c r="E153" s="324"/>
      <c r="F153" s="324"/>
      <c r="G153" s="324"/>
      <c r="H153" s="323"/>
      <c r="I153" s="324"/>
      <c r="J153" s="324"/>
      <c r="K153" s="450">
        <f>COUNTIF(K56:P152,1)</f>
        <v>304</v>
      </c>
      <c r="L153" s="450"/>
      <c r="M153" s="450"/>
      <c r="N153" s="450"/>
      <c r="O153" s="450"/>
      <c r="P153" s="450">
        <f>COUNTIF(K56:P152,0)</f>
        <v>278</v>
      </c>
      <c r="Q153" s="324"/>
      <c r="R153" s="324"/>
      <c r="S153" s="324"/>
      <c r="T153" s="474">
        <f>COUNTIF(K56:P152,1)</f>
        <v>304</v>
      </c>
      <c r="U153" s="474">
        <f>COUNTIF(K56:P152,0)</f>
        <v>278</v>
      </c>
      <c r="V153" s="324"/>
      <c r="W153" s="324"/>
      <c r="X153" s="324"/>
      <c r="Y153" s="326"/>
      <c r="Z153" s="487"/>
    </row>
    <row r="154" spans="1:26" x14ac:dyDescent="0.25">
      <c r="A154" s="486"/>
      <c r="B154" s="323"/>
      <c r="C154" s="323"/>
      <c r="D154" s="324"/>
      <c r="E154" s="324"/>
      <c r="F154" s="324"/>
      <c r="G154" s="324"/>
      <c r="H154" s="324"/>
      <c r="I154" s="324"/>
      <c r="J154" s="324"/>
      <c r="K154" s="324"/>
      <c r="L154" s="324"/>
      <c r="M154" s="324"/>
      <c r="N154" s="324"/>
      <c r="O154" s="324"/>
      <c r="P154" s="324"/>
      <c r="Q154" s="324"/>
      <c r="R154" s="324"/>
      <c r="S154" s="324"/>
      <c r="T154" s="324"/>
      <c r="U154" s="324"/>
      <c r="V154" s="324"/>
      <c r="W154" s="324"/>
      <c r="X154" s="324"/>
      <c r="Y154" s="326"/>
      <c r="Z154" s="487"/>
    </row>
    <row r="155" spans="1:26" x14ac:dyDescent="0.25">
      <c r="A155" s="486"/>
      <c r="B155" s="323"/>
      <c r="C155" s="323"/>
      <c r="D155" s="324"/>
      <c r="E155" s="324"/>
      <c r="F155" s="324"/>
      <c r="G155" s="324"/>
      <c r="H155" s="324"/>
      <c r="I155" s="324"/>
      <c r="J155" s="324"/>
      <c r="K155" s="324"/>
      <c r="L155" s="324"/>
      <c r="M155" s="324"/>
      <c r="N155" s="324"/>
      <c r="O155" s="324"/>
      <c r="P155" s="324"/>
      <c r="Q155" s="324"/>
      <c r="R155" s="324"/>
      <c r="S155" s="324"/>
      <c r="T155" s="324"/>
      <c r="U155" s="324"/>
      <c r="V155" s="324"/>
      <c r="W155" s="324"/>
      <c r="X155" s="324"/>
      <c r="Y155" s="326"/>
      <c r="Z155" s="487"/>
    </row>
    <row r="156" spans="1:26" x14ac:dyDescent="0.25">
      <c r="A156" s="486"/>
      <c r="B156" s="324"/>
      <c r="C156" s="324"/>
      <c r="D156" s="324"/>
      <c r="E156" s="324"/>
      <c r="F156" s="324"/>
      <c r="G156" s="324"/>
      <c r="H156" s="324"/>
      <c r="I156" s="324"/>
      <c r="J156" s="324"/>
      <c r="K156" s="324"/>
      <c r="L156" s="324"/>
      <c r="M156" s="324"/>
      <c r="N156" s="324"/>
      <c r="O156" s="324"/>
      <c r="P156" s="324"/>
      <c r="Q156" s="324"/>
      <c r="R156" s="324"/>
      <c r="S156" s="324"/>
      <c r="T156" s="324"/>
      <c r="U156" s="324"/>
      <c r="V156" s="324"/>
      <c r="W156" s="324"/>
      <c r="X156" s="324"/>
      <c r="Y156" s="326"/>
      <c r="Z156" s="487"/>
    </row>
    <row r="157" spans="1:26" x14ac:dyDescent="0.25">
      <c r="A157" s="486"/>
      <c r="B157" s="324"/>
      <c r="C157" s="324"/>
      <c r="D157" s="324"/>
      <c r="E157" s="324"/>
      <c r="F157" s="324"/>
      <c r="G157" s="341" t="s">
        <v>26</v>
      </c>
      <c r="H157" s="467" t="s">
        <v>26</v>
      </c>
      <c r="I157" s="468"/>
      <c r="J157" s="468"/>
      <c r="K157" s="468"/>
      <c r="L157" s="468"/>
      <c r="M157" s="475" t="s">
        <v>20</v>
      </c>
      <c r="N157" s="468"/>
      <c r="O157" s="468"/>
      <c r="P157" s="468"/>
      <c r="Q157" s="468"/>
      <c r="R157" s="451" t="s">
        <v>23</v>
      </c>
      <c r="S157" s="468"/>
      <c r="T157" s="468"/>
      <c r="U157" s="468"/>
      <c r="V157" s="324"/>
      <c r="W157" s="324"/>
      <c r="X157" s="324"/>
      <c r="Y157" s="326"/>
      <c r="Z157" s="487"/>
    </row>
    <row r="158" spans="1:26" x14ac:dyDescent="0.25">
      <c r="A158" s="486"/>
      <c r="B158" s="324"/>
      <c r="C158" s="324"/>
      <c r="D158" s="324"/>
      <c r="E158" s="324"/>
      <c r="F158" s="324"/>
      <c r="G158" s="341" t="s">
        <v>25</v>
      </c>
      <c r="H158" s="467" t="s">
        <v>27</v>
      </c>
      <c r="I158" s="468"/>
      <c r="J158" s="468"/>
      <c r="K158" s="468"/>
      <c r="L158" s="468"/>
      <c r="M158" s="468"/>
      <c r="N158" s="468"/>
      <c r="O158" s="468"/>
      <c r="P158" s="468"/>
      <c r="Q158" s="468"/>
      <c r="R158" s="451" t="s">
        <v>24</v>
      </c>
      <c r="S158" s="468"/>
      <c r="T158" s="451" t="s">
        <v>21</v>
      </c>
      <c r="U158" s="451" t="s">
        <v>22</v>
      </c>
      <c r="V158" s="324"/>
      <c r="W158" s="324"/>
      <c r="X158" s="324"/>
      <c r="Y158" s="326"/>
      <c r="Z158" s="487"/>
    </row>
    <row r="159" spans="1:26" x14ac:dyDescent="0.25">
      <c r="A159" s="486"/>
      <c r="B159" s="324"/>
      <c r="C159" s="324"/>
      <c r="D159" s="324"/>
      <c r="E159" s="324"/>
      <c r="F159" s="324"/>
      <c r="G159" s="342">
        <v>1</v>
      </c>
      <c r="H159" s="343">
        <v>32</v>
      </c>
      <c r="I159" s="324"/>
      <c r="J159" s="324"/>
      <c r="K159" s="454">
        <v>1</v>
      </c>
      <c r="L159" s="455">
        <v>1</v>
      </c>
      <c r="M159" s="455">
        <v>0</v>
      </c>
      <c r="N159" s="455">
        <v>0</v>
      </c>
      <c r="O159" s="455">
        <v>0</v>
      </c>
      <c r="P159" s="456">
        <v>0</v>
      </c>
      <c r="Q159" s="324"/>
      <c r="R159" s="607">
        <f>SUM(IF(K159=1,32,0),IF(L159=1,16,0),IF(M159=1,8,0),IF(N159=1,4,0),IF(O159=1,2,0),IF(P159=1,1,0))</f>
        <v>48</v>
      </c>
      <c r="S159" s="324"/>
      <c r="T159" s="469">
        <f t="shared" ref="T159:T190" si="6">COUNTIF(K159:P159,1)</f>
        <v>2</v>
      </c>
      <c r="U159" s="469">
        <f t="shared" ref="U159:U190" si="7">COUNTIF(K159:P159,0)</f>
        <v>4</v>
      </c>
      <c r="V159" s="324"/>
      <c r="W159" s="324"/>
      <c r="X159" s="324"/>
      <c r="Y159" s="326"/>
      <c r="Z159" s="487"/>
    </row>
    <row r="160" spans="1:26" x14ac:dyDescent="0.25">
      <c r="A160" s="486"/>
      <c r="B160" s="324"/>
      <c r="C160" s="324"/>
      <c r="D160" s="324"/>
      <c r="E160" s="324"/>
      <c r="F160" s="324"/>
      <c r="G160" s="342">
        <v>2</v>
      </c>
      <c r="H160" s="343">
        <v>33</v>
      </c>
      <c r="I160" s="324"/>
      <c r="J160" s="324"/>
      <c r="K160" s="457">
        <v>1</v>
      </c>
      <c r="L160" s="458">
        <v>1</v>
      </c>
      <c r="M160" s="458">
        <v>0</v>
      </c>
      <c r="N160" s="458">
        <v>0</v>
      </c>
      <c r="O160" s="458">
        <v>0</v>
      </c>
      <c r="P160" s="459">
        <v>1</v>
      </c>
      <c r="Q160" s="324"/>
      <c r="R160" s="607">
        <f t="shared" ref="R160:R223" si="8">SUM(IF(K160=1,32,0),IF(L160=1,16,0),IF(M160=1,8,0),IF(N160=1,4,0),IF(O160=1,2,0),IF(P160=1,1,0))</f>
        <v>49</v>
      </c>
      <c r="S160" s="324"/>
      <c r="T160" s="469">
        <f t="shared" si="6"/>
        <v>3</v>
      </c>
      <c r="U160" s="469">
        <f t="shared" si="7"/>
        <v>3</v>
      </c>
      <c r="V160" s="324"/>
      <c r="W160" s="324"/>
      <c r="X160" s="324"/>
      <c r="Y160" s="326"/>
      <c r="Z160" s="487"/>
    </row>
    <row r="161" spans="1:26" x14ac:dyDescent="0.25">
      <c r="A161" s="486"/>
      <c r="B161" s="324"/>
      <c r="C161" s="324"/>
      <c r="D161" s="324"/>
      <c r="E161" s="324"/>
      <c r="F161" s="324"/>
      <c r="G161" s="342">
        <v>3</v>
      </c>
      <c r="H161" s="343">
        <v>34</v>
      </c>
      <c r="I161" s="324"/>
      <c r="J161" s="324"/>
      <c r="K161" s="457">
        <v>1</v>
      </c>
      <c r="L161" s="458">
        <v>1</v>
      </c>
      <c r="M161" s="458">
        <v>0</v>
      </c>
      <c r="N161" s="458">
        <v>0</v>
      </c>
      <c r="O161" s="458">
        <v>1</v>
      </c>
      <c r="P161" s="459">
        <v>1</v>
      </c>
      <c r="Q161" s="324"/>
      <c r="R161" s="607">
        <f t="shared" si="8"/>
        <v>51</v>
      </c>
      <c r="S161" s="324"/>
      <c r="T161" s="469">
        <f t="shared" si="6"/>
        <v>4</v>
      </c>
      <c r="U161" s="469">
        <f t="shared" si="7"/>
        <v>2</v>
      </c>
      <c r="V161" s="324"/>
      <c r="W161" s="324"/>
      <c r="X161" s="324"/>
      <c r="Y161" s="326"/>
      <c r="Z161" s="487"/>
    </row>
    <row r="162" spans="1:26" x14ac:dyDescent="0.25">
      <c r="A162" s="486"/>
      <c r="B162" s="324"/>
      <c r="C162" s="324"/>
      <c r="D162" s="324"/>
      <c r="E162" s="324"/>
      <c r="F162" s="324"/>
      <c r="G162" s="342">
        <v>4</v>
      </c>
      <c r="H162" s="343">
        <v>35</v>
      </c>
      <c r="I162" s="324"/>
      <c r="J162" s="324"/>
      <c r="K162" s="457">
        <v>1</v>
      </c>
      <c r="L162" s="458">
        <v>1</v>
      </c>
      <c r="M162" s="458">
        <v>0</v>
      </c>
      <c r="N162" s="458">
        <v>0</v>
      </c>
      <c r="O162" s="458">
        <v>1</v>
      </c>
      <c r="P162" s="459">
        <v>0</v>
      </c>
      <c r="Q162" s="324"/>
      <c r="R162" s="607">
        <f t="shared" si="8"/>
        <v>50</v>
      </c>
      <c r="S162" s="324"/>
      <c r="T162" s="469">
        <f t="shared" si="6"/>
        <v>3</v>
      </c>
      <c r="U162" s="469">
        <f t="shared" si="7"/>
        <v>3</v>
      </c>
      <c r="V162" s="324"/>
      <c r="W162" s="324"/>
      <c r="X162" s="324"/>
      <c r="Y162" s="326"/>
      <c r="Z162" s="487"/>
    </row>
    <row r="163" spans="1:26" x14ac:dyDescent="0.25">
      <c r="A163" s="486"/>
      <c r="B163" s="324"/>
      <c r="C163" s="324"/>
      <c r="D163" s="324"/>
      <c r="E163" s="324"/>
      <c r="F163" s="324"/>
      <c r="G163" s="342">
        <v>5</v>
      </c>
      <c r="H163" s="343">
        <v>36</v>
      </c>
      <c r="I163" s="324"/>
      <c r="J163" s="324"/>
      <c r="K163" s="457">
        <v>1</v>
      </c>
      <c r="L163" s="458">
        <v>1</v>
      </c>
      <c r="M163" s="458">
        <v>0</v>
      </c>
      <c r="N163" s="458">
        <v>1</v>
      </c>
      <c r="O163" s="458">
        <v>1</v>
      </c>
      <c r="P163" s="459">
        <v>0</v>
      </c>
      <c r="Q163" s="324"/>
      <c r="R163" s="607">
        <f t="shared" si="8"/>
        <v>54</v>
      </c>
      <c r="S163" s="324"/>
      <c r="T163" s="469">
        <f t="shared" si="6"/>
        <v>4</v>
      </c>
      <c r="U163" s="469">
        <f t="shared" si="7"/>
        <v>2</v>
      </c>
      <c r="V163" s="324"/>
      <c r="W163" s="324"/>
      <c r="X163" s="324"/>
      <c r="Y163" s="326"/>
      <c r="Z163" s="487"/>
    </row>
    <row r="164" spans="1:26" x14ac:dyDescent="0.25">
      <c r="A164" s="486"/>
      <c r="B164" s="324"/>
      <c r="C164" s="324"/>
      <c r="D164" s="324"/>
      <c r="E164" s="324"/>
      <c r="F164" s="324"/>
      <c r="G164" s="342">
        <v>6</v>
      </c>
      <c r="H164" s="343">
        <v>37</v>
      </c>
      <c r="I164" s="324"/>
      <c r="J164" s="324"/>
      <c r="K164" s="457">
        <v>1</v>
      </c>
      <c r="L164" s="458">
        <v>1</v>
      </c>
      <c r="M164" s="458">
        <v>0</v>
      </c>
      <c r="N164" s="458">
        <v>1</v>
      </c>
      <c r="O164" s="458">
        <v>1</v>
      </c>
      <c r="P164" s="459">
        <v>1</v>
      </c>
      <c r="Q164" s="324"/>
      <c r="R164" s="607">
        <f t="shared" si="8"/>
        <v>55</v>
      </c>
      <c r="S164" s="324"/>
      <c r="T164" s="469">
        <f t="shared" si="6"/>
        <v>5</v>
      </c>
      <c r="U164" s="469">
        <f t="shared" si="7"/>
        <v>1</v>
      </c>
      <c r="V164" s="324"/>
      <c r="W164" s="324"/>
      <c r="X164" s="324"/>
      <c r="Y164" s="326"/>
      <c r="Z164" s="487"/>
    </row>
    <row r="165" spans="1:26" x14ac:dyDescent="0.25">
      <c r="A165" s="486"/>
      <c r="B165" s="324"/>
      <c r="C165" s="324"/>
      <c r="D165" s="324"/>
      <c r="E165" s="324"/>
      <c r="F165" s="324"/>
      <c r="G165" s="342">
        <v>7</v>
      </c>
      <c r="H165" s="343">
        <v>38</v>
      </c>
      <c r="I165" s="324"/>
      <c r="J165" s="324"/>
      <c r="K165" s="457">
        <v>1</v>
      </c>
      <c r="L165" s="458">
        <v>1</v>
      </c>
      <c r="M165" s="458">
        <v>0</v>
      </c>
      <c r="N165" s="458">
        <v>1</v>
      </c>
      <c r="O165" s="458">
        <v>0</v>
      </c>
      <c r="P165" s="459">
        <v>1</v>
      </c>
      <c r="Q165" s="324"/>
      <c r="R165" s="607">
        <f t="shared" si="8"/>
        <v>53</v>
      </c>
      <c r="S165" s="324"/>
      <c r="T165" s="469">
        <f t="shared" si="6"/>
        <v>4</v>
      </c>
      <c r="U165" s="469">
        <f t="shared" si="7"/>
        <v>2</v>
      </c>
      <c r="V165" s="324"/>
      <c r="W165" s="324"/>
      <c r="X165" s="324"/>
      <c r="Y165" s="326"/>
      <c r="Z165" s="487"/>
    </row>
    <row r="166" spans="1:26" x14ac:dyDescent="0.25">
      <c r="A166" s="486"/>
      <c r="B166" s="324"/>
      <c r="C166" s="324"/>
      <c r="D166" s="324"/>
      <c r="E166" s="324"/>
      <c r="F166" s="324"/>
      <c r="G166" s="342">
        <v>8</v>
      </c>
      <c r="H166" s="343">
        <v>39</v>
      </c>
      <c r="I166" s="324"/>
      <c r="J166" s="324"/>
      <c r="K166" s="457">
        <v>1</v>
      </c>
      <c r="L166" s="458">
        <v>1</v>
      </c>
      <c r="M166" s="458">
        <v>0</v>
      </c>
      <c r="N166" s="458">
        <v>1</v>
      </c>
      <c r="O166" s="458">
        <v>0</v>
      </c>
      <c r="P166" s="459">
        <v>0</v>
      </c>
      <c r="Q166" s="324"/>
      <c r="R166" s="607">
        <f t="shared" si="8"/>
        <v>52</v>
      </c>
      <c r="S166" s="324"/>
      <c r="T166" s="469">
        <f t="shared" si="6"/>
        <v>3</v>
      </c>
      <c r="U166" s="469">
        <f t="shared" si="7"/>
        <v>3</v>
      </c>
      <c r="V166" s="324"/>
      <c r="W166" s="324"/>
      <c r="X166" s="324"/>
      <c r="Y166" s="326"/>
      <c r="Z166" s="487"/>
    </row>
    <row r="167" spans="1:26" x14ac:dyDescent="0.25">
      <c r="A167" s="486"/>
      <c r="B167" s="324"/>
      <c r="C167" s="324"/>
      <c r="D167" s="324"/>
      <c r="E167" s="324"/>
      <c r="F167" s="324"/>
      <c r="G167" s="342">
        <v>9</v>
      </c>
      <c r="H167" s="343">
        <v>40</v>
      </c>
      <c r="I167" s="324"/>
      <c r="J167" s="324"/>
      <c r="K167" s="457">
        <v>1</v>
      </c>
      <c r="L167" s="458">
        <v>1</v>
      </c>
      <c r="M167" s="458">
        <v>1</v>
      </c>
      <c r="N167" s="458">
        <v>1</v>
      </c>
      <c r="O167" s="458">
        <v>0</v>
      </c>
      <c r="P167" s="459">
        <v>0</v>
      </c>
      <c r="Q167" s="324"/>
      <c r="R167" s="607">
        <f t="shared" si="8"/>
        <v>60</v>
      </c>
      <c r="S167" s="324"/>
      <c r="T167" s="469">
        <f t="shared" si="6"/>
        <v>4</v>
      </c>
      <c r="U167" s="469">
        <f t="shared" si="7"/>
        <v>2</v>
      </c>
      <c r="V167" s="324"/>
      <c r="W167" s="324"/>
      <c r="X167" s="324"/>
      <c r="Y167" s="326"/>
      <c r="Z167" s="487"/>
    </row>
    <row r="168" spans="1:26" x14ac:dyDescent="0.25">
      <c r="A168" s="486"/>
      <c r="B168" s="324"/>
      <c r="C168" s="324"/>
      <c r="D168" s="324"/>
      <c r="E168" s="324"/>
      <c r="F168" s="324"/>
      <c r="G168" s="342">
        <v>10</v>
      </c>
      <c r="H168" s="343">
        <v>41</v>
      </c>
      <c r="I168" s="324"/>
      <c r="J168" s="324"/>
      <c r="K168" s="457">
        <v>1</v>
      </c>
      <c r="L168" s="458">
        <v>1</v>
      </c>
      <c r="M168" s="458">
        <v>1</v>
      </c>
      <c r="N168" s="458">
        <v>1</v>
      </c>
      <c r="O168" s="458">
        <v>0</v>
      </c>
      <c r="P168" s="459">
        <v>1</v>
      </c>
      <c r="Q168" s="324"/>
      <c r="R168" s="607">
        <f t="shared" si="8"/>
        <v>61</v>
      </c>
      <c r="S168" s="324"/>
      <c r="T168" s="469">
        <f t="shared" si="6"/>
        <v>5</v>
      </c>
      <c r="U168" s="469">
        <f t="shared" si="7"/>
        <v>1</v>
      </c>
      <c r="V168" s="324"/>
      <c r="W168" s="324"/>
      <c r="X168" s="324"/>
      <c r="Y168" s="326"/>
      <c r="Z168" s="487"/>
    </row>
    <row r="169" spans="1:26" x14ac:dyDescent="0.25">
      <c r="A169" s="486"/>
      <c r="B169" s="324"/>
      <c r="C169" s="324"/>
      <c r="D169" s="324"/>
      <c r="E169" s="324"/>
      <c r="F169" s="324"/>
      <c r="G169" s="345">
        <v>11</v>
      </c>
      <c r="H169" s="346">
        <v>42</v>
      </c>
      <c r="I169" s="347"/>
      <c r="J169" s="347"/>
      <c r="K169" s="460">
        <v>1</v>
      </c>
      <c r="L169" s="461">
        <v>1</v>
      </c>
      <c r="M169" s="461">
        <v>1</v>
      </c>
      <c r="N169" s="461">
        <v>1</v>
      </c>
      <c r="O169" s="461">
        <v>1</v>
      </c>
      <c r="P169" s="462">
        <v>1</v>
      </c>
      <c r="Q169" s="347"/>
      <c r="R169" s="608">
        <f t="shared" si="8"/>
        <v>63</v>
      </c>
      <c r="S169" s="347"/>
      <c r="T169" s="470">
        <f t="shared" si="6"/>
        <v>6</v>
      </c>
      <c r="U169" s="348">
        <f t="shared" si="7"/>
        <v>0</v>
      </c>
      <c r="V169" s="349">
        <v>11</v>
      </c>
      <c r="W169" s="324"/>
      <c r="X169" s="324"/>
      <c r="Y169" s="326"/>
      <c r="Z169" s="487"/>
    </row>
    <row r="170" spans="1:26" x14ac:dyDescent="0.25">
      <c r="A170" s="486"/>
      <c r="B170" s="324"/>
      <c r="C170" s="324"/>
      <c r="D170" s="324"/>
      <c r="E170" s="324"/>
      <c r="F170" s="324"/>
      <c r="G170" s="342">
        <v>12</v>
      </c>
      <c r="H170" s="343">
        <v>43</v>
      </c>
      <c r="I170" s="324"/>
      <c r="J170" s="324"/>
      <c r="K170" s="457">
        <v>1</v>
      </c>
      <c r="L170" s="458">
        <v>1</v>
      </c>
      <c r="M170" s="458">
        <v>1</v>
      </c>
      <c r="N170" s="458">
        <v>1</v>
      </c>
      <c r="O170" s="458">
        <v>1</v>
      </c>
      <c r="P170" s="459">
        <v>0</v>
      </c>
      <c r="Q170" s="324"/>
      <c r="R170" s="607">
        <f t="shared" si="8"/>
        <v>62</v>
      </c>
      <c r="S170" s="324"/>
      <c r="T170" s="469">
        <f t="shared" si="6"/>
        <v>5</v>
      </c>
      <c r="U170" s="469">
        <f t="shared" si="7"/>
        <v>1</v>
      </c>
      <c r="V170" s="324"/>
      <c r="W170" s="324"/>
      <c r="X170" s="324"/>
      <c r="Y170" s="326"/>
      <c r="Z170" s="487"/>
    </row>
    <row r="171" spans="1:26" x14ac:dyDescent="0.25">
      <c r="A171" s="486"/>
      <c r="B171" s="324"/>
      <c r="C171" s="324"/>
      <c r="D171" s="324"/>
      <c r="E171" s="324"/>
      <c r="F171" s="324"/>
      <c r="G171" s="342">
        <v>13</v>
      </c>
      <c r="H171" s="343">
        <v>44</v>
      </c>
      <c r="I171" s="324"/>
      <c r="J171" s="324"/>
      <c r="K171" s="457">
        <v>1</v>
      </c>
      <c r="L171" s="458">
        <v>1</v>
      </c>
      <c r="M171" s="458">
        <v>1</v>
      </c>
      <c r="N171" s="458">
        <v>0</v>
      </c>
      <c r="O171" s="458">
        <v>1</v>
      </c>
      <c r="P171" s="459">
        <v>0</v>
      </c>
      <c r="Q171" s="324"/>
      <c r="R171" s="607">
        <f t="shared" si="8"/>
        <v>58</v>
      </c>
      <c r="S171" s="324"/>
      <c r="T171" s="469">
        <f t="shared" si="6"/>
        <v>4</v>
      </c>
      <c r="U171" s="469">
        <f t="shared" si="7"/>
        <v>2</v>
      </c>
      <c r="V171" s="324"/>
      <c r="W171" s="324"/>
      <c r="X171" s="324"/>
      <c r="Y171" s="326"/>
      <c r="Z171" s="487"/>
    </row>
    <row r="172" spans="1:26" x14ac:dyDescent="0.25">
      <c r="A172" s="486"/>
      <c r="B172" s="324"/>
      <c r="C172" s="324"/>
      <c r="D172" s="324"/>
      <c r="E172" s="324"/>
      <c r="F172" s="324"/>
      <c r="G172" s="342">
        <v>14</v>
      </c>
      <c r="H172" s="343">
        <v>45</v>
      </c>
      <c r="I172" s="324"/>
      <c r="J172" s="324"/>
      <c r="K172" s="457">
        <v>1</v>
      </c>
      <c r="L172" s="458">
        <v>1</v>
      </c>
      <c r="M172" s="458">
        <v>1</v>
      </c>
      <c r="N172" s="458">
        <v>0</v>
      </c>
      <c r="O172" s="458">
        <v>1</v>
      </c>
      <c r="P172" s="459">
        <v>1</v>
      </c>
      <c r="Q172" s="324"/>
      <c r="R172" s="607">
        <f t="shared" si="8"/>
        <v>59</v>
      </c>
      <c r="S172" s="324"/>
      <c r="T172" s="469">
        <f t="shared" si="6"/>
        <v>5</v>
      </c>
      <c r="U172" s="469">
        <f t="shared" si="7"/>
        <v>1</v>
      </c>
      <c r="V172" s="324"/>
      <c r="W172" s="324"/>
      <c r="X172" s="324"/>
      <c r="Y172" s="326"/>
      <c r="Z172" s="487"/>
    </row>
    <row r="173" spans="1:26" x14ac:dyDescent="0.25">
      <c r="A173" s="486"/>
      <c r="B173" s="324"/>
      <c r="C173" s="324"/>
      <c r="D173" s="324"/>
      <c r="E173" s="324"/>
      <c r="F173" s="324"/>
      <c r="G173" s="342">
        <v>15</v>
      </c>
      <c r="H173" s="343">
        <v>46</v>
      </c>
      <c r="I173" s="324"/>
      <c r="J173" s="324"/>
      <c r="K173" s="457">
        <v>1</v>
      </c>
      <c r="L173" s="458">
        <v>1</v>
      </c>
      <c r="M173" s="458">
        <v>1</v>
      </c>
      <c r="N173" s="458">
        <v>0</v>
      </c>
      <c r="O173" s="458">
        <v>0</v>
      </c>
      <c r="P173" s="459">
        <v>1</v>
      </c>
      <c r="Q173" s="324"/>
      <c r="R173" s="607">
        <f t="shared" si="8"/>
        <v>57</v>
      </c>
      <c r="S173" s="324"/>
      <c r="T173" s="469">
        <f t="shared" si="6"/>
        <v>4</v>
      </c>
      <c r="U173" s="469">
        <f t="shared" si="7"/>
        <v>2</v>
      </c>
      <c r="V173" s="324"/>
      <c r="W173" s="324"/>
      <c r="X173" s="324"/>
      <c r="Y173" s="326"/>
      <c r="Z173" s="487"/>
    </row>
    <row r="174" spans="1:26" x14ac:dyDescent="0.25">
      <c r="A174" s="486"/>
      <c r="B174" s="324"/>
      <c r="C174" s="324"/>
      <c r="D174" s="324"/>
      <c r="E174" s="324"/>
      <c r="F174" s="324"/>
      <c r="G174" s="342">
        <v>16</v>
      </c>
      <c r="H174" s="343">
        <v>47</v>
      </c>
      <c r="I174" s="324"/>
      <c r="J174" s="324"/>
      <c r="K174" s="457">
        <v>1</v>
      </c>
      <c r="L174" s="458">
        <v>1</v>
      </c>
      <c r="M174" s="458">
        <v>1</v>
      </c>
      <c r="N174" s="458">
        <v>0</v>
      </c>
      <c r="O174" s="458">
        <v>0</v>
      </c>
      <c r="P174" s="459">
        <v>0</v>
      </c>
      <c r="Q174" s="324"/>
      <c r="R174" s="607">
        <f t="shared" si="8"/>
        <v>56</v>
      </c>
      <c r="S174" s="324"/>
      <c r="T174" s="469">
        <f t="shared" si="6"/>
        <v>3</v>
      </c>
      <c r="U174" s="469">
        <f t="shared" si="7"/>
        <v>3</v>
      </c>
      <c r="V174" s="324"/>
      <c r="W174" s="324"/>
      <c r="X174" s="324"/>
      <c r="Y174" s="326"/>
      <c r="Z174" s="487"/>
    </row>
    <row r="175" spans="1:26" x14ac:dyDescent="0.25">
      <c r="A175" s="486"/>
      <c r="B175" s="324"/>
      <c r="C175" s="324"/>
      <c r="D175" s="324"/>
      <c r="E175" s="324"/>
      <c r="F175" s="324"/>
      <c r="G175" s="342">
        <v>17</v>
      </c>
      <c r="H175" s="343">
        <v>48</v>
      </c>
      <c r="I175" s="324"/>
      <c r="J175" s="324"/>
      <c r="K175" s="457">
        <v>1</v>
      </c>
      <c r="L175" s="458">
        <v>0</v>
      </c>
      <c r="M175" s="458">
        <v>1</v>
      </c>
      <c r="N175" s="458">
        <v>0</v>
      </c>
      <c r="O175" s="458">
        <v>0</v>
      </c>
      <c r="P175" s="459">
        <v>0</v>
      </c>
      <c r="Q175" s="324"/>
      <c r="R175" s="607">
        <f t="shared" si="8"/>
        <v>40</v>
      </c>
      <c r="S175" s="324"/>
      <c r="T175" s="469">
        <f t="shared" si="6"/>
        <v>2</v>
      </c>
      <c r="U175" s="469">
        <f t="shared" si="7"/>
        <v>4</v>
      </c>
      <c r="V175" s="324"/>
      <c r="W175" s="324"/>
      <c r="X175" s="324"/>
      <c r="Y175" s="326"/>
      <c r="Z175" s="487"/>
    </row>
    <row r="176" spans="1:26" x14ac:dyDescent="0.25">
      <c r="A176" s="486"/>
      <c r="B176" s="324"/>
      <c r="C176" s="324"/>
      <c r="D176" s="324"/>
      <c r="E176" s="324"/>
      <c r="F176" s="324"/>
      <c r="G176" s="342">
        <v>18</v>
      </c>
      <c r="H176" s="343">
        <v>49</v>
      </c>
      <c r="I176" s="324"/>
      <c r="J176" s="324"/>
      <c r="K176" s="457">
        <v>1</v>
      </c>
      <c r="L176" s="458">
        <v>0</v>
      </c>
      <c r="M176" s="458">
        <v>1</v>
      </c>
      <c r="N176" s="458">
        <v>0</v>
      </c>
      <c r="O176" s="458">
        <v>0</v>
      </c>
      <c r="P176" s="459">
        <v>1</v>
      </c>
      <c r="Q176" s="324"/>
      <c r="R176" s="607">
        <f t="shared" si="8"/>
        <v>41</v>
      </c>
      <c r="S176" s="324"/>
      <c r="T176" s="469">
        <f t="shared" si="6"/>
        <v>3</v>
      </c>
      <c r="U176" s="469">
        <f t="shared" si="7"/>
        <v>3</v>
      </c>
      <c r="V176" s="324"/>
      <c r="W176" s="324"/>
      <c r="X176" s="324"/>
      <c r="Y176" s="326"/>
      <c r="Z176" s="487"/>
    </row>
    <row r="177" spans="1:26" x14ac:dyDescent="0.25">
      <c r="A177" s="486"/>
      <c r="B177" s="324"/>
      <c r="C177" s="324"/>
      <c r="D177" s="324"/>
      <c r="E177" s="324"/>
      <c r="F177" s="324"/>
      <c r="G177" s="342">
        <v>19</v>
      </c>
      <c r="H177" s="343">
        <v>50</v>
      </c>
      <c r="I177" s="324"/>
      <c r="J177" s="324"/>
      <c r="K177" s="457">
        <v>1</v>
      </c>
      <c r="L177" s="458">
        <v>0</v>
      </c>
      <c r="M177" s="458">
        <v>1</v>
      </c>
      <c r="N177" s="458">
        <v>0</v>
      </c>
      <c r="O177" s="458">
        <v>1</v>
      </c>
      <c r="P177" s="459">
        <v>1</v>
      </c>
      <c r="Q177" s="324"/>
      <c r="R177" s="607">
        <f t="shared" si="8"/>
        <v>43</v>
      </c>
      <c r="S177" s="324"/>
      <c r="T177" s="469">
        <f t="shared" si="6"/>
        <v>4</v>
      </c>
      <c r="U177" s="469">
        <f t="shared" si="7"/>
        <v>2</v>
      </c>
      <c r="V177" s="324"/>
      <c r="W177" s="324"/>
      <c r="X177" s="324"/>
      <c r="Y177" s="326"/>
      <c r="Z177" s="487"/>
    </row>
    <row r="178" spans="1:26" x14ac:dyDescent="0.25">
      <c r="A178" s="486"/>
      <c r="B178" s="324"/>
      <c r="C178" s="324"/>
      <c r="D178" s="324"/>
      <c r="E178" s="324"/>
      <c r="F178" s="324"/>
      <c r="G178" s="342">
        <v>20</v>
      </c>
      <c r="H178" s="343">
        <v>51</v>
      </c>
      <c r="I178" s="324"/>
      <c r="J178" s="324"/>
      <c r="K178" s="457">
        <v>1</v>
      </c>
      <c r="L178" s="458">
        <v>0</v>
      </c>
      <c r="M178" s="458">
        <v>1</v>
      </c>
      <c r="N178" s="458">
        <v>0</v>
      </c>
      <c r="O178" s="458">
        <v>1</v>
      </c>
      <c r="P178" s="459">
        <v>0</v>
      </c>
      <c r="Q178" s="324"/>
      <c r="R178" s="607">
        <f t="shared" si="8"/>
        <v>42</v>
      </c>
      <c r="S178" s="324"/>
      <c r="T178" s="469">
        <f t="shared" si="6"/>
        <v>3</v>
      </c>
      <c r="U178" s="469">
        <f t="shared" si="7"/>
        <v>3</v>
      </c>
      <c r="V178" s="324"/>
      <c r="W178" s="324"/>
      <c r="X178" s="324"/>
      <c r="Y178" s="326"/>
      <c r="Z178" s="487"/>
    </row>
    <row r="179" spans="1:26" x14ac:dyDescent="0.25">
      <c r="A179" s="486"/>
      <c r="B179" s="324"/>
      <c r="C179" s="324"/>
      <c r="D179" s="324"/>
      <c r="E179" s="324"/>
      <c r="F179" s="324"/>
      <c r="G179" s="342">
        <v>21</v>
      </c>
      <c r="H179" s="343">
        <v>52</v>
      </c>
      <c r="I179" s="324"/>
      <c r="J179" s="324"/>
      <c r="K179" s="457">
        <v>1</v>
      </c>
      <c r="L179" s="458">
        <v>0</v>
      </c>
      <c r="M179" s="458">
        <v>1</v>
      </c>
      <c r="N179" s="458">
        <v>1</v>
      </c>
      <c r="O179" s="458">
        <v>1</v>
      </c>
      <c r="P179" s="459">
        <v>0</v>
      </c>
      <c r="Q179" s="324"/>
      <c r="R179" s="607">
        <f t="shared" si="8"/>
        <v>46</v>
      </c>
      <c r="S179" s="324"/>
      <c r="T179" s="469">
        <f t="shared" si="6"/>
        <v>4</v>
      </c>
      <c r="U179" s="469">
        <f t="shared" si="7"/>
        <v>2</v>
      </c>
      <c r="V179" s="324"/>
      <c r="W179" s="324"/>
      <c r="X179" s="324"/>
      <c r="Y179" s="326"/>
      <c r="Z179" s="487"/>
    </row>
    <row r="180" spans="1:26" x14ac:dyDescent="0.25">
      <c r="A180" s="486"/>
      <c r="B180" s="324"/>
      <c r="C180" s="324"/>
      <c r="D180" s="324"/>
      <c r="E180" s="324"/>
      <c r="F180" s="324"/>
      <c r="G180" s="342">
        <v>22</v>
      </c>
      <c r="H180" s="343">
        <v>53</v>
      </c>
      <c r="I180" s="324"/>
      <c r="J180" s="324"/>
      <c r="K180" s="457">
        <v>1</v>
      </c>
      <c r="L180" s="458">
        <v>0</v>
      </c>
      <c r="M180" s="458">
        <v>1</v>
      </c>
      <c r="N180" s="458">
        <v>1</v>
      </c>
      <c r="O180" s="458">
        <v>1</v>
      </c>
      <c r="P180" s="459">
        <v>1</v>
      </c>
      <c r="Q180" s="324"/>
      <c r="R180" s="607">
        <f t="shared" si="8"/>
        <v>47</v>
      </c>
      <c r="S180" s="324"/>
      <c r="T180" s="469">
        <f t="shared" si="6"/>
        <v>5</v>
      </c>
      <c r="U180" s="469">
        <f t="shared" si="7"/>
        <v>1</v>
      </c>
      <c r="V180" s="324"/>
      <c r="W180" s="324"/>
      <c r="X180" s="324"/>
      <c r="Y180" s="326"/>
      <c r="Z180" s="487"/>
    </row>
    <row r="181" spans="1:26" x14ac:dyDescent="0.25">
      <c r="A181" s="486"/>
      <c r="B181" s="324"/>
      <c r="C181" s="324"/>
      <c r="D181" s="324"/>
      <c r="E181" s="324"/>
      <c r="F181" s="324"/>
      <c r="G181" s="342">
        <v>23</v>
      </c>
      <c r="H181" s="343">
        <v>54</v>
      </c>
      <c r="I181" s="324"/>
      <c r="J181" s="324"/>
      <c r="K181" s="457">
        <v>1</v>
      </c>
      <c r="L181" s="458">
        <v>0</v>
      </c>
      <c r="M181" s="458">
        <v>1</v>
      </c>
      <c r="N181" s="458">
        <v>1</v>
      </c>
      <c r="O181" s="458">
        <v>0</v>
      </c>
      <c r="P181" s="459">
        <v>1</v>
      </c>
      <c r="Q181" s="324"/>
      <c r="R181" s="607">
        <f t="shared" si="8"/>
        <v>45</v>
      </c>
      <c r="S181" s="324"/>
      <c r="T181" s="469">
        <f t="shared" si="6"/>
        <v>4</v>
      </c>
      <c r="U181" s="469">
        <f t="shared" si="7"/>
        <v>2</v>
      </c>
      <c r="V181" s="324"/>
      <c r="W181" s="324"/>
      <c r="X181" s="324"/>
      <c r="Y181" s="326"/>
      <c r="Z181" s="487"/>
    </row>
    <row r="182" spans="1:26" x14ac:dyDescent="0.25">
      <c r="A182" s="486"/>
      <c r="B182" s="324"/>
      <c r="C182" s="324"/>
      <c r="D182" s="324"/>
      <c r="E182" s="324"/>
      <c r="F182" s="324"/>
      <c r="G182" s="342">
        <v>24</v>
      </c>
      <c r="H182" s="343">
        <v>55</v>
      </c>
      <c r="I182" s="324"/>
      <c r="J182" s="324"/>
      <c r="K182" s="457">
        <v>1</v>
      </c>
      <c r="L182" s="458">
        <v>0</v>
      </c>
      <c r="M182" s="458">
        <v>1</v>
      </c>
      <c r="N182" s="458">
        <v>1</v>
      </c>
      <c r="O182" s="458">
        <v>0</v>
      </c>
      <c r="P182" s="459">
        <v>0</v>
      </c>
      <c r="Q182" s="324"/>
      <c r="R182" s="607">
        <f t="shared" si="8"/>
        <v>44</v>
      </c>
      <c r="S182" s="324"/>
      <c r="T182" s="469">
        <f t="shared" si="6"/>
        <v>3</v>
      </c>
      <c r="U182" s="469">
        <f t="shared" si="7"/>
        <v>3</v>
      </c>
      <c r="V182" s="324"/>
      <c r="W182" s="324"/>
      <c r="X182" s="324"/>
      <c r="Y182" s="326"/>
      <c r="Z182" s="487"/>
    </row>
    <row r="183" spans="1:26" x14ac:dyDescent="0.25">
      <c r="A183" s="486"/>
      <c r="B183" s="324"/>
      <c r="C183" s="324"/>
      <c r="D183" s="324"/>
      <c r="E183" s="324"/>
      <c r="F183" s="324"/>
      <c r="G183" s="342">
        <v>25</v>
      </c>
      <c r="H183" s="343">
        <v>56</v>
      </c>
      <c r="I183" s="324"/>
      <c r="J183" s="324"/>
      <c r="K183" s="457">
        <v>1</v>
      </c>
      <c r="L183" s="458">
        <v>0</v>
      </c>
      <c r="M183" s="458">
        <v>0</v>
      </c>
      <c r="N183" s="458">
        <v>1</v>
      </c>
      <c r="O183" s="458">
        <v>0</v>
      </c>
      <c r="P183" s="459">
        <v>0</v>
      </c>
      <c r="Q183" s="324"/>
      <c r="R183" s="607">
        <f t="shared" si="8"/>
        <v>36</v>
      </c>
      <c r="S183" s="324"/>
      <c r="T183" s="469">
        <f t="shared" si="6"/>
        <v>2</v>
      </c>
      <c r="U183" s="469">
        <f t="shared" si="7"/>
        <v>4</v>
      </c>
      <c r="V183" s="324"/>
      <c r="W183" s="324"/>
      <c r="X183" s="324"/>
      <c r="Y183" s="326"/>
      <c r="Z183" s="487"/>
    </row>
    <row r="184" spans="1:26" x14ac:dyDescent="0.25">
      <c r="A184" s="486"/>
      <c r="B184" s="324"/>
      <c r="C184" s="324"/>
      <c r="D184" s="324"/>
      <c r="E184" s="324"/>
      <c r="F184" s="324"/>
      <c r="G184" s="342">
        <v>26</v>
      </c>
      <c r="H184" s="343">
        <v>57</v>
      </c>
      <c r="I184" s="324"/>
      <c r="J184" s="324"/>
      <c r="K184" s="457">
        <v>1</v>
      </c>
      <c r="L184" s="458">
        <v>0</v>
      </c>
      <c r="M184" s="458">
        <v>0</v>
      </c>
      <c r="N184" s="458">
        <v>1</v>
      </c>
      <c r="O184" s="458">
        <v>0</v>
      </c>
      <c r="P184" s="459">
        <v>1</v>
      </c>
      <c r="Q184" s="324"/>
      <c r="R184" s="607">
        <f t="shared" si="8"/>
        <v>37</v>
      </c>
      <c r="S184" s="324"/>
      <c r="T184" s="469">
        <f t="shared" si="6"/>
        <v>3</v>
      </c>
      <c r="U184" s="469">
        <f t="shared" si="7"/>
        <v>3</v>
      </c>
      <c r="V184" s="324"/>
      <c r="W184" s="324"/>
      <c r="X184" s="324"/>
      <c r="Y184" s="326"/>
      <c r="Z184" s="487"/>
    </row>
    <row r="185" spans="1:26" x14ac:dyDescent="0.25">
      <c r="A185" s="486"/>
      <c r="B185" s="324"/>
      <c r="C185" s="324"/>
      <c r="D185" s="324"/>
      <c r="E185" s="324"/>
      <c r="F185" s="324"/>
      <c r="G185" s="342">
        <v>27</v>
      </c>
      <c r="H185" s="343">
        <v>58</v>
      </c>
      <c r="I185" s="324"/>
      <c r="J185" s="324"/>
      <c r="K185" s="457">
        <v>1</v>
      </c>
      <c r="L185" s="458">
        <v>0</v>
      </c>
      <c r="M185" s="458">
        <v>0</v>
      </c>
      <c r="N185" s="458">
        <v>1</v>
      </c>
      <c r="O185" s="458">
        <v>1</v>
      </c>
      <c r="P185" s="459">
        <v>1</v>
      </c>
      <c r="Q185" s="324"/>
      <c r="R185" s="607">
        <f t="shared" si="8"/>
        <v>39</v>
      </c>
      <c r="S185" s="324"/>
      <c r="T185" s="469">
        <f t="shared" si="6"/>
        <v>4</v>
      </c>
      <c r="U185" s="469">
        <f t="shared" si="7"/>
        <v>2</v>
      </c>
      <c r="V185" s="324"/>
      <c r="W185" s="324"/>
      <c r="X185" s="324"/>
      <c r="Y185" s="326"/>
      <c r="Z185" s="487"/>
    </row>
    <row r="186" spans="1:26" x14ac:dyDescent="0.25">
      <c r="A186" s="486"/>
      <c r="B186" s="324"/>
      <c r="C186" s="324"/>
      <c r="D186" s="324"/>
      <c r="E186" s="324"/>
      <c r="F186" s="324"/>
      <c r="G186" s="342">
        <v>28</v>
      </c>
      <c r="H186" s="343">
        <v>59</v>
      </c>
      <c r="I186" s="324"/>
      <c r="J186" s="324"/>
      <c r="K186" s="457">
        <v>1</v>
      </c>
      <c r="L186" s="458">
        <v>0</v>
      </c>
      <c r="M186" s="458">
        <v>0</v>
      </c>
      <c r="N186" s="458">
        <v>1</v>
      </c>
      <c r="O186" s="458">
        <v>1</v>
      </c>
      <c r="P186" s="459">
        <v>0</v>
      </c>
      <c r="Q186" s="324"/>
      <c r="R186" s="607">
        <f t="shared" si="8"/>
        <v>38</v>
      </c>
      <c r="S186" s="324"/>
      <c r="T186" s="469">
        <f t="shared" si="6"/>
        <v>3</v>
      </c>
      <c r="U186" s="469">
        <f t="shared" si="7"/>
        <v>3</v>
      </c>
      <c r="V186" s="324"/>
      <c r="W186" s="324"/>
      <c r="X186" s="324"/>
      <c r="Y186" s="326"/>
      <c r="Z186" s="487"/>
    </row>
    <row r="187" spans="1:26" x14ac:dyDescent="0.25">
      <c r="A187" s="486"/>
      <c r="B187" s="324"/>
      <c r="C187" s="324"/>
      <c r="D187" s="324"/>
      <c r="E187" s="324"/>
      <c r="F187" s="324"/>
      <c r="G187" s="342">
        <v>29</v>
      </c>
      <c r="H187" s="343">
        <v>60</v>
      </c>
      <c r="I187" s="324"/>
      <c r="J187" s="324"/>
      <c r="K187" s="457">
        <v>1</v>
      </c>
      <c r="L187" s="458">
        <v>0</v>
      </c>
      <c r="M187" s="458">
        <v>0</v>
      </c>
      <c r="N187" s="458">
        <v>0</v>
      </c>
      <c r="O187" s="458">
        <v>1</v>
      </c>
      <c r="P187" s="459">
        <v>0</v>
      </c>
      <c r="Q187" s="324"/>
      <c r="R187" s="607">
        <f t="shared" si="8"/>
        <v>34</v>
      </c>
      <c r="S187" s="324"/>
      <c r="T187" s="469">
        <f t="shared" si="6"/>
        <v>2</v>
      </c>
      <c r="U187" s="469">
        <f t="shared" si="7"/>
        <v>4</v>
      </c>
      <c r="V187" s="324"/>
      <c r="W187" s="324"/>
      <c r="X187" s="324"/>
      <c r="Y187" s="326"/>
      <c r="Z187" s="487"/>
    </row>
    <row r="188" spans="1:26" x14ac:dyDescent="0.25">
      <c r="A188" s="486"/>
      <c r="B188" s="324"/>
      <c r="C188" s="324"/>
      <c r="D188" s="324"/>
      <c r="E188" s="324"/>
      <c r="F188" s="324"/>
      <c r="G188" s="342">
        <v>30</v>
      </c>
      <c r="H188" s="343">
        <v>61</v>
      </c>
      <c r="I188" s="324"/>
      <c r="J188" s="324"/>
      <c r="K188" s="457">
        <v>1</v>
      </c>
      <c r="L188" s="458">
        <v>0</v>
      </c>
      <c r="M188" s="458">
        <v>0</v>
      </c>
      <c r="N188" s="458">
        <v>0</v>
      </c>
      <c r="O188" s="458">
        <v>1</v>
      </c>
      <c r="P188" s="459">
        <v>1</v>
      </c>
      <c r="Q188" s="324"/>
      <c r="R188" s="607">
        <f t="shared" si="8"/>
        <v>35</v>
      </c>
      <c r="S188" s="324"/>
      <c r="T188" s="469">
        <f t="shared" si="6"/>
        <v>3</v>
      </c>
      <c r="U188" s="469">
        <f t="shared" si="7"/>
        <v>3</v>
      </c>
      <c r="V188" s="324"/>
      <c r="W188" s="324"/>
      <c r="X188" s="324"/>
      <c r="Y188" s="326"/>
      <c r="Z188" s="487"/>
    </row>
    <row r="189" spans="1:26" x14ac:dyDescent="0.25">
      <c r="A189" s="486"/>
      <c r="B189" s="324"/>
      <c r="C189" s="324"/>
      <c r="D189" s="324"/>
      <c r="E189" s="324"/>
      <c r="F189" s="324"/>
      <c r="G189" s="342">
        <v>31</v>
      </c>
      <c r="H189" s="343">
        <v>62</v>
      </c>
      <c r="I189" s="324"/>
      <c r="J189" s="324"/>
      <c r="K189" s="457">
        <v>1</v>
      </c>
      <c r="L189" s="458">
        <v>0</v>
      </c>
      <c r="M189" s="458">
        <v>0</v>
      </c>
      <c r="N189" s="458">
        <v>0</v>
      </c>
      <c r="O189" s="458">
        <v>0</v>
      </c>
      <c r="P189" s="459">
        <v>1</v>
      </c>
      <c r="Q189" s="324"/>
      <c r="R189" s="607">
        <f t="shared" si="8"/>
        <v>33</v>
      </c>
      <c r="S189" s="324"/>
      <c r="T189" s="469">
        <f t="shared" si="6"/>
        <v>2</v>
      </c>
      <c r="U189" s="469">
        <f t="shared" si="7"/>
        <v>4</v>
      </c>
      <c r="V189" s="324"/>
      <c r="W189" s="324"/>
      <c r="X189" s="324"/>
      <c r="Y189" s="326"/>
      <c r="Z189" s="487"/>
    </row>
    <row r="190" spans="1:26" x14ac:dyDescent="0.25">
      <c r="A190" s="486"/>
      <c r="B190" s="324"/>
      <c r="C190" s="324"/>
      <c r="D190" s="324"/>
      <c r="E190" s="324"/>
      <c r="F190" s="324"/>
      <c r="G190" s="342">
        <v>32</v>
      </c>
      <c r="H190" s="343">
        <v>63</v>
      </c>
      <c r="I190" s="324"/>
      <c r="J190" s="324"/>
      <c r="K190" s="457">
        <v>1</v>
      </c>
      <c r="L190" s="458">
        <v>0</v>
      </c>
      <c r="M190" s="458">
        <v>0</v>
      </c>
      <c r="N190" s="458">
        <v>0</v>
      </c>
      <c r="O190" s="458">
        <v>0</v>
      </c>
      <c r="P190" s="459">
        <v>0</v>
      </c>
      <c r="Q190" s="324"/>
      <c r="R190" s="607">
        <f t="shared" si="8"/>
        <v>32</v>
      </c>
      <c r="S190" s="324"/>
      <c r="T190" s="469">
        <f t="shared" si="6"/>
        <v>1</v>
      </c>
      <c r="U190" s="469">
        <f t="shared" si="7"/>
        <v>5</v>
      </c>
      <c r="V190" s="324"/>
      <c r="W190" s="324"/>
      <c r="X190" s="324"/>
      <c r="Y190" s="326"/>
      <c r="Z190" s="487"/>
    </row>
    <row r="191" spans="1:26" x14ac:dyDescent="0.25">
      <c r="A191" s="486"/>
      <c r="B191" s="324"/>
      <c r="C191" s="324"/>
      <c r="D191" s="324"/>
      <c r="E191" s="324"/>
      <c r="F191" s="324"/>
      <c r="G191" s="342">
        <v>33</v>
      </c>
      <c r="H191" s="343">
        <v>64</v>
      </c>
      <c r="I191" s="324"/>
      <c r="J191" s="324"/>
      <c r="K191" s="457">
        <v>1</v>
      </c>
      <c r="L191" s="458">
        <v>0</v>
      </c>
      <c r="M191" s="458">
        <v>0</v>
      </c>
      <c r="N191" s="458">
        <v>0</v>
      </c>
      <c r="O191" s="458">
        <v>0</v>
      </c>
      <c r="P191" s="459">
        <v>0</v>
      </c>
      <c r="Q191" s="324"/>
      <c r="R191" s="607">
        <f t="shared" si="8"/>
        <v>32</v>
      </c>
      <c r="S191" s="324"/>
      <c r="T191" s="469">
        <f t="shared" ref="T191:T222" si="9">COUNTIF(K191:P191,1)</f>
        <v>1</v>
      </c>
      <c r="U191" s="469">
        <f t="shared" ref="U191:U222" si="10">COUNTIF(K191:P191,0)</f>
        <v>5</v>
      </c>
      <c r="V191" s="324"/>
      <c r="W191" s="324"/>
      <c r="X191" s="324"/>
      <c r="Y191" s="326"/>
      <c r="Z191" s="487"/>
    </row>
    <row r="192" spans="1:26" x14ac:dyDescent="0.25">
      <c r="A192" s="486"/>
      <c r="B192" s="324"/>
      <c r="C192" s="324"/>
      <c r="D192" s="324"/>
      <c r="E192" s="324"/>
      <c r="F192" s="324"/>
      <c r="G192" s="342">
        <v>34</v>
      </c>
      <c r="H192" s="343">
        <v>65</v>
      </c>
      <c r="I192" s="324"/>
      <c r="J192" s="324"/>
      <c r="K192" s="457">
        <v>1</v>
      </c>
      <c r="L192" s="458">
        <v>0</v>
      </c>
      <c r="M192" s="458">
        <v>0</v>
      </c>
      <c r="N192" s="458">
        <v>0</v>
      </c>
      <c r="O192" s="458">
        <v>0</v>
      </c>
      <c r="P192" s="459">
        <v>1</v>
      </c>
      <c r="Q192" s="324"/>
      <c r="R192" s="607">
        <f t="shared" si="8"/>
        <v>33</v>
      </c>
      <c r="S192" s="324"/>
      <c r="T192" s="469">
        <f t="shared" si="9"/>
        <v>2</v>
      </c>
      <c r="U192" s="469">
        <f t="shared" si="10"/>
        <v>4</v>
      </c>
      <c r="V192" s="324"/>
      <c r="W192" s="324"/>
      <c r="X192" s="324"/>
      <c r="Y192" s="326"/>
      <c r="Z192" s="487"/>
    </row>
    <row r="193" spans="1:26" x14ac:dyDescent="0.25">
      <c r="A193" s="486"/>
      <c r="B193" s="324"/>
      <c r="C193" s="324"/>
      <c r="D193" s="324"/>
      <c r="E193" s="324"/>
      <c r="F193" s="324"/>
      <c r="G193" s="342">
        <v>35</v>
      </c>
      <c r="H193" s="343">
        <v>66</v>
      </c>
      <c r="I193" s="324"/>
      <c r="J193" s="324"/>
      <c r="K193" s="457">
        <v>1</v>
      </c>
      <c r="L193" s="458">
        <v>0</v>
      </c>
      <c r="M193" s="458">
        <v>0</v>
      </c>
      <c r="N193" s="458">
        <v>0</v>
      </c>
      <c r="O193" s="458">
        <v>1</v>
      </c>
      <c r="P193" s="459">
        <v>1</v>
      </c>
      <c r="Q193" s="324"/>
      <c r="R193" s="607">
        <f t="shared" si="8"/>
        <v>35</v>
      </c>
      <c r="S193" s="324"/>
      <c r="T193" s="469">
        <f t="shared" si="9"/>
        <v>3</v>
      </c>
      <c r="U193" s="469">
        <f t="shared" si="10"/>
        <v>3</v>
      </c>
      <c r="V193" s="324"/>
      <c r="W193" s="324"/>
      <c r="X193" s="324"/>
      <c r="Y193" s="326"/>
      <c r="Z193" s="487"/>
    </row>
    <row r="194" spans="1:26" x14ac:dyDescent="0.25">
      <c r="A194" s="486"/>
      <c r="B194" s="324"/>
      <c r="C194" s="324"/>
      <c r="D194" s="324"/>
      <c r="E194" s="324"/>
      <c r="F194" s="324"/>
      <c r="G194" s="342">
        <v>36</v>
      </c>
      <c r="H194" s="343">
        <v>67</v>
      </c>
      <c r="I194" s="324"/>
      <c r="J194" s="324"/>
      <c r="K194" s="457">
        <v>1</v>
      </c>
      <c r="L194" s="458">
        <v>0</v>
      </c>
      <c r="M194" s="458">
        <v>0</v>
      </c>
      <c r="N194" s="458">
        <v>0</v>
      </c>
      <c r="O194" s="458">
        <v>1</v>
      </c>
      <c r="P194" s="459">
        <v>0</v>
      </c>
      <c r="Q194" s="324"/>
      <c r="R194" s="607">
        <f t="shared" si="8"/>
        <v>34</v>
      </c>
      <c r="S194" s="324"/>
      <c r="T194" s="469">
        <f t="shared" si="9"/>
        <v>2</v>
      </c>
      <c r="U194" s="469">
        <f t="shared" si="10"/>
        <v>4</v>
      </c>
      <c r="V194" s="324"/>
      <c r="W194" s="324"/>
      <c r="X194" s="324"/>
      <c r="Y194" s="326"/>
      <c r="Z194" s="487"/>
    </row>
    <row r="195" spans="1:26" x14ac:dyDescent="0.25">
      <c r="A195" s="486"/>
      <c r="B195" s="324"/>
      <c r="C195" s="324"/>
      <c r="D195" s="324"/>
      <c r="E195" s="324"/>
      <c r="F195" s="324"/>
      <c r="G195" s="342">
        <v>37</v>
      </c>
      <c r="H195" s="343">
        <v>68</v>
      </c>
      <c r="I195" s="324"/>
      <c r="J195" s="324"/>
      <c r="K195" s="457">
        <v>1</v>
      </c>
      <c r="L195" s="458">
        <v>0</v>
      </c>
      <c r="M195" s="458">
        <v>0</v>
      </c>
      <c r="N195" s="458">
        <v>1</v>
      </c>
      <c r="O195" s="458">
        <v>1</v>
      </c>
      <c r="P195" s="459">
        <v>0</v>
      </c>
      <c r="Q195" s="324"/>
      <c r="R195" s="607">
        <f t="shared" si="8"/>
        <v>38</v>
      </c>
      <c r="S195" s="324"/>
      <c r="T195" s="469">
        <f t="shared" si="9"/>
        <v>3</v>
      </c>
      <c r="U195" s="469">
        <f t="shared" si="10"/>
        <v>3</v>
      </c>
      <c r="V195" s="324"/>
      <c r="W195" s="324"/>
      <c r="X195" s="324"/>
      <c r="Y195" s="326"/>
      <c r="Z195" s="487"/>
    </row>
    <row r="196" spans="1:26" x14ac:dyDescent="0.25">
      <c r="A196" s="486"/>
      <c r="B196" s="324"/>
      <c r="C196" s="324"/>
      <c r="D196" s="324"/>
      <c r="E196" s="324"/>
      <c r="F196" s="324"/>
      <c r="G196" s="342">
        <v>38</v>
      </c>
      <c r="H196" s="343">
        <v>69</v>
      </c>
      <c r="I196" s="324"/>
      <c r="J196" s="324"/>
      <c r="K196" s="457">
        <v>1</v>
      </c>
      <c r="L196" s="458">
        <v>0</v>
      </c>
      <c r="M196" s="458">
        <v>0</v>
      </c>
      <c r="N196" s="458">
        <v>1</v>
      </c>
      <c r="O196" s="458">
        <v>1</v>
      </c>
      <c r="P196" s="459">
        <v>1</v>
      </c>
      <c r="Q196" s="324"/>
      <c r="R196" s="607">
        <f t="shared" si="8"/>
        <v>39</v>
      </c>
      <c r="S196" s="324"/>
      <c r="T196" s="469">
        <f t="shared" si="9"/>
        <v>4</v>
      </c>
      <c r="U196" s="469">
        <f t="shared" si="10"/>
        <v>2</v>
      </c>
      <c r="V196" s="324"/>
      <c r="W196" s="324"/>
      <c r="X196" s="324"/>
      <c r="Y196" s="326"/>
      <c r="Z196" s="487"/>
    </row>
    <row r="197" spans="1:26" x14ac:dyDescent="0.25">
      <c r="A197" s="486"/>
      <c r="B197" s="324"/>
      <c r="C197" s="324"/>
      <c r="D197" s="324"/>
      <c r="E197" s="324"/>
      <c r="F197" s="324"/>
      <c r="G197" s="342">
        <v>39</v>
      </c>
      <c r="H197" s="343">
        <v>70</v>
      </c>
      <c r="I197" s="324"/>
      <c r="J197" s="324"/>
      <c r="K197" s="457">
        <v>1</v>
      </c>
      <c r="L197" s="458">
        <v>0</v>
      </c>
      <c r="M197" s="458">
        <v>0</v>
      </c>
      <c r="N197" s="458">
        <v>1</v>
      </c>
      <c r="O197" s="458">
        <v>0</v>
      </c>
      <c r="P197" s="459">
        <v>1</v>
      </c>
      <c r="Q197" s="324"/>
      <c r="R197" s="607">
        <f t="shared" si="8"/>
        <v>37</v>
      </c>
      <c r="S197" s="324"/>
      <c r="T197" s="469">
        <f t="shared" si="9"/>
        <v>3</v>
      </c>
      <c r="U197" s="469">
        <f t="shared" si="10"/>
        <v>3</v>
      </c>
      <c r="V197" s="324"/>
      <c r="W197" s="324"/>
      <c r="X197" s="324"/>
      <c r="Y197" s="326"/>
      <c r="Z197" s="487"/>
    </row>
    <row r="198" spans="1:26" x14ac:dyDescent="0.25">
      <c r="A198" s="486"/>
      <c r="B198" s="324"/>
      <c r="C198" s="324"/>
      <c r="D198" s="324"/>
      <c r="E198" s="324"/>
      <c r="F198" s="324"/>
      <c r="G198" s="342">
        <v>40</v>
      </c>
      <c r="H198" s="343">
        <v>71</v>
      </c>
      <c r="I198" s="324"/>
      <c r="J198" s="324"/>
      <c r="K198" s="457">
        <v>1</v>
      </c>
      <c r="L198" s="458">
        <v>0</v>
      </c>
      <c r="M198" s="458">
        <v>0</v>
      </c>
      <c r="N198" s="458">
        <v>1</v>
      </c>
      <c r="O198" s="458">
        <v>0</v>
      </c>
      <c r="P198" s="459">
        <v>0</v>
      </c>
      <c r="Q198" s="324"/>
      <c r="R198" s="607">
        <f t="shared" si="8"/>
        <v>36</v>
      </c>
      <c r="S198" s="324"/>
      <c r="T198" s="469">
        <f t="shared" si="9"/>
        <v>2</v>
      </c>
      <c r="U198" s="469">
        <f t="shared" si="10"/>
        <v>4</v>
      </c>
      <c r="V198" s="324"/>
      <c r="W198" s="324"/>
      <c r="X198" s="324"/>
      <c r="Y198" s="326"/>
      <c r="Z198" s="487"/>
    </row>
    <row r="199" spans="1:26" x14ac:dyDescent="0.25">
      <c r="A199" s="486"/>
      <c r="B199" s="324"/>
      <c r="C199" s="324"/>
      <c r="D199" s="324"/>
      <c r="E199" s="324"/>
      <c r="F199" s="324"/>
      <c r="G199" s="342">
        <v>41</v>
      </c>
      <c r="H199" s="343">
        <v>72</v>
      </c>
      <c r="I199" s="324"/>
      <c r="J199" s="324"/>
      <c r="K199" s="457">
        <v>1</v>
      </c>
      <c r="L199" s="458">
        <v>0</v>
      </c>
      <c r="M199" s="458">
        <v>1</v>
      </c>
      <c r="N199" s="458">
        <v>1</v>
      </c>
      <c r="O199" s="458">
        <v>0</v>
      </c>
      <c r="P199" s="459">
        <v>0</v>
      </c>
      <c r="Q199" s="324"/>
      <c r="R199" s="607">
        <f t="shared" si="8"/>
        <v>44</v>
      </c>
      <c r="S199" s="324"/>
      <c r="T199" s="469">
        <f t="shared" si="9"/>
        <v>3</v>
      </c>
      <c r="U199" s="469">
        <f t="shared" si="10"/>
        <v>3</v>
      </c>
      <c r="V199" s="324"/>
      <c r="W199" s="324"/>
      <c r="X199" s="324"/>
      <c r="Y199" s="326"/>
      <c r="Z199" s="487"/>
    </row>
    <row r="200" spans="1:26" x14ac:dyDescent="0.25">
      <c r="A200" s="486"/>
      <c r="B200" s="324"/>
      <c r="C200" s="324"/>
      <c r="D200" s="324"/>
      <c r="E200" s="324"/>
      <c r="F200" s="324"/>
      <c r="G200" s="342">
        <v>42</v>
      </c>
      <c r="H200" s="343">
        <v>73</v>
      </c>
      <c r="I200" s="324"/>
      <c r="J200" s="324"/>
      <c r="K200" s="457">
        <v>1</v>
      </c>
      <c r="L200" s="458">
        <v>0</v>
      </c>
      <c r="M200" s="458">
        <v>1</v>
      </c>
      <c r="N200" s="458">
        <v>1</v>
      </c>
      <c r="O200" s="458">
        <v>0</v>
      </c>
      <c r="P200" s="459">
        <v>1</v>
      </c>
      <c r="Q200" s="324"/>
      <c r="R200" s="607">
        <f t="shared" si="8"/>
        <v>45</v>
      </c>
      <c r="S200" s="324"/>
      <c r="T200" s="469">
        <f t="shared" si="9"/>
        <v>4</v>
      </c>
      <c r="U200" s="469">
        <f t="shared" si="10"/>
        <v>2</v>
      </c>
      <c r="V200" s="324"/>
      <c r="W200" s="324"/>
      <c r="X200" s="324"/>
      <c r="Y200" s="326"/>
      <c r="Z200" s="487"/>
    </row>
    <row r="201" spans="1:26" x14ac:dyDescent="0.25">
      <c r="A201" s="486"/>
      <c r="B201" s="324"/>
      <c r="C201" s="324"/>
      <c r="D201" s="324"/>
      <c r="E201" s="324"/>
      <c r="F201" s="324"/>
      <c r="G201" s="342">
        <v>43</v>
      </c>
      <c r="H201" s="343">
        <v>74</v>
      </c>
      <c r="I201" s="324"/>
      <c r="J201" s="324"/>
      <c r="K201" s="457">
        <v>1</v>
      </c>
      <c r="L201" s="458">
        <v>0</v>
      </c>
      <c r="M201" s="458">
        <v>1</v>
      </c>
      <c r="N201" s="458">
        <v>1</v>
      </c>
      <c r="O201" s="458">
        <v>1</v>
      </c>
      <c r="P201" s="459">
        <v>1</v>
      </c>
      <c r="Q201" s="324"/>
      <c r="R201" s="607">
        <f t="shared" si="8"/>
        <v>47</v>
      </c>
      <c r="S201" s="324"/>
      <c r="T201" s="469">
        <f t="shared" si="9"/>
        <v>5</v>
      </c>
      <c r="U201" s="469">
        <f t="shared" si="10"/>
        <v>1</v>
      </c>
      <c r="V201" s="324"/>
      <c r="W201" s="324"/>
      <c r="X201" s="324"/>
      <c r="Y201" s="326"/>
      <c r="Z201" s="487"/>
    </row>
    <row r="202" spans="1:26" x14ac:dyDescent="0.25">
      <c r="A202" s="486"/>
      <c r="B202" s="324"/>
      <c r="C202" s="324"/>
      <c r="D202" s="324"/>
      <c r="E202" s="324"/>
      <c r="F202" s="324"/>
      <c r="G202" s="342">
        <v>44</v>
      </c>
      <c r="H202" s="343">
        <v>75</v>
      </c>
      <c r="I202" s="324"/>
      <c r="J202" s="324"/>
      <c r="K202" s="457">
        <v>1</v>
      </c>
      <c r="L202" s="458">
        <v>0</v>
      </c>
      <c r="M202" s="458">
        <v>1</v>
      </c>
      <c r="N202" s="458">
        <v>1</v>
      </c>
      <c r="O202" s="458">
        <v>1</v>
      </c>
      <c r="P202" s="459">
        <v>0</v>
      </c>
      <c r="Q202" s="324"/>
      <c r="R202" s="607">
        <f t="shared" si="8"/>
        <v>46</v>
      </c>
      <c r="S202" s="324"/>
      <c r="T202" s="469">
        <f t="shared" si="9"/>
        <v>4</v>
      </c>
      <c r="U202" s="469">
        <f t="shared" si="10"/>
        <v>2</v>
      </c>
      <c r="V202" s="324"/>
      <c r="W202" s="324"/>
      <c r="X202" s="324"/>
      <c r="Y202" s="326"/>
      <c r="Z202" s="487"/>
    </row>
    <row r="203" spans="1:26" x14ac:dyDescent="0.25">
      <c r="A203" s="486"/>
      <c r="B203" s="324"/>
      <c r="C203" s="324"/>
      <c r="D203" s="324"/>
      <c r="E203" s="324"/>
      <c r="F203" s="324"/>
      <c r="G203" s="342">
        <v>45</v>
      </c>
      <c r="H203" s="343">
        <v>76</v>
      </c>
      <c r="I203" s="324"/>
      <c r="J203" s="324"/>
      <c r="K203" s="457">
        <v>1</v>
      </c>
      <c r="L203" s="458">
        <v>0</v>
      </c>
      <c r="M203" s="458">
        <v>1</v>
      </c>
      <c r="N203" s="458">
        <v>0</v>
      </c>
      <c r="O203" s="458">
        <v>1</v>
      </c>
      <c r="P203" s="459">
        <v>0</v>
      </c>
      <c r="Q203" s="324"/>
      <c r="R203" s="607">
        <f t="shared" si="8"/>
        <v>42</v>
      </c>
      <c r="S203" s="324"/>
      <c r="T203" s="469">
        <f t="shared" si="9"/>
        <v>3</v>
      </c>
      <c r="U203" s="469">
        <f t="shared" si="10"/>
        <v>3</v>
      </c>
      <c r="V203" s="324"/>
      <c r="W203" s="324"/>
      <c r="X203" s="324"/>
      <c r="Y203" s="326"/>
      <c r="Z203" s="487"/>
    </row>
    <row r="204" spans="1:26" x14ac:dyDescent="0.25">
      <c r="A204" s="486"/>
      <c r="B204" s="324"/>
      <c r="C204" s="324"/>
      <c r="D204" s="324"/>
      <c r="E204" s="324"/>
      <c r="F204" s="324"/>
      <c r="G204" s="342">
        <v>46</v>
      </c>
      <c r="H204" s="343">
        <v>77</v>
      </c>
      <c r="I204" s="324"/>
      <c r="J204" s="324"/>
      <c r="K204" s="457">
        <v>1</v>
      </c>
      <c r="L204" s="458">
        <v>0</v>
      </c>
      <c r="M204" s="458">
        <v>1</v>
      </c>
      <c r="N204" s="458">
        <v>0</v>
      </c>
      <c r="O204" s="458">
        <v>1</v>
      </c>
      <c r="P204" s="459">
        <v>1</v>
      </c>
      <c r="Q204" s="324"/>
      <c r="R204" s="607">
        <f t="shared" si="8"/>
        <v>43</v>
      </c>
      <c r="S204" s="324"/>
      <c r="T204" s="469">
        <f t="shared" si="9"/>
        <v>4</v>
      </c>
      <c r="U204" s="469">
        <f t="shared" si="10"/>
        <v>2</v>
      </c>
      <c r="V204" s="324"/>
      <c r="W204" s="324"/>
      <c r="X204" s="324"/>
      <c r="Y204" s="326"/>
      <c r="Z204" s="487"/>
    </row>
    <row r="205" spans="1:26" x14ac:dyDescent="0.25">
      <c r="A205" s="486"/>
      <c r="B205" s="324"/>
      <c r="C205" s="324"/>
      <c r="D205" s="324"/>
      <c r="E205" s="324"/>
      <c r="F205" s="324"/>
      <c r="G205" s="342">
        <v>47</v>
      </c>
      <c r="H205" s="343">
        <v>78</v>
      </c>
      <c r="I205" s="324"/>
      <c r="J205" s="324"/>
      <c r="K205" s="457">
        <v>1</v>
      </c>
      <c r="L205" s="458">
        <v>0</v>
      </c>
      <c r="M205" s="458">
        <v>1</v>
      </c>
      <c r="N205" s="458">
        <v>0</v>
      </c>
      <c r="O205" s="458">
        <v>0</v>
      </c>
      <c r="P205" s="459">
        <v>1</v>
      </c>
      <c r="Q205" s="324"/>
      <c r="R205" s="607">
        <f t="shared" si="8"/>
        <v>41</v>
      </c>
      <c r="S205" s="324"/>
      <c r="T205" s="469">
        <f t="shared" si="9"/>
        <v>3</v>
      </c>
      <c r="U205" s="469">
        <f t="shared" si="10"/>
        <v>3</v>
      </c>
      <c r="V205" s="324"/>
      <c r="W205" s="324"/>
      <c r="X205" s="324"/>
      <c r="Y205" s="326"/>
      <c r="Z205" s="487"/>
    </row>
    <row r="206" spans="1:26" x14ac:dyDescent="0.25">
      <c r="A206" s="486"/>
      <c r="B206" s="324"/>
      <c r="C206" s="324"/>
      <c r="D206" s="324"/>
      <c r="E206" s="324"/>
      <c r="F206" s="324"/>
      <c r="G206" s="342">
        <v>48</v>
      </c>
      <c r="H206" s="343">
        <v>79</v>
      </c>
      <c r="I206" s="324"/>
      <c r="J206" s="324"/>
      <c r="K206" s="457">
        <v>1</v>
      </c>
      <c r="L206" s="458">
        <v>0</v>
      </c>
      <c r="M206" s="458">
        <v>1</v>
      </c>
      <c r="N206" s="458">
        <v>0</v>
      </c>
      <c r="O206" s="458">
        <v>0</v>
      </c>
      <c r="P206" s="459">
        <v>0</v>
      </c>
      <c r="Q206" s="324"/>
      <c r="R206" s="607">
        <f t="shared" si="8"/>
        <v>40</v>
      </c>
      <c r="S206" s="324"/>
      <c r="T206" s="469">
        <f t="shared" si="9"/>
        <v>2</v>
      </c>
      <c r="U206" s="469">
        <f t="shared" si="10"/>
        <v>4</v>
      </c>
      <c r="V206" s="324"/>
      <c r="W206" s="324"/>
      <c r="X206" s="324"/>
      <c r="Y206" s="326"/>
      <c r="Z206" s="487"/>
    </row>
    <row r="207" spans="1:26" x14ac:dyDescent="0.25">
      <c r="A207" s="486"/>
      <c r="B207" s="324"/>
      <c r="C207" s="324"/>
      <c r="D207" s="324"/>
      <c r="E207" s="324"/>
      <c r="F207" s="324"/>
      <c r="G207" s="342">
        <v>49</v>
      </c>
      <c r="H207" s="343">
        <v>80</v>
      </c>
      <c r="I207" s="324"/>
      <c r="J207" s="324"/>
      <c r="K207" s="457">
        <v>1</v>
      </c>
      <c r="L207" s="458">
        <v>1</v>
      </c>
      <c r="M207" s="458">
        <v>1</v>
      </c>
      <c r="N207" s="458">
        <v>0</v>
      </c>
      <c r="O207" s="458">
        <v>0</v>
      </c>
      <c r="P207" s="459">
        <v>0</v>
      </c>
      <c r="Q207" s="324"/>
      <c r="R207" s="607">
        <f t="shared" si="8"/>
        <v>56</v>
      </c>
      <c r="S207" s="324"/>
      <c r="T207" s="469">
        <f t="shared" si="9"/>
        <v>3</v>
      </c>
      <c r="U207" s="469">
        <f t="shared" si="10"/>
        <v>3</v>
      </c>
      <c r="V207" s="324"/>
      <c r="W207" s="324"/>
      <c r="X207" s="324"/>
      <c r="Y207" s="326"/>
      <c r="Z207" s="487"/>
    </row>
    <row r="208" spans="1:26" x14ac:dyDescent="0.25">
      <c r="A208" s="486"/>
      <c r="B208" s="324"/>
      <c r="C208" s="324"/>
      <c r="D208" s="324"/>
      <c r="E208" s="324"/>
      <c r="F208" s="324"/>
      <c r="G208" s="342">
        <v>50</v>
      </c>
      <c r="H208" s="343">
        <v>81</v>
      </c>
      <c r="I208" s="324"/>
      <c r="J208" s="324"/>
      <c r="K208" s="457">
        <v>1</v>
      </c>
      <c r="L208" s="458">
        <v>1</v>
      </c>
      <c r="M208" s="458">
        <v>1</v>
      </c>
      <c r="N208" s="458">
        <v>0</v>
      </c>
      <c r="O208" s="458">
        <v>0</v>
      </c>
      <c r="P208" s="459">
        <v>1</v>
      </c>
      <c r="Q208" s="324"/>
      <c r="R208" s="607">
        <f t="shared" si="8"/>
        <v>57</v>
      </c>
      <c r="S208" s="324"/>
      <c r="T208" s="469">
        <f t="shared" si="9"/>
        <v>4</v>
      </c>
      <c r="U208" s="469">
        <f t="shared" si="10"/>
        <v>2</v>
      </c>
      <c r="V208" s="324"/>
      <c r="W208" s="324"/>
      <c r="X208" s="324"/>
      <c r="Y208" s="326"/>
      <c r="Z208" s="487"/>
    </row>
    <row r="209" spans="1:26" x14ac:dyDescent="0.25">
      <c r="A209" s="486"/>
      <c r="B209" s="324"/>
      <c r="C209" s="324"/>
      <c r="D209" s="324"/>
      <c r="E209" s="324"/>
      <c r="F209" s="324"/>
      <c r="G209" s="342">
        <v>51</v>
      </c>
      <c r="H209" s="343">
        <v>82</v>
      </c>
      <c r="I209" s="324"/>
      <c r="J209" s="324"/>
      <c r="K209" s="457">
        <v>1</v>
      </c>
      <c r="L209" s="458">
        <v>1</v>
      </c>
      <c r="M209" s="458">
        <v>1</v>
      </c>
      <c r="N209" s="458">
        <v>0</v>
      </c>
      <c r="O209" s="458">
        <v>1</v>
      </c>
      <c r="P209" s="459">
        <v>1</v>
      </c>
      <c r="Q209" s="324"/>
      <c r="R209" s="607">
        <f t="shared" si="8"/>
        <v>59</v>
      </c>
      <c r="S209" s="324"/>
      <c r="T209" s="469">
        <f t="shared" si="9"/>
        <v>5</v>
      </c>
      <c r="U209" s="469">
        <f t="shared" si="10"/>
        <v>1</v>
      </c>
      <c r="V209" s="324"/>
      <c r="W209" s="324"/>
      <c r="X209" s="324"/>
      <c r="Y209" s="326"/>
      <c r="Z209" s="487"/>
    </row>
    <row r="210" spans="1:26" x14ac:dyDescent="0.25">
      <c r="A210" s="486"/>
      <c r="B210" s="324"/>
      <c r="C210" s="324"/>
      <c r="D210" s="324"/>
      <c r="E210" s="324"/>
      <c r="F210" s="324"/>
      <c r="G210" s="342">
        <v>52</v>
      </c>
      <c r="H210" s="343">
        <v>83</v>
      </c>
      <c r="I210" s="324"/>
      <c r="J210" s="324"/>
      <c r="K210" s="457">
        <v>1</v>
      </c>
      <c r="L210" s="458">
        <v>1</v>
      </c>
      <c r="M210" s="458">
        <v>1</v>
      </c>
      <c r="N210" s="458">
        <v>0</v>
      </c>
      <c r="O210" s="458">
        <v>1</v>
      </c>
      <c r="P210" s="459">
        <v>0</v>
      </c>
      <c r="Q210" s="324"/>
      <c r="R210" s="607">
        <f t="shared" si="8"/>
        <v>58</v>
      </c>
      <c r="S210" s="324"/>
      <c r="T210" s="469">
        <f t="shared" si="9"/>
        <v>4</v>
      </c>
      <c r="U210" s="469">
        <f t="shared" si="10"/>
        <v>2</v>
      </c>
      <c r="V210" s="324"/>
      <c r="W210" s="324"/>
      <c r="X210" s="324"/>
      <c r="Y210" s="326"/>
      <c r="Z210" s="487"/>
    </row>
    <row r="211" spans="1:26" x14ac:dyDescent="0.25">
      <c r="A211" s="486"/>
      <c r="B211" s="324"/>
      <c r="C211" s="324"/>
      <c r="D211" s="324"/>
      <c r="E211" s="324"/>
      <c r="F211" s="324"/>
      <c r="G211" s="342">
        <v>53</v>
      </c>
      <c r="H211" s="343">
        <v>84</v>
      </c>
      <c r="I211" s="324"/>
      <c r="J211" s="324"/>
      <c r="K211" s="457">
        <v>1</v>
      </c>
      <c r="L211" s="458">
        <v>1</v>
      </c>
      <c r="M211" s="458">
        <v>1</v>
      </c>
      <c r="N211" s="458">
        <v>1</v>
      </c>
      <c r="O211" s="458">
        <v>1</v>
      </c>
      <c r="P211" s="459">
        <v>0</v>
      </c>
      <c r="Q211" s="324"/>
      <c r="R211" s="607">
        <f t="shared" si="8"/>
        <v>62</v>
      </c>
      <c r="S211" s="324"/>
      <c r="T211" s="469">
        <f t="shared" si="9"/>
        <v>5</v>
      </c>
      <c r="U211" s="469">
        <f t="shared" si="10"/>
        <v>1</v>
      </c>
      <c r="V211" s="324"/>
      <c r="W211" s="324"/>
      <c r="X211" s="324"/>
      <c r="Y211" s="326"/>
      <c r="Z211" s="487"/>
    </row>
    <row r="212" spans="1:26" x14ac:dyDescent="0.25">
      <c r="A212" s="486"/>
      <c r="B212" s="324"/>
      <c r="C212" s="324"/>
      <c r="D212" s="324"/>
      <c r="E212" s="324"/>
      <c r="F212" s="324"/>
      <c r="G212" s="345">
        <v>54</v>
      </c>
      <c r="H212" s="346">
        <v>85</v>
      </c>
      <c r="I212" s="347"/>
      <c r="J212" s="347"/>
      <c r="K212" s="460">
        <v>1</v>
      </c>
      <c r="L212" s="461">
        <v>1</v>
      </c>
      <c r="M212" s="461">
        <v>1</v>
      </c>
      <c r="N212" s="461">
        <v>1</v>
      </c>
      <c r="O212" s="461">
        <v>1</v>
      </c>
      <c r="P212" s="462">
        <v>1</v>
      </c>
      <c r="Q212" s="347"/>
      <c r="R212" s="608">
        <f t="shared" si="8"/>
        <v>63</v>
      </c>
      <c r="S212" s="347"/>
      <c r="T212" s="470">
        <f t="shared" si="9"/>
        <v>6</v>
      </c>
      <c r="U212" s="348">
        <f t="shared" si="10"/>
        <v>0</v>
      </c>
      <c r="V212" s="349">
        <v>54</v>
      </c>
      <c r="W212" s="324"/>
      <c r="X212" s="324"/>
      <c r="Y212" s="326"/>
      <c r="Z212" s="487"/>
    </row>
    <row r="213" spans="1:26" x14ac:dyDescent="0.25">
      <c r="A213" s="486"/>
      <c r="B213" s="324"/>
      <c r="C213" s="324"/>
      <c r="D213" s="324"/>
      <c r="E213" s="324"/>
      <c r="F213" s="324"/>
      <c r="G213" s="342">
        <v>55</v>
      </c>
      <c r="H213" s="343">
        <v>86</v>
      </c>
      <c r="I213" s="324"/>
      <c r="J213" s="324"/>
      <c r="K213" s="457">
        <v>1</v>
      </c>
      <c r="L213" s="458">
        <v>1</v>
      </c>
      <c r="M213" s="458">
        <v>1</v>
      </c>
      <c r="N213" s="458">
        <v>1</v>
      </c>
      <c r="O213" s="458">
        <v>0</v>
      </c>
      <c r="P213" s="459">
        <v>1</v>
      </c>
      <c r="Q213" s="324"/>
      <c r="R213" s="607">
        <f t="shared" si="8"/>
        <v>61</v>
      </c>
      <c r="S213" s="324"/>
      <c r="T213" s="469">
        <f t="shared" si="9"/>
        <v>5</v>
      </c>
      <c r="U213" s="469">
        <f t="shared" si="10"/>
        <v>1</v>
      </c>
      <c r="V213" s="324"/>
      <c r="W213" s="324"/>
      <c r="X213" s="324"/>
      <c r="Y213" s="326"/>
      <c r="Z213" s="487"/>
    </row>
    <row r="214" spans="1:26" x14ac:dyDescent="0.25">
      <c r="A214" s="486"/>
      <c r="B214" s="324"/>
      <c r="C214" s="324"/>
      <c r="D214" s="324"/>
      <c r="E214" s="324"/>
      <c r="F214" s="324"/>
      <c r="G214" s="342">
        <v>56</v>
      </c>
      <c r="H214" s="343">
        <v>87</v>
      </c>
      <c r="I214" s="324"/>
      <c r="J214" s="324"/>
      <c r="K214" s="457">
        <v>1</v>
      </c>
      <c r="L214" s="458">
        <v>1</v>
      </c>
      <c r="M214" s="458">
        <v>1</v>
      </c>
      <c r="N214" s="458">
        <v>1</v>
      </c>
      <c r="O214" s="458">
        <v>0</v>
      </c>
      <c r="P214" s="459">
        <v>0</v>
      </c>
      <c r="Q214" s="324"/>
      <c r="R214" s="607">
        <f t="shared" si="8"/>
        <v>60</v>
      </c>
      <c r="S214" s="324"/>
      <c r="T214" s="469">
        <f t="shared" si="9"/>
        <v>4</v>
      </c>
      <c r="U214" s="469">
        <f t="shared" si="10"/>
        <v>2</v>
      </c>
      <c r="V214" s="324"/>
      <c r="W214" s="324"/>
      <c r="X214" s="324"/>
      <c r="Y214" s="326"/>
      <c r="Z214" s="487"/>
    </row>
    <row r="215" spans="1:26" x14ac:dyDescent="0.25">
      <c r="A215" s="486"/>
      <c r="B215" s="324"/>
      <c r="C215" s="324"/>
      <c r="D215" s="324"/>
      <c r="E215" s="324"/>
      <c r="F215" s="324"/>
      <c r="G215" s="342">
        <v>57</v>
      </c>
      <c r="H215" s="343">
        <v>88</v>
      </c>
      <c r="I215" s="324"/>
      <c r="J215" s="324"/>
      <c r="K215" s="457">
        <v>1</v>
      </c>
      <c r="L215" s="458">
        <v>1</v>
      </c>
      <c r="M215" s="458">
        <v>0</v>
      </c>
      <c r="N215" s="458">
        <v>1</v>
      </c>
      <c r="O215" s="458">
        <v>0</v>
      </c>
      <c r="P215" s="459">
        <v>0</v>
      </c>
      <c r="Q215" s="324"/>
      <c r="R215" s="607">
        <f t="shared" si="8"/>
        <v>52</v>
      </c>
      <c r="S215" s="324"/>
      <c r="T215" s="469">
        <f t="shared" si="9"/>
        <v>3</v>
      </c>
      <c r="U215" s="469">
        <f t="shared" si="10"/>
        <v>3</v>
      </c>
      <c r="V215" s="324"/>
      <c r="W215" s="324"/>
      <c r="X215" s="324"/>
      <c r="Y215" s="326"/>
      <c r="Z215" s="487"/>
    </row>
    <row r="216" spans="1:26" x14ac:dyDescent="0.25">
      <c r="A216" s="486"/>
      <c r="B216" s="324"/>
      <c r="C216" s="324"/>
      <c r="D216" s="324"/>
      <c r="E216" s="324"/>
      <c r="F216" s="324"/>
      <c r="G216" s="342">
        <v>58</v>
      </c>
      <c r="H216" s="343">
        <v>89</v>
      </c>
      <c r="I216" s="324"/>
      <c r="J216" s="324"/>
      <c r="K216" s="457">
        <v>1</v>
      </c>
      <c r="L216" s="458">
        <v>1</v>
      </c>
      <c r="M216" s="458">
        <v>0</v>
      </c>
      <c r="N216" s="458">
        <v>1</v>
      </c>
      <c r="O216" s="458">
        <v>0</v>
      </c>
      <c r="P216" s="459">
        <v>1</v>
      </c>
      <c r="Q216" s="324"/>
      <c r="R216" s="607">
        <f t="shared" si="8"/>
        <v>53</v>
      </c>
      <c r="S216" s="324"/>
      <c r="T216" s="469">
        <f t="shared" si="9"/>
        <v>4</v>
      </c>
      <c r="U216" s="469">
        <f t="shared" si="10"/>
        <v>2</v>
      </c>
      <c r="V216" s="324"/>
      <c r="W216" s="324"/>
      <c r="X216" s="324"/>
      <c r="Y216" s="326"/>
      <c r="Z216" s="487"/>
    </row>
    <row r="217" spans="1:26" x14ac:dyDescent="0.25">
      <c r="A217" s="486"/>
      <c r="B217" s="324"/>
      <c r="C217" s="324"/>
      <c r="D217" s="324"/>
      <c r="E217" s="324"/>
      <c r="F217" s="324"/>
      <c r="G217" s="342">
        <v>59</v>
      </c>
      <c r="H217" s="343">
        <v>90</v>
      </c>
      <c r="I217" s="324"/>
      <c r="J217" s="324"/>
      <c r="K217" s="457">
        <v>1</v>
      </c>
      <c r="L217" s="458">
        <v>1</v>
      </c>
      <c r="M217" s="458">
        <v>0</v>
      </c>
      <c r="N217" s="458">
        <v>1</v>
      </c>
      <c r="O217" s="458">
        <v>1</v>
      </c>
      <c r="P217" s="459">
        <v>1</v>
      </c>
      <c r="Q217" s="324"/>
      <c r="R217" s="607">
        <f t="shared" si="8"/>
        <v>55</v>
      </c>
      <c r="S217" s="324"/>
      <c r="T217" s="469">
        <f t="shared" si="9"/>
        <v>5</v>
      </c>
      <c r="U217" s="469">
        <f t="shared" si="10"/>
        <v>1</v>
      </c>
      <c r="V217" s="324"/>
      <c r="W217" s="324"/>
      <c r="X217" s="324"/>
      <c r="Y217" s="326"/>
      <c r="Z217" s="487"/>
    </row>
    <row r="218" spans="1:26" x14ac:dyDescent="0.25">
      <c r="A218" s="486"/>
      <c r="B218" s="324"/>
      <c r="C218" s="324"/>
      <c r="D218" s="324"/>
      <c r="E218" s="324"/>
      <c r="F218" s="324"/>
      <c r="G218" s="342">
        <v>60</v>
      </c>
      <c r="H218" s="343">
        <v>91</v>
      </c>
      <c r="I218" s="324"/>
      <c r="J218" s="324"/>
      <c r="K218" s="457">
        <v>1</v>
      </c>
      <c r="L218" s="458">
        <v>1</v>
      </c>
      <c r="M218" s="458">
        <v>0</v>
      </c>
      <c r="N218" s="458">
        <v>1</v>
      </c>
      <c r="O218" s="458">
        <v>1</v>
      </c>
      <c r="P218" s="459">
        <v>0</v>
      </c>
      <c r="Q218" s="324"/>
      <c r="R218" s="607">
        <f t="shared" si="8"/>
        <v>54</v>
      </c>
      <c r="S218" s="324"/>
      <c r="T218" s="469">
        <f t="shared" si="9"/>
        <v>4</v>
      </c>
      <c r="U218" s="469">
        <f t="shared" si="10"/>
        <v>2</v>
      </c>
      <c r="V218" s="324"/>
      <c r="W218" s="324"/>
      <c r="X218" s="324"/>
      <c r="Y218" s="326"/>
      <c r="Z218" s="487"/>
    </row>
    <row r="219" spans="1:26" x14ac:dyDescent="0.25">
      <c r="A219" s="486"/>
      <c r="B219" s="324"/>
      <c r="C219" s="324"/>
      <c r="D219" s="324"/>
      <c r="E219" s="324"/>
      <c r="F219" s="324"/>
      <c r="G219" s="342">
        <v>61</v>
      </c>
      <c r="H219" s="343">
        <v>92</v>
      </c>
      <c r="I219" s="324"/>
      <c r="J219" s="324"/>
      <c r="K219" s="457">
        <v>1</v>
      </c>
      <c r="L219" s="458">
        <v>1</v>
      </c>
      <c r="M219" s="458">
        <v>0</v>
      </c>
      <c r="N219" s="458">
        <v>0</v>
      </c>
      <c r="O219" s="458">
        <v>1</v>
      </c>
      <c r="P219" s="459">
        <v>0</v>
      </c>
      <c r="Q219" s="324"/>
      <c r="R219" s="607">
        <f t="shared" si="8"/>
        <v>50</v>
      </c>
      <c r="S219" s="324"/>
      <c r="T219" s="469">
        <f t="shared" si="9"/>
        <v>3</v>
      </c>
      <c r="U219" s="469">
        <f t="shared" si="10"/>
        <v>3</v>
      </c>
      <c r="V219" s="324"/>
      <c r="W219" s="324"/>
      <c r="X219" s="324"/>
      <c r="Y219" s="326"/>
      <c r="Z219" s="487"/>
    </row>
    <row r="220" spans="1:26" x14ac:dyDescent="0.25">
      <c r="A220" s="486"/>
      <c r="B220" s="324"/>
      <c r="C220" s="324"/>
      <c r="D220" s="324"/>
      <c r="E220" s="324"/>
      <c r="F220" s="324"/>
      <c r="G220" s="342">
        <v>62</v>
      </c>
      <c r="H220" s="343">
        <v>93</v>
      </c>
      <c r="I220" s="324"/>
      <c r="J220" s="324"/>
      <c r="K220" s="457">
        <v>1</v>
      </c>
      <c r="L220" s="458">
        <v>1</v>
      </c>
      <c r="M220" s="458">
        <v>0</v>
      </c>
      <c r="N220" s="458">
        <v>0</v>
      </c>
      <c r="O220" s="458">
        <v>1</v>
      </c>
      <c r="P220" s="459">
        <v>1</v>
      </c>
      <c r="Q220" s="324"/>
      <c r="R220" s="607">
        <f t="shared" si="8"/>
        <v>51</v>
      </c>
      <c r="S220" s="324"/>
      <c r="T220" s="469">
        <f t="shared" si="9"/>
        <v>4</v>
      </c>
      <c r="U220" s="469">
        <f t="shared" si="10"/>
        <v>2</v>
      </c>
      <c r="V220" s="324"/>
      <c r="W220" s="324"/>
      <c r="X220" s="324"/>
      <c r="Y220" s="326"/>
      <c r="Z220" s="487"/>
    </row>
    <row r="221" spans="1:26" x14ac:dyDescent="0.25">
      <c r="A221" s="486"/>
      <c r="B221" s="324"/>
      <c r="C221" s="324"/>
      <c r="D221" s="324"/>
      <c r="E221" s="324"/>
      <c r="F221" s="324"/>
      <c r="G221" s="342">
        <v>63</v>
      </c>
      <c r="H221" s="343">
        <v>94</v>
      </c>
      <c r="I221" s="324"/>
      <c r="J221" s="324"/>
      <c r="K221" s="457">
        <v>1</v>
      </c>
      <c r="L221" s="458">
        <v>1</v>
      </c>
      <c r="M221" s="458">
        <v>0</v>
      </c>
      <c r="N221" s="458">
        <v>0</v>
      </c>
      <c r="O221" s="458">
        <v>0</v>
      </c>
      <c r="P221" s="459">
        <v>1</v>
      </c>
      <c r="Q221" s="324"/>
      <c r="R221" s="607">
        <f t="shared" si="8"/>
        <v>49</v>
      </c>
      <c r="S221" s="324"/>
      <c r="T221" s="469">
        <f t="shared" si="9"/>
        <v>3</v>
      </c>
      <c r="U221" s="469">
        <f t="shared" si="10"/>
        <v>3</v>
      </c>
      <c r="V221" s="324"/>
      <c r="W221" s="324"/>
      <c r="X221" s="324"/>
      <c r="Y221" s="326"/>
      <c r="Z221" s="487"/>
    </row>
    <row r="222" spans="1:26" x14ac:dyDescent="0.25">
      <c r="A222" s="486"/>
      <c r="B222" s="324"/>
      <c r="C222" s="324"/>
      <c r="D222" s="324"/>
      <c r="E222" s="324"/>
      <c r="F222" s="324"/>
      <c r="G222" s="342">
        <v>64</v>
      </c>
      <c r="H222" s="343">
        <v>95</v>
      </c>
      <c r="I222" s="324"/>
      <c r="J222" s="324"/>
      <c r="K222" s="457">
        <v>1</v>
      </c>
      <c r="L222" s="458">
        <v>1</v>
      </c>
      <c r="M222" s="458">
        <v>0</v>
      </c>
      <c r="N222" s="458">
        <v>0</v>
      </c>
      <c r="O222" s="458">
        <v>0</v>
      </c>
      <c r="P222" s="459">
        <v>0</v>
      </c>
      <c r="Q222" s="324"/>
      <c r="R222" s="607">
        <f t="shared" si="8"/>
        <v>48</v>
      </c>
      <c r="S222" s="324"/>
      <c r="T222" s="469">
        <f t="shared" si="9"/>
        <v>2</v>
      </c>
      <c r="U222" s="469">
        <f t="shared" si="10"/>
        <v>4</v>
      </c>
      <c r="V222" s="324"/>
      <c r="W222" s="324"/>
      <c r="X222" s="324"/>
      <c r="Y222" s="326"/>
      <c r="Z222" s="487"/>
    </row>
    <row r="223" spans="1:26" x14ac:dyDescent="0.25">
      <c r="A223" s="486"/>
      <c r="B223" s="324"/>
      <c r="C223" s="324"/>
      <c r="D223" s="324"/>
      <c r="E223" s="324"/>
      <c r="F223" s="324"/>
      <c r="G223" s="342">
        <v>65</v>
      </c>
      <c r="H223" s="343">
        <v>96</v>
      </c>
      <c r="I223" s="324"/>
      <c r="J223" s="344">
        <v>1</v>
      </c>
      <c r="K223" s="457">
        <v>0</v>
      </c>
      <c r="L223" s="458">
        <v>1</v>
      </c>
      <c r="M223" s="458">
        <v>0</v>
      </c>
      <c r="N223" s="458">
        <v>0</v>
      </c>
      <c r="O223" s="458">
        <v>0</v>
      </c>
      <c r="P223" s="459">
        <v>0</v>
      </c>
      <c r="Q223" s="324"/>
      <c r="R223" s="607">
        <f t="shared" si="8"/>
        <v>16</v>
      </c>
      <c r="S223" s="324"/>
      <c r="T223" s="469">
        <f t="shared" ref="T223:T255" si="11">COUNTIF(K223:P223,1)</f>
        <v>1</v>
      </c>
      <c r="U223" s="469">
        <f t="shared" ref="U223:U255" si="12">COUNTIF(K223:P223,0)</f>
        <v>5</v>
      </c>
      <c r="V223" s="324"/>
      <c r="W223" s="324"/>
      <c r="X223" s="324"/>
      <c r="Y223" s="326"/>
      <c r="Z223" s="487"/>
    </row>
    <row r="224" spans="1:26" x14ac:dyDescent="0.25">
      <c r="A224" s="486"/>
      <c r="B224" s="324"/>
      <c r="C224" s="324"/>
      <c r="D224" s="324"/>
      <c r="E224" s="324"/>
      <c r="F224" s="324"/>
      <c r="G224" s="342">
        <v>66</v>
      </c>
      <c r="H224" s="343">
        <v>97</v>
      </c>
      <c r="I224" s="324"/>
      <c r="J224" s="344">
        <v>1</v>
      </c>
      <c r="K224" s="457">
        <v>0</v>
      </c>
      <c r="L224" s="458">
        <v>1</v>
      </c>
      <c r="M224" s="458">
        <v>0</v>
      </c>
      <c r="N224" s="458">
        <v>0</v>
      </c>
      <c r="O224" s="458">
        <v>0</v>
      </c>
      <c r="P224" s="459">
        <v>1</v>
      </c>
      <c r="Q224" s="324"/>
      <c r="R224" s="607">
        <f t="shared" ref="R224:R255" si="13">SUM(IF(K224=1,32,0),IF(L224=1,16,0),IF(M224=1,8,0),IF(N224=1,4,0),IF(O224=1,2,0),IF(P224=1,1,0))</f>
        <v>17</v>
      </c>
      <c r="S224" s="324"/>
      <c r="T224" s="469">
        <f t="shared" si="11"/>
        <v>2</v>
      </c>
      <c r="U224" s="469">
        <f t="shared" si="12"/>
        <v>4</v>
      </c>
      <c r="V224" s="324"/>
      <c r="W224" s="324"/>
      <c r="X224" s="324"/>
      <c r="Y224" s="326"/>
      <c r="Z224" s="487"/>
    </row>
    <row r="225" spans="1:26" x14ac:dyDescent="0.25">
      <c r="A225" s="486"/>
      <c r="B225" s="324"/>
      <c r="C225" s="324"/>
      <c r="D225" s="324"/>
      <c r="E225" s="324"/>
      <c r="F225" s="324"/>
      <c r="G225" s="342">
        <v>67</v>
      </c>
      <c r="H225" s="343">
        <v>98</v>
      </c>
      <c r="I225" s="324"/>
      <c r="J225" s="344">
        <v>1</v>
      </c>
      <c r="K225" s="457">
        <v>0</v>
      </c>
      <c r="L225" s="458">
        <v>1</v>
      </c>
      <c r="M225" s="458">
        <v>0</v>
      </c>
      <c r="N225" s="458">
        <v>0</v>
      </c>
      <c r="O225" s="458">
        <v>1</v>
      </c>
      <c r="P225" s="459">
        <v>1</v>
      </c>
      <c r="Q225" s="324"/>
      <c r="R225" s="607">
        <f t="shared" si="13"/>
        <v>19</v>
      </c>
      <c r="S225" s="324"/>
      <c r="T225" s="469">
        <f t="shared" si="11"/>
        <v>3</v>
      </c>
      <c r="U225" s="469">
        <f t="shared" si="12"/>
        <v>3</v>
      </c>
      <c r="V225" s="324"/>
      <c r="W225" s="324"/>
      <c r="X225" s="324"/>
      <c r="Y225" s="326"/>
      <c r="Z225" s="487"/>
    </row>
    <row r="226" spans="1:26" x14ac:dyDescent="0.25">
      <c r="A226" s="486"/>
      <c r="B226" s="324"/>
      <c r="C226" s="324"/>
      <c r="D226" s="324"/>
      <c r="E226" s="324"/>
      <c r="F226" s="324"/>
      <c r="G226" s="342">
        <v>68</v>
      </c>
      <c r="H226" s="343">
        <v>99</v>
      </c>
      <c r="I226" s="324"/>
      <c r="J226" s="344">
        <v>1</v>
      </c>
      <c r="K226" s="457">
        <v>0</v>
      </c>
      <c r="L226" s="458">
        <v>1</v>
      </c>
      <c r="M226" s="458">
        <v>0</v>
      </c>
      <c r="N226" s="458">
        <v>0</v>
      </c>
      <c r="O226" s="458">
        <v>1</v>
      </c>
      <c r="P226" s="459">
        <v>0</v>
      </c>
      <c r="Q226" s="324"/>
      <c r="R226" s="607">
        <f t="shared" si="13"/>
        <v>18</v>
      </c>
      <c r="S226" s="324"/>
      <c r="T226" s="469">
        <f t="shared" si="11"/>
        <v>2</v>
      </c>
      <c r="U226" s="469">
        <f t="shared" si="12"/>
        <v>4</v>
      </c>
      <c r="V226" s="324"/>
      <c r="W226" s="324"/>
      <c r="X226" s="324"/>
      <c r="Y226" s="326"/>
      <c r="Z226" s="487"/>
    </row>
    <row r="227" spans="1:26" x14ac:dyDescent="0.25">
      <c r="A227" s="486"/>
      <c r="B227" s="324"/>
      <c r="C227" s="324"/>
      <c r="D227" s="324"/>
      <c r="E227" s="324"/>
      <c r="F227" s="324"/>
      <c r="G227" s="342">
        <v>69</v>
      </c>
      <c r="H227" s="343">
        <v>100</v>
      </c>
      <c r="I227" s="324"/>
      <c r="J227" s="344">
        <v>1</v>
      </c>
      <c r="K227" s="457">
        <v>0</v>
      </c>
      <c r="L227" s="458">
        <v>1</v>
      </c>
      <c r="M227" s="458">
        <v>0</v>
      </c>
      <c r="N227" s="458">
        <v>1</v>
      </c>
      <c r="O227" s="458">
        <v>1</v>
      </c>
      <c r="P227" s="459">
        <v>0</v>
      </c>
      <c r="Q227" s="324"/>
      <c r="R227" s="607">
        <f t="shared" si="13"/>
        <v>22</v>
      </c>
      <c r="S227" s="324"/>
      <c r="T227" s="469">
        <f t="shared" si="11"/>
        <v>3</v>
      </c>
      <c r="U227" s="469">
        <f t="shared" si="12"/>
        <v>3</v>
      </c>
      <c r="V227" s="324"/>
      <c r="W227" s="324"/>
      <c r="X227" s="324"/>
      <c r="Y227" s="326"/>
      <c r="Z227" s="487"/>
    </row>
    <row r="228" spans="1:26" x14ac:dyDescent="0.25">
      <c r="A228" s="486"/>
      <c r="B228" s="324"/>
      <c r="C228" s="324"/>
      <c r="D228" s="324"/>
      <c r="E228" s="324"/>
      <c r="F228" s="324"/>
      <c r="G228" s="342">
        <v>70</v>
      </c>
      <c r="H228" s="343">
        <v>101</v>
      </c>
      <c r="I228" s="324"/>
      <c r="J228" s="344">
        <v>1</v>
      </c>
      <c r="K228" s="457">
        <v>0</v>
      </c>
      <c r="L228" s="458">
        <v>1</v>
      </c>
      <c r="M228" s="458">
        <v>0</v>
      </c>
      <c r="N228" s="458">
        <v>1</v>
      </c>
      <c r="O228" s="458">
        <v>1</v>
      </c>
      <c r="P228" s="459">
        <v>1</v>
      </c>
      <c r="Q228" s="324"/>
      <c r="R228" s="607">
        <f t="shared" si="13"/>
        <v>23</v>
      </c>
      <c r="S228" s="324"/>
      <c r="T228" s="469">
        <f t="shared" si="11"/>
        <v>4</v>
      </c>
      <c r="U228" s="469">
        <f t="shared" si="12"/>
        <v>2</v>
      </c>
      <c r="V228" s="324"/>
      <c r="W228" s="324"/>
      <c r="X228" s="324"/>
      <c r="Y228" s="326"/>
      <c r="Z228" s="487"/>
    </row>
    <row r="229" spans="1:26" x14ac:dyDescent="0.25">
      <c r="A229" s="486"/>
      <c r="B229" s="324"/>
      <c r="C229" s="324"/>
      <c r="D229" s="324"/>
      <c r="E229" s="324"/>
      <c r="F229" s="324"/>
      <c r="G229" s="342">
        <v>71</v>
      </c>
      <c r="H229" s="343">
        <v>102</v>
      </c>
      <c r="I229" s="324"/>
      <c r="J229" s="344">
        <v>1</v>
      </c>
      <c r="K229" s="457">
        <v>0</v>
      </c>
      <c r="L229" s="458">
        <v>1</v>
      </c>
      <c r="M229" s="458">
        <v>0</v>
      </c>
      <c r="N229" s="458">
        <v>1</v>
      </c>
      <c r="O229" s="458">
        <v>0</v>
      </c>
      <c r="P229" s="459">
        <v>1</v>
      </c>
      <c r="Q229" s="324"/>
      <c r="R229" s="607">
        <f t="shared" si="13"/>
        <v>21</v>
      </c>
      <c r="S229" s="324"/>
      <c r="T229" s="469">
        <f t="shared" si="11"/>
        <v>3</v>
      </c>
      <c r="U229" s="469">
        <f t="shared" si="12"/>
        <v>3</v>
      </c>
      <c r="V229" s="324"/>
      <c r="W229" s="324"/>
      <c r="X229" s="324"/>
      <c r="Y229" s="326"/>
      <c r="Z229" s="487"/>
    </row>
    <row r="230" spans="1:26" x14ac:dyDescent="0.25">
      <c r="A230" s="486"/>
      <c r="B230" s="324"/>
      <c r="C230" s="324"/>
      <c r="D230" s="324"/>
      <c r="E230" s="324"/>
      <c r="F230" s="324"/>
      <c r="G230" s="342">
        <v>72</v>
      </c>
      <c r="H230" s="343">
        <v>103</v>
      </c>
      <c r="I230" s="324"/>
      <c r="J230" s="344">
        <v>1</v>
      </c>
      <c r="K230" s="457">
        <v>0</v>
      </c>
      <c r="L230" s="458">
        <v>1</v>
      </c>
      <c r="M230" s="458">
        <v>0</v>
      </c>
      <c r="N230" s="458">
        <v>1</v>
      </c>
      <c r="O230" s="458">
        <v>0</v>
      </c>
      <c r="P230" s="459">
        <v>0</v>
      </c>
      <c r="Q230" s="324"/>
      <c r="R230" s="607">
        <f t="shared" si="13"/>
        <v>20</v>
      </c>
      <c r="S230" s="324"/>
      <c r="T230" s="469">
        <f t="shared" si="11"/>
        <v>2</v>
      </c>
      <c r="U230" s="469">
        <f t="shared" si="12"/>
        <v>4</v>
      </c>
      <c r="V230" s="324"/>
      <c r="W230" s="324"/>
      <c r="X230" s="324"/>
      <c r="Y230" s="326"/>
      <c r="Z230" s="487"/>
    </row>
    <row r="231" spans="1:26" x14ac:dyDescent="0.25">
      <c r="A231" s="486"/>
      <c r="B231" s="324"/>
      <c r="C231" s="324"/>
      <c r="D231" s="324"/>
      <c r="E231" s="324"/>
      <c r="F231" s="324"/>
      <c r="G231" s="342">
        <v>73</v>
      </c>
      <c r="H231" s="343">
        <v>104</v>
      </c>
      <c r="I231" s="324"/>
      <c r="J231" s="344">
        <v>1</v>
      </c>
      <c r="K231" s="457">
        <v>0</v>
      </c>
      <c r="L231" s="458">
        <v>1</v>
      </c>
      <c r="M231" s="458">
        <v>1</v>
      </c>
      <c r="N231" s="458">
        <v>1</v>
      </c>
      <c r="O231" s="458">
        <v>0</v>
      </c>
      <c r="P231" s="459">
        <v>0</v>
      </c>
      <c r="Q231" s="324"/>
      <c r="R231" s="607">
        <f t="shared" si="13"/>
        <v>28</v>
      </c>
      <c r="S231" s="324"/>
      <c r="T231" s="469">
        <f t="shared" si="11"/>
        <v>3</v>
      </c>
      <c r="U231" s="469">
        <f t="shared" si="12"/>
        <v>3</v>
      </c>
      <c r="V231" s="324"/>
      <c r="W231" s="324"/>
      <c r="X231" s="324"/>
      <c r="Y231" s="326"/>
      <c r="Z231" s="487"/>
    </row>
    <row r="232" spans="1:26" x14ac:dyDescent="0.25">
      <c r="A232" s="486"/>
      <c r="B232" s="324"/>
      <c r="C232" s="324"/>
      <c r="D232" s="324"/>
      <c r="E232" s="324"/>
      <c r="F232" s="324"/>
      <c r="G232" s="342">
        <v>74</v>
      </c>
      <c r="H232" s="343">
        <v>105</v>
      </c>
      <c r="I232" s="324"/>
      <c r="J232" s="344">
        <v>1</v>
      </c>
      <c r="K232" s="457">
        <v>0</v>
      </c>
      <c r="L232" s="458">
        <v>1</v>
      </c>
      <c r="M232" s="458">
        <v>1</v>
      </c>
      <c r="N232" s="458">
        <v>1</v>
      </c>
      <c r="O232" s="458">
        <v>0</v>
      </c>
      <c r="P232" s="459">
        <v>1</v>
      </c>
      <c r="Q232" s="324"/>
      <c r="R232" s="607">
        <f t="shared" si="13"/>
        <v>29</v>
      </c>
      <c r="S232" s="324"/>
      <c r="T232" s="469">
        <f t="shared" si="11"/>
        <v>4</v>
      </c>
      <c r="U232" s="469">
        <f t="shared" si="12"/>
        <v>2</v>
      </c>
      <c r="V232" s="324"/>
      <c r="W232" s="324"/>
      <c r="X232" s="324"/>
      <c r="Y232" s="326"/>
      <c r="Z232" s="487"/>
    </row>
    <row r="233" spans="1:26" x14ac:dyDescent="0.25">
      <c r="A233" s="486"/>
      <c r="B233" s="324"/>
      <c r="C233" s="324"/>
      <c r="D233" s="324"/>
      <c r="E233" s="324"/>
      <c r="F233" s="324"/>
      <c r="G233" s="342">
        <v>75</v>
      </c>
      <c r="H233" s="343">
        <v>106</v>
      </c>
      <c r="I233" s="324"/>
      <c r="J233" s="344">
        <v>1</v>
      </c>
      <c r="K233" s="457">
        <v>0</v>
      </c>
      <c r="L233" s="458">
        <v>1</v>
      </c>
      <c r="M233" s="458">
        <v>1</v>
      </c>
      <c r="N233" s="458">
        <v>1</v>
      </c>
      <c r="O233" s="458">
        <v>1</v>
      </c>
      <c r="P233" s="459">
        <v>1</v>
      </c>
      <c r="Q233" s="324"/>
      <c r="R233" s="607">
        <f t="shared" si="13"/>
        <v>31</v>
      </c>
      <c r="S233" s="324"/>
      <c r="T233" s="469">
        <f t="shared" si="11"/>
        <v>5</v>
      </c>
      <c r="U233" s="469">
        <f t="shared" si="12"/>
        <v>1</v>
      </c>
      <c r="V233" s="324"/>
      <c r="W233" s="324"/>
      <c r="X233" s="324"/>
      <c r="Y233" s="326"/>
      <c r="Z233" s="487"/>
    </row>
    <row r="234" spans="1:26" x14ac:dyDescent="0.25">
      <c r="A234" s="486"/>
      <c r="B234" s="324"/>
      <c r="C234" s="324"/>
      <c r="D234" s="324"/>
      <c r="E234" s="324"/>
      <c r="F234" s="324"/>
      <c r="G234" s="342">
        <v>76</v>
      </c>
      <c r="H234" s="343">
        <v>107</v>
      </c>
      <c r="I234" s="324"/>
      <c r="J234" s="344">
        <v>1</v>
      </c>
      <c r="K234" s="457">
        <v>0</v>
      </c>
      <c r="L234" s="458">
        <v>1</v>
      </c>
      <c r="M234" s="458">
        <v>1</v>
      </c>
      <c r="N234" s="458">
        <v>1</v>
      </c>
      <c r="O234" s="458">
        <v>1</v>
      </c>
      <c r="P234" s="459">
        <v>0</v>
      </c>
      <c r="Q234" s="324"/>
      <c r="R234" s="607">
        <f t="shared" si="13"/>
        <v>30</v>
      </c>
      <c r="S234" s="324"/>
      <c r="T234" s="469">
        <f t="shared" si="11"/>
        <v>4</v>
      </c>
      <c r="U234" s="469">
        <f t="shared" si="12"/>
        <v>2</v>
      </c>
      <c r="V234" s="324"/>
      <c r="W234" s="324"/>
      <c r="X234" s="324"/>
      <c r="Y234" s="326"/>
      <c r="Z234" s="487"/>
    </row>
    <row r="235" spans="1:26" x14ac:dyDescent="0.25">
      <c r="A235" s="486"/>
      <c r="B235" s="324"/>
      <c r="C235" s="324"/>
      <c r="D235" s="324"/>
      <c r="E235" s="324"/>
      <c r="F235" s="324"/>
      <c r="G235" s="342">
        <v>77</v>
      </c>
      <c r="H235" s="343">
        <v>108</v>
      </c>
      <c r="I235" s="324"/>
      <c r="J235" s="344">
        <v>1</v>
      </c>
      <c r="K235" s="457">
        <v>0</v>
      </c>
      <c r="L235" s="458">
        <v>1</v>
      </c>
      <c r="M235" s="458">
        <v>1</v>
      </c>
      <c r="N235" s="458">
        <v>0</v>
      </c>
      <c r="O235" s="458">
        <v>1</v>
      </c>
      <c r="P235" s="459">
        <v>0</v>
      </c>
      <c r="Q235" s="324"/>
      <c r="R235" s="607">
        <f t="shared" si="13"/>
        <v>26</v>
      </c>
      <c r="S235" s="324"/>
      <c r="T235" s="469">
        <f t="shared" si="11"/>
        <v>3</v>
      </c>
      <c r="U235" s="469">
        <f t="shared" si="12"/>
        <v>3</v>
      </c>
      <c r="V235" s="324"/>
      <c r="W235" s="324"/>
      <c r="X235" s="324"/>
      <c r="Y235" s="326"/>
      <c r="Z235" s="487"/>
    </row>
    <row r="236" spans="1:26" x14ac:dyDescent="0.25">
      <c r="A236" s="486"/>
      <c r="B236" s="324"/>
      <c r="C236" s="324"/>
      <c r="D236" s="324"/>
      <c r="E236" s="324"/>
      <c r="F236" s="324"/>
      <c r="G236" s="342">
        <v>78</v>
      </c>
      <c r="H236" s="343">
        <v>109</v>
      </c>
      <c r="I236" s="324"/>
      <c r="J236" s="344">
        <v>1</v>
      </c>
      <c r="K236" s="457">
        <v>0</v>
      </c>
      <c r="L236" s="458">
        <v>1</v>
      </c>
      <c r="M236" s="458">
        <v>1</v>
      </c>
      <c r="N236" s="458">
        <v>0</v>
      </c>
      <c r="O236" s="458">
        <v>1</v>
      </c>
      <c r="P236" s="459">
        <v>1</v>
      </c>
      <c r="Q236" s="324"/>
      <c r="R236" s="607">
        <f t="shared" si="13"/>
        <v>27</v>
      </c>
      <c r="S236" s="324"/>
      <c r="T236" s="469">
        <f t="shared" si="11"/>
        <v>4</v>
      </c>
      <c r="U236" s="469">
        <f t="shared" si="12"/>
        <v>2</v>
      </c>
      <c r="V236" s="324"/>
      <c r="W236" s="324"/>
      <c r="X236" s="324"/>
      <c r="Y236" s="326"/>
      <c r="Z236" s="487"/>
    </row>
    <row r="237" spans="1:26" x14ac:dyDescent="0.25">
      <c r="A237" s="486"/>
      <c r="B237" s="324"/>
      <c r="C237" s="324"/>
      <c r="D237" s="324"/>
      <c r="E237" s="324"/>
      <c r="F237" s="324"/>
      <c r="G237" s="342">
        <v>79</v>
      </c>
      <c r="H237" s="343">
        <v>110</v>
      </c>
      <c r="I237" s="324"/>
      <c r="J237" s="344">
        <v>1</v>
      </c>
      <c r="K237" s="457">
        <v>0</v>
      </c>
      <c r="L237" s="458">
        <v>1</v>
      </c>
      <c r="M237" s="458">
        <v>1</v>
      </c>
      <c r="N237" s="458">
        <v>0</v>
      </c>
      <c r="O237" s="458">
        <v>0</v>
      </c>
      <c r="P237" s="459">
        <v>1</v>
      </c>
      <c r="Q237" s="324"/>
      <c r="R237" s="607">
        <f t="shared" si="13"/>
        <v>25</v>
      </c>
      <c r="S237" s="324"/>
      <c r="T237" s="469">
        <f t="shared" si="11"/>
        <v>3</v>
      </c>
      <c r="U237" s="469">
        <f t="shared" si="12"/>
        <v>3</v>
      </c>
      <c r="V237" s="324"/>
      <c r="W237" s="324"/>
      <c r="X237" s="324"/>
      <c r="Y237" s="326"/>
      <c r="Z237" s="487"/>
    </row>
    <row r="238" spans="1:26" x14ac:dyDescent="0.25">
      <c r="A238" s="486"/>
      <c r="B238" s="324"/>
      <c r="C238" s="324"/>
      <c r="D238" s="324"/>
      <c r="E238" s="324"/>
      <c r="F238" s="324"/>
      <c r="G238" s="342">
        <v>80</v>
      </c>
      <c r="H238" s="343">
        <v>111</v>
      </c>
      <c r="I238" s="324"/>
      <c r="J238" s="344">
        <v>1</v>
      </c>
      <c r="K238" s="457">
        <v>0</v>
      </c>
      <c r="L238" s="458">
        <v>1</v>
      </c>
      <c r="M238" s="458">
        <v>1</v>
      </c>
      <c r="N238" s="458">
        <v>0</v>
      </c>
      <c r="O238" s="458">
        <v>0</v>
      </c>
      <c r="P238" s="459">
        <v>0</v>
      </c>
      <c r="Q238" s="324"/>
      <c r="R238" s="607">
        <f t="shared" si="13"/>
        <v>24</v>
      </c>
      <c r="S238" s="324"/>
      <c r="T238" s="469">
        <f t="shared" si="11"/>
        <v>2</v>
      </c>
      <c r="U238" s="469">
        <f t="shared" si="12"/>
        <v>4</v>
      </c>
      <c r="V238" s="324"/>
      <c r="W238" s="324"/>
      <c r="X238" s="324"/>
      <c r="Y238" s="326"/>
      <c r="Z238" s="487"/>
    </row>
    <row r="239" spans="1:26" x14ac:dyDescent="0.25">
      <c r="A239" s="486"/>
      <c r="B239" s="324"/>
      <c r="C239" s="324"/>
      <c r="D239" s="324"/>
      <c r="E239" s="324"/>
      <c r="F239" s="324"/>
      <c r="G239" s="342">
        <v>81</v>
      </c>
      <c r="H239" s="343">
        <v>112</v>
      </c>
      <c r="I239" s="324"/>
      <c r="J239" s="344">
        <v>1</v>
      </c>
      <c r="K239" s="457">
        <v>0</v>
      </c>
      <c r="L239" s="458">
        <v>0</v>
      </c>
      <c r="M239" s="458">
        <v>1</v>
      </c>
      <c r="N239" s="458">
        <v>0</v>
      </c>
      <c r="O239" s="458">
        <v>0</v>
      </c>
      <c r="P239" s="459">
        <v>0</v>
      </c>
      <c r="Q239" s="324"/>
      <c r="R239" s="607">
        <f t="shared" si="13"/>
        <v>8</v>
      </c>
      <c r="S239" s="324"/>
      <c r="T239" s="469">
        <f t="shared" si="11"/>
        <v>1</v>
      </c>
      <c r="U239" s="469">
        <f t="shared" si="12"/>
        <v>5</v>
      </c>
      <c r="V239" s="324"/>
      <c r="W239" s="324"/>
      <c r="X239" s="324"/>
      <c r="Y239" s="326"/>
      <c r="Z239" s="487"/>
    </row>
    <row r="240" spans="1:26" x14ac:dyDescent="0.25">
      <c r="A240" s="486"/>
      <c r="B240" s="324"/>
      <c r="C240" s="324"/>
      <c r="D240" s="324"/>
      <c r="E240" s="324"/>
      <c r="F240" s="324"/>
      <c r="G240" s="342">
        <v>82</v>
      </c>
      <c r="H240" s="343">
        <v>113</v>
      </c>
      <c r="I240" s="324"/>
      <c r="J240" s="344">
        <v>1</v>
      </c>
      <c r="K240" s="457">
        <v>0</v>
      </c>
      <c r="L240" s="458">
        <v>0</v>
      </c>
      <c r="M240" s="458">
        <v>1</v>
      </c>
      <c r="N240" s="458">
        <v>0</v>
      </c>
      <c r="O240" s="458">
        <v>0</v>
      </c>
      <c r="P240" s="459">
        <v>1</v>
      </c>
      <c r="Q240" s="324"/>
      <c r="R240" s="607">
        <f t="shared" si="13"/>
        <v>9</v>
      </c>
      <c r="S240" s="324"/>
      <c r="T240" s="469">
        <f t="shared" si="11"/>
        <v>2</v>
      </c>
      <c r="U240" s="469">
        <f t="shared" si="12"/>
        <v>4</v>
      </c>
      <c r="V240" s="324"/>
      <c r="W240" s="324"/>
      <c r="X240" s="324"/>
      <c r="Y240" s="326"/>
      <c r="Z240" s="487"/>
    </row>
    <row r="241" spans="1:26" x14ac:dyDescent="0.25">
      <c r="A241" s="486"/>
      <c r="B241" s="324"/>
      <c r="C241" s="324"/>
      <c r="D241" s="324"/>
      <c r="E241" s="324"/>
      <c r="F241" s="324"/>
      <c r="G241" s="342">
        <v>83</v>
      </c>
      <c r="H241" s="343">
        <v>114</v>
      </c>
      <c r="I241" s="324"/>
      <c r="J241" s="344">
        <v>1</v>
      </c>
      <c r="K241" s="457">
        <v>0</v>
      </c>
      <c r="L241" s="458">
        <v>0</v>
      </c>
      <c r="M241" s="458">
        <v>1</v>
      </c>
      <c r="N241" s="458">
        <v>0</v>
      </c>
      <c r="O241" s="458">
        <v>1</v>
      </c>
      <c r="P241" s="459">
        <v>1</v>
      </c>
      <c r="Q241" s="324"/>
      <c r="R241" s="607">
        <f t="shared" si="13"/>
        <v>11</v>
      </c>
      <c r="S241" s="324"/>
      <c r="T241" s="469">
        <f t="shared" si="11"/>
        <v>3</v>
      </c>
      <c r="U241" s="469">
        <f t="shared" si="12"/>
        <v>3</v>
      </c>
      <c r="V241" s="324"/>
      <c r="W241" s="324"/>
      <c r="X241" s="324"/>
      <c r="Y241" s="326"/>
      <c r="Z241" s="487"/>
    </row>
    <row r="242" spans="1:26" x14ac:dyDescent="0.25">
      <c r="A242" s="486"/>
      <c r="B242" s="324"/>
      <c r="C242" s="324"/>
      <c r="D242" s="324"/>
      <c r="E242" s="324"/>
      <c r="F242" s="324"/>
      <c r="G242" s="342">
        <v>84</v>
      </c>
      <c r="H242" s="343">
        <v>115</v>
      </c>
      <c r="I242" s="324"/>
      <c r="J242" s="344">
        <v>1</v>
      </c>
      <c r="K242" s="457">
        <v>0</v>
      </c>
      <c r="L242" s="458">
        <v>0</v>
      </c>
      <c r="M242" s="458">
        <v>1</v>
      </c>
      <c r="N242" s="458">
        <v>0</v>
      </c>
      <c r="O242" s="458">
        <v>1</v>
      </c>
      <c r="P242" s="459">
        <v>0</v>
      </c>
      <c r="Q242" s="324"/>
      <c r="R242" s="607">
        <f t="shared" si="13"/>
        <v>10</v>
      </c>
      <c r="S242" s="324"/>
      <c r="T242" s="469">
        <f t="shared" si="11"/>
        <v>2</v>
      </c>
      <c r="U242" s="469">
        <f t="shared" si="12"/>
        <v>4</v>
      </c>
      <c r="V242" s="324"/>
      <c r="W242" s="324"/>
      <c r="X242" s="324"/>
      <c r="Y242" s="326"/>
      <c r="Z242" s="487"/>
    </row>
    <row r="243" spans="1:26" x14ac:dyDescent="0.25">
      <c r="A243" s="486"/>
      <c r="B243" s="324"/>
      <c r="C243" s="324"/>
      <c r="D243" s="324"/>
      <c r="E243" s="324"/>
      <c r="F243" s="324"/>
      <c r="G243" s="342">
        <v>85</v>
      </c>
      <c r="H243" s="343">
        <v>116</v>
      </c>
      <c r="I243" s="324"/>
      <c r="J243" s="344">
        <v>1</v>
      </c>
      <c r="K243" s="457">
        <v>0</v>
      </c>
      <c r="L243" s="458">
        <v>0</v>
      </c>
      <c r="M243" s="458">
        <v>1</v>
      </c>
      <c r="N243" s="458">
        <v>1</v>
      </c>
      <c r="O243" s="458">
        <v>1</v>
      </c>
      <c r="P243" s="459">
        <v>0</v>
      </c>
      <c r="Q243" s="324"/>
      <c r="R243" s="607">
        <f t="shared" si="13"/>
        <v>14</v>
      </c>
      <c r="S243" s="324"/>
      <c r="T243" s="469">
        <f t="shared" si="11"/>
        <v>3</v>
      </c>
      <c r="U243" s="469">
        <f t="shared" si="12"/>
        <v>3</v>
      </c>
      <c r="V243" s="324"/>
      <c r="W243" s="324"/>
      <c r="X243" s="324"/>
      <c r="Y243" s="326"/>
      <c r="Z243" s="487"/>
    </row>
    <row r="244" spans="1:26" x14ac:dyDescent="0.25">
      <c r="A244" s="486"/>
      <c r="B244" s="324"/>
      <c r="C244" s="324"/>
      <c r="D244" s="324"/>
      <c r="E244" s="324"/>
      <c r="F244" s="324"/>
      <c r="G244" s="342">
        <v>86</v>
      </c>
      <c r="H244" s="343">
        <v>117</v>
      </c>
      <c r="I244" s="324"/>
      <c r="J244" s="344">
        <v>1</v>
      </c>
      <c r="K244" s="457">
        <v>0</v>
      </c>
      <c r="L244" s="458">
        <v>0</v>
      </c>
      <c r="M244" s="458">
        <v>1</v>
      </c>
      <c r="N244" s="458">
        <v>1</v>
      </c>
      <c r="O244" s="458">
        <v>1</v>
      </c>
      <c r="P244" s="459">
        <v>1</v>
      </c>
      <c r="Q244" s="324"/>
      <c r="R244" s="607">
        <f t="shared" si="13"/>
        <v>15</v>
      </c>
      <c r="S244" s="324"/>
      <c r="T244" s="469">
        <f t="shared" si="11"/>
        <v>4</v>
      </c>
      <c r="U244" s="469">
        <f t="shared" si="12"/>
        <v>2</v>
      </c>
      <c r="V244" s="324"/>
      <c r="W244" s="324"/>
      <c r="X244" s="324"/>
      <c r="Y244" s="326"/>
      <c r="Z244" s="487"/>
    </row>
    <row r="245" spans="1:26" x14ac:dyDescent="0.25">
      <c r="A245" s="486"/>
      <c r="B245" s="324"/>
      <c r="C245" s="324"/>
      <c r="D245" s="324"/>
      <c r="E245" s="324"/>
      <c r="F245" s="324"/>
      <c r="G245" s="342">
        <v>87</v>
      </c>
      <c r="H245" s="343">
        <v>118</v>
      </c>
      <c r="I245" s="324"/>
      <c r="J245" s="344">
        <v>1</v>
      </c>
      <c r="K245" s="457">
        <v>0</v>
      </c>
      <c r="L245" s="458">
        <v>0</v>
      </c>
      <c r="M245" s="458">
        <v>1</v>
      </c>
      <c r="N245" s="458">
        <v>1</v>
      </c>
      <c r="O245" s="458">
        <v>0</v>
      </c>
      <c r="P245" s="459">
        <v>1</v>
      </c>
      <c r="Q245" s="324"/>
      <c r="R245" s="607">
        <f t="shared" si="13"/>
        <v>13</v>
      </c>
      <c r="S245" s="324"/>
      <c r="T245" s="469">
        <f t="shared" si="11"/>
        <v>3</v>
      </c>
      <c r="U245" s="469">
        <f t="shared" si="12"/>
        <v>3</v>
      </c>
      <c r="V245" s="324"/>
      <c r="W245" s="324"/>
      <c r="X245" s="324"/>
      <c r="Y245" s="326"/>
      <c r="Z245" s="487"/>
    </row>
    <row r="246" spans="1:26" x14ac:dyDescent="0.25">
      <c r="A246" s="486"/>
      <c r="B246" s="324"/>
      <c r="C246" s="324"/>
      <c r="D246" s="324"/>
      <c r="E246" s="324"/>
      <c r="F246" s="324"/>
      <c r="G246" s="342">
        <v>88</v>
      </c>
      <c r="H246" s="343">
        <v>119</v>
      </c>
      <c r="I246" s="324"/>
      <c r="J246" s="344">
        <v>1</v>
      </c>
      <c r="K246" s="457">
        <v>0</v>
      </c>
      <c r="L246" s="458">
        <v>0</v>
      </c>
      <c r="M246" s="458">
        <v>1</v>
      </c>
      <c r="N246" s="458">
        <v>1</v>
      </c>
      <c r="O246" s="458">
        <v>0</v>
      </c>
      <c r="P246" s="459">
        <v>0</v>
      </c>
      <c r="Q246" s="324"/>
      <c r="R246" s="607">
        <f t="shared" si="13"/>
        <v>12</v>
      </c>
      <c r="S246" s="324"/>
      <c r="T246" s="469">
        <f t="shared" si="11"/>
        <v>2</v>
      </c>
      <c r="U246" s="469">
        <f t="shared" si="12"/>
        <v>4</v>
      </c>
      <c r="V246" s="324"/>
      <c r="W246" s="324"/>
      <c r="X246" s="324"/>
      <c r="Y246" s="326"/>
      <c r="Z246" s="487"/>
    </row>
    <row r="247" spans="1:26" x14ac:dyDescent="0.25">
      <c r="A247" s="486"/>
      <c r="B247" s="324"/>
      <c r="C247" s="324"/>
      <c r="D247" s="324"/>
      <c r="E247" s="324"/>
      <c r="F247" s="324"/>
      <c r="G247" s="342">
        <v>89</v>
      </c>
      <c r="H247" s="343">
        <v>120</v>
      </c>
      <c r="I247" s="324"/>
      <c r="J247" s="344">
        <v>1</v>
      </c>
      <c r="K247" s="457">
        <v>0</v>
      </c>
      <c r="L247" s="458">
        <v>0</v>
      </c>
      <c r="M247" s="458">
        <v>0</v>
      </c>
      <c r="N247" s="458">
        <v>1</v>
      </c>
      <c r="O247" s="458">
        <v>0</v>
      </c>
      <c r="P247" s="459">
        <v>0</v>
      </c>
      <c r="Q247" s="324"/>
      <c r="R247" s="607">
        <f t="shared" si="13"/>
        <v>4</v>
      </c>
      <c r="S247" s="324"/>
      <c r="T247" s="469">
        <f t="shared" si="11"/>
        <v>1</v>
      </c>
      <c r="U247" s="469">
        <f t="shared" si="12"/>
        <v>5</v>
      </c>
      <c r="V247" s="324"/>
      <c r="W247" s="324"/>
      <c r="X247" s="324"/>
      <c r="Y247" s="326"/>
      <c r="Z247" s="487"/>
    </row>
    <row r="248" spans="1:26" x14ac:dyDescent="0.25">
      <c r="A248" s="486"/>
      <c r="B248" s="324"/>
      <c r="C248" s="324"/>
      <c r="D248" s="324"/>
      <c r="E248" s="324"/>
      <c r="F248" s="324"/>
      <c r="G248" s="342">
        <v>90</v>
      </c>
      <c r="H248" s="343">
        <v>121</v>
      </c>
      <c r="I248" s="324"/>
      <c r="J248" s="344">
        <v>1</v>
      </c>
      <c r="K248" s="457">
        <v>0</v>
      </c>
      <c r="L248" s="458">
        <v>0</v>
      </c>
      <c r="M248" s="458">
        <v>0</v>
      </c>
      <c r="N248" s="458">
        <v>1</v>
      </c>
      <c r="O248" s="458">
        <v>0</v>
      </c>
      <c r="P248" s="459">
        <v>1</v>
      </c>
      <c r="Q248" s="324"/>
      <c r="R248" s="607">
        <f t="shared" si="13"/>
        <v>5</v>
      </c>
      <c r="S248" s="324"/>
      <c r="T248" s="469">
        <f t="shared" si="11"/>
        <v>2</v>
      </c>
      <c r="U248" s="469">
        <f t="shared" si="12"/>
        <v>4</v>
      </c>
      <c r="V248" s="324"/>
      <c r="W248" s="324"/>
      <c r="X248" s="324"/>
      <c r="Y248" s="326"/>
      <c r="Z248" s="487"/>
    </row>
    <row r="249" spans="1:26" x14ac:dyDescent="0.25">
      <c r="A249" s="486"/>
      <c r="B249" s="324"/>
      <c r="C249" s="324"/>
      <c r="D249" s="324"/>
      <c r="E249" s="324"/>
      <c r="F249" s="324"/>
      <c r="G249" s="342">
        <v>91</v>
      </c>
      <c r="H249" s="343">
        <v>122</v>
      </c>
      <c r="I249" s="324"/>
      <c r="J249" s="344">
        <v>1</v>
      </c>
      <c r="K249" s="457">
        <v>0</v>
      </c>
      <c r="L249" s="458">
        <v>0</v>
      </c>
      <c r="M249" s="458">
        <v>0</v>
      </c>
      <c r="N249" s="458">
        <v>1</v>
      </c>
      <c r="O249" s="458">
        <v>1</v>
      </c>
      <c r="P249" s="459">
        <v>1</v>
      </c>
      <c r="Q249" s="324"/>
      <c r="R249" s="607">
        <f t="shared" si="13"/>
        <v>7</v>
      </c>
      <c r="S249" s="324"/>
      <c r="T249" s="469">
        <f t="shared" si="11"/>
        <v>3</v>
      </c>
      <c r="U249" s="469">
        <f t="shared" si="12"/>
        <v>3</v>
      </c>
      <c r="V249" s="324"/>
      <c r="W249" s="324"/>
      <c r="X249" s="324"/>
      <c r="Y249" s="326"/>
      <c r="Z249" s="487"/>
    </row>
    <row r="250" spans="1:26" x14ac:dyDescent="0.25">
      <c r="A250" s="486"/>
      <c r="B250" s="324"/>
      <c r="C250" s="324"/>
      <c r="D250" s="324"/>
      <c r="E250" s="324"/>
      <c r="F250" s="324"/>
      <c r="G250" s="342">
        <v>92</v>
      </c>
      <c r="H250" s="343">
        <v>123</v>
      </c>
      <c r="I250" s="324"/>
      <c r="J250" s="344">
        <v>1</v>
      </c>
      <c r="K250" s="457">
        <v>0</v>
      </c>
      <c r="L250" s="458">
        <v>0</v>
      </c>
      <c r="M250" s="458">
        <v>0</v>
      </c>
      <c r="N250" s="458">
        <v>1</v>
      </c>
      <c r="O250" s="458">
        <v>1</v>
      </c>
      <c r="P250" s="459">
        <v>0</v>
      </c>
      <c r="Q250" s="324"/>
      <c r="R250" s="607">
        <f t="shared" si="13"/>
        <v>6</v>
      </c>
      <c r="S250" s="324"/>
      <c r="T250" s="469">
        <f t="shared" si="11"/>
        <v>2</v>
      </c>
      <c r="U250" s="469">
        <f t="shared" si="12"/>
        <v>4</v>
      </c>
      <c r="V250" s="324"/>
      <c r="W250" s="324"/>
      <c r="X250" s="324"/>
      <c r="Y250" s="326"/>
      <c r="Z250" s="487"/>
    </row>
    <row r="251" spans="1:26" x14ac:dyDescent="0.25">
      <c r="A251" s="486"/>
      <c r="B251" s="324"/>
      <c r="C251" s="324"/>
      <c r="D251" s="324"/>
      <c r="E251" s="324"/>
      <c r="F251" s="324"/>
      <c r="G251" s="342">
        <v>93</v>
      </c>
      <c r="H251" s="343">
        <v>124</v>
      </c>
      <c r="I251" s="324"/>
      <c r="J251" s="344">
        <v>1</v>
      </c>
      <c r="K251" s="457">
        <v>0</v>
      </c>
      <c r="L251" s="458">
        <v>0</v>
      </c>
      <c r="M251" s="458">
        <v>0</v>
      </c>
      <c r="N251" s="458">
        <v>0</v>
      </c>
      <c r="O251" s="458">
        <v>1</v>
      </c>
      <c r="P251" s="459">
        <v>0</v>
      </c>
      <c r="Q251" s="324"/>
      <c r="R251" s="607">
        <f t="shared" si="13"/>
        <v>2</v>
      </c>
      <c r="S251" s="324"/>
      <c r="T251" s="469">
        <f t="shared" si="11"/>
        <v>1</v>
      </c>
      <c r="U251" s="469">
        <f t="shared" si="12"/>
        <v>5</v>
      </c>
      <c r="V251" s="324"/>
      <c r="W251" s="324"/>
      <c r="X251" s="324"/>
      <c r="Y251" s="326"/>
      <c r="Z251" s="487"/>
    </row>
    <row r="252" spans="1:26" x14ac:dyDescent="0.25">
      <c r="A252" s="486"/>
      <c r="B252" s="324"/>
      <c r="C252" s="324"/>
      <c r="D252" s="324"/>
      <c r="E252" s="324"/>
      <c r="F252" s="324"/>
      <c r="G252" s="342">
        <v>94</v>
      </c>
      <c r="H252" s="343">
        <v>125</v>
      </c>
      <c r="I252" s="324"/>
      <c r="J252" s="344">
        <v>1</v>
      </c>
      <c r="K252" s="457">
        <v>0</v>
      </c>
      <c r="L252" s="458">
        <v>0</v>
      </c>
      <c r="M252" s="458">
        <v>0</v>
      </c>
      <c r="N252" s="458">
        <v>0</v>
      </c>
      <c r="O252" s="458">
        <v>1</v>
      </c>
      <c r="P252" s="459">
        <v>1</v>
      </c>
      <c r="Q252" s="324"/>
      <c r="R252" s="607">
        <f t="shared" si="13"/>
        <v>3</v>
      </c>
      <c r="S252" s="324"/>
      <c r="T252" s="469">
        <f t="shared" si="11"/>
        <v>2</v>
      </c>
      <c r="U252" s="469">
        <f t="shared" si="12"/>
        <v>4</v>
      </c>
      <c r="V252" s="324"/>
      <c r="W252" s="324"/>
      <c r="X252" s="324"/>
      <c r="Y252" s="326"/>
      <c r="Z252" s="487"/>
    </row>
    <row r="253" spans="1:26" x14ac:dyDescent="0.25">
      <c r="A253" s="486"/>
      <c r="B253" s="324"/>
      <c r="C253" s="324"/>
      <c r="D253" s="324"/>
      <c r="E253" s="324"/>
      <c r="F253" s="324"/>
      <c r="G253" s="342">
        <v>95</v>
      </c>
      <c r="H253" s="343">
        <v>126</v>
      </c>
      <c r="I253" s="324"/>
      <c r="J253" s="344">
        <v>1</v>
      </c>
      <c r="K253" s="457">
        <v>0</v>
      </c>
      <c r="L253" s="458">
        <v>0</v>
      </c>
      <c r="M253" s="458">
        <v>0</v>
      </c>
      <c r="N253" s="458">
        <v>0</v>
      </c>
      <c r="O253" s="458">
        <v>0</v>
      </c>
      <c r="P253" s="459">
        <v>1</v>
      </c>
      <c r="Q253" s="324"/>
      <c r="R253" s="607">
        <f t="shared" si="13"/>
        <v>1</v>
      </c>
      <c r="S253" s="324"/>
      <c r="T253" s="469">
        <f t="shared" si="11"/>
        <v>1</v>
      </c>
      <c r="U253" s="469">
        <f t="shared" si="12"/>
        <v>5</v>
      </c>
      <c r="V253" s="324"/>
      <c r="W253" s="324"/>
      <c r="X253" s="324"/>
      <c r="Y253" s="326"/>
      <c r="Z253" s="487"/>
    </row>
    <row r="254" spans="1:26" x14ac:dyDescent="0.25">
      <c r="A254" s="486"/>
      <c r="B254" s="324"/>
      <c r="C254" s="324"/>
      <c r="D254" s="324"/>
      <c r="E254" s="324"/>
      <c r="F254" s="324"/>
      <c r="G254" s="342">
        <v>96</v>
      </c>
      <c r="H254" s="343">
        <v>127</v>
      </c>
      <c r="I254" s="324"/>
      <c r="J254" s="344">
        <v>1</v>
      </c>
      <c r="K254" s="457">
        <v>0</v>
      </c>
      <c r="L254" s="458">
        <v>0</v>
      </c>
      <c r="M254" s="458">
        <v>0</v>
      </c>
      <c r="N254" s="458">
        <v>0</v>
      </c>
      <c r="O254" s="458">
        <v>0</v>
      </c>
      <c r="P254" s="459">
        <v>0</v>
      </c>
      <c r="Q254" s="324"/>
      <c r="R254" s="607">
        <f t="shared" si="13"/>
        <v>0</v>
      </c>
      <c r="S254" s="324"/>
      <c r="T254" s="471">
        <f t="shared" si="11"/>
        <v>0</v>
      </c>
      <c r="U254" s="469">
        <f t="shared" si="12"/>
        <v>6</v>
      </c>
      <c r="V254" s="597">
        <v>96</v>
      </c>
      <c r="W254" s="324"/>
      <c r="X254" s="324"/>
      <c r="Y254" s="326"/>
      <c r="Z254" s="487"/>
    </row>
    <row r="255" spans="1:26" ht="17.25" thickBot="1" x14ac:dyDescent="0.3">
      <c r="A255" s="486"/>
      <c r="B255" s="324"/>
      <c r="C255" s="324"/>
      <c r="D255" s="324"/>
      <c r="E255" s="324"/>
      <c r="F255" s="324"/>
      <c r="G255" s="342">
        <v>97</v>
      </c>
      <c r="H255" s="343">
        <v>128</v>
      </c>
      <c r="I255" s="344">
        <v>1</v>
      </c>
      <c r="J255" s="344">
        <v>1</v>
      </c>
      <c r="K255" s="463">
        <v>0</v>
      </c>
      <c r="L255" s="464">
        <v>0</v>
      </c>
      <c r="M255" s="464">
        <v>0</v>
      </c>
      <c r="N255" s="464">
        <v>0</v>
      </c>
      <c r="O255" s="464">
        <v>0</v>
      </c>
      <c r="P255" s="465">
        <v>0</v>
      </c>
      <c r="Q255" s="324"/>
      <c r="R255" s="607">
        <f t="shared" si="13"/>
        <v>0</v>
      </c>
      <c r="S255" s="324"/>
      <c r="T255" s="596">
        <f t="shared" si="11"/>
        <v>0</v>
      </c>
      <c r="U255" s="469">
        <f t="shared" si="12"/>
        <v>6</v>
      </c>
      <c r="V255" s="597">
        <v>97</v>
      </c>
      <c r="W255" s="324"/>
      <c r="X255" s="324"/>
      <c r="Y255" s="326"/>
      <c r="Z255" s="487"/>
    </row>
    <row r="256" spans="1:26" ht="17.25" thickTop="1" x14ac:dyDescent="0.25">
      <c r="A256" s="486"/>
      <c r="B256" s="324"/>
      <c r="C256" s="324"/>
      <c r="D256" s="324"/>
      <c r="E256" s="324"/>
      <c r="F256" s="324"/>
      <c r="G256" s="324"/>
      <c r="H256" s="324"/>
      <c r="I256" s="324"/>
      <c r="J256" s="328"/>
      <c r="K256" s="466">
        <f>COUNTIF(K159:P255,1)</f>
        <v>304</v>
      </c>
      <c r="L256" s="466"/>
      <c r="M256" s="466"/>
      <c r="N256" s="466"/>
      <c r="O256" s="466"/>
      <c r="P256" s="466">
        <f>COUNTIF(K159:P255,0)</f>
        <v>278</v>
      </c>
      <c r="Q256" s="324"/>
      <c r="R256" s="324"/>
      <c r="S256" s="324"/>
      <c r="T256" s="472">
        <f>COUNTIF(K159:P255,1)</f>
        <v>304</v>
      </c>
      <c r="U256" s="472">
        <f>COUNTIF(K159:P255,0)</f>
        <v>278</v>
      </c>
      <c r="V256" s="324"/>
      <c r="W256" s="324"/>
      <c r="X256" s="324"/>
      <c r="Y256" s="326"/>
      <c r="Z256" s="487"/>
    </row>
    <row r="257" spans="1:28" x14ac:dyDescent="0.25">
      <c r="A257" s="486"/>
      <c r="B257" s="324"/>
      <c r="C257" s="324"/>
      <c r="D257" s="324"/>
      <c r="E257" s="324"/>
      <c r="F257" s="324"/>
      <c r="G257" s="324"/>
      <c r="H257" s="324"/>
      <c r="I257" s="324"/>
      <c r="J257" s="328"/>
      <c r="K257" s="324"/>
      <c r="L257" s="324"/>
      <c r="M257" s="324"/>
      <c r="N257" s="324"/>
      <c r="O257" s="324"/>
      <c r="P257" s="324"/>
      <c r="Q257" s="324"/>
      <c r="R257" s="324"/>
      <c r="S257" s="324"/>
      <c r="T257" s="324"/>
      <c r="U257" s="324"/>
      <c r="V257" s="324"/>
      <c r="W257" s="324"/>
      <c r="X257" s="324"/>
      <c r="Y257" s="326"/>
      <c r="Z257" s="487"/>
    </row>
    <row r="258" spans="1:28" x14ac:dyDescent="0.25">
      <c r="A258" s="486"/>
      <c r="B258" s="324"/>
      <c r="C258" s="324"/>
      <c r="D258" s="324" t="s">
        <v>118</v>
      </c>
      <c r="E258" s="324"/>
      <c r="F258" s="324"/>
      <c r="G258" s="324"/>
      <c r="H258" s="324"/>
      <c r="I258" s="324"/>
      <c r="J258" s="324"/>
      <c r="K258" s="324"/>
      <c r="L258" s="324"/>
      <c r="M258" s="324"/>
      <c r="N258" s="324"/>
      <c r="O258" s="324"/>
      <c r="P258" s="324"/>
      <c r="Q258" s="324"/>
      <c r="R258" s="324"/>
      <c r="S258" s="324"/>
      <c r="T258" s="324"/>
      <c r="U258" s="324"/>
      <c r="V258" s="324"/>
      <c r="W258" s="324"/>
      <c r="X258" s="324"/>
      <c r="Y258" s="326"/>
      <c r="Z258" s="487"/>
      <c r="AB258" s="322"/>
    </row>
    <row r="259" spans="1:28" x14ac:dyDescent="0.25">
      <c r="A259" s="486"/>
      <c r="B259" s="324"/>
      <c r="C259" s="324"/>
      <c r="D259" s="324" t="s">
        <v>119</v>
      </c>
      <c r="E259" s="324"/>
      <c r="F259" s="324"/>
      <c r="G259" s="324"/>
      <c r="H259" s="324"/>
      <c r="I259" s="324"/>
      <c r="J259" s="324"/>
      <c r="K259" s="324"/>
      <c r="L259" s="324"/>
      <c r="M259" s="324"/>
      <c r="N259" s="324"/>
      <c r="O259" s="324"/>
      <c r="P259" s="324"/>
      <c r="Q259" s="324"/>
      <c r="R259" s="324"/>
      <c r="S259" s="324"/>
      <c r="T259" s="324"/>
      <c r="U259" s="324"/>
      <c r="V259" s="324"/>
      <c r="W259" s="324"/>
      <c r="X259" s="324"/>
      <c r="Y259" s="326"/>
      <c r="Z259" s="487"/>
    </row>
    <row r="260" spans="1:28" x14ac:dyDescent="0.25">
      <c r="A260" s="486"/>
      <c r="B260" s="324"/>
      <c r="C260" s="324"/>
      <c r="D260" s="324" t="s">
        <v>298</v>
      </c>
      <c r="E260" s="324"/>
      <c r="F260" s="324"/>
      <c r="G260" s="324"/>
      <c r="H260" s="324"/>
      <c r="I260" s="324"/>
      <c r="J260" s="324"/>
      <c r="K260" s="324"/>
      <c r="L260" s="324"/>
      <c r="M260" s="324"/>
      <c r="N260" s="324"/>
      <c r="O260" s="324"/>
      <c r="P260" s="324"/>
      <c r="Q260" s="324"/>
      <c r="R260" s="324"/>
      <c r="S260" s="324"/>
      <c r="T260" s="324"/>
      <c r="U260" s="324"/>
      <c r="V260" s="324"/>
      <c r="W260" s="324"/>
      <c r="X260" s="324"/>
      <c r="Y260" s="326"/>
      <c r="Z260" s="487"/>
    </row>
    <row r="261" spans="1:28" x14ac:dyDescent="0.25">
      <c r="A261" s="486"/>
      <c r="B261" s="323"/>
      <c r="C261" s="324"/>
      <c r="D261" s="324" t="s">
        <v>299</v>
      </c>
      <c r="E261" s="324"/>
      <c r="F261" s="324"/>
      <c r="G261" s="324"/>
      <c r="H261" s="324"/>
      <c r="I261" s="324"/>
      <c r="J261" s="324"/>
      <c r="K261" s="324"/>
      <c r="L261" s="324"/>
      <c r="M261" s="324"/>
      <c r="N261" s="324"/>
      <c r="O261" s="324"/>
      <c r="P261" s="324"/>
      <c r="Q261" s="324"/>
      <c r="R261" s="324"/>
      <c r="S261" s="324"/>
      <c r="T261" s="324"/>
      <c r="U261" s="324"/>
      <c r="V261" s="324"/>
      <c r="W261" s="324"/>
      <c r="X261" s="324"/>
      <c r="Y261" s="326"/>
      <c r="Z261" s="487"/>
    </row>
    <row r="262" spans="1:28" x14ac:dyDescent="0.25">
      <c r="A262" s="486"/>
      <c r="B262" s="323"/>
      <c r="C262" s="324"/>
      <c r="D262" s="324" t="s">
        <v>300</v>
      </c>
      <c r="E262" s="324"/>
      <c r="F262" s="324"/>
      <c r="G262" s="324"/>
      <c r="H262" s="324"/>
      <c r="I262" s="324"/>
      <c r="J262" s="324"/>
      <c r="K262" s="324"/>
      <c r="L262" s="324"/>
      <c r="M262" s="324"/>
      <c r="N262" s="324"/>
      <c r="O262" s="324"/>
      <c r="P262" s="324"/>
      <c r="Q262" s="324"/>
      <c r="R262" s="324"/>
      <c r="S262" s="324"/>
      <c r="T262" s="324"/>
      <c r="U262" s="324"/>
      <c r="V262" s="324"/>
      <c r="W262" s="324"/>
      <c r="X262" s="324"/>
      <c r="Y262" s="326"/>
      <c r="Z262" s="487"/>
    </row>
    <row r="263" spans="1:28" x14ac:dyDescent="0.25">
      <c r="A263" s="486"/>
      <c r="B263" s="323"/>
      <c r="C263" s="324"/>
      <c r="D263" s="324"/>
      <c r="E263" s="324"/>
      <c r="F263" s="324"/>
      <c r="G263" s="324"/>
      <c r="H263" s="324"/>
      <c r="I263" s="324"/>
      <c r="J263" s="324"/>
      <c r="K263" s="324"/>
      <c r="L263" s="324"/>
      <c r="M263" s="324"/>
      <c r="N263" s="324"/>
      <c r="O263" s="324"/>
      <c r="P263" s="324"/>
      <c r="Q263" s="324"/>
      <c r="R263" s="324"/>
      <c r="S263" s="324"/>
      <c r="T263" s="324"/>
      <c r="U263" s="324"/>
      <c r="V263" s="324"/>
      <c r="W263" s="324"/>
      <c r="X263" s="324"/>
      <c r="Y263" s="326"/>
      <c r="Z263" s="487"/>
    </row>
    <row r="264" spans="1:28" x14ac:dyDescent="0.25">
      <c r="A264" s="486"/>
      <c r="B264" s="323" t="s">
        <v>58</v>
      </c>
      <c r="C264" s="324"/>
      <c r="D264" s="324" t="s">
        <v>272</v>
      </c>
      <c r="E264" s="324"/>
      <c r="F264" s="324"/>
      <c r="G264" s="324"/>
      <c r="H264" s="324"/>
      <c r="I264" s="324"/>
      <c r="J264" s="324"/>
      <c r="K264" s="324"/>
      <c r="L264" s="324"/>
      <c r="M264" s="324"/>
      <c r="N264" s="324"/>
      <c r="O264" s="324"/>
      <c r="P264" s="324"/>
      <c r="Q264" s="324"/>
      <c r="R264" s="324"/>
      <c r="S264" s="324"/>
      <c r="T264" s="324"/>
      <c r="U264" s="324"/>
      <c r="V264" s="324"/>
      <c r="W264" s="324"/>
      <c r="X264" s="324"/>
      <c r="Y264" s="326"/>
      <c r="Z264" s="487"/>
    </row>
    <row r="265" spans="1:28" x14ac:dyDescent="0.25">
      <c r="A265" s="486"/>
      <c r="B265" s="323"/>
      <c r="C265" s="324"/>
      <c r="D265" s="324" t="s">
        <v>101</v>
      </c>
      <c r="E265" s="324"/>
      <c r="F265" s="324"/>
      <c r="G265" s="324"/>
      <c r="H265" s="324"/>
      <c r="I265" s="324"/>
      <c r="J265" s="324"/>
      <c r="K265" s="324"/>
      <c r="L265" s="324"/>
      <c r="M265" s="324"/>
      <c r="N265" s="324"/>
      <c r="O265" s="324"/>
      <c r="P265" s="324"/>
      <c r="Q265" s="324"/>
      <c r="R265" s="324"/>
      <c r="S265" s="324"/>
      <c r="T265" s="324"/>
      <c r="U265" s="324"/>
      <c r="V265" s="324"/>
      <c r="W265" s="324"/>
      <c r="X265" s="324"/>
      <c r="Y265" s="326"/>
      <c r="Z265" s="487"/>
    </row>
    <row r="266" spans="1:28" x14ac:dyDescent="0.25">
      <c r="A266" s="486"/>
      <c r="B266" s="323"/>
      <c r="C266" s="324"/>
      <c r="D266" s="324" t="s">
        <v>102</v>
      </c>
      <c r="E266" s="324"/>
      <c r="F266" s="324"/>
      <c r="G266" s="324"/>
      <c r="H266" s="324"/>
      <c r="I266" s="324"/>
      <c r="J266" s="324"/>
      <c r="K266" s="324"/>
      <c r="L266" s="324"/>
      <c r="M266" s="324"/>
      <c r="N266" s="324"/>
      <c r="O266" s="324"/>
      <c r="P266" s="324"/>
      <c r="Q266" s="324"/>
      <c r="R266" s="324"/>
      <c r="S266" s="324"/>
      <c r="T266" s="324"/>
      <c r="U266" s="324"/>
      <c r="V266" s="324"/>
      <c r="W266" s="324"/>
      <c r="X266" s="324"/>
      <c r="Y266" s="326"/>
      <c r="Z266" s="487"/>
    </row>
    <row r="267" spans="1:28" x14ac:dyDescent="0.25">
      <c r="A267" s="486"/>
      <c r="B267" s="323"/>
      <c r="C267" s="324"/>
      <c r="D267" s="324" t="s">
        <v>103</v>
      </c>
      <c r="E267" s="324"/>
      <c r="F267" s="324"/>
      <c r="G267" s="324"/>
      <c r="H267" s="324"/>
      <c r="I267" s="324"/>
      <c r="J267" s="324"/>
      <c r="K267" s="324"/>
      <c r="L267" s="324"/>
      <c r="M267" s="324"/>
      <c r="N267" s="324"/>
      <c r="O267" s="324"/>
      <c r="P267" s="324"/>
      <c r="Q267" s="324"/>
      <c r="R267" s="324"/>
      <c r="S267" s="324"/>
      <c r="T267" s="324"/>
      <c r="U267" s="324"/>
      <c r="V267" s="324"/>
      <c r="W267" s="324"/>
      <c r="X267" s="324"/>
      <c r="Y267" s="326"/>
      <c r="Z267" s="487"/>
    </row>
    <row r="268" spans="1:28" x14ac:dyDescent="0.25">
      <c r="A268" s="486"/>
      <c r="B268" s="323"/>
      <c r="C268" s="324"/>
      <c r="D268" s="324" t="s">
        <v>104</v>
      </c>
      <c r="E268" s="324"/>
      <c r="F268" s="324"/>
      <c r="G268" s="324"/>
      <c r="H268" s="324"/>
      <c r="I268" s="324"/>
      <c r="J268" s="324"/>
      <c r="K268" s="324"/>
      <c r="L268" s="324"/>
      <c r="M268" s="324"/>
      <c r="N268" s="324"/>
      <c r="O268" s="324"/>
      <c r="P268" s="324"/>
      <c r="Q268" s="324"/>
      <c r="R268" s="324"/>
      <c r="S268" s="324"/>
      <c r="T268" s="324"/>
      <c r="U268" s="324"/>
      <c r="V268" s="324"/>
      <c r="W268" s="324"/>
      <c r="X268" s="324"/>
      <c r="Y268" s="326"/>
      <c r="Z268" s="487"/>
    </row>
    <row r="269" spans="1:28" x14ac:dyDescent="0.25">
      <c r="A269" s="486"/>
      <c r="B269" s="323"/>
      <c r="C269" s="324"/>
      <c r="D269" s="324" t="s">
        <v>105</v>
      </c>
      <c r="E269" s="324"/>
      <c r="F269" s="324"/>
      <c r="G269" s="324"/>
      <c r="H269" s="324"/>
      <c r="I269" s="324"/>
      <c r="J269" s="324"/>
      <c r="K269" s="324"/>
      <c r="L269" s="324"/>
      <c r="M269" s="324"/>
      <c r="N269" s="324"/>
      <c r="O269" s="324"/>
      <c r="P269" s="324"/>
      <c r="Q269" s="324"/>
      <c r="R269" s="324"/>
      <c r="S269" s="324"/>
      <c r="T269" s="324"/>
      <c r="U269" s="324"/>
      <c r="V269" s="324"/>
      <c r="W269" s="324"/>
      <c r="X269" s="324"/>
      <c r="Y269" s="326"/>
      <c r="Z269" s="487"/>
    </row>
    <row r="270" spans="1:28" x14ac:dyDescent="0.25">
      <c r="A270" s="486"/>
      <c r="B270" s="323"/>
      <c r="C270" s="324"/>
      <c r="D270" s="324" t="s">
        <v>129</v>
      </c>
      <c r="E270" s="324"/>
      <c r="F270" s="324"/>
      <c r="G270" s="324"/>
      <c r="H270" s="324"/>
      <c r="I270" s="324"/>
      <c r="J270" s="324"/>
      <c r="K270" s="324"/>
      <c r="L270" s="324"/>
      <c r="M270" s="324"/>
      <c r="N270" s="324"/>
      <c r="O270" s="324"/>
      <c r="P270" s="324"/>
      <c r="Q270" s="324"/>
      <c r="R270" s="324"/>
      <c r="S270" s="324"/>
      <c r="T270" s="324"/>
      <c r="U270" s="324"/>
      <c r="V270" s="324"/>
      <c r="W270" s="324"/>
      <c r="X270" s="324"/>
      <c r="Y270" s="326"/>
      <c r="Z270" s="487"/>
    </row>
    <row r="271" spans="1:28" x14ac:dyDescent="0.25">
      <c r="A271" s="486"/>
      <c r="B271" s="323"/>
      <c r="C271" s="324"/>
      <c r="D271" s="324" t="s">
        <v>130</v>
      </c>
      <c r="E271" s="324"/>
      <c r="F271" s="324"/>
      <c r="G271" s="324"/>
      <c r="H271" s="324"/>
      <c r="I271" s="324"/>
      <c r="J271" s="324"/>
      <c r="K271" s="324"/>
      <c r="L271" s="324"/>
      <c r="M271" s="324"/>
      <c r="N271" s="324"/>
      <c r="O271" s="324"/>
      <c r="P271" s="324"/>
      <c r="Q271" s="324"/>
      <c r="R271" s="324"/>
      <c r="S271" s="324"/>
      <c r="T271" s="324"/>
      <c r="U271" s="324"/>
      <c r="V271" s="324"/>
      <c r="W271" s="324"/>
      <c r="X271" s="324"/>
      <c r="Y271" s="326"/>
      <c r="Z271" s="487"/>
    </row>
    <row r="272" spans="1:28" x14ac:dyDescent="0.25">
      <c r="A272" s="486"/>
      <c r="B272" s="323"/>
      <c r="C272" s="324"/>
      <c r="D272" s="324" t="s">
        <v>186</v>
      </c>
      <c r="E272" s="324"/>
      <c r="F272" s="324"/>
      <c r="G272" s="324"/>
      <c r="H272" s="324"/>
      <c r="I272" s="324"/>
      <c r="J272" s="324"/>
      <c r="K272" s="324"/>
      <c r="L272" s="324"/>
      <c r="M272" s="324"/>
      <c r="N272" s="324"/>
      <c r="O272" s="324"/>
      <c r="P272" s="324"/>
      <c r="Q272" s="324"/>
      <c r="R272" s="324"/>
      <c r="S272" s="324"/>
      <c r="T272" s="324"/>
      <c r="U272" s="324"/>
      <c r="V272" s="324"/>
      <c r="W272" s="324"/>
      <c r="X272" s="324"/>
      <c r="Y272" s="326"/>
      <c r="Z272" s="487"/>
    </row>
    <row r="273" spans="1:26" x14ac:dyDescent="0.25">
      <c r="A273" s="486"/>
      <c r="B273" s="323"/>
      <c r="C273" s="324"/>
      <c r="D273" s="324"/>
      <c r="E273" s="324"/>
      <c r="F273" s="324"/>
      <c r="G273" s="324"/>
      <c r="H273" s="324"/>
      <c r="I273" s="324"/>
      <c r="J273" s="324"/>
      <c r="K273" s="324"/>
      <c r="L273" s="324"/>
      <c r="M273" s="324"/>
      <c r="N273" s="324"/>
      <c r="O273" s="324"/>
      <c r="P273" s="324"/>
      <c r="Q273" s="324"/>
      <c r="R273" s="324"/>
      <c r="S273" s="324"/>
      <c r="T273" s="324"/>
      <c r="U273" s="324"/>
      <c r="V273" s="324"/>
      <c r="W273" s="324"/>
      <c r="X273" s="324"/>
      <c r="Y273" s="326"/>
      <c r="Z273" s="487"/>
    </row>
    <row r="274" spans="1:26" x14ac:dyDescent="0.25">
      <c r="A274" s="486"/>
      <c r="B274" s="323"/>
      <c r="C274" s="324"/>
      <c r="D274" s="324" t="s">
        <v>297</v>
      </c>
      <c r="E274" s="324"/>
      <c r="F274" s="324"/>
      <c r="G274" s="324"/>
      <c r="H274" s="324"/>
      <c r="I274" s="324"/>
      <c r="J274" s="324"/>
      <c r="K274" s="324"/>
      <c r="L274" s="324"/>
      <c r="M274" s="324"/>
      <c r="N274" s="324"/>
      <c r="O274" s="324"/>
      <c r="P274" s="324"/>
      <c r="Q274" s="324"/>
      <c r="R274" s="324"/>
      <c r="S274" s="324"/>
      <c r="T274" s="324"/>
      <c r="U274" s="324"/>
      <c r="V274" s="324"/>
      <c r="W274" s="324"/>
      <c r="X274" s="324"/>
      <c r="Y274" s="326"/>
      <c r="Z274" s="487"/>
    </row>
    <row r="275" spans="1:26" x14ac:dyDescent="0.25">
      <c r="A275" s="486"/>
      <c r="B275" s="323"/>
      <c r="C275" s="324"/>
      <c r="D275" s="324" t="s">
        <v>131</v>
      </c>
      <c r="E275" s="324"/>
      <c r="F275" s="324"/>
      <c r="G275" s="324"/>
      <c r="H275" s="324"/>
      <c r="I275" s="324"/>
      <c r="J275" s="324"/>
      <c r="K275" s="324"/>
      <c r="L275" s="324"/>
      <c r="M275" s="324"/>
      <c r="N275" s="324"/>
      <c r="O275" s="324"/>
      <c r="P275" s="324"/>
      <c r="Q275" s="324"/>
      <c r="R275" s="324"/>
      <c r="S275" s="324"/>
      <c r="T275" s="324"/>
      <c r="U275" s="324"/>
      <c r="V275" s="324"/>
      <c r="W275" s="324"/>
      <c r="X275" s="324"/>
      <c r="Y275" s="326"/>
      <c r="Z275" s="487"/>
    </row>
    <row r="276" spans="1:26" x14ac:dyDescent="0.25">
      <c r="A276" s="486"/>
      <c r="B276" s="323"/>
      <c r="C276" s="324"/>
      <c r="D276" s="324" t="s">
        <v>132</v>
      </c>
      <c r="E276" s="324"/>
      <c r="F276" s="324"/>
      <c r="G276" s="324"/>
      <c r="H276" s="324"/>
      <c r="I276" s="324"/>
      <c r="J276" s="324"/>
      <c r="K276" s="324"/>
      <c r="L276" s="324"/>
      <c r="M276" s="324"/>
      <c r="N276" s="324"/>
      <c r="O276" s="324"/>
      <c r="P276" s="324"/>
      <c r="Q276" s="324"/>
      <c r="R276" s="324"/>
      <c r="S276" s="324"/>
      <c r="T276" s="324"/>
      <c r="U276" s="324"/>
      <c r="V276" s="324"/>
      <c r="W276" s="324"/>
      <c r="X276" s="324"/>
      <c r="Y276" s="326"/>
      <c r="Z276" s="487"/>
    </row>
    <row r="277" spans="1:26" x14ac:dyDescent="0.25">
      <c r="A277" s="486"/>
      <c r="B277" s="323"/>
      <c r="C277" s="324"/>
      <c r="D277" s="324" t="s">
        <v>133</v>
      </c>
      <c r="E277" s="324"/>
      <c r="F277" s="324"/>
      <c r="G277" s="324"/>
      <c r="H277" s="324"/>
      <c r="I277" s="324"/>
      <c r="J277" s="324"/>
      <c r="K277" s="324"/>
      <c r="L277" s="324"/>
      <c r="M277" s="324"/>
      <c r="N277" s="324"/>
      <c r="O277" s="324"/>
      <c r="P277" s="324"/>
      <c r="Q277" s="324"/>
      <c r="R277" s="324"/>
      <c r="S277" s="324"/>
      <c r="T277" s="324"/>
      <c r="U277" s="324"/>
      <c r="V277" s="324"/>
      <c r="W277" s="324"/>
      <c r="X277" s="324"/>
      <c r="Y277" s="326"/>
      <c r="Z277" s="487"/>
    </row>
    <row r="278" spans="1:26" x14ac:dyDescent="0.25">
      <c r="A278" s="486"/>
      <c r="B278" s="323"/>
      <c r="C278" s="324"/>
      <c r="D278" s="324" t="s">
        <v>207</v>
      </c>
      <c r="E278" s="324"/>
      <c r="F278" s="324"/>
      <c r="G278" s="324"/>
      <c r="H278" s="324"/>
      <c r="I278" s="324"/>
      <c r="J278" s="324"/>
      <c r="K278" s="324"/>
      <c r="L278" s="324"/>
      <c r="M278" s="324"/>
      <c r="N278" s="324"/>
      <c r="O278" s="324"/>
      <c r="P278" s="324"/>
      <c r="Q278" s="324"/>
      <c r="R278" s="324"/>
      <c r="S278" s="324"/>
      <c r="T278" s="324"/>
      <c r="U278" s="324"/>
      <c r="V278" s="324"/>
      <c r="W278" s="324"/>
      <c r="X278" s="324"/>
      <c r="Y278" s="326"/>
      <c r="Z278" s="487"/>
    </row>
    <row r="279" spans="1:26" x14ac:dyDescent="0.25">
      <c r="A279" s="486"/>
      <c r="B279" s="323"/>
      <c r="C279" s="324"/>
      <c r="D279" s="324" t="s">
        <v>225</v>
      </c>
      <c r="E279" s="324"/>
      <c r="F279" s="324"/>
      <c r="G279" s="324"/>
      <c r="H279" s="324"/>
      <c r="I279" s="324"/>
      <c r="J279" s="324"/>
      <c r="K279" s="324"/>
      <c r="L279" s="324"/>
      <c r="M279" s="324"/>
      <c r="N279" s="324"/>
      <c r="O279" s="324"/>
      <c r="P279" s="324"/>
      <c r="Q279" s="324"/>
      <c r="R279" s="324"/>
      <c r="S279" s="324"/>
      <c r="T279" s="324"/>
      <c r="U279" s="324"/>
      <c r="V279" s="324"/>
      <c r="W279" s="324"/>
      <c r="X279" s="324"/>
      <c r="Y279" s="326"/>
      <c r="Z279" s="487"/>
    </row>
    <row r="280" spans="1:26" x14ac:dyDescent="0.25">
      <c r="A280" s="486"/>
      <c r="B280" s="323"/>
      <c r="C280" s="324"/>
      <c r="D280" s="324" t="s">
        <v>226</v>
      </c>
      <c r="E280" s="324"/>
      <c r="F280" s="324"/>
      <c r="G280" s="324"/>
      <c r="H280" s="324"/>
      <c r="I280" s="324"/>
      <c r="J280" s="324"/>
      <c r="K280" s="324"/>
      <c r="L280" s="324"/>
      <c r="M280" s="324"/>
      <c r="N280" s="324"/>
      <c r="O280" s="324"/>
      <c r="P280" s="324"/>
      <c r="Q280" s="324"/>
      <c r="R280" s="324"/>
      <c r="S280" s="324"/>
      <c r="T280" s="324"/>
      <c r="U280" s="324"/>
      <c r="V280" s="324"/>
      <c r="W280" s="324"/>
      <c r="X280" s="324"/>
      <c r="Y280" s="326"/>
      <c r="Z280" s="487"/>
    </row>
    <row r="281" spans="1:26" x14ac:dyDescent="0.25">
      <c r="A281" s="486"/>
      <c r="B281" s="323"/>
      <c r="C281" s="324"/>
      <c r="D281" s="324" t="s">
        <v>301</v>
      </c>
      <c r="E281" s="324"/>
      <c r="F281" s="324"/>
      <c r="G281" s="324"/>
      <c r="H281" s="324"/>
      <c r="I281" s="324"/>
      <c r="J281" s="324"/>
      <c r="K281" s="324"/>
      <c r="L281" s="324"/>
      <c r="M281" s="324"/>
      <c r="N281" s="324"/>
      <c r="O281" s="324"/>
      <c r="P281" s="324"/>
      <c r="Q281" s="324"/>
      <c r="R281" s="324"/>
      <c r="S281" s="324"/>
      <c r="T281" s="324"/>
      <c r="U281" s="324"/>
      <c r="V281" s="324"/>
      <c r="W281" s="324"/>
      <c r="X281" s="324"/>
      <c r="Y281" s="326"/>
      <c r="Z281" s="487"/>
    </row>
    <row r="282" spans="1:26" x14ac:dyDescent="0.25">
      <c r="A282" s="486"/>
      <c r="B282" s="323"/>
      <c r="C282" s="324"/>
      <c r="D282" s="324"/>
      <c r="E282" s="324"/>
      <c r="F282" s="324"/>
      <c r="G282" s="324"/>
      <c r="H282" s="324"/>
      <c r="I282" s="324"/>
      <c r="J282" s="324"/>
      <c r="K282" s="324"/>
      <c r="L282" s="324"/>
      <c r="M282" s="324"/>
      <c r="N282" s="324"/>
      <c r="O282" s="324"/>
      <c r="P282" s="324"/>
      <c r="Q282" s="324"/>
      <c r="R282" s="324"/>
      <c r="S282" s="324"/>
      <c r="T282" s="324"/>
      <c r="U282" s="324"/>
      <c r="V282" s="324"/>
      <c r="W282" s="324"/>
      <c r="X282" s="324"/>
      <c r="Y282" s="326"/>
      <c r="Z282" s="487"/>
    </row>
    <row r="283" spans="1:26" x14ac:dyDescent="0.25">
      <c r="A283" s="486"/>
      <c r="B283" s="324" t="s">
        <v>73</v>
      </c>
      <c r="C283" s="324"/>
      <c r="D283" s="324" t="s">
        <v>81</v>
      </c>
      <c r="E283" s="324"/>
      <c r="F283" s="324"/>
      <c r="G283" s="324"/>
      <c r="H283" s="324"/>
      <c r="I283" s="324"/>
      <c r="J283" s="324"/>
      <c r="K283" s="324"/>
      <c r="L283" s="324"/>
      <c r="M283" s="324"/>
      <c r="N283" s="324"/>
      <c r="O283" s="324"/>
      <c r="P283" s="324"/>
      <c r="Q283" s="324"/>
      <c r="R283" s="324"/>
      <c r="S283" s="324"/>
      <c r="T283" s="324"/>
      <c r="U283" s="324"/>
      <c r="V283" s="324"/>
      <c r="W283" s="324"/>
      <c r="X283" s="324"/>
      <c r="Y283" s="326"/>
      <c r="Z283" s="487"/>
    </row>
    <row r="284" spans="1:26" x14ac:dyDescent="0.25">
      <c r="A284" s="486"/>
      <c r="B284" s="324"/>
      <c r="C284" s="324"/>
      <c r="D284" s="324" t="s">
        <v>77</v>
      </c>
      <c r="E284" s="324"/>
      <c r="F284" s="324"/>
      <c r="G284" s="324"/>
      <c r="H284" s="324"/>
      <c r="I284" s="324"/>
      <c r="J284" s="324"/>
      <c r="K284" s="324"/>
      <c r="L284" s="324"/>
      <c r="M284" s="324"/>
      <c r="N284" s="324"/>
      <c r="O284" s="324"/>
      <c r="P284" s="324"/>
      <c r="Q284" s="324"/>
      <c r="R284" s="324"/>
      <c r="S284" s="324"/>
      <c r="T284" s="324"/>
      <c r="U284" s="324"/>
      <c r="V284" s="324"/>
      <c r="W284" s="324"/>
      <c r="X284" s="324"/>
      <c r="Y284" s="326"/>
      <c r="Z284" s="487"/>
    </row>
    <row r="285" spans="1:26" x14ac:dyDescent="0.25">
      <c r="A285" s="486"/>
      <c r="B285" s="324"/>
      <c r="C285" s="324"/>
      <c r="D285" s="324" t="s">
        <v>78</v>
      </c>
      <c r="E285" s="324"/>
      <c r="F285" s="324"/>
      <c r="G285" s="324"/>
      <c r="H285" s="324"/>
      <c r="I285" s="324"/>
      <c r="J285" s="324"/>
      <c r="K285" s="324"/>
      <c r="L285" s="324"/>
      <c r="M285" s="324"/>
      <c r="N285" s="324"/>
      <c r="O285" s="324"/>
      <c r="P285" s="324"/>
      <c r="Q285" s="324"/>
      <c r="R285" s="324"/>
      <c r="S285" s="324"/>
      <c r="T285" s="324"/>
      <c r="U285" s="324"/>
      <c r="V285" s="324"/>
      <c r="W285" s="324"/>
      <c r="X285" s="324"/>
      <c r="Y285" s="326"/>
      <c r="Z285" s="487"/>
    </row>
    <row r="286" spans="1:26" x14ac:dyDescent="0.25">
      <c r="A286" s="486"/>
      <c r="B286" s="324"/>
      <c r="C286" s="324"/>
      <c r="D286" s="324" t="s">
        <v>79</v>
      </c>
      <c r="E286" s="324"/>
      <c r="F286" s="324"/>
      <c r="G286" s="324"/>
      <c r="H286" s="324"/>
      <c r="I286" s="324"/>
      <c r="J286" s="324"/>
      <c r="K286" s="324"/>
      <c r="L286" s="324"/>
      <c r="M286" s="324"/>
      <c r="N286" s="324"/>
      <c r="O286" s="324"/>
      <c r="P286" s="324"/>
      <c r="Q286" s="324"/>
      <c r="R286" s="324"/>
      <c r="S286" s="324"/>
      <c r="T286" s="324"/>
      <c r="U286" s="324"/>
      <c r="V286" s="324"/>
      <c r="W286" s="324"/>
      <c r="X286" s="324"/>
      <c r="Y286" s="326"/>
      <c r="Z286" s="487"/>
    </row>
    <row r="287" spans="1:26" x14ac:dyDescent="0.25">
      <c r="A287" s="486"/>
      <c r="B287" s="324"/>
      <c r="C287" s="324"/>
      <c r="D287" s="324" t="s">
        <v>80</v>
      </c>
      <c r="E287" s="324"/>
      <c r="F287" s="324"/>
      <c r="G287" s="324"/>
      <c r="H287" s="324"/>
      <c r="I287" s="324"/>
      <c r="J287" s="324"/>
      <c r="K287" s="324"/>
      <c r="L287" s="324"/>
      <c r="M287" s="324"/>
      <c r="N287" s="324"/>
      <c r="O287" s="324"/>
      <c r="P287" s="324"/>
      <c r="Q287" s="324"/>
      <c r="R287" s="324"/>
      <c r="S287" s="324"/>
      <c r="T287" s="324"/>
      <c r="U287" s="324"/>
      <c r="V287" s="324"/>
      <c r="W287" s="324"/>
      <c r="X287" s="324"/>
      <c r="Y287" s="326"/>
      <c r="Z287" s="487"/>
    </row>
    <row r="288" spans="1:26" x14ac:dyDescent="0.25">
      <c r="A288" s="486"/>
      <c r="B288" s="324"/>
      <c r="C288" s="324"/>
      <c r="D288" s="324" t="s">
        <v>124</v>
      </c>
      <c r="E288" s="324"/>
      <c r="F288" s="324"/>
      <c r="G288" s="324"/>
      <c r="H288" s="324"/>
      <c r="I288" s="324"/>
      <c r="J288" s="324"/>
      <c r="K288" s="324"/>
      <c r="L288" s="324"/>
      <c r="M288" s="324"/>
      <c r="N288" s="324"/>
      <c r="O288" s="324"/>
      <c r="P288" s="324"/>
      <c r="Q288" s="324"/>
      <c r="R288" s="324"/>
      <c r="S288" s="324"/>
      <c r="T288" s="324"/>
      <c r="U288" s="324"/>
      <c r="V288" s="324"/>
      <c r="W288" s="324"/>
      <c r="X288" s="324"/>
      <c r="Y288" s="326"/>
      <c r="Z288" s="487"/>
    </row>
    <row r="289" spans="1:26" x14ac:dyDescent="0.25">
      <c r="A289" s="486"/>
      <c r="B289" s="324"/>
      <c r="C289" s="324"/>
      <c r="D289" s="324" t="s">
        <v>95</v>
      </c>
      <c r="E289" s="324"/>
      <c r="F289" s="324"/>
      <c r="G289" s="324"/>
      <c r="H289" s="324"/>
      <c r="I289" s="324"/>
      <c r="J289" s="324"/>
      <c r="K289" s="324"/>
      <c r="L289" s="324"/>
      <c r="M289" s="324"/>
      <c r="N289" s="324"/>
      <c r="O289" s="324"/>
      <c r="P289" s="324"/>
      <c r="Q289" s="324"/>
      <c r="R289" s="324"/>
      <c r="S289" s="324"/>
      <c r="T289" s="324"/>
      <c r="U289" s="324"/>
      <c r="V289" s="324"/>
      <c r="W289" s="324"/>
      <c r="X289" s="324"/>
      <c r="Y289" s="326"/>
      <c r="Z289" s="487"/>
    </row>
    <row r="290" spans="1:26" x14ac:dyDescent="0.25">
      <c r="A290" s="486"/>
      <c r="B290" s="324"/>
      <c r="C290" s="324"/>
      <c r="D290" s="324" t="s">
        <v>96</v>
      </c>
      <c r="E290" s="324"/>
      <c r="F290" s="324"/>
      <c r="G290" s="324"/>
      <c r="H290" s="324"/>
      <c r="I290" s="324"/>
      <c r="J290" s="324"/>
      <c r="K290" s="324"/>
      <c r="L290" s="324"/>
      <c r="M290" s="324"/>
      <c r="N290" s="324"/>
      <c r="O290" s="324"/>
      <c r="P290" s="324"/>
      <c r="Q290" s="324"/>
      <c r="R290" s="324"/>
      <c r="S290" s="324"/>
      <c r="T290" s="324"/>
      <c r="U290" s="324"/>
      <c r="V290" s="324"/>
      <c r="W290" s="324"/>
      <c r="X290" s="324"/>
      <c r="Y290" s="326"/>
      <c r="Z290" s="487"/>
    </row>
    <row r="291" spans="1:26" x14ac:dyDescent="0.25">
      <c r="A291" s="486"/>
      <c r="B291" s="324"/>
      <c r="C291" s="324"/>
      <c r="D291" s="324" t="s">
        <v>187</v>
      </c>
      <c r="E291" s="324"/>
      <c r="F291" s="324"/>
      <c r="G291" s="324"/>
      <c r="H291" s="324"/>
      <c r="I291" s="324"/>
      <c r="J291" s="324"/>
      <c r="K291" s="324"/>
      <c r="L291" s="324"/>
      <c r="M291" s="324"/>
      <c r="N291" s="324"/>
      <c r="O291" s="324"/>
      <c r="P291" s="324"/>
      <c r="Q291" s="324"/>
      <c r="R291" s="324"/>
      <c r="S291" s="324"/>
      <c r="T291" s="324"/>
      <c r="U291" s="324"/>
      <c r="V291" s="324"/>
      <c r="W291" s="324"/>
      <c r="X291" s="324"/>
      <c r="Y291" s="326"/>
      <c r="Z291" s="487"/>
    </row>
    <row r="292" spans="1:26" x14ac:dyDescent="0.25">
      <c r="A292" s="486"/>
      <c r="B292" s="324"/>
      <c r="C292" s="324"/>
      <c r="D292" s="324" t="s">
        <v>231</v>
      </c>
      <c r="E292" s="324"/>
      <c r="F292" s="324"/>
      <c r="G292" s="324"/>
      <c r="H292" s="324"/>
      <c r="I292" s="324"/>
      <c r="J292" s="324"/>
      <c r="K292" s="324"/>
      <c r="L292" s="324"/>
      <c r="M292" s="324"/>
      <c r="N292" s="324"/>
      <c r="O292" s="324"/>
      <c r="P292" s="324"/>
      <c r="Q292" s="324"/>
      <c r="R292" s="324"/>
      <c r="S292" s="324"/>
      <c r="T292" s="324"/>
      <c r="U292" s="324"/>
      <c r="V292" s="324"/>
      <c r="W292" s="324"/>
      <c r="X292" s="324"/>
      <c r="Y292" s="326"/>
      <c r="Z292" s="487"/>
    </row>
    <row r="293" spans="1:26" x14ac:dyDescent="0.25">
      <c r="A293" s="486"/>
      <c r="B293" s="324"/>
      <c r="C293" s="324"/>
      <c r="D293" s="324" t="s">
        <v>230</v>
      </c>
      <c r="E293" s="324"/>
      <c r="F293" s="324"/>
      <c r="G293" s="324"/>
      <c r="H293" s="324"/>
      <c r="I293" s="324"/>
      <c r="J293" s="324"/>
      <c r="K293" s="324"/>
      <c r="L293" s="324"/>
      <c r="M293" s="324"/>
      <c r="N293" s="324"/>
      <c r="O293" s="324"/>
      <c r="P293" s="324"/>
      <c r="Q293" s="324"/>
      <c r="R293" s="324"/>
      <c r="S293" s="324"/>
      <c r="T293" s="324"/>
      <c r="U293" s="324"/>
      <c r="V293" s="324"/>
      <c r="W293" s="324"/>
      <c r="X293" s="324"/>
      <c r="Y293" s="326"/>
      <c r="Z293" s="487"/>
    </row>
    <row r="294" spans="1:26" x14ac:dyDescent="0.25">
      <c r="A294" s="486"/>
      <c r="B294" s="323"/>
      <c r="C294" s="323"/>
      <c r="D294" s="324" t="s">
        <v>238</v>
      </c>
      <c r="E294" s="324"/>
      <c r="F294" s="324"/>
      <c r="G294" s="324"/>
      <c r="H294" s="324"/>
      <c r="I294" s="324"/>
      <c r="J294" s="324"/>
      <c r="K294" s="324"/>
      <c r="L294" s="324"/>
      <c r="M294" s="324"/>
      <c r="N294" s="324"/>
      <c r="O294" s="324"/>
      <c r="P294" s="324"/>
      <c r="Q294" s="324"/>
      <c r="R294" s="324"/>
      <c r="S294" s="324"/>
      <c r="T294" s="324"/>
      <c r="U294" s="324"/>
      <c r="V294" s="324"/>
      <c r="W294" s="324"/>
      <c r="X294" s="324"/>
      <c r="Y294" s="326"/>
      <c r="Z294" s="487"/>
    </row>
    <row r="295" spans="1:26" x14ac:dyDescent="0.25">
      <c r="A295" s="486"/>
      <c r="B295" s="323"/>
      <c r="C295" s="323"/>
      <c r="D295" s="324" t="s">
        <v>278</v>
      </c>
      <c r="E295" s="324"/>
      <c r="F295" s="324"/>
      <c r="G295" s="324"/>
      <c r="H295" s="324"/>
      <c r="I295" s="324"/>
      <c r="J295" s="324"/>
      <c r="K295" s="324"/>
      <c r="L295" s="324"/>
      <c r="M295" s="324"/>
      <c r="N295" s="324"/>
      <c r="O295" s="324"/>
      <c r="P295" s="324"/>
      <c r="Q295" s="324"/>
      <c r="R295" s="324"/>
      <c r="S295" s="324"/>
      <c r="T295" s="324"/>
      <c r="U295" s="324"/>
      <c r="V295" s="324"/>
      <c r="W295" s="324"/>
      <c r="X295" s="324"/>
      <c r="Y295" s="326"/>
      <c r="Z295" s="487"/>
    </row>
    <row r="296" spans="1:26" x14ac:dyDescent="0.25">
      <c r="A296" s="486"/>
      <c r="B296" s="323"/>
      <c r="C296" s="323"/>
      <c r="D296" s="324"/>
      <c r="E296" s="324"/>
      <c r="F296" s="324"/>
      <c r="G296" s="324"/>
      <c r="H296" s="324"/>
      <c r="I296" s="324"/>
      <c r="J296" s="324"/>
      <c r="K296" s="324"/>
      <c r="L296" s="324"/>
      <c r="M296" s="324"/>
      <c r="N296" s="324"/>
      <c r="O296" s="324"/>
      <c r="P296" s="324"/>
      <c r="Q296" s="324"/>
      <c r="R296" s="324"/>
      <c r="S296" s="324"/>
      <c r="T296" s="324"/>
      <c r="U296" s="324"/>
      <c r="V296" s="324"/>
      <c r="W296" s="324"/>
      <c r="X296" s="324"/>
      <c r="Y296" s="326"/>
      <c r="Z296" s="487"/>
    </row>
    <row r="297" spans="1:26" x14ac:dyDescent="0.25">
      <c r="A297" s="486"/>
      <c r="B297" s="324"/>
      <c r="C297" s="324"/>
      <c r="D297" s="324" t="s">
        <v>232</v>
      </c>
      <c r="E297" s="324"/>
      <c r="F297" s="324"/>
      <c r="G297" s="324"/>
      <c r="H297" s="324"/>
      <c r="I297" s="324"/>
      <c r="J297" s="324"/>
      <c r="K297" s="324"/>
      <c r="L297" s="324"/>
      <c r="M297" s="324"/>
      <c r="N297" s="324"/>
      <c r="O297" s="324"/>
      <c r="P297" s="324"/>
      <c r="Q297" s="324"/>
      <c r="R297" s="324"/>
      <c r="S297" s="324"/>
      <c r="T297" s="324"/>
      <c r="U297" s="324"/>
      <c r="V297" s="324"/>
      <c r="W297" s="324"/>
      <c r="X297" s="324"/>
      <c r="Y297" s="326"/>
      <c r="Z297" s="487"/>
    </row>
    <row r="298" spans="1:26" x14ac:dyDescent="0.25">
      <c r="A298" s="486"/>
      <c r="B298" s="323"/>
      <c r="C298" s="323"/>
      <c r="D298" s="324" t="s">
        <v>233</v>
      </c>
      <c r="E298" s="324"/>
      <c r="F298" s="324"/>
      <c r="G298" s="324"/>
      <c r="H298" s="324"/>
      <c r="I298" s="324"/>
      <c r="J298" s="324"/>
      <c r="K298" s="324"/>
      <c r="L298" s="324"/>
      <c r="M298" s="324"/>
      <c r="N298" s="324"/>
      <c r="O298" s="324"/>
      <c r="P298" s="324"/>
      <c r="Q298" s="324"/>
      <c r="R298" s="324"/>
      <c r="S298" s="324"/>
      <c r="T298" s="324"/>
      <c r="U298" s="324"/>
      <c r="V298" s="324"/>
      <c r="W298" s="324"/>
      <c r="X298" s="324"/>
      <c r="Y298" s="326"/>
      <c r="Z298" s="487"/>
    </row>
    <row r="299" spans="1:26" x14ac:dyDescent="0.25">
      <c r="A299" s="486"/>
      <c r="B299" s="323"/>
      <c r="C299" s="323"/>
      <c r="D299" s="324" t="s">
        <v>302</v>
      </c>
      <c r="E299" s="324"/>
      <c r="F299" s="324"/>
      <c r="G299" s="324"/>
      <c r="H299" s="324"/>
      <c r="I299" s="324"/>
      <c r="J299" s="324"/>
      <c r="K299" s="324"/>
      <c r="L299" s="324"/>
      <c r="M299" s="324"/>
      <c r="N299" s="324"/>
      <c r="O299" s="324"/>
      <c r="P299" s="324"/>
      <c r="Q299" s="324"/>
      <c r="R299" s="324"/>
      <c r="S299" s="324"/>
      <c r="T299" s="324"/>
      <c r="U299" s="324"/>
      <c r="V299" s="324"/>
      <c r="W299" s="324"/>
      <c r="X299" s="324"/>
      <c r="Y299" s="326"/>
      <c r="Z299" s="487"/>
    </row>
    <row r="300" spans="1:26" x14ac:dyDescent="0.25">
      <c r="A300" s="486"/>
      <c r="B300" s="324"/>
      <c r="C300" s="324"/>
      <c r="D300" s="324" t="s">
        <v>303</v>
      </c>
      <c r="E300" s="324"/>
      <c r="F300" s="324"/>
      <c r="G300" s="324"/>
      <c r="H300" s="324"/>
      <c r="I300" s="324"/>
      <c r="J300" s="324"/>
      <c r="K300" s="324"/>
      <c r="L300" s="324"/>
      <c r="M300" s="324"/>
      <c r="N300" s="324"/>
      <c r="O300" s="324"/>
      <c r="P300" s="324"/>
      <c r="Q300" s="324"/>
      <c r="R300" s="324"/>
      <c r="S300" s="324"/>
      <c r="T300" s="324"/>
      <c r="U300" s="324"/>
      <c r="V300" s="324"/>
      <c r="W300" s="324"/>
      <c r="X300" s="324"/>
      <c r="Y300" s="326"/>
      <c r="Z300" s="487"/>
    </row>
    <row r="301" spans="1:26" x14ac:dyDescent="0.25">
      <c r="A301" s="486"/>
      <c r="B301" s="324"/>
      <c r="C301" s="324"/>
      <c r="D301" s="324"/>
      <c r="E301" s="324"/>
      <c r="F301" s="324"/>
      <c r="G301" s="324"/>
      <c r="H301" s="324"/>
      <c r="I301" s="324"/>
      <c r="J301" s="324"/>
      <c r="K301" s="324"/>
      <c r="L301" s="324"/>
      <c r="M301" s="324"/>
      <c r="N301" s="324"/>
      <c r="O301" s="324"/>
      <c r="P301" s="324"/>
      <c r="Q301" s="324"/>
      <c r="R301" s="324"/>
      <c r="S301" s="324"/>
      <c r="T301" s="324"/>
      <c r="U301" s="324"/>
      <c r="V301" s="324"/>
      <c r="W301" s="324"/>
      <c r="X301" s="324"/>
      <c r="Y301" s="326"/>
      <c r="Z301" s="487"/>
    </row>
    <row r="302" spans="1:26" x14ac:dyDescent="0.25">
      <c r="A302" s="486"/>
      <c r="B302" s="324"/>
      <c r="C302" s="324"/>
      <c r="D302" s="325"/>
      <c r="E302" s="601" t="s">
        <v>273</v>
      </c>
      <c r="F302" s="324"/>
      <c r="G302" s="324"/>
      <c r="H302" s="324"/>
      <c r="I302" s="324"/>
      <c r="J302" s="324"/>
      <c r="K302" s="324"/>
      <c r="L302" s="324"/>
      <c r="M302" s="324"/>
      <c r="N302" s="324"/>
      <c r="O302" s="324"/>
      <c r="P302" s="324"/>
      <c r="Q302" s="324"/>
      <c r="R302" s="324"/>
      <c r="S302" s="324"/>
      <c r="T302" s="324"/>
      <c r="U302" s="324"/>
      <c r="V302" s="324"/>
      <c r="W302" s="324"/>
      <c r="X302" s="324"/>
      <c r="Y302" s="326"/>
      <c r="Z302" s="487"/>
    </row>
    <row r="303" spans="1:26" x14ac:dyDescent="0.25">
      <c r="A303" s="486"/>
      <c r="B303" s="324"/>
      <c r="C303" s="324"/>
      <c r="D303" s="324"/>
      <c r="E303" s="602" t="s">
        <v>274</v>
      </c>
      <c r="F303" s="324"/>
      <c r="G303" s="324"/>
      <c r="H303" s="324"/>
      <c r="I303" s="324"/>
      <c r="J303" s="324"/>
      <c r="K303" s="324"/>
      <c r="L303" s="324"/>
      <c r="M303" s="324"/>
      <c r="N303" s="324"/>
      <c r="O303" s="324"/>
      <c r="P303" s="324"/>
      <c r="Q303" s="324"/>
      <c r="R303" s="324"/>
      <c r="S303" s="324"/>
      <c r="T303" s="324"/>
      <c r="U303" s="324"/>
      <c r="V303" s="324"/>
      <c r="W303" s="324"/>
      <c r="X303" s="324"/>
      <c r="Y303" s="326"/>
      <c r="Z303" s="487"/>
    </row>
    <row r="304" spans="1:26" x14ac:dyDescent="0.25">
      <c r="A304" s="486"/>
      <c r="B304" s="324"/>
      <c r="C304" s="324"/>
      <c r="D304" s="324"/>
      <c r="E304" s="602" t="s">
        <v>275</v>
      </c>
      <c r="F304" s="324"/>
      <c r="G304" s="324"/>
      <c r="H304" s="324"/>
      <c r="I304" s="324"/>
      <c r="J304" s="324"/>
      <c r="K304" s="324"/>
      <c r="L304" s="324"/>
      <c r="M304" s="324"/>
      <c r="N304" s="324"/>
      <c r="O304" s="324"/>
      <c r="P304" s="324"/>
      <c r="Q304" s="324"/>
      <c r="R304" s="324"/>
      <c r="S304" s="324"/>
      <c r="T304" s="324"/>
      <c r="U304" s="324"/>
      <c r="V304" s="324"/>
      <c r="W304" s="324"/>
      <c r="X304" s="324"/>
      <c r="Y304" s="326"/>
      <c r="Z304" s="487"/>
    </row>
    <row r="305" spans="1:26" x14ac:dyDescent="0.25">
      <c r="A305" s="486"/>
      <c r="B305" s="324"/>
      <c r="C305" s="324"/>
      <c r="D305" s="324"/>
      <c r="E305" s="602" t="s">
        <v>276</v>
      </c>
      <c r="F305" s="324"/>
      <c r="G305" s="324"/>
      <c r="H305" s="324"/>
      <c r="I305" s="324"/>
      <c r="J305" s="324"/>
      <c r="K305" s="324"/>
      <c r="L305" s="324"/>
      <c r="M305" s="324"/>
      <c r="N305" s="324"/>
      <c r="O305" s="324"/>
      <c r="P305" s="324"/>
      <c r="Q305" s="324"/>
      <c r="R305" s="324"/>
      <c r="S305" s="324"/>
      <c r="T305" s="324"/>
      <c r="U305" s="324"/>
      <c r="V305" s="324"/>
      <c r="W305" s="324"/>
      <c r="X305" s="324"/>
      <c r="Y305" s="326"/>
      <c r="Z305" s="487"/>
    </row>
    <row r="306" spans="1:26" x14ac:dyDescent="0.25">
      <c r="A306" s="486"/>
      <c r="B306" s="324"/>
      <c r="C306" s="324"/>
      <c r="D306" s="324"/>
      <c r="E306" s="324"/>
      <c r="F306" s="324"/>
      <c r="G306" s="324"/>
      <c r="H306" s="324"/>
      <c r="I306" s="324"/>
      <c r="J306" s="324"/>
      <c r="K306" s="324"/>
      <c r="L306" s="324"/>
      <c r="M306" s="324"/>
      <c r="N306" s="324"/>
      <c r="O306" s="324"/>
      <c r="P306" s="324"/>
      <c r="Q306" s="324"/>
      <c r="R306" s="324"/>
      <c r="S306" s="324"/>
      <c r="T306" s="324"/>
      <c r="U306" s="324"/>
      <c r="V306" s="324"/>
      <c r="W306" s="324"/>
      <c r="X306" s="324"/>
      <c r="Y306" s="326"/>
      <c r="Z306" s="487"/>
    </row>
    <row r="307" spans="1:26" ht="17.25" thickBot="1" x14ac:dyDescent="0.3">
      <c r="A307" s="603"/>
      <c r="B307" s="604"/>
      <c r="C307" s="604"/>
      <c r="D307" s="604"/>
      <c r="E307" s="604"/>
      <c r="F307" s="604"/>
      <c r="G307" s="604"/>
      <c r="H307" s="604"/>
      <c r="I307" s="604"/>
      <c r="J307" s="604"/>
      <c r="K307" s="604"/>
      <c r="L307" s="604"/>
      <c r="M307" s="604"/>
      <c r="N307" s="604"/>
      <c r="O307" s="604"/>
      <c r="P307" s="604"/>
      <c r="Q307" s="604"/>
      <c r="R307" s="604"/>
      <c r="S307" s="604"/>
      <c r="T307" s="604"/>
      <c r="U307" s="604"/>
      <c r="V307" s="604"/>
      <c r="W307" s="604"/>
      <c r="X307" s="604"/>
      <c r="Y307" s="605"/>
      <c r="Z307" s="606"/>
    </row>
    <row r="308" spans="1:26" x14ac:dyDescent="0.25">
      <c r="A308" s="296"/>
      <c r="B308" s="296"/>
      <c r="C308" s="296"/>
      <c r="D308" s="296"/>
      <c r="E308" s="296"/>
      <c r="F308" s="296"/>
      <c r="G308" s="296"/>
      <c r="H308" s="296"/>
      <c r="I308" s="296"/>
      <c r="J308" s="296"/>
      <c r="K308" s="296"/>
      <c r="L308" s="296"/>
      <c r="M308" s="296"/>
      <c r="N308" s="296"/>
      <c r="O308" s="296"/>
      <c r="P308" s="296"/>
      <c r="Q308" s="296"/>
      <c r="R308" s="296"/>
      <c r="S308" s="296"/>
      <c r="T308" s="296"/>
      <c r="U308" s="296"/>
      <c r="V308" s="296"/>
      <c r="W308" s="296"/>
      <c r="X308" s="296"/>
      <c r="Y308" s="295"/>
      <c r="Z308" s="296"/>
    </row>
    <row r="309" spans="1:26" x14ac:dyDescent="0.25">
      <c r="B309" s="296"/>
      <c r="C309" s="296"/>
      <c r="D309" s="296"/>
      <c r="E309" s="296"/>
      <c r="F309" s="296"/>
      <c r="G309" s="296"/>
      <c r="H309" s="296"/>
      <c r="I309" s="296"/>
      <c r="J309" s="296"/>
      <c r="K309" s="296"/>
      <c r="L309" s="296"/>
      <c r="M309" s="296"/>
      <c r="N309" s="296"/>
      <c r="O309" s="296"/>
      <c r="P309" s="296"/>
      <c r="Q309" s="296"/>
      <c r="R309" s="296"/>
      <c r="S309" s="296"/>
      <c r="T309" s="296"/>
      <c r="U309" s="296"/>
      <c r="V309" s="296"/>
      <c r="W309" s="296"/>
      <c r="X309" s="296"/>
      <c r="Y309" s="295"/>
    </row>
    <row r="310" spans="1:26" x14ac:dyDescent="0.25">
      <c r="B310" s="296"/>
      <c r="C310" s="296"/>
      <c r="D310" s="296"/>
      <c r="E310" s="296"/>
      <c r="F310" s="296"/>
      <c r="G310" s="296"/>
      <c r="H310" s="296"/>
      <c r="I310" s="296"/>
      <c r="J310" s="296"/>
      <c r="K310" s="296"/>
      <c r="L310" s="296"/>
      <c r="M310" s="296"/>
      <c r="N310" s="296"/>
      <c r="O310" s="296"/>
      <c r="P310" s="296"/>
      <c r="Q310" s="296"/>
      <c r="R310" s="296"/>
      <c r="S310" s="296"/>
      <c r="T310" s="296"/>
      <c r="U310" s="296"/>
      <c r="V310" s="296"/>
      <c r="W310" s="296"/>
      <c r="X310" s="296"/>
      <c r="Y310" s="295"/>
    </row>
    <row r="311" spans="1:26" x14ac:dyDescent="0.25">
      <c r="B311" s="292"/>
      <c r="C311" s="292"/>
    </row>
    <row r="312" spans="1:26" x14ac:dyDescent="0.25">
      <c r="B312" s="292"/>
      <c r="C312" s="292"/>
    </row>
    <row r="313" spans="1:26" x14ac:dyDescent="0.25">
      <c r="B313" s="292"/>
      <c r="C313" s="292"/>
    </row>
    <row r="314" spans="1:26" x14ac:dyDescent="0.25">
      <c r="B314" s="292"/>
      <c r="C314" s="292"/>
    </row>
    <row r="315" spans="1:26" x14ac:dyDescent="0.25">
      <c r="B315" s="292"/>
      <c r="C315" s="292"/>
    </row>
    <row r="316" spans="1:26" x14ac:dyDescent="0.25">
      <c r="B316" s="292"/>
      <c r="C316" s="292"/>
    </row>
    <row r="317" spans="1:26" x14ac:dyDescent="0.25">
      <c r="B317" s="292"/>
      <c r="C317" s="292"/>
    </row>
    <row r="318" spans="1:26" x14ac:dyDescent="0.25">
      <c r="B318" s="292"/>
      <c r="C318" s="292"/>
    </row>
    <row r="319" spans="1:26" x14ac:dyDescent="0.25">
      <c r="B319" s="292"/>
      <c r="C319" s="292"/>
    </row>
    <row r="320" spans="1:26" x14ac:dyDescent="0.25">
      <c r="B320" s="292"/>
      <c r="C320" s="292"/>
    </row>
    <row r="321" spans="2:3" x14ac:dyDescent="0.25">
      <c r="B321" s="292"/>
      <c r="C321" s="292"/>
    </row>
    <row r="322" spans="2:3" x14ac:dyDescent="0.25">
      <c r="B322" s="292"/>
      <c r="C322" s="292"/>
    </row>
    <row r="323" spans="2:3" x14ac:dyDescent="0.25">
      <c r="B323" s="292"/>
      <c r="C323" s="292"/>
    </row>
    <row r="324" spans="2:3" x14ac:dyDescent="0.25">
      <c r="B324" s="292"/>
      <c r="C324" s="292"/>
    </row>
    <row r="325" spans="2:3" x14ac:dyDescent="0.25">
      <c r="B325" s="292"/>
      <c r="C325" s="292"/>
    </row>
    <row r="326" spans="2:3" x14ac:dyDescent="0.25">
      <c r="B326" s="292"/>
      <c r="C326" s="292"/>
    </row>
    <row r="327" spans="2:3" x14ac:dyDescent="0.25">
      <c r="B327" s="292"/>
      <c r="C327" s="292"/>
    </row>
    <row r="328" spans="2:3" x14ac:dyDescent="0.25">
      <c r="B328" s="292"/>
      <c r="C328" s="292"/>
    </row>
    <row r="329" spans="2:3" x14ac:dyDescent="0.25">
      <c r="B329" s="292"/>
      <c r="C329" s="292"/>
    </row>
    <row r="330" spans="2:3" x14ac:dyDescent="0.25">
      <c r="B330" s="292"/>
      <c r="C330" s="292"/>
    </row>
    <row r="331" spans="2:3" x14ac:dyDescent="0.25">
      <c r="B331" s="292"/>
      <c r="C331" s="292"/>
    </row>
    <row r="332" spans="2:3" x14ac:dyDescent="0.25">
      <c r="B332" s="292"/>
      <c r="C332" s="292"/>
    </row>
    <row r="333" spans="2:3" x14ac:dyDescent="0.25">
      <c r="B333" s="292"/>
      <c r="C333" s="292"/>
    </row>
    <row r="334" spans="2:3" x14ac:dyDescent="0.25">
      <c r="B334" s="292"/>
      <c r="C334" s="292"/>
    </row>
    <row r="335" spans="2:3" x14ac:dyDescent="0.25">
      <c r="B335" s="292"/>
      <c r="C335" s="292"/>
    </row>
    <row r="336" spans="2:3" x14ac:dyDescent="0.25">
      <c r="B336" s="292"/>
      <c r="C336" s="292"/>
    </row>
    <row r="337" spans="2:3" x14ac:dyDescent="0.25">
      <c r="B337" s="292"/>
      <c r="C337" s="292"/>
    </row>
    <row r="338" spans="2:3" x14ac:dyDescent="0.25">
      <c r="B338" s="292"/>
      <c r="C338" s="292"/>
    </row>
    <row r="339" spans="2:3" x14ac:dyDescent="0.25">
      <c r="B339" s="292"/>
      <c r="C339" s="292"/>
    </row>
    <row r="340" spans="2:3" x14ac:dyDescent="0.25">
      <c r="B340" s="292"/>
      <c r="C340" s="292"/>
    </row>
    <row r="341" spans="2:3" x14ac:dyDescent="0.25">
      <c r="B341" s="292"/>
      <c r="C341" s="292"/>
    </row>
    <row r="342" spans="2:3" x14ac:dyDescent="0.25">
      <c r="B342" s="292"/>
      <c r="C342" s="292"/>
    </row>
    <row r="343" spans="2:3" x14ac:dyDescent="0.25">
      <c r="B343" s="292"/>
      <c r="C343" s="292"/>
    </row>
    <row r="344" spans="2:3" x14ac:dyDescent="0.25">
      <c r="B344" s="292"/>
      <c r="C344" s="292"/>
    </row>
    <row r="345" spans="2:3" x14ac:dyDescent="0.25">
      <c r="B345" s="292"/>
      <c r="C345" s="292"/>
    </row>
    <row r="346" spans="2:3" x14ac:dyDescent="0.25">
      <c r="B346" s="292"/>
      <c r="C346" s="292"/>
    </row>
    <row r="347" spans="2:3" x14ac:dyDescent="0.25">
      <c r="B347" s="292"/>
      <c r="C347" s="292"/>
    </row>
    <row r="348" spans="2:3" x14ac:dyDescent="0.25">
      <c r="B348" s="292"/>
      <c r="C348" s="292"/>
    </row>
    <row r="349" spans="2:3" x14ac:dyDescent="0.25">
      <c r="B349" s="292"/>
      <c r="C349" s="292"/>
    </row>
    <row r="350" spans="2:3" x14ac:dyDescent="0.25">
      <c r="B350" s="292"/>
      <c r="C350" s="292"/>
    </row>
    <row r="351" spans="2:3" x14ac:dyDescent="0.25">
      <c r="B351" s="292"/>
      <c r="C351" s="292"/>
    </row>
    <row r="352" spans="2:3" x14ac:dyDescent="0.25">
      <c r="B352" s="292"/>
      <c r="C352" s="292"/>
    </row>
    <row r="353" spans="2:3" x14ac:dyDescent="0.25">
      <c r="B353" s="292"/>
      <c r="C353" s="292"/>
    </row>
    <row r="354" spans="2:3" x14ac:dyDescent="0.25">
      <c r="B354" s="292"/>
      <c r="C354" s="292"/>
    </row>
    <row r="355" spans="2:3" x14ac:dyDescent="0.25">
      <c r="B355" s="292"/>
      <c r="C355" s="292"/>
    </row>
    <row r="356" spans="2:3" x14ac:dyDescent="0.25">
      <c r="B356" s="292"/>
      <c r="C356" s="292"/>
    </row>
    <row r="357" spans="2:3" x14ac:dyDescent="0.25">
      <c r="B357" s="292"/>
      <c r="C357" s="292"/>
    </row>
    <row r="358" spans="2:3" x14ac:dyDescent="0.25">
      <c r="B358" s="292"/>
      <c r="C358" s="292"/>
    </row>
    <row r="359" spans="2:3" x14ac:dyDescent="0.25">
      <c r="B359" s="292"/>
      <c r="C359" s="292"/>
    </row>
    <row r="360" spans="2:3" x14ac:dyDescent="0.25">
      <c r="B360" s="292"/>
      <c r="C360" s="292"/>
    </row>
    <row r="361" spans="2:3" x14ac:dyDescent="0.25">
      <c r="B361" s="292"/>
      <c r="C361" s="292"/>
    </row>
    <row r="362" spans="2:3" x14ac:dyDescent="0.25">
      <c r="B362" s="292"/>
      <c r="C362" s="292"/>
    </row>
    <row r="363" spans="2:3" x14ac:dyDescent="0.25">
      <c r="B363" s="292"/>
      <c r="C363" s="292"/>
    </row>
    <row r="364" spans="2:3" x14ac:dyDescent="0.25">
      <c r="B364" s="292"/>
      <c r="C364" s="292"/>
    </row>
    <row r="365" spans="2:3" x14ac:dyDescent="0.25">
      <c r="B365" s="292"/>
      <c r="C365" s="292"/>
    </row>
    <row r="366" spans="2:3" x14ac:dyDescent="0.25">
      <c r="B366" s="292"/>
      <c r="C366" s="292"/>
    </row>
    <row r="367" spans="2:3" x14ac:dyDescent="0.25">
      <c r="B367" s="292"/>
      <c r="C367" s="292"/>
    </row>
    <row r="368" spans="2:3" x14ac:dyDescent="0.25">
      <c r="B368" s="292"/>
      <c r="C368" s="292"/>
    </row>
    <row r="369" spans="2:3" x14ac:dyDescent="0.25">
      <c r="B369" s="292"/>
      <c r="C369" s="292"/>
    </row>
    <row r="370" spans="2:3" x14ac:dyDescent="0.25">
      <c r="B370" s="292"/>
      <c r="C370" s="292"/>
    </row>
    <row r="371" spans="2:3" x14ac:dyDescent="0.25">
      <c r="B371" s="292"/>
      <c r="C371" s="292"/>
    </row>
    <row r="372" spans="2:3" x14ac:dyDescent="0.25">
      <c r="B372" s="292"/>
      <c r="C372" s="292"/>
    </row>
    <row r="373" spans="2:3" x14ac:dyDescent="0.25">
      <c r="B373" s="292"/>
      <c r="C373" s="292"/>
    </row>
    <row r="374" spans="2:3" x14ac:dyDescent="0.25">
      <c r="B374" s="292"/>
      <c r="C374" s="292"/>
    </row>
    <row r="375" spans="2:3" x14ac:dyDescent="0.25">
      <c r="B375" s="292"/>
      <c r="C375" s="292"/>
    </row>
    <row r="376" spans="2:3" x14ac:dyDescent="0.25">
      <c r="B376" s="292"/>
      <c r="C376" s="292"/>
    </row>
    <row r="377" spans="2:3" x14ac:dyDescent="0.25">
      <c r="B377" s="292"/>
      <c r="C377" s="292"/>
    </row>
    <row r="378" spans="2:3" x14ac:dyDescent="0.25">
      <c r="B378" s="292"/>
      <c r="C378" s="292"/>
    </row>
    <row r="379" spans="2:3" x14ac:dyDescent="0.25">
      <c r="B379" s="292"/>
      <c r="C379" s="292"/>
    </row>
    <row r="380" spans="2:3" x14ac:dyDescent="0.25">
      <c r="B380" s="292"/>
      <c r="C380" s="292"/>
    </row>
    <row r="381" spans="2:3" x14ac:dyDescent="0.25">
      <c r="B381" s="292"/>
      <c r="C381" s="292"/>
    </row>
    <row r="382" spans="2:3" x14ac:dyDescent="0.25">
      <c r="B382" s="292"/>
      <c r="C382" s="292"/>
    </row>
    <row r="383" spans="2:3" x14ac:dyDescent="0.25">
      <c r="B383" s="292"/>
      <c r="C383" s="292"/>
    </row>
    <row r="384" spans="2:3" x14ac:dyDescent="0.25">
      <c r="B384" s="292"/>
      <c r="C384" s="292"/>
    </row>
    <row r="385" spans="2:3" x14ac:dyDescent="0.25">
      <c r="B385" s="292"/>
      <c r="C385" s="292"/>
    </row>
    <row r="386" spans="2:3" x14ac:dyDescent="0.25">
      <c r="B386" s="292"/>
      <c r="C386" s="292"/>
    </row>
    <row r="387" spans="2:3" x14ac:dyDescent="0.25">
      <c r="B387" s="292"/>
      <c r="C387" s="292"/>
    </row>
    <row r="388" spans="2:3" x14ac:dyDescent="0.25">
      <c r="B388" s="292"/>
      <c r="C388" s="292"/>
    </row>
    <row r="389" spans="2:3" x14ac:dyDescent="0.25">
      <c r="B389" s="292"/>
      <c r="C389" s="292"/>
    </row>
    <row r="390" spans="2:3" x14ac:dyDescent="0.25">
      <c r="B390" s="292"/>
      <c r="C390" s="292"/>
    </row>
    <row r="391" spans="2:3" x14ac:dyDescent="0.25">
      <c r="B391" s="292"/>
      <c r="C391" s="292"/>
    </row>
    <row r="392" spans="2:3" x14ac:dyDescent="0.25">
      <c r="B392" s="292"/>
      <c r="C392" s="292"/>
    </row>
    <row r="393" spans="2:3" x14ac:dyDescent="0.25">
      <c r="B393" s="292"/>
      <c r="C393" s="292"/>
    </row>
    <row r="394" spans="2:3" x14ac:dyDescent="0.25">
      <c r="B394" s="292"/>
      <c r="C394" s="292"/>
    </row>
    <row r="395" spans="2:3" x14ac:dyDescent="0.25">
      <c r="B395" s="292"/>
      <c r="C395" s="292"/>
    </row>
    <row r="396" spans="2:3" x14ac:dyDescent="0.25">
      <c r="B396" s="292"/>
      <c r="C396" s="292"/>
    </row>
    <row r="397" spans="2:3" x14ac:dyDescent="0.25">
      <c r="B397" s="292"/>
      <c r="C397" s="292"/>
    </row>
    <row r="398" spans="2:3" x14ac:dyDescent="0.25">
      <c r="B398" s="292"/>
      <c r="C398" s="292"/>
    </row>
    <row r="399" spans="2:3" x14ac:dyDescent="0.25">
      <c r="B399" s="292"/>
      <c r="C399" s="292"/>
    </row>
    <row r="400" spans="2:3" x14ac:dyDescent="0.25">
      <c r="B400" s="292"/>
      <c r="C400" s="292"/>
    </row>
    <row r="401" spans="2:3" x14ac:dyDescent="0.25">
      <c r="B401" s="292"/>
      <c r="C401" s="292"/>
    </row>
    <row r="402" spans="2:3" x14ac:dyDescent="0.25">
      <c r="B402" s="292"/>
      <c r="C402" s="292"/>
    </row>
    <row r="403" spans="2:3" x14ac:dyDescent="0.25">
      <c r="B403" s="292"/>
      <c r="C403" s="292"/>
    </row>
    <row r="404" spans="2:3" x14ac:dyDescent="0.25">
      <c r="B404" s="292"/>
      <c r="C404" s="292"/>
    </row>
    <row r="405" spans="2:3" x14ac:dyDescent="0.25">
      <c r="B405" s="292"/>
      <c r="C405" s="292"/>
    </row>
    <row r="406" spans="2:3" x14ac:dyDescent="0.25">
      <c r="B406" s="292"/>
      <c r="C406" s="292"/>
    </row>
    <row r="407" spans="2:3" x14ac:dyDescent="0.25">
      <c r="B407" s="292"/>
      <c r="C407" s="292"/>
    </row>
    <row r="408" spans="2:3" x14ac:dyDescent="0.25">
      <c r="B408" s="292"/>
      <c r="C408" s="292"/>
    </row>
    <row r="409" spans="2:3" x14ac:dyDescent="0.25">
      <c r="B409" s="292"/>
      <c r="C409" s="292"/>
    </row>
    <row r="410" spans="2:3" x14ac:dyDescent="0.25">
      <c r="B410" s="292"/>
      <c r="C410" s="292"/>
    </row>
    <row r="411" spans="2:3" x14ac:dyDescent="0.25">
      <c r="B411" s="292"/>
      <c r="C411" s="292"/>
    </row>
    <row r="412" spans="2:3" x14ac:dyDescent="0.25">
      <c r="B412" s="292"/>
      <c r="C412" s="292"/>
    </row>
    <row r="413" spans="2:3" x14ac:dyDescent="0.25">
      <c r="B413" s="292"/>
      <c r="C413" s="292"/>
    </row>
    <row r="414" spans="2:3" x14ac:dyDescent="0.25">
      <c r="B414" s="292"/>
      <c r="C414" s="292"/>
    </row>
    <row r="415" spans="2:3" x14ac:dyDescent="0.25">
      <c r="B415" s="292"/>
      <c r="C415" s="292"/>
    </row>
    <row r="416" spans="2:3" x14ac:dyDescent="0.25">
      <c r="B416" s="292"/>
      <c r="C416" s="292"/>
    </row>
    <row r="417" spans="2:3" x14ac:dyDescent="0.25">
      <c r="B417" s="292"/>
      <c r="C417" s="292"/>
    </row>
    <row r="418" spans="2:3" x14ac:dyDescent="0.25">
      <c r="B418" s="292"/>
      <c r="C418" s="292"/>
    </row>
    <row r="419" spans="2:3" x14ac:dyDescent="0.25">
      <c r="B419" s="292"/>
      <c r="C419" s="292"/>
    </row>
    <row r="420" spans="2:3" x14ac:dyDescent="0.25">
      <c r="B420" s="292"/>
      <c r="C420" s="292"/>
    </row>
    <row r="421" spans="2:3" x14ac:dyDescent="0.25">
      <c r="B421" s="292"/>
      <c r="C421" s="292"/>
    </row>
    <row r="422" spans="2:3" x14ac:dyDescent="0.25">
      <c r="B422" s="292"/>
      <c r="C422" s="292"/>
    </row>
    <row r="423" spans="2:3" x14ac:dyDescent="0.25">
      <c r="B423" s="292"/>
      <c r="C423" s="292"/>
    </row>
    <row r="424" spans="2:3" x14ac:dyDescent="0.25">
      <c r="B424" s="292"/>
      <c r="C424" s="292"/>
    </row>
    <row r="425" spans="2:3" x14ac:dyDescent="0.25">
      <c r="B425" s="292"/>
      <c r="C425" s="292"/>
    </row>
    <row r="426" spans="2:3" x14ac:dyDescent="0.25">
      <c r="B426" s="292"/>
      <c r="C426" s="292"/>
    </row>
    <row r="427" spans="2:3" x14ac:dyDescent="0.25">
      <c r="B427" s="292"/>
      <c r="C427" s="292"/>
    </row>
    <row r="428" spans="2:3" x14ac:dyDescent="0.25">
      <c r="B428" s="292"/>
      <c r="C428" s="292"/>
    </row>
    <row r="429" spans="2:3" x14ac:dyDescent="0.25">
      <c r="B429" s="292"/>
      <c r="C429" s="292"/>
    </row>
    <row r="430" spans="2:3" x14ac:dyDescent="0.25">
      <c r="B430" s="292"/>
      <c r="C430" s="292"/>
    </row>
    <row r="431" spans="2:3" x14ac:dyDescent="0.25">
      <c r="B431" s="292"/>
      <c r="C431" s="292"/>
    </row>
    <row r="432" spans="2:3" x14ac:dyDescent="0.25">
      <c r="B432" s="292"/>
      <c r="C432" s="292"/>
    </row>
    <row r="433" spans="2:3" x14ac:dyDescent="0.25">
      <c r="B433" s="292"/>
      <c r="C433" s="292"/>
    </row>
    <row r="434" spans="2:3" x14ac:dyDescent="0.25">
      <c r="B434" s="292"/>
      <c r="C434" s="292"/>
    </row>
    <row r="435" spans="2:3" x14ac:dyDescent="0.25">
      <c r="B435" s="292"/>
      <c r="C435" s="292"/>
    </row>
    <row r="436" spans="2:3" x14ac:dyDescent="0.25">
      <c r="B436" s="292"/>
      <c r="C436" s="292"/>
    </row>
    <row r="437" spans="2:3" x14ac:dyDescent="0.25">
      <c r="B437" s="292"/>
      <c r="C437" s="292"/>
    </row>
    <row r="438" spans="2:3" x14ac:dyDescent="0.25">
      <c r="B438" s="292"/>
      <c r="C438" s="292"/>
    </row>
    <row r="439" spans="2:3" x14ac:dyDescent="0.25">
      <c r="B439" s="292"/>
      <c r="C439" s="292"/>
    </row>
    <row r="440" spans="2:3" x14ac:dyDescent="0.25">
      <c r="B440" s="292"/>
      <c r="C440" s="292"/>
    </row>
    <row r="441" spans="2:3" x14ac:dyDescent="0.25">
      <c r="B441" s="292"/>
      <c r="C441" s="292"/>
    </row>
    <row r="442" spans="2:3" x14ac:dyDescent="0.25">
      <c r="B442" s="292"/>
      <c r="C442" s="292"/>
    </row>
    <row r="443" spans="2:3" x14ac:dyDescent="0.25">
      <c r="B443" s="292"/>
      <c r="C443" s="292"/>
    </row>
    <row r="444" spans="2:3" x14ac:dyDescent="0.25">
      <c r="B444" s="292"/>
      <c r="C444" s="292"/>
    </row>
    <row r="445" spans="2:3" x14ac:dyDescent="0.25">
      <c r="B445" s="292"/>
      <c r="C445" s="292"/>
    </row>
    <row r="446" spans="2:3" x14ac:dyDescent="0.25">
      <c r="B446" s="292"/>
      <c r="C446" s="292"/>
    </row>
    <row r="447" spans="2:3" x14ac:dyDescent="0.25">
      <c r="B447" s="292"/>
      <c r="C447" s="292"/>
    </row>
    <row r="448" spans="2:3" x14ac:dyDescent="0.25">
      <c r="B448" s="292"/>
      <c r="C448" s="292"/>
    </row>
    <row r="449" spans="2:3" x14ac:dyDescent="0.25">
      <c r="B449" s="292"/>
      <c r="C449" s="292"/>
    </row>
    <row r="450" spans="2:3" x14ac:dyDescent="0.25">
      <c r="B450" s="292"/>
      <c r="C450" s="292"/>
    </row>
    <row r="451" spans="2:3" x14ac:dyDescent="0.25">
      <c r="B451" s="292"/>
      <c r="C451" s="292"/>
    </row>
    <row r="452" spans="2:3" x14ac:dyDescent="0.25">
      <c r="B452" s="292"/>
      <c r="C452" s="292"/>
    </row>
    <row r="453" spans="2:3" x14ac:dyDescent="0.25">
      <c r="B453" s="292"/>
      <c r="C453" s="292"/>
    </row>
    <row r="454" spans="2:3" x14ac:dyDescent="0.25">
      <c r="B454" s="292"/>
      <c r="C454" s="292"/>
    </row>
    <row r="455" spans="2:3" x14ac:dyDescent="0.25">
      <c r="B455" s="292"/>
      <c r="C455" s="292"/>
    </row>
    <row r="456" spans="2:3" x14ac:dyDescent="0.25">
      <c r="B456" s="292"/>
      <c r="C456" s="292"/>
    </row>
    <row r="457" spans="2:3" x14ac:dyDescent="0.25">
      <c r="B457" s="292"/>
      <c r="C457" s="292"/>
    </row>
    <row r="458" spans="2:3" x14ac:dyDescent="0.25">
      <c r="B458" s="292"/>
      <c r="C458" s="292"/>
    </row>
    <row r="459" spans="2:3" x14ac:dyDescent="0.25">
      <c r="B459" s="292"/>
      <c r="C459" s="292"/>
    </row>
    <row r="460" spans="2:3" x14ac:dyDescent="0.25">
      <c r="B460" s="292"/>
      <c r="C460" s="292"/>
    </row>
    <row r="461" spans="2:3" x14ac:dyDescent="0.25">
      <c r="B461" s="292"/>
      <c r="C461" s="292"/>
    </row>
    <row r="462" spans="2:3" x14ac:dyDescent="0.25">
      <c r="B462" s="292"/>
      <c r="C462" s="292"/>
    </row>
    <row r="463" spans="2:3" x14ac:dyDescent="0.25">
      <c r="B463" s="292"/>
      <c r="C463" s="292"/>
    </row>
    <row r="464" spans="2:3" x14ac:dyDescent="0.25">
      <c r="B464" s="292"/>
      <c r="C464" s="292"/>
    </row>
    <row r="465" spans="2:3" x14ac:dyDescent="0.25">
      <c r="B465" s="292"/>
      <c r="C465" s="292"/>
    </row>
    <row r="466" spans="2:3" x14ac:dyDescent="0.25">
      <c r="B466" s="292"/>
      <c r="C466" s="292"/>
    </row>
    <row r="467" spans="2:3" x14ac:dyDescent="0.25">
      <c r="B467" s="292"/>
      <c r="C467" s="292"/>
    </row>
    <row r="468" spans="2:3" x14ac:dyDescent="0.25">
      <c r="B468" s="292"/>
      <c r="C468" s="292"/>
    </row>
    <row r="469" spans="2:3" x14ac:dyDescent="0.25">
      <c r="B469" s="292"/>
      <c r="C469" s="292"/>
    </row>
    <row r="470" spans="2:3" x14ac:dyDescent="0.25">
      <c r="B470" s="292"/>
      <c r="C470" s="292"/>
    </row>
    <row r="471" spans="2:3" x14ac:dyDescent="0.25">
      <c r="B471" s="292"/>
      <c r="C471" s="292"/>
    </row>
    <row r="472" spans="2:3" x14ac:dyDescent="0.25">
      <c r="B472" s="292"/>
      <c r="C472" s="292"/>
    </row>
    <row r="473" spans="2:3" x14ac:dyDescent="0.25">
      <c r="B473" s="292"/>
      <c r="C473" s="292"/>
    </row>
    <row r="474" spans="2:3" x14ac:dyDescent="0.25">
      <c r="B474" s="292"/>
      <c r="C474" s="292"/>
    </row>
    <row r="475" spans="2:3" x14ac:dyDescent="0.25">
      <c r="B475" s="292"/>
      <c r="C475" s="292"/>
    </row>
    <row r="476" spans="2:3" x14ac:dyDescent="0.25">
      <c r="B476" s="292"/>
      <c r="C476" s="292"/>
    </row>
    <row r="477" spans="2:3" x14ac:dyDescent="0.25">
      <c r="B477" s="292"/>
      <c r="C477" s="292"/>
    </row>
    <row r="478" spans="2:3" x14ac:dyDescent="0.25">
      <c r="B478" s="292"/>
      <c r="C478" s="292"/>
    </row>
    <row r="479" spans="2:3" x14ac:dyDescent="0.25">
      <c r="B479" s="292"/>
      <c r="C479" s="292"/>
    </row>
    <row r="480" spans="2:3" x14ac:dyDescent="0.25">
      <c r="B480" s="292"/>
      <c r="C480" s="292"/>
    </row>
    <row r="481" spans="2:3" x14ac:dyDescent="0.25">
      <c r="B481" s="292"/>
      <c r="C481" s="292"/>
    </row>
    <row r="482" spans="2:3" x14ac:dyDescent="0.25">
      <c r="B482" s="292"/>
      <c r="C482" s="292"/>
    </row>
    <row r="483" spans="2:3" x14ac:dyDescent="0.25">
      <c r="B483" s="292"/>
      <c r="C483" s="292"/>
    </row>
    <row r="484" spans="2:3" x14ac:dyDescent="0.25">
      <c r="B484" s="292"/>
      <c r="C484" s="292"/>
    </row>
    <row r="485" spans="2:3" x14ac:dyDescent="0.25">
      <c r="B485" s="292"/>
      <c r="C485" s="292"/>
    </row>
    <row r="486" spans="2:3" x14ac:dyDescent="0.25">
      <c r="B486" s="292"/>
      <c r="C486" s="292"/>
    </row>
  </sheetData>
  <sheetProtection password="8BFA" sheet="1" objects="1" scenarios="1"/>
  <pageMargins left="0" right="0" top="0" bottom="0" header="0" footer="0"/>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21"/>
  <sheetViews>
    <sheetView showGridLines="0" zoomScaleNormal="100" workbookViewId="0"/>
  </sheetViews>
  <sheetFormatPr defaultColWidth="4" defaultRowHeight="16.5" x14ac:dyDescent="0.25"/>
  <cols>
    <col min="1" max="1" width="1.7109375" style="292" customWidth="1"/>
    <col min="2" max="2" width="3.7109375" style="293" customWidth="1"/>
    <col min="3" max="3" width="3.28515625" style="294" customWidth="1"/>
    <col min="4" max="24" width="4" style="292" customWidth="1"/>
    <col min="25" max="25" width="4" style="297" customWidth="1"/>
    <col min="26" max="26" width="4" style="292" customWidth="1"/>
    <col min="27" max="28" width="4" style="292"/>
    <col min="29" max="29" width="4.42578125" style="292" customWidth="1"/>
    <col min="30" max="31" width="4.42578125" style="292" bestFit="1" customWidth="1"/>
    <col min="32" max="33" width="4" style="292"/>
    <col min="34" max="34" width="4.42578125" style="292" bestFit="1" customWidth="1"/>
    <col min="35" max="40" width="4" style="292"/>
    <col min="41" max="41" width="4.42578125" style="292" bestFit="1" customWidth="1"/>
    <col min="42" max="42" width="4" style="292"/>
    <col min="43" max="43" width="3.85546875" style="292" customWidth="1"/>
    <col min="44" max="45" width="4" style="292"/>
    <col min="46" max="46" width="4.42578125" style="292" bestFit="1" customWidth="1"/>
    <col min="47" max="16384" width="4" style="292"/>
  </cols>
  <sheetData>
    <row r="1" spans="1:32" x14ac:dyDescent="0.25">
      <c r="A1" s="480"/>
      <c r="B1" s="619"/>
      <c r="C1" s="481"/>
      <c r="D1" s="482"/>
      <c r="E1" s="482"/>
      <c r="F1" s="482"/>
      <c r="G1" s="482"/>
      <c r="H1" s="482"/>
      <c r="I1" s="482"/>
      <c r="J1" s="482"/>
      <c r="K1" s="482"/>
      <c r="L1" s="482"/>
      <c r="M1" s="482"/>
      <c r="N1" s="482"/>
      <c r="O1" s="482"/>
      <c r="P1" s="482"/>
      <c r="Q1" s="482"/>
      <c r="R1" s="482"/>
      <c r="S1" s="482"/>
      <c r="T1" s="482"/>
      <c r="U1" s="482"/>
      <c r="V1" s="482"/>
      <c r="W1" s="482"/>
      <c r="X1" s="482"/>
      <c r="Y1" s="484"/>
      <c r="Z1" s="482"/>
      <c r="AA1" s="485"/>
      <c r="AB1" s="629" t="s">
        <v>36</v>
      </c>
      <c r="AC1" s="629" t="s">
        <v>39</v>
      </c>
      <c r="AD1" s="629" t="s">
        <v>41</v>
      </c>
      <c r="AE1" s="630" t="s">
        <v>52</v>
      </c>
      <c r="AF1" s="295"/>
    </row>
    <row r="2" spans="1:32" x14ac:dyDescent="0.25">
      <c r="A2" s="486"/>
      <c r="B2" s="328" t="s">
        <v>197</v>
      </c>
      <c r="C2" s="323"/>
      <c r="D2" s="324" t="s">
        <v>69</v>
      </c>
      <c r="E2" s="324"/>
      <c r="F2" s="324"/>
      <c r="G2" s="324"/>
      <c r="H2" s="324"/>
      <c r="I2" s="324"/>
      <c r="J2" s="324"/>
      <c r="K2" s="324"/>
      <c r="L2" s="324"/>
      <c r="M2" s="324"/>
      <c r="N2" s="324"/>
      <c r="O2" s="324"/>
      <c r="P2" s="324"/>
      <c r="Q2" s="324"/>
      <c r="R2" s="324"/>
      <c r="S2" s="324"/>
      <c r="T2" s="324"/>
      <c r="U2" s="324"/>
      <c r="V2" s="324"/>
      <c r="W2" s="324"/>
      <c r="X2" s="324"/>
      <c r="Y2" s="326"/>
      <c r="Z2" s="324"/>
      <c r="AA2" s="487"/>
      <c r="AB2" s="326"/>
      <c r="AC2" s="326"/>
      <c r="AD2" s="326"/>
      <c r="AE2" s="620"/>
      <c r="AF2" s="295"/>
    </row>
    <row r="3" spans="1:32" x14ac:dyDescent="0.3">
      <c r="A3" s="486"/>
      <c r="B3" s="389"/>
      <c r="C3" s="323"/>
      <c r="D3" s="324" t="s">
        <v>82</v>
      </c>
      <c r="E3" s="324"/>
      <c r="F3" s="324"/>
      <c r="G3" s="324"/>
      <c r="H3" s="324"/>
      <c r="I3" s="324"/>
      <c r="J3" s="324"/>
      <c r="K3" s="324"/>
      <c r="L3" s="324"/>
      <c r="M3" s="324"/>
      <c r="N3" s="324"/>
      <c r="O3" s="324"/>
      <c r="P3" s="324"/>
      <c r="Q3" s="324"/>
      <c r="R3" s="324"/>
      <c r="S3" s="324"/>
      <c r="T3" s="324"/>
      <c r="U3" s="324"/>
      <c r="V3" s="324"/>
      <c r="W3" s="324"/>
      <c r="X3" s="324"/>
      <c r="Y3" s="326"/>
      <c r="Z3" s="324"/>
      <c r="AA3" s="487"/>
      <c r="AB3" s="326"/>
      <c r="AC3" s="326"/>
      <c r="AD3" s="326"/>
      <c r="AE3" s="620"/>
      <c r="AF3" s="295"/>
    </row>
    <row r="4" spans="1:32" x14ac:dyDescent="0.25">
      <c r="A4" s="486"/>
      <c r="B4" s="390"/>
      <c r="C4" s="323"/>
      <c r="D4" s="324" t="s">
        <v>71</v>
      </c>
      <c r="E4" s="324"/>
      <c r="F4" s="324"/>
      <c r="G4" s="324"/>
      <c r="H4" s="324"/>
      <c r="I4" s="324"/>
      <c r="J4" s="324"/>
      <c r="K4" s="324"/>
      <c r="L4" s="324"/>
      <c r="M4" s="324"/>
      <c r="N4" s="324"/>
      <c r="O4" s="324"/>
      <c r="P4" s="324"/>
      <c r="Q4" s="324"/>
      <c r="R4" s="324"/>
      <c r="S4" s="324"/>
      <c r="T4" s="324"/>
      <c r="U4" s="324"/>
      <c r="V4" s="324"/>
      <c r="W4" s="324"/>
      <c r="X4" s="324"/>
      <c r="Y4" s="326"/>
      <c r="Z4" s="324"/>
      <c r="AA4" s="487"/>
      <c r="AB4" s="326"/>
      <c r="AC4" s="384"/>
      <c r="AD4" s="384"/>
      <c r="AE4" s="620"/>
      <c r="AF4" s="295"/>
    </row>
    <row r="5" spans="1:32" x14ac:dyDescent="0.25">
      <c r="A5" s="486"/>
      <c r="B5" s="328"/>
      <c r="C5" s="323"/>
      <c r="D5" s="324" t="s">
        <v>188</v>
      </c>
      <c r="E5" s="324"/>
      <c r="F5" s="324"/>
      <c r="G5" s="324"/>
      <c r="H5" s="324"/>
      <c r="I5" s="324"/>
      <c r="J5" s="324"/>
      <c r="K5" s="324"/>
      <c r="L5" s="324"/>
      <c r="M5" s="324"/>
      <c r="N5" s="324"/>
      <c r="O5" s="324"/>
      <c r="P5" s="324"/>
      <c r="Q5" s="324"/>
      <c r="R5" s="324"/>
      <c r="S5" s="324"/>
      <c r="T5" s="324"/>
      <c r="U5" s="324"/>
      <c r="V5" s="324"/>
      <c r="W5" s="324"/>
      <c r="X5" s="324"/>
      <c r="Y5" s="326"/>
      <c r="Z5" s="324"/>
      <c r="AA5" s="487"/>
      <c r="AB5" s="326"/>
      <c r="AC5" s="384"/>
      <c r="AD5" s="384"/>
      <c r="AE5" s="620"/>
      <c r="AF5" s="295"/>
    </row>
    <row r="6" spans="1:32" ht="18" x14ac:dyDescent="0.25">
      <c r="A6" s="486"/>
      <c r="B6" s="391"/>
      <c r="C6" s="323"/>
      <c r="D6" s="324" t="s">
        <v>308</v>
      </c>
      <c r="E6" s="324"/>
      <c r="F6" s="324"/>
      <c r="G6" s="324"/>
      <c r="H6" s="324"/>
      <c r="I6" s="324"/>
      <c r="J6" s="324"/>
      <c r="K6" s="324"/>
      <c r="L6" s="324"/>
      <c r="M6" s="324"/>
      <c r="N6" s="324"/>
      <c r="O6" s="324"/>
      <c r="P6" s="324"/>
      <c r="Q6" s="324"/>
      <c r="R6" s="324"/>
      <c r="S6" s="324"/>
      <c r="T6" s="324"/>
      <c r="U6" s="324"/>
      <c r="V6" s="324"/>
      <c r="W6" s="324"/>
      <c r="X6" s="324"/>
      <c r="Y6" s="326"/>
      <c r="Z6" s="324"/>
      <c r="AA6" s="487"/>
      <c r="AB6" s="326"/>
      <c r="AC6" s="385"/>
      <c r="AD6" s="385"/>
      <c r="AE6" s="620"/>
      <c r="AF6" s="295"/>
    </row>
    <row r="7" spans="1:32" x14ac:dyDescent="0.25">
      <c r="A7" s="486"/>
      <c r="B7" s="328"/>
      <c r="C7" s="323"/>
      <c r="D7" s="324" t="s">
        <v>309</v>
      </c>
      <c r="E7" s="324"/>
      <c r="F7" s="324"/>
      <c r="G7" s="324"/>
      <c r="H7" s="324"/>
      <c r="I7" s="324"/>
      <c r="J7" s="324"/>
      <c r="K7" s="324"/>
      <c r="L7" s="324"/>
      <c r="M7" s="324"/>
      <c r="N7" s="324"/>
      <c r="O7" s="324"/>
      <c r="P7" s="324"/>
      <c r="Q7" s="324"/>
      <c r="R7" s="324"/>
      <c r="S7" s="324"/>
      <c r="T7" s="324"/>
      <c r="U7" s="324"/>
      <c r="V7" s="324"/>
      <c r="W7" s="324"/>
      <c r="X7" s="324"/>
      <c r="Y7" s="326"/>
      <c r="Z7" s="324"/>
      <c r="AA7" s="487"/>
      <c r="AB7" s="326"/>
      <c r="AC7" s="326"/>
      <c r="AD7" s="326"/>
      <c r="AE7" s="620"/>
      <c r="AF7" s="295"/>
    </row>
    <row r="8" spans="1:32" x14ac:dyDescent="0.25">
      <c r="A8" s="486"/>
      <c r="B8" s="328"/>
      <c r="C8" s="323"/>
      <c r="D8" s="296"/>
      <c r="E8" s="296"/>
      <c r="F8" s="296"/>
      <c r="G8" s="296"/>
      <c r="H8" s="296"/>
      <c r="I8" s="296"/>
      <c r="J8" s="296"/>
      <c r="K8" s="296"/>
      <c r="L8" s="296"/>
      <c r="M8" s="296"/>
      <c r="N8" s="296"/>
      <c r="O8" s="296"/>
      <c r="P8" s="296"/>
      <c r="Q8" s="296"/>
      <c r="R8" s="296"/>
      <c r="S8" s="296"/>
      <c r="T8" s="296"/>
      <c r="U8" s="296"/>
      <c r="V8" s="296"/>
      <c r="W8" s="296"/>
      <c r="X8" s="296"/>
      <c r="Y8" s="295"/>
      <c r="Z8" s="324"/>
      <c r="AA8" s="487"/>
      <c r="AB8" s="326"/>
      <c r="AC8" s="326"/>
      <c r="AD8" s="326"/>
      <c r="AE8" s="620"/>
      <c r="AF8" s="295"/>
    </row>
    <row r="9" spans="1:32" x14ac:dyDescent="0.25">
      <c r="A9" s="486"/>
      <c r="B9" s="328"/>
      <c r="C9" s="323"/>
      <c r="D9" s="296" t="s">
        <v>279</v>
      </c>
      <c r="E9" s="296"/>
      <c r="F9" s="296"/>
      <c r="G9" s="296"/>
      <c r="H9" s="296"/>
      <c r="I9" s="296"/>
      <c r="J9" s="296"/>
      <c r="K9" s="296"/>
      <c r="L9" s="296"/>
      <c r="M9" s="296"/>
      <c r="N9" s="296"/>
      <c r="O9" s="296"/>
      <c r="P9" s="296"/>
      <c r="Q9" s="296"/>
      <c r="R9" s="296"/>
      <c r="S9" s="296"/>
      <c r="T9" s="296"/>
      <c r="U9" s="296"/>
      <c r="V9" s="296"/>
      <c r="W9" s="296"/>
      <c r="X9" s="296"/>
      <c r="Y9" s="295"/>
      <c r="Z9" s="324"/>
      <c r="AA9" s="487"/>
      <c r="AB9" s="326"/>
      <c r="AC9" s="326"/>
      <c r="AD9" s="326"/>
      <c r="AE9" s="620"/>
      <c r="AF9" s="295"/>
    </row>
    <row r="10" spans="1:32" x14ac:dyDescent="0.25">
      <c r="A10" s="486"/>
      <c r="B10" s="328"/>
      <c r="C10" s="323"/>
      <c r="D10" s="324" t="s">
        <v>304</v>
      </c>
      <c r="E10" s="324"/>
      <c r="F10" s="324"/>
      <c r="G10" s="324"/>
      <c r="H10" s="324"/>
      <c r="I10" s="324"/>
      <c r="J10" s="324"/>
      <c r="K10" s="324"/>
      <c r="L10" s="324"/>
      <c r="M10" s="324"/>
      <c r="N10" s="324"/>
      <c r="O10" s="324"/>
      <c r="P10" s="324"/>
      <c r="Q10" s="324"/>
      <c r="R10" s="324"/>
      <c r="S10" s="324"/>
      <c r="T10" s="324"/>
      <c r="U10" s="324"/>
      <c r="V10" s="324"/>
      <c r="W10" s="324"/>
      <c r="X10" s="324"/>
      <c r="Y10" s="326"/>
      <c r="Z10" s="324"/>
      <c r="AA10" s="487"/>
      <c r="AB10" s="326"/>
      <c r="AC10" s="326"/>
      <c r="AD10" s="326"/>
      <c r="AE10" s="620"/>
      <c r="AF10" s="295"/>
    </row>
    <row r="11" spans="1:32" x14ac:dyDescent="0.25">
      <c r="A11" s="486"/>
      <c r="B11" s="328"/>
      <c r="C11" s="323"/>
      <c r="D11" s="296" t="s">
        <v>280</v>
      </c>
      <c r="E11" s="296"/>
      <c r="F11" s="296"/>
      <c r="G11" s="296"/>
      <c r="H11" s="296"/>
      <c r="I11" s="296"/>
      <c r="J11" s="296"/>
      <c r="K11" s="296"/>
      <c r="L11" s="296"/>
      <c r="M11" s="296"/>
      <c r="N11" s="296"/>
      <c r="O11" s="296"/>
      <c r="P11" s="296"/>
      <c r="Q11" s="296"/>
      <c r="R11" s="296"/>
      <c r="S11" s="296"/>
      <c r="T11" s="296"/>
      <c r="U11" s="296"/>
      <c r="V11" s="296"/>
      <c r="W11" s="296"/>
      <c r="X11" s="296"/>
      <c r="Y11" s="295"/>
      <c r="Z11" s="324"/>
      <c r="AA11" s="487"/>
      <c r="AB11" s="326"/>
      <c r="AC11" s="326"/>
      <c r="AD11" s="326"/>
      <c r="AE11" s="620"/>
      <c r="AF11" s="295"/>
    </row>
    <row r="12" spans="1:32" x14ac:dyDescent="0.25">
      <c r="A12" s="486"/>
      <c r="B12" s="328"/>
      <c r="C12" s="323"/>
      <c r="D12" s="324" t="s">
        <v>200</v>
      </c>
      <c r="E12" s="324"/>
      <c r="F12" s="324"/>
      <c r="G12" s="324"/>
      <c r="H12" s="324"/>
      <c r="I12" s="324"/>
      <c r="J12" s="324"/>
      <c r="K12" s="324"/>
      <c r="L12" s="324"/>
      <c r="M12" s="324"/>
      <c r="N12" s="324"/>
      <c r="O12" s="324"/>
      <c r="P12" s="324"/>
      <c r="Q12" s="324"/>
      <c r="R12" s="324"/>
      <c r="S12" s="324"/>
      <c r="T12" s="324"/>
      <c r="U12" s="324"/>
      <c r="V12" s="324"/>
      <c r="W12" s="324"/>
      <c r="X12" s="324"/>
      <c r="Y12" s="326"/>
      <c r="Z12" s="324"/>
      <c r="AA12" s="487"/>
      <c r="AB12" s="326"/>
      <c r="AC12" s="326"/>
      <c r="AD12" s="326"/>
      <c r="AE12" s="620"/>
      <c r="AF12" s="295"/>
    </row>
    <row r="13" spans="1:32" x14ac:dyDescent="0.25">
      <c r="A13" s="486"/>
      <c r="B13" s="328"/>
      <c r="C13" s="323"/>
      <c r="D13" s="324" t="s">
        <v>72</v>
      </c>
      <c r="E13" s="324"/>
      <c r="F13" s="324"/>
      <c r="G13" s="324"/>
      <c r="H13" s="324"/>
      <c r="I13" s="324"/>
      <c r="J13" s="324"/>
      <c r="K13" s="324"/>
      <c r="L13" s="324"/>
      <c r="M13" s="324"/>
      <c r="N13" s="324"/>
      <c r="O13" s="324"/>
      <c r="P13" s="324"/>
      <c r="Q13" s="324"/>
      <c r="R13" s="324"/>
      <c r="S13" s="324"/>
      <c r="T13" s="324"/>
      <c r="U13" s="324"/>
      <c r="V13" s="324"/>
      <c r="W13" s="324"/>
      <c r="X13" s="324"/>
      <c r="Y13" s="326"/>
      <c r="Z13" s="324"/>
      <c r="AA13" s="487"/>
      <c r="AB13" s="326"/>
      <c r="AC13" s="326"/>
      <c r="AD13" s="326"/>
      <c r="AE13" s="620"/>
      <c r="AF13" s="295"/>
    </row>
    <row r="14" spans="1:32" x14ac:dyDescent="0.25">
      <c r="A14" s="486"/>
      <c r="B14" s="328"/>
      <c r="C14" s="323"/>
      <c r="D14" s="324" t="s">
        <v>285</v>
      </c>
      <c r="E14" s="324"/>
      <c r="F14" s="324"/>
      <c r="G14" s="324"/>
      <c r="H14" s="324"/>
      <c r="I14" s="324"/>
      <c r="J14" s="324"/>
      <c r="K14" s="324"/>
      <c r="L14" s="324"/>
      <c r="M14" s="324"/>
      <c r="N14" s="324"/>
      <c r="O14" s="324"/>
      <c r="P14" s="324"/>
      <c r="Q14" s="324"/>
      <c r="R14" s="324"/>
      <c r="S14" s="324"/>
      <c r="T14" s="324"/>
      <c r="U14" s="324"/>
      <c r="V14" s="324"/>
      <c r="W14" s="324"/>
      <c r="X14" s="324"/>
      <c r="Y14" s="326"/>
      <c r="Z14" s="324"/>
      <c r="AA14" s="487"/>
      <c r="AB14" s="326"/>
      <c r="AC14" s="326"/>
      <c r="AD14" s="326"/>
      <c r="AE14" s="620"/>
      <c r="AF14" s="295"/>
    </row>
    <row r="15" spans="1:32" x14ac:dyDescent="0.25">
      <c r="A15" s="486"/>
      <c r="B15" s="328"/>
      <c r="C15" s="323"/>
      <c r="D15" s="324" t="s">
        <v>305</v>
      </c>
      <c r="E15" s="324"/>
      <c r="F15" s="324"/>
      <c r="G15" s="324"/>
      <c r="H15" s="324"/>
      <c r="I15" s="324"/>
      <c r="J15" s="324"/>
      <c r="K15" s="324"/>
      <c r="L15" s="324"/>
      <c r="M15" s="324"/>
      <c r="N15" s="324"/>
      <c r="O15" s="324"/>
      <c r="P15" s="324"/>
      <c r="Q15" s="324"/>
      <c r="R15" s="324"/>
      <c r="S15" s="324"/>
      <c r="T15" s="324"/>
      <c r="U15" s="324"/>
      <c r="V15" s="324"/>
      <c r="W15" s="324"/>
      <c r="X15" s="324"/>
      <c r="Y15" s="326"/>
      <c r="Z15" s="324"/>
      <c r="AA15" s="487"/>
      <c r="AB15" s="326"/>
      <c r="AC15" s="326"/>
      <c r="AD15" s="326"/>
      <c r="AE15" s="620"/>
      <c r="AF15" s="295"/>
    </row>
    <row r="16" spans="1:32" x14ac:dyDescent="0.25">
      <c r="A16" s="486"/>
      <c r="B16" s="328"/>
      <c r="C16" s="323"/>
      <c r="D16" s="296"/>
      <c r="E16" s="296"/>
      <c r="F16" s="296"/>
      <c r="G16" s="296"/>
      <c r="H16" s="296"/>
      <c r="I16" s="296"/>
      <c r="J16" s="296"/>
      <c r="K16" s="296"/>
      <c r="L16" s="296"/>
      <c r="M16" s="296"/>
      <c r="N16" s="296"/>
      <c r="O16" s="296"/>
      <c r="P16" s="296"/>
      <c r="Q16" s="296"/>
      <c r="R16" s="296"/>
      <c r="S16" s="296"/>
      <c r="T16" s="296"/>
      <c r="U16" s="296"/>
      <c r="V16" s="296"/>
      <c r="W16" s="296"/>
      <c r="X16" s="296"/>
      <c r="Y16" s="295"/>
      <c r="Z16" s="324"/>
      <c r="AA16" s="487"/>
      <c r="AB16" s="326"/>
      <c r="AC16" s="384"/>
      <c r="AD16" s="384"/>
      <c r="AE16" s="620"/>
      <c r="AF16" s="295"/>
    </row>
    <row r="17" spans="1:32" x14ac:dyDescent="0.25">
      <c r="A17" s="486"/>
      <c r="B17" s="328"/>
      <c r="C17" s="323"/>
      <c r="D17" s="324" t="s">
        <v>284</v>
      </c>
      <c r="E17" s="324"/>
      <c r="F17" s="324"/>
      <c r="G17" s="324"/>
      <c r="H17" s="324"/>
      <c r="I17" s="324"/>
      <c r="J17" s="324"/>
      <c r="K17" s="324"/>
      <c r="L17" s="324"/>
      <c r="M17" s="324"/>
      <c r="N17" s="324"/>
      <c r="O17" s="324"/>
      <c r="P17" s="324"/>
      <c r="Q17" s="324"/>
      <c r="R17" s="324"/>
      <c r="S17" s="324"/>
      <c r="T17" s="324"/>
      <c r="U17" s="324"/>
      <c r="V17" s="324"/>
      <c r="W17" s="324"/>
      <c r="X17" s="324"/>
      <c r="Y17" s="326"/>
      <c r="Z17" s="324"/>
      <c r="AA17" s="487"/>
      <c r="AB17" s="326"/>
      <c r="AC17" s="384"/>
      <c r="AD17" s="384"/>
      <c r="AE17" s="620"/>
      <c r="AF17" s="295"/>
    </row>
    <row r="18" spans="1:32" x14ac:dyDescent="0.25">
      <c r="A18" s="486"/>
      <c r="B18" s="328"/>
      <c r="C18" s="323"/>
      <c r="D18" s="324" t="s">
        <v>281</v>
      </c>
      <c r="E18" s="324"/>
      <c r="F18" s="324"/>
      <c r="G18" s="324"/>
      <c r="H18" s="324"/>
      <c r="I18" s="324"/>
      <c r="J18" s="324"/>
      <c r="K18" s="324"/>
      <c r="L18" s="324"/>
      <c r="M18" s="324"/>
      <c r="N18" s="324"/>
      <c r="O18" s="324"/>
      <c r="P18" s="324"/>
      <c r="Q18" s="324"/>
      <c r="R18" s="324"/>
      <c r="S18" s="324"/>
      <c r="T18" s="324"/>
      <c r="U18" s="324"/>
      <c r="V18" s="324"/>
      <c r="W18" s="324"/>
      <c r="X18" s="324"/>
      <c r="Y18" s="326"/>
      <c r="Z18" s="324"/>
      <c r="AA18" s="487"/>
      <c r="AB18" s="326"/>
      <c r="AC18" s="385"/>
      <c r="AD18" s="385"/>
      <c r="AE18" s="620"/>
      <c r="AF18" s="295"/>
    </row>
    <row r="19" spans="1:32" x14ac:dyDescent="0.25">
      <c r="A19" s="486"/>
      <c r="B19" s="328"/>
      <c r="C19" s="323"/>
      <c r="D19" s="324" t="s">
        <v>282</v>
      </c>
      <c r="E19" s="324"/>
      <c r="F19" s="324"/>
      <c r="G19" s="324"/>
      <c r="H19" s="324"/>
      <c r="I19" s="324"/>
      <c r="J19" s="324"/>
      <c r="K19" s="324"/>
      <c r="L19" s="324"/>
      <c r="M19" s="324"/>
      <c r="N19" s="324"/>
      <c r="O19" s="324"/>
      <c r="P19" s="324"/>
      <c r="Q19" s="324"/>
      <c r="R19" s="324"/>
      <c r="S19" s="324"/>
      <c r="T19" s="324"/>
      <c r="U19" s="324"/>
      <c r="V19" s="324"/>
      <c r="W19" s="324"/>
      <c r="X19" s="324"/>
      <c r="Y19" s="326"/>
      <c r="Z19" s="324"/>
      <c r="AA19" s="487"/>
      <c r="AB19" s="326"/>
      <c r="AC19" s="326"/>
      <c r="AD19" s="326"/>
      <c r="AE19" s="620"/>
      <c r="AF19" s="295"/>
    </row>
    <row r="20" spans="1:32" x14ac:dyDescent="0.25">
      <c r="A20" s="486"/>
      <c r="B20" s="328"/>
      <c r="C20" s="323"/>
      <c r="D20" s="324" t="s">
        <v>283</v>
      </c>
      <c r="E20" s="324"/>
      <c r="F20" s="324"/>
      <c r="G20" s="324"/>
      <c r="H20" s="324"/>
      <c r="I20" s="324"/>
      <c r="J20" s="324"/>
      <c r="K20" s="324"/>
      <c r="L20" s="324"/>
      <c r="M20" s="324"/>
      <c r="N20" s="324"/>
      <c r="O20" s="324"/>
      <c r="P20" s="324"/>
      <c r="Q20" s="324"/>
      <c r="R20" s="324"/>
      <c r="S20" s="324"/>
      <c r="T20" s="324"/>
      <c r="U20" s="324"/>
      <c r="V20" s="324"/>
      <c r="W20" s="324"/>
      <c r="X20" s="324"/>
      <c r="Y20" s="326"/>
      <c r="Z20" s="324"/>
      <c r="AA20" s="487"/>
      <c r="AB20" s="326"/>
      <c r="AC20" s="326"/>
      <c r="AD20" s="326"/>
      <c r="AE20" s="620"/>
      <c r="AF20" s="295"/>
    </row>
    <row r="21" spans="1:32" x14ac:dyDescent="0.25">
      <c r="A21" s="486"/>
      <c r="B21" s="328"/>
      <c r="C21" s="323"/>
      <c r="D21" s="324"/>
      <c r="E21" s="324"/>
      <c r="F21" s="324"/>
      <c r="G21" s="324"/>
      <c r="H21" s="324"/>
      <c r="I21" s="324"/>
      <c r="J21" s="324"/>
      <c r="K21" s="324"/>
      <c r="L21" s="324"/>
      <c r="M21" s="324"/>
      <c r="N21" s="324"/>
      <c r="O21" s="324"/>
      <c r="P21" s="324"/>
      <c r="Q21" s="324"/>
      <c r="R21" s="324"/>
      <c r="S21" s="324"/>
      <c r="T21" s="324"/>
      <c r="U21" s="324"/>
      <c r="V21" s="324"/>
      <c r="W21" s="324"/>
      <c r="X21" s="324"/>
      <c r="Y21" s="326"/>
      <c r="Z21" s="324"/>
      <c r="AA21" s="487"/>
      <c r="AB21" s="326"/>
      <c r="AC21" s="326"/>
      <c r="AD21" s="326"/>
      <c r="AE21" s="620"/>
      <c r="AF21" s="295"/>
    </row>
    <row r="22" spans="1:32" x14ac:dyDescent="0.25">
      <c r="A22" s="486"/>
      <c r="B22" s="328" t="s">
        <v>198</v>
      </c>
      <c r="C22" s="323"/>
      <c r="D22" s="324" t="s">
        <v>112</v>
      </c>
      <c r="E22" s="324"/>
      <c r="F22" s="324"/>
      <c r="G22" s="324"/>
      <c r="H22" s="324"/>
      <c r="I22" s="324"/>
      <c r="J22" s="324"/>
      <c r="K22" s="324"/>
      <c r="L22" s="324"/>
      <c r="M22" s="324"/>
      <c r="N22" s="324"/>
      <c r="O22" s="324"/>
      <c r="P22" s="324"/>
      <c r="Q22" s="324"/>
      <c r="R22" s="324"/>
      <c r="S22" s="324"/>
      <c r="T22" s="324"/>
      <c r="U22" s="324"/>
      <c r="V22" s="324"/>
      <c r="W22" s="324"/>
      <c r="X22" s="324"/>
      <c r="Y22" s="326"/>
      <c r="Z22" s="324"/>
      <c r="AA22" s="487"/>
      <c r="AB22" s="326"/>
      <c r="AC22" s="326"/>
      <c r="AD22" s="326"/>
      <c r="AE22" s="620"/>
      <c r="AF22" s="295"/>
    </row>
    <row r="23" spans="1:32" x14ac:dyDescent="0.25">
      <c r="A23" s="486"/>
      <c r="B23" s="328"/>
      <c r="C23" s="323"/>
      <c r="D23" s="324" t="s">
        <v>201</v>
      </c>
      <c r="E23" s="324"/>
      <c r="F23" s="324"/>
      <c r="G23" s="324"/>
      <c r="H23" s="324"/>
      <c r="I23" s="324"/>
      <c r="J23" s="324"/>
      <c r="K23" s="324"/>
      <c r="L23" s="324"/>
      <c r="M23" s="324"/>
      <c r="N23" s="324"/>
      <c r="O23" s="324"/>
      <c r="P23" s="324"/>
      <c r="Q23" s="324"/>
      <c r="R23" s="324"/>
      <c r="S23" s="324"/>
      <c r="T23" s="324"/>
      <c r="U23" s="324"/>
      <c r="V23" s="324"/>
      <c r="W23" s="324"/>
      <c r="X23" s="324"/>
      <c r="Y23" s="326"/>
      <c r="Z23" s="324"/>
      <c r="AA23" s="487"/>
      <c r="AB23" s="326"/>
      <c r="AC23" s="326"/>
      <c r="AD23" s="326"/>
      <c r="AE23" s="620"/>
      <c r="AF23" s="295"/>
    </row>
    <row r="24" spans="1:32" x14ac:dyDescent="0.25">
      <c r="A24" s="486"/>
      <c r="B24" s="328"/>
      <c r="C24" s="323"/>
      <c r="D24" s="324" t="s">
        <v>202</v>
      </c>
      <c r="E24" s="324"/>
      <c r="F24" s="324"/>
      <c r="G24" s="324"/>
      <c r="H24" s="324"/>
      <c r="I24" s="324"/>
      <c r="J24" s="324"/>
      <c r="K24" s="324"/>
      <c r="L24" s="324"/>
      <c r="M24" s="324"/>
      <c r="N24" s="324"/>
      <c r="O24" s="324"/>
      <c r="P24" s="324"/>
      <c r="Q24" s="324"/>
      <c r="R24" s="324"/>
      <c r="S24" s="324"/>
      <c r="T24" s="324"/>
      <c r="U24" s="324"/>
      <c r="V24" s="324"/>
      <c r="W24" s="324"/>
      <c r="X24" s="324"/>
      <c r="Y24" s="326"/>
      <c r="Z24" s="324"/>
      <c r="AA24" s="487"/>
      <c r="AB24" s="326"/>
      <c r="AC24" s="326"/>
      <c r="AD24" s="326"/>
      <c r="AE24" s="620"/>
      <c r="AF24" s="295"/>
    </row>
    <row r="25" spans="1:32" x14ac:dyDescent="0.25">
      <c r="A25" s="486"/>
      <c r="B25" s="328"/>
      <c r="C25" s="323"/>
      <c r="D25" s="324" t="s">
        <v>203</v>
      </c>
      <c r="E25" s="324"/>
      <c r="F25" s="324"/>
      <c r="G25" s="324"/>
      <c r="H25" s="324"/>
      <c r="I25" s="324"/>
      <c r="J25" s="324"/>
      <c r="K25" s="324"/>
      <c r="L25" s="324"/>
      <c r="M25" s="324"/>
      <c r="N25" s="324"/>
      <c r="O25" s="324"/>
      <c r="P25" s="324"/>
      <c r="Q25" s="324"/>
      <c r="R25" s="324"/>
      <c r="S25" s="324"/>
      <c r="T25" s="324"/>
      <c r="U25" s="324"/>
      <c r="V25" s="324"/>
      <c r="W25" s="324"/>
      <c r="X25" s="324"/>
      <c r="Y25" s="326"/>
      <c r="Z25" s="324"/>
      <c r="AA25" s="487"/>
      <c r="AB25" s="326"/>
      <c r="AC25" s="384"/>
      <c r="AD25" s="384"/>
      <c r="AE25" s="620"/>
      <c r="AF25" s="295"/>
    </row>
    <row r="26" spans="1:32" x14ac:dyDescent="0.25">
      <c r="A26" s="486"/>
      <c r="B26" s="328"/>
      <c r="C26" s="323"/>
      <c r="D26" s="324" t="s">
        <v>204</v>
      </c>
      <c r="E26" s="324"/>
      <c r="F26" s="324"/>
      <c r="G26" s="324"/>
      <c r="H26" s="324"/>
      <c r="I26" s="324"/>
      <c r="J26" s="324"/>
      <c r="K26" s="324"/>
      <c r="L26" s="324"/>
      <c r="M26" s="324"/>
      <c r="N26" s="324"/>
      <c r="O26" s="324"/>
      <c r="P26" s="324"/>
      <c r="Q26" s="324"/>
      <c r="R26" s="324"/>
      <c r="S26" s="324"/>
      <c r="T26" s="324"/>
      <c r="U26" s="324"/>
      <c r="V26" s="324"/>
      <c r="W26" s="324"/>
      <c r="X26" s="324"/>
      <c r="Y26" s="326"/>
      <c r="Z26" s="324"/>
      <c r="AA26" s="487"/>
      <c r="AB26" s="326"/>
      <c r="AC26" s="384"/>
      <c r="AD26" s="384"/>
      <c r="AE26" s="620"/>
      <c r="AF26" s="295"/>
    </row>
    <row r="27" spans="1:32" x14ac:dyDescent="0.25">
      <c r="A27" s="486"/>
      <c r="B27" s="328"/>
      <c r="C27" s="323"/>
      <c r="D27" s="324" t="s">
        <v>205</v>
      </c>
      <c r="E27" s="324"/>
      <c r="F27" s="324"/>
      <c r="G27" s="324"/>
      <c r="H27" s="324"/>
      <c r="I27" s="324"/>
      <c r="J27" s="324"/>
      <c r="K27" s="324"/>
      <c r="L27" s="324"/>
      <c r="M27" s="324"/>
      <c r="N27" s="324"/>
      <c r="O27" s="324"/>
      <c r="P27" s="324"/>
      <c r="Q27" s="324"/>
      <c r="R27" s="324"/>
      <c r="S27" s="324"/>
      <c r="T27" s="324"/>
      <c r="U27" s="324"/>
      <c r="V27" s="324"/>
      <c r="W27" s="324"/>
      <c r="X27" s="324"/>
      <c r="Y27" s="326"/>
      <c r="Z27" s="324"/>
      <c r="AA27" s="487"/>
      <c r="AB27" s="326"/>
      <c r="AC27" s="384"/>
      <c r="AD27" s="384"/>
      <c r="AE27" s="620"/>
      <c r="AF27" s="295"/>
    </row>
    <row r="28" spans="1:32" x14ac:dyDescent="0.25">
      <c r="A28" s="486"/>
      <c r="B28" s="328"/>
      <c r="C28" s="323"/>
      <c r="D28" s="324" t="s">
        <v>113</v>
      </c>
      <c r="E28" s="324"/>
      <c r="F28" s="324"/>
      <c r="G28" s="324"/>
      <c r="H28" s="324"/>
      <c r="I28" s="324"/>
      <c r="J28" s="324"/>
      <c r="K28" s="324"/>
      <c r="L28" s="324"/>
      <c r="M28" s="324"/>
      <c r="N28" s="324"/>
      <c r="O28" s="324"/>
      <c r="P28" s="324"/>
      <c r="Q28" s="324"/>
      <c r="R28" s="324"/>
      <c r="S28" s="324"/>
      <c r="T28" s="324"/>
      <c r="U28" s="324"/>
      <c r="V28" s="324"/>
      <c r="W28" s="324"/>
      <c r="X28" s="324"/>
      <c r="Y28" s="326"/>
      <c r="Z28" s="324"/>
      <c r="AA28" s="487"/>
      <c r="AB28" s="326"/>
      <c r="AC28" s="385"/>
      <c r="AD28" s="385"/>
      <c r="AE28" s="621"/>
      <c r="AF28" s="295"/>
    </row>
    <row r="29" spans="1:32" x14ac:dyDescent="0.25">
      <c r="A29" s="486"/>
      <c r="B29" s="328"/>
      <c r="C29" s="323"/>
      <c r="D29" s="324"/>
      <c r="E29" s="324"/>
      <c r="F29" s="324"/>
      <c r="G29" s="324"/>
      <c r="H29" s="324"/>
      <c r="I29" s="324"/>
      <c r="J29" s="324"/>
      <c r="K29" s="324"/>
      <c r="L29" s="324"/>
      <c r="M29" s="324"/>
      <c r="N29" s="324"/>
      <c r="O29" s="324"/>
      <c r="P29" s="324"/>
      <c r="Q29" s="324"/>
      <c r="R29" s="324"/>
      <c r="S29" s="324"/>
      <c r="T29" s="324"/>
      <c r="U29" s="324"/>
      <c r="V29" s="324"/>
      <c r="W29" s="324"/>
      <c r="X29" s="324"/>
      <c r="Y29" s="326"/>
      <c r="Z29" s="324"/>
      <c r="AA29" s="487"/>
      <c r="AB29" s="326"/>
      <c r="AC29" s="326"/>
      <c r="AD29" s="326"/>
      <c r="AE29" s="620"/>
      <c r="AF29" s="295"/>
    </row>
    <row r="30" spans="1:32" x14ac:dyDescent="0.25">
      <c r="A30" s="486"/>
      <c r="B30" s="328" t="s">
        <v>223</v>
      </c>
      <c r="C30" s="323"/>
      <c r="D30" s="324" t="s">
        <v>189</v>
      </c>
      <c r="E30" s="324"/>
      <c r="F30" s="324"/>
      <c r="G30" s="324"/>
      <c r="H30" s="324"/>
      <c r="I30" s="324"/>
      <c r="J30" s="324"/>
      <c r="K30" s="324"/>
      <c r="L30" s="324"/>
      <c r="M30" s="324"/>
      <c r="N30" s="324"/>
      <c r="O30" s="324"/>
      <c r="P30" s="324"/>
      <c r="Q30" s="324"/>
      <c r="R30" s="324"/>
      <c r="S30" s="324"/>
      <c r="T30" s="324"/>
      <c r="U30" s="324"/>
      <c r="V30" s="324"/>
      <c r="W30" s="324"/>
      <c r="X30" s="324"/>
      <c r="Y30" s="326"/>
      <c r="Z30" s="324"/>
      <c r="AA30" s="487"/>
      <c r="AB30" s="326"/>
      <c r="AC30" s="326"/>
      <c r="AD30" s="326"/>
      <c r="AE30" s="620"/>
      <c r="AF30" s="295"/>
    </row>
    <row r="31" spans="1:32" x14ac:dyDescent="0.25">
      <c r="A31" s="486"/>
      <c r="B31" s="328"/>
      <c r="C31" s="323"/>
      <c r="D31" s="324" t="s">
        <v>74</v>
      </c>
      <c r="E31" s="324"/>
      <c r="F31" s="324"/>
      <c r="G31" s="324"/>
      <c r="H31" s="324"/>
      <c r="I31" s="324"/>
      <c r="J31" s="324"/>
      <c r="K31" s="324"/>
      <c r="L31" s="324"/>
      <c r="M31" s="324"/>
      <c r="N31" s="324"/>
      <c r="O31" s="324"/>
      <c r="P31" s="324"/>
      <c r="Q31" s="324"/>
      <c r="R31" s="324"/>
      <c r="S31" s="324"/>
      <c r="T31" s="324"/>
      <c r="U31" s="324"/>
      <c r="V31" s="324"/>
      <c r="W31" s="324"/>
      <c r="X31" s="324"/>
      <c r="Y31" s="326"/>
      <c r="Z31" s="324"/>
      <c r="AA31" s="487"/>
      <c r="AB31" s="326"/>
      <c r="AC31" s="326"/>
      <c r="AD31" s="326"/>
      <c r="AE31" s="620"/>
      <c r="AF31" s="295"/>
    </row>
    <row r="32" spans="1:32" x14ac:dyDescent="0.25">
      <c r="A32" s="486"/>
      <c r="B32" s="328"/>
      <c r="C32" s="323"/>
      <c r="D32" s="324" t="s">
        <v>208</v>
      </c>
      <c r="E32" s="324"/>
      <c r="F32" s="324"/>
      <c r="G32" s="324"/>
      <c r="H32" s="324"/>
      <c r="I32" s="324"/>
      <c r="J32" s="324"/>
      <c r="K32" s="324"/>
      <c r="L32" s="324"/>
      <c r="M32" s="324"/>
      <c r="N32" s="324"/>
      <c r="O32" s="324"/>
      <c r="P32" s="324"/>
      <c r="Q32" s="324"/>
      <c r="R32" s="324"/>
      <c r="S32" s="324"/>
      <c r="T32" s="324"/>
      <c r="U32" s="324"/>
      <c r="V32" s="324"/>
      <c r="W32" s="324"/>
      <c r="X32" s="324"/>
      <c r="Y32" s="326"/>
      <c r="Z32" s="324"/>
      <c r="AA32" s="487"/>
      <c r="AB32" s="326"/>
      <c r="AC32" s="326"/>
      <c r="AD32" s="326"/>
      <c r="AE32" s="620"/>
      <c r="AF32" s="295"/>
    </row>
    <row r="33" spans="1:32" x14ac:dyDescent="0.25">
      <c r="A33" s="486"/>
      <c r="B33" s="328"/>
      <c r="C33" s="323"/>
      <c r="D33" s="324" t="s">
        <v>209</v>
      </c>
      <c r="E33" s="324"/>
      <c r="F33" s="324"/>
      <c r="G33" s="324"/>
      <c r="H33" s="324"/>
      <c r="I33" s="324"/>
      <c r="J33" s="324"/>
      <c r="K33" s="324"/>
      <c r="L33" s="324"/>
      <c r="M33" s="324"/>
      <c r="N33" s="324"/>
      <c r="O33" s="324"/>
      <c r="P33" s="324"/>
      <c r="Q33" s="324"/>
      <c r="R33" s="324"/>
      <c r="S33" s="324"/>
      <c r="T33" s="324"/>
      <c r="U33" s="324"/>
      <c r="V33" s="324"/>
      <c r="W33" s="324"/>
      <c r="X33" s="324"/>
      <c r="Y33" s="326"/>
      <c r="Z33" s="324"/>
      <c r="AA33" s="487"/>
      <c r="AB33" s="326"/>
      <c r="AC33" s="326"/>
      <c r="AD33" s="326"/>
      <c r="AE33" s="620"/>
      <c r="AF33" s="295"/>
    </row>
    <row r="34" spans="1:32" x14ac:dyDescent="0.25">
      <c r="A34" s="486"/>
      <c r="B34" s="328"/>
      <c r="C34" s="323"/>
      <c r="D34" s="324" t="s">
        <v>253</v>
      </c>
      <c r="E34" s="324"/>
      <c r="F34" s="324"/>
      <c r="G34" s="324"/>
      <c r="H34" s="324"/>
      <c r="I34" s="324"/>
      <c r="J34" s="324"/>
      <c r="K34" s="324"/>
      <c r="L34" s="324"/>
      <c r="M34" s="324"/>
      <c r="N34" s="324"/>
      <c r="O34" s="324"/>
      <c r="P34" s="324"/>
      <c r="Q34" s="324"/>
      <c r="R34" s="324"/>
      <c r="S34" s="324"/>
      <c r="T34" s="324"/>
      <c r="U34" s="324"/>
      <c r="V34" s="324"/>
      <c r="W34" s="324"/>
      <c r="X34" s="324"/>
      <c r="Y34" s="326"/>
      <c r="Z34" s="324"/>
      <c r="AA34" s="487"/>
      <c r="AB34" s="326"/>
      <c r="AC34" s="384"/>
      <c r="AD34" s="384"/>
      <c r="AE34" s="622"/>
      <c r="AF34" s="295"/>
    </row>
    <row r="35" spans="1:32" x14ac:dyDescent="0.25">
      <c r="A35" s="486"/>
      <c r="B35" s="328"/>
      <c r="C35" s="323"/>
      <c r="D35" s="324" t="s">
        <v>210</v>
      </c>
      <c r="E35" s="324"/>
      <c r="F35" s="324"/>
      <c r="G35" s="324"/>
      <c r="H35" s="324"/>
      <c r="I35" s="324"/>
      <c r="J35" s="324"/>
      <c r="K35" s="324"/>
      <c r="L35" s="324"/>
      <c r="M35" s="324"/>
      <c r="N35" s="324"/>
      <c r="O35" s="324"/>
      <c r="P35" s="324"/>
      <c r="Q35" s="324"/>
      <c r="R35" s="324"/>
      <c r="S35" s="324"/>
      <c r="T35" s="324"/>
      <c r="U35" s="324"/>
      <c r="V35" s="324"/>
      <c r="W35" s="324"/>
      <c r="X35" s="324"/>
      <c r="Y35" s="326"/>
      <c r="Z35" s="324"/>
      <c r="AA35" s="487"/>
      <c r="AB35" s="326"/>
      <c r="AC35" s="384"/>
      <c r="AD35" s="384"/>
      <c r="AE35" s="622"/>
      <c r="AF35" s="295"/>
    </row>
    <row r="36" spans="1:32" x14ac:dyDescent="0.25">
      <c r="A36" s="486"/>
      <c r="B36" s="328"/>
      <c r="C36" s="323"/>
      <c r="D36" s="324" t="s">
        <v>211</v>
      </c>
      <c r="E36" s="324"/>
      <c r="F36" s="324"/>
      <c r="G36" s="324"/>
      <c r="H36" s="324"/>
      <c r="I36" s="324"/>
      <c r="J36" s="324"/>
      <c r="K36" s="324"/>
      <c r="L36" s="324"/>
      <c r="M36" s="324"/>
      <c r="N36" s="324"/>
      <c r="O36" s="324"/>
      <c r="P36" s="324"/>
      <c r="Q36" s="324"/>
      <c r="R36" s="324"/>
      <c r="S36" s="324"/>
      <c r="T36" s="324"/>
      <c r="U36" s="324"/>
      <c r="V36" s="324"/>
      <c r="W36" s="324"/>
      <c r="X36" s="324"/>
      <c r="Y36" s="326"/>
      <c r="Z36" s="324"/>
      <c r="AA36" s="487"/>
      <c r="AB36" s="326"/>
      <c r="AC36" s="384"/>
      <c r="AD36" s="384"/>
      <c r="AE36" s="622"/>
      <c r="AF36" s="295"/>
    </row>
    <row r="37" spans="1:32" x14ac:dyDescent="0.25">
      <c r="A37" s="486"/>
      <c r="B37" s="328"/>
      <c r="C37" s="323"/>
      <c r="D37" s="324" t="s">
        <v>258</v>
      </c>
      <c r="E37" s="324"/>
      <c r="F37" s="324"/>
      <c r="G37" s="324"/>
      <c r="H37" s="324"/>
      <c r="I37" s="324"/>
      <c r="J37" s="324"/>
      <c r="K37" s="324"/>
      <c r="L37" s="324"/>
      <c r="M37" s="324"/>
      <c r="N37" s="324"/>
      <c r="O37" s="324"/>
      <c r="P37" s="324"/>
      <c r="Q37" s="324"/>
      <c r="R37" s="324"/>
      <c r="S37" s="324"/>
      <c r="T37" s="324"/>
      <c r="U37" s="324"/>
      <c r="V37" s="324"/>
      <c r="W37" s="324"/>
      <c r="X37" s="324"/>
      <c r="Y37" s="326"/>
      <c r="Z37" s="324"/>
      <c r="AA37" s="487"/>
      <c r="AB37" s="326"/>
      <c r="AC37" s="385"/>
      <c r="AD37" s="326"/>
      <c r="AE37" s="620"/>
      <c r="AF37" s="295"/>
    </row>
    <row r="38" spans="1:32" x14ac:dyDescent="0.25">
      <c r="A38" s="486"/>
      <c r="B38" s="328"/>
      <c r="C38" s="323"/>
      <c r="D38" s="324" t="s">
        <v>259</v>
      </c>
      <c r="E38" s="324"/>
      <c r="F38" s="324"/>
      <c r="G38" s="324"/>
      <c r="H38" s="324"/>
      <c r="I38" s="324"/>
      <c r="J38" s="324"/>
      <c r="K38" s="324"/>
      <c r="L38" s="324"/>
      <c r="M38" s="324"/>
      <c r="N38" s="324"/>
      <c r="O38" s="324"/>
      <c r="P38" s="324"/>
      <c r="Q38" s="324"/>
      <c r="R38" s="324"/>
      <c r="S38" s="324"/>
      <c r="T38" s="324"/>
      <c r="U38" s="324"/>
      <c r="V38" s="324"/>
      <c r="W38" s="324"/>
      <c r="X38" s="324"/>
      <c r="Y38" s="326"/>
      <c r="Z38" s="324"/>
      <c r="AA38" s="487"/>
      <c r="AB38" s="326"/>
      <c r="AC38" s="326"/>
      <c r="AD38" s="326"/>
      <c r="AE38" s="620"/>
      <c r="AF38" s="295"/>
    </row>
    <row r="39" spans="1:32" x14ac:dyDescent="0.25">
      <c r="A39" s="486"/>
      <c r="B39" s="328"/>
      <c r="C39" s="323"/>
      <c r="D39" s="327" t="s">
        <v>260</v>
      </c>
      <c r="E39" s="324"/>
      <c r="F39" s="324"/>
      <c r="G39" s="324"/>
      <c r="H39" s="324"/>
      <c r="I39" s="324"/>
      <c r="J39" s="324"/>
      <c r="K39" s="324"/>
      <c r="L39" s="324"/>
      <c r="M39" s="324"/>
      <c r="N39" s="324"/>
      <c r="O39" s="324"/>
      <c r="P39" s="324"/>
      <c r="Q39" s="324"/>
      <c r="R39" s="324"/>
      <c r="S39" s="324"/>
      <c r="T39" s="324"/>
      <c r="U39" s="324"/>
      <c r="V39" s="324"/>
      <c r="W39" s="324"/>
      <c r="X39" s="324"/>
      <c r="Y39" s="326"/>
      <c r="Z39" s="324"/>
      <c r="AA39" s="487"/>
      <c r="AB39" s="326"/>
      <c r="AC39" s="326"/>
      <c r="AD39" s="326"/>
      <c r="AE39" s="620"/>
      <c r="AF39" s="295"/>
    </row>
    <row r="40" spans="1:32" x14ac:dyDescent="0.25">
      <c r="A40" s="486"/>
      <c r="B40" s="328"/>
      <c r="C40" s="323"/>
      <c r="D40" s="324" t="s">
        <v>310</v>
      </c>
      <c r="E40" s="324"/>
      <c r="F40" s="324"/>
      <c r="G40" s="324"/>
      <c r="H40" s="324"/>
      <c r="I40" s="324"/>
      <c r="J40" s="324"/>
      <c r="K40" s="324"/>
      <c r="L40" s="324"/>
      <c r="M40" s="324"/>
      <c r="N40" s="324"/>
      <c r="O40" s="324"/>
      <c r="P40" s="324"/>
      <c r="Q40" s="324"/>
      <c r="R40" s="324"/>
      <c r="S40" s="324"/>
      <c r="T40" s="324"/>
      <c r="U40" s="324"/>
      <c r="V40" s="324"/>
      <c r="W40" s="324"/>
      <c r="X40" s="324"/>
      <c r="Y40" s="326"/>
      <c r="Z40" s="324"/>
      <c r="AA40" s="487"/>
      <c r="AB40" s="326"/>
      <c r="AC40" s="326"/>
      <c r="AD40" s="326"/>
      <c r="AE40" s="620"/>
      <c r="AF40" s="295"/>
    </row>
    <row r="41" spans="1:32" x14ac:dyDescent="0.25">
      <c r="A41" s="486"/>
      <c r="B41" s="328"/>
      <c r="C41" s="323"/>
      <c r="D41" s="324"/>
      <c r="E41" s="324"/>
      <c r="F41" s="324"/>
      <c r="G41" s="324"/>
      <c r="H41" s="324"/>
      <c r="I41" s="324"/>
      <c r="J41" s="324"/>
      <c r="K41" s="324"/>
      <c r="L41" s="324"/>
      <c r="M41" s="324"/>
      <c r="N41" s="324"/>
      <c r="O41" s="324"/>
      <c r="P41" s="324"/>
      <c r="Q41" s="324"/>
      <c r="R41" s="324"/>
      <c r="S41" s="324"/>
      <c r="T41" s="324"/>
      <c r="U41" s="324"/>
      <c r="V41" s="324"/>
      <c r="W41" s="324"/>
      <c r="X41" s="324"/>
      <c r="Y41" s="326"/>
      <c r="Z41" s="324"/>
      <c r="AA41" s="487"/>
      <c r="AB41" s="326"/>
      <c r="AC41" s="326"/>
      <c r="AD41" s="326"/>
      <c r="AE41" s="620"/>
      <c r="AF41" s="295"/>
    </row>
    <row r="42" spans="1:32" x14ac:dyDescent="0.25">
      <c r="A42" s="486"/>
      <c r="B42" s="324"/>
      <c r="C42" s="323"/>
      <c r="D42" s="324" t="s">
        <v>75</v>
      </c>
      <c r="E42" s="324"/>
      <c r="F42" s="324"/>
      <c r="G42" s="324"/>
      <c r="H42" s="324"/>
      <c r="I42" s="324"/>
      <c r="J42" s="324"/>
      <c r="K42" s="324"/>
      <c r="L42" s="324"/>
      <c r="M42" s="324"/>
      <c r="N42" s="324"/>
      <c r="O42" s="324"/>
      <c r="P42" s="324"/>
      <c r="Q42" s="324"/>
      <c r="R42" s="324"/>
      <c r="S42" s="324"/>
      <c r="T42" s="324"/>
      <c r="U42" s="324"/>
      <c r="V42" s="324"/>
      <c r="W42" s="324"/>
      <c r="X42" s="324"/>
      <c r="Y42" s="326"/>
      <c r="Z42" s="324"/>
      <c r="AA42" s="487"/>
      <c r="AB42" s="326"/>
      <c r="AC42" s="326"/>
      <c r="AD42" s="326"/>
      <c r="AE42" s="622"/>
      <c r="AF42" s="388"/>
    </row>
    <row r="43" spans="1:32" x14ac:dyDescent="0.25">
      <c r="A43" s="486"/>
      <c r="B43" s="328"/>
      <c r="C43" s="323"/>
      <c r="D43" s="324" t="s">
        <v>76</v>
      </c>
      <c r="E43" s="324"/>
      <c r="F43" s="324"/>
      <c r="G43" s="324"/>
      <c r="H43" s="324"/>
      <c r="I43" s="324"/>
      <c r="J43" s="324"/>
      <c r="K43" s="324"/>
      <c r="L43" s="324"/>
      <c r="M43" s="324"/>
      <c r="N43" s="324"/>
      <c r="O43" s="324"/>
      <c r="P43" s="324"/>
      <c r="Q43" s="324"/>
      <c r="R43" s="324"/>
      <c r="S43" s="324"/>
      <c r="T43" s="324"/>
      <c r="U43" s="324"/>
      <c r="V43" s="324"/>
      <c r="W43" s="324"/>
      <c r="X43" s="324"/>
      <c r="Y43" s="326"/>
      <c r="Z43" s="324"/>
      <c r="AA43" s="487"/>
      <c r="AB43" s="326"/>
      <c r="AC43" s="384"/>
      <c r="AD43" s="435"/>
      <c r="AE43" s="622"/>
      <c r="AF43" s="388"/>
    </row>
    <row r="44" spans="1:32" x14ac:dyDescent="0.25">
      <c r="A44" s="486"/>
      <c r="B44" s="328"/>
      <c r="C44" s="323"/>
      <c r="D44" s="324" t="s">
        <v>97</v>
      </c>
      <c r="E44" s="324"/>
      <c r="F44" s="324"/>
      <c r="G44" s="324"/>
      <c r="H44" s="324"/>
      <c r="I44" s="324"/>
      <c r="J44" s="324"/>
      <c r="K44" s="324"/>
      <c r="L44" s="324"/>
      <c r="M44" s="324"/>
      <c r="N44" s="324"/>
      <c r="O44" s="324"/>
      <c r="P44" s="324"/>
      <c r="Q44" s="324"/>
      <c r="R44" s="324"/>
      <c r="S44" s="324"/>
      <c r="T44" s="324"/>
      <c r="U44" s="324"/>
      <c r="V44" s="324"/>
      <c r="W44" s="324"/>
      <c r="X44" s="324"/>
      <c r="Y44" s="326"/>
      <c r="Z44" s="324"/>
      <c r="AA44" s="487"/>
      <c r="AB44" s="326"/>
      <c r="AC44" s="384"/>
      <c r="AD44" s="435"/>
      <c r="AE44" s="622"/>
      <c r="AF44" s="388"/>
    </row>
    <row r="45" spans="1:32" x14ac:dyDescent="0.25">
      <c r="A45" s="486"/>
      <c r="B45" s="328"/>
      <c r="C45" s="323"/>
      <c r="D45" s="324" t="s">
        <v>98</v>
      </c>
      <c r="E45" s="324"/>
      <c r="F45" s="324"/>
      <c r="G45" s="324"/>
      <c r="H45" s="324"/>
      <c r="I45" s="324"/>
      <c r="J45" s="324"/>
      <c r="K45" s="324"/>
      <c r="L45" s="324"/>
      <c r="M45" s="324"/>
      <c r="N45" s="324"/>
      <c r="O45" s="324"/>
      <c r="P45" s="324"/>
      <c r="Q45" s="324"/>
      <c r="R45" s="324"/>
      <c r="S45" s="324"/>
      <c r="T45" s="324"/>
      <c r="U45" s="324"/>
      <c r="V45" s="324"/>
      <c r="W45" s="324"/>
      <c r="X45" s="324"/>
      <c r="Y45" s="326"/>
      <c r="Z45" s="324"/>
      <c r="AA45" s="487"/>
      <c r="AB45" s="326"/>
      <c r="AC45" s="384"/>
      <c r="AD45" s="435"/>
      <c r="AE45" s="620"/>
      <c r="AF45" s="295"/>
    </row>
    <row r="46" spans="1:32" x14ac:dyDescent="0.25">
      <c r="A46" s="486"/>
      <c r="B46" s="328"/>
      <c r="C46" s="323"/>
      <c r="D46" s="324" t="s">
        <v>99</v>
      </c>
      <c r="E46" s="324"/>
      <c r="F46" s="324"/>
      <c r="G46" s="324"/>
      <c r="H46" s="324"/>
      <c r="I46" s="324"/>
      <c r="J46" s="324"/>
      <c r="K46" s="324"/>
      <c r="L46" s="324"/>
      <c r="M46" s="324"/>
      <c r="N46" s="324"/>
      <c r="O46" s="324"/>
      <c r="P46" s="324"/>
      <c r="Q46" s="324"/>
      <c r="R46" s="324"/>
      <c r="S46" s="324"/>
      <c r="T46" s="324"/>
      <c r="U46" s="324"/>
      <c r="V46" s="324"/>
      <c r="W46" s="324"/>
      <c r="X46" s="324"/>
      <c r="Y46" s="326"/>
      <c r="Z46" s="324"/>
      <c r="AA46" s="487"/>
      <c r="AB46" s="326"/>
      <c r="AC46" s="385"/>
      <c r="AD46" s="385"/>
      <c r="AE46" s="620"/>
      <c r="AF46" s="295"/>
    </row>
    <row r="47" spans="1:32" x14ac:dyDescent="0.25">
      <c r="A47" s="486"/>
      <c r="B47" s="328"/>
      <c r="C47" s="323"/>
      <c r="D47" s="324"/>
      <c r="E47" s="324"/>
      <c r="F47" s="324"/>
      <c r="G47" s="324"/>
      <c r="H47" s="324"/>
      <c r="I47" s="324"/>
      <c r="J47" s="324"/>
      <c r="K47" s="324"/>
      <c r="L47" s="324"/>
      <c r="M47" s="324"/>
      <c r="N47" s="324"/>
      <c r="O47" s="324"/>
      <c r="P47" s="324"/>
      <c r="Q47" s="324"/>
      <c r="R47" s="324"/>
      <c r="S47" s="324"/>
      <c r="T47" s="324"/>
      <c r="U47" s="324"/>
      <c r="V47" s="324"/>
      <c r="W47" s="324"/>
      <c r="X47" s="324"/>
      <c r="Y47" s="326"/>
      <c r="Z47" s="324"/>
      <c r="AA47" s="487"/>
      <c r="AB47" s="326"/>
      <c r="AC47" s="326"/>
      <c r="AD47" s="326"/>
      <c r="AE47" s="620"/>
      <c r="AF47" s="295"/>
    </row>
    <row r="48" spans="1:32" x14ac:dyDescent="0.25">
      <c r="A48" s="486"/>
      <c r="B48" s="328"/>
      <c r="C48" s="323"/>
      <c r="D48" s="324" t="s">
        <v>234</v>
      </c>
      <c r="E48" s="324"/>
      <c r="F48" s="324"/>
      <c r="G48" s="324"/>
      <c r="H48" s="324"/>
      <c r="I48" s="324"/>
      <c r="J48" s="324"/>
      <c r="K48" s="324"/>
      <c r="L48" s="324"/>
      <c r="M48" s="324"/>
      <c r="N48" s="324"/>
      <c r="O48" s="324"/>
      <c r="P48" s="324"/>
      <c r="Q48" s="324"/>
      <c r="R48" s="324"/>
      <c r="S48" s="324"/>
      <c r="T48" s="324"/>
      <c r="U48" s="324"/>
      <c r="V48" s="324"/>
      <c r="W48" s="324"/>
      <c r="X48" s="324"/>
      <c r="Y48" s="326"/>
      <c r="Z48" s="324"/>
      <c r="AA48" s="487"/>
      <c r="AB48" s="326"/>
      <c r="AC48" s="326"/>
      <c r="AD48" s="326"/>
      <c r="AE48" s="620"/>
      <c r="AF48" s="295"/>
    </row>
    <row r="49" spans="1:32" x14ac:dyDescent="0.25">
      <c r="A49" s="486"/>
      <c r="B49" s="328"/>
      <c r="C49" s="323"/>
      <c r="D49" s="324" t="s">
        <v>286</v>
      </c>
      <c r="E49" s="324"/>
      <c r="F49" s="324"/>
      <c r="G49" s="324"/>
      <c r="H49" s="324"/>
      <c r="I49" s="324"/>
      <c r="J49" s="324"/>
      <c r="K49" s="324"/>
      <c r="L49" s="324"/>
      <c r="M49" s="324"/>
      <c r="N49" s="324"/>
      <c r="O49" s="324"/>
      <c r="P49" s="324"/>
      <c r="Q49" s="324"/>
      <c r="R49" s="324"/>
      <c r="S49" s="324"/>
      <c r="T49" s="324"/>
      <c r="U49" s="324"/>
      <c r="V49" s="324"/>
      <c r="W49" s="324"/>
      <c r="X49" s="324"/>
      <c r="Y49" s="326"/>
      <c r="Z49" s="324"/>
      <c r="AA49" s="487"/>
      <c r="AB49" s="326"/>
      <c r="AC49" s="326"/>
      <c r="AD49" s="326"/>
      <c r="AE49" s="620"/>
      <c r="AF49" s="295"/>
    </row>
    <row r="50" spans="1:32" x14ac:dyDescent="0.25">
      <c r="A50" s="486"/>
      <c r="B50" s="328"/>
      <c r="C50" s="323"/>
      <c r="D50" s="324" t="s">
        <v>287</v>
      </c>
      <c r="E50" s="324"/>
      <c r="F50" s="324"/>
      <c r="G50" s="324"/>
      <c r="H50" s="324"/>
      <c r="I50" s="324"/>
      <c r="J50" s="324"/>
      <c r="K50" s="324"/>
      <c r="L50" s="324"/>
      <c r="M50" s="324"/>
      <c r="N50" s="324"/>
      <c r="O50" s="324"/>
      <c r="P50" s="324"/>
      <c r="Q50" s="324"/>
      <c r="R50" s="324"/>
      <c r="S50" s="324"/>
      <c r="T50" s="324"/>
      <c r="U50" s="324"/>
      <c r="V50" s="324"/>
      <c r="W50" s="324"/>
      <c r="X50" s="324"/>
      <c r="Y50" s="326"/>
      <c r="Z50" s="324"/>
      <c r="AA50" s="487"/>
      <c r="AB50" s="326"/>
      <c r="AC50" s="326"/>
      <c r="AD50" s="326"/>
      <c r="AE50" s="620"/>
      <c r="AF50" s="295"/>
    </row>
    <row r="51" spans="1:32" x14ac:dyDescent="0.25">
      <c r="A51" s="486"/>
      <c r="B51" s="328"/>
      <c r="C51" s="323"/>
      <c r="D51" s="324"/>
      <c r="E51" s="324"/>
      <c r="F51" s="324"/>
      <c r="G51" s="324"/>
      <c r="H51" s="324"/>
      <c r="I51" s="324"/>
      <c r="J51" s="324"/>
      <c r="K51" s="324"/>
      <c r="L51" s="324"/>
      <c r="M51" s="324"/>
      <c r="N51" s="324"/>
      <c r="O51" s="324"/>
      <c r="P51" s="324"/>
      <c r="Q51" s="324"/>
      <c r="R51" s="324"/>
      <c r="S51" s="324"/>
      <c r="T51" s="324"/>
      <c r="U51" s="324"/>
      <c r="V51" s="324"/>
      <c r="W51" s="324"/>
      <c r="X51" s="324"/>
      <c r="Y51" s="326"/>
      <c r="Z51" s="324"/>
      <c r="AA51" s="487"/>
      <c r="AB51" s="326"/>
      <c r="AC51" s="326"/>
      <c r="AD51" s="326"/>
      <c r="AE51" s="623"/>
    </row>
    <row r="52" spans="1:32" x14ac:dyDescent="0.25">
      <c r="A52" s="486"/>
      <c r="B52" s="328" t="s">
        <v>249</v>
      </c>
      <c r="C52" s="323"/>
      <c r="D52" s="324" t="s">
        <v>110</v>
      </c>
      <c r="E52" s="324"/>
      <c r="F52" s="324"/>
      <c r="G52" s="324"/>
      <c r="H52" s="324"/>
      <c r="I52" s="324"/>
      <c r="J52" s="324"/>
      <c r="K52" s="324"/>
      <c r="L52" s="324"/>
      <c r="M52" s="324"/>
      <c r="N52" s="324"/>
      <c r="O52" s="324"/>
      <c r="P52" s="324"/>
      <c r="Q52" s="324"/>
      <c r="R52" s="324"/>
      <c r="S52" s="324"/>
      <c r="T52" s="324"/>
      <c r="U52" s="324"/>
      <c r="V52" s="324"/>
      <c r="W52" s="324"/>
      <c r="X52" s="324"/>
      <c r="Y52" s="326"/>
      <c r="Z52" s="324"/>
      <c r="AA52" s="487"/>
      <c r="AB52" s="324"/>
      <c r="AC52" s="324"/>
      <c r="AD52" s="324"/>
      <c r="AE52" s="623"/>
    </row>
    <row r="53" spans="1:32" x14ac:dyDescent="0.25">
      <c r="A53" s="486"/>
      <c r="B53" s="328"/>
      <c r="C53" s="323"/>
      <c r="D53" s="324" t="s">
        <v>212</v>
      </c>
      <c r="E53" s="324"/>
      <c r="F53" s="324"/>
      <c r="G53" s="324"/>
      <c r="H53" s="324"/>
      <c r="I53" s="324"/>
      <c r="J53" s="324"/>
      <c r="K53" s="324"/>
      <c r="L53" s="324"/>
      <c r="M53" s="324"/>
      <c r="N53" s="324"/>
      <c r="O53" s="324"/>
      <c r="P53" s="324"/>
      <c r="Q53" s="324"/>
      <c r="R53" s="324"/>
      <c r="S53" s="324"/>
      <c r="T53" s="324"/>
      <c r="U53" s="324"/>
      <c r="V53" s="324"/>
      <c r="W53" s="324"/>
      <c r="X53" s="324"/>
      <c r="Y53" s="326"/>
      <c r="Z53" s="324"/>
      <c r="AA53" s="487"/>
      <c r="AB53" s="324"/>
      <c r="AC53" s="324"/>
      <c r="AD53" s="324"/>
      <c r="AE53" s="623"/>
    </row>
    <row r="54" spans="1:32" x14ac:dyDescent="0.25">
      <c r="A54" s="486"/>
      <c r="B54" s="328"/>
      <c r="C54" s="323"/>
      <c r="D54" s="324" t="s">
        <v>262</v>
      </c>
      <c r="E54" s="324"/>
      <c r="F54" s="324"/>
      <c r="G54" s="324"/>
      <c r="H54" s="324"/>
      <c r="I54" s="324"/>
      <c r="J54" s="324"/>
      <c r="K54" s="324"/>
      <c r="L54" s="324"/>
      <c r="M54" s="324"/>
      <c r="N54" s="324"/>
      <c r="O54" s="324"/>
      <c r="P54" s="324"/>
      <c r="Q54" s="324"/>
      <c r="R54" s="324"/>
      <c r="S54" s="324"/>
      <c r="T54" s="324"/>
      <c r="U54" s="324"/>
      <c r="V54" s="324"/>
      <c r="W54" s="324"/>
      <c r="X54" s="324"/>
      <c r="Y54" s="326"/>
      <c r="Z54" s="324"/>
      <c r="AA54" s="487"/>
      <c r="AB54" s="324"/>
      <c r="AC54" s="324"/>
      <c r="AD54" s="324"/>
      <c r="AE54" s="623"/>
    </row>
    <row r="55" spans="1:32" x14ac:dyDescent="0.25">
      <c r="A55" s="486"/>
      <c r="B55" s="328"/>
      <c r="C55" s="323"/>
      <c r="D55" s="324" t="s">
        <v>261</v>
      </c>
      <c r="E55" s="324"/>
      <c r="F55" s="324"/>
      <c r="G55" s="324"/>
      <c r="H55" s="324"/>
      <c r="I55" s="324"/>
      <c r="J55" s="324"/>
      <c r="K55" s="324"/>
      <c r="L55" s="324"/>
      <c r="M55" s="324"/>
      <c r="N55" s="324"/>
      <c r="O55" s="324"/>
      <c r="P55" s="324"/>
      <c r="Q55" s="324"/>
      <c r="R55" s="324"/>
      <c r="S55" s="324"/>
      <c r="T55" s="324"/>
      <c r="U55" s="324"/>
      <c r="V55" s="324"/>
      <c r="W55" s="324"/>
      <c r="X55" s="324"/>
      <c r="Y55" s="326"/>
      <c r="Z55" s="324"/>
      <c r="AA55" s="487"/>
      <c r="AB55" s="324"/>
      <c r="AC55" s="324"/>
      <c r="AD55" s="324"/>
      <c r="AE55" s="623"/>
    </row>
    <row r="56" spans="1:32" x14ac:dyDescent="0.25">
      <c r="A56" s="486"/>
      <c r="B56" s="328"/>
      <c r="C56" s="323"/>
      <c r="D56" s="324" t="s">
        <v>217</v>
      </c>
      <c r="E56" s="324"/>
      <c r="F56" s="324"/>
      <c r="G56" s="324"/>
      <c r="H56" s="324"/>
      <c r="I56" s="324"/>
      <c r="J56" s="324"/>
      <c r="K56" s="324"/>
      <c r="L56" s="324"/>
      <c r="M56" s="324"/>
      <c r="N56" s="324"/>
      <c r="O56" s="324"/>
      <c r="P56" s="324"/>
      <c r="Q56" s="324"/>
      <c r="R56" s="324"/>
      <c r="S56" s="324"/>
      <c r="T56" s="324"/>
      <c r="U56" s="324"/>
      <c r="V56" s="324"/>
      <c r="W56" s="324"/>
      <c r="X56" s="324"/>
      <c r="Y56" s="326"/>
      <c r="Z56" s="324"/>
      <c r="AA56" s="487"/>
      <c r="AB56" s="324"/>
      <c r="AC56" s="324"/>
      <c r="AD56" s="324"/>
      <c r="AE56" s="623"/>
    </row>
    <row r="57" spans="1:32" x14ac:dyDescent="0.25">
      <c r="A57" s="486"/>
      <c r="B57" s="328"/>
      <c r="C57" s="323"/>
      <c r="D57" s="324" t="s">
        <v>218</v>
      </c>
      <c r="E57" s="324"/>
      <c r="F57" s="324"/>
      <c r="G57" s="324"/>
      <c r="H57" s="324"/>
      <c r="I57" s="324"/>
      <c r="J57" s="324"/>
      <c r="K57" s="324"/>
      <c r="L57" s="324"/>
      <c r="M57" s="324"/>
      <c r="N57" s="324"/>
      <c r="O57" s="324"/>
      <c r="P57" s="324"/>
      <c r="Q57" s="324"/>
      <c r="R57" s="324"/>
      <c r="S57" s="324"/>
      <c r="T57" s="324"/>
      <c r="U57" s="324"/>
      <c r="V57" s="324"/>
      <c r="W57" s="324"/>
      <c r="X57" s="324"/>
      <c r="Y57" s="326"/>
      <c r="Z57" s="324"/>
      <c r="AA57" s="487"/>
      <c r="AB57" s="324"/>
      <c r="AC57" s="324"/>
      <c r="AD57" s="324"/>
      <c r="AE57" s="623"/>
    </row>
    <row r="58" spans="1:32" x14ac:dyDescent="0.25">
      <c r="A58" s="486"/>
      <c r="B58" s="328"/>
      <c r="C58" s="323"/>
      <c r="D58" s="324" t="s">
        <v>219</v>
      </c>
      <c r="E58" s="324"/>
      <c r="F58" s="324"/>
      <c r="G58" s="324"/>
      <c r="H58" s="324"/>
      <c r="I58" s="324"/>
      <c r="J58" s="324"/>
      <c r="K58" s="324"/>
      <c r="L58" s="324"/>
      <c r="M58" s="324"/>
      <c r="N58" s="324"/>
      <c r="O58" s="324"/>
      <c r="P58" s="324"/>
      <c r="Q58" s="324"/>
      <c r="R58" s="324"/>
      <c r="S58" s="324"/>
      <c r="T58" s="324"/>
      <c r="U58" s="324"/>
      <c r="V58" s="324"/>
      <c r="W58" s="324"/>
      <c r="X58" s="324"/>
      <c r="Y58" s="326"/>
      <c r="Z58" s="324"/>
      <c r="AA58" s="487"/>
      <c r="AB58" s="324"/>
      <c r="AC58" s="324"/>
      <c r="AD58" s="324"/>
      <c r="AE58" s="623"/>
    </row>
    <row r="59" spans="1:32" ht="17.25" x14ac:dyDescent="0.25">
      <c r="A59" s="486"/>
      <c r="B59" s="392"/>
      <c r="C59" s="323"/>
      <c r="D59" s="324" t="s">
        <v>239</v>
      </c>
      <c r="E59" s="324"/>
      <c r="F59" s="324"/>
      <c r="G59" s="324"/>
      <c r="H59" s="324"/>
      <c r="I59" s="324"/>
      <c r="J59" s="324"/>
      <c r="K59" s="324"/>
      <c r="L59" s="324"/>
      <c r="M59" s="324"/>
      <c r="N59" s="324"/>
      <c r="O59" s="324"/>
      <c r="P59" s="324"/>
      <c r="Q59" s="324"/>
      <c r="R59" s="324"/>
      <c r="S59" s="324"/>
      <c r="T59" s="324"/>
      <c r="U59" s="324"/>
      <c r="V59" s="324"/>
      <c r="W59" s="324"/>
      <c r="X59" s="324"/>
      <c r="Y59" s="393"/>
      <c r="Z59" s="324"/>
      <c r="AA59" s="487"/>
      <c r="AB59" s="324"/>
      <c r="AC59" s="324"/>
      <c r="AD59" s="324"/>
      <c r="AE59" s="623"/>
    </row>
    <row r="60" spans="1:32" x14ac:dyDescent="0.25">
      <c r="A60" s="486"/>
      <c r="B60" s="324"/>
      <c r="C60" s="323"/>
      <c r="D60" s="324"/>
      <c r="E60" s="324"/>
      <c r="F60" s="324"/>
      <c r="G60" s="324"/>
      <c r="H60" s="324"/>
      <c r="I60" s="324"/>
      <c r="J60" s="324"/>
      <c r="K60" s="324"/>
      <c r="L60" s="324"/>
      <c r="M60" s="324"/>
      <c r="N60" s="324"/>
      <c r="O60" s="324"/>
      <c r="P60" s="324"/>
      <c r="Q60" s="324"/>
      <c r="R60" s="324"/>
      <c r="S60" s="324"/>
      <c r="T60" s="324"/>
      <c r="U60" s="324"/>
      <c r="V60" s="324"/>
      <c r="W60" s="324"/>
      <c r="X60" s="324"/>
      <c r="Y60" s="326"/>
      <c r="Z60" s="324"/>
      <c r="AA60" s="487"/>
      <c r="AB60" s="324"/>
      <c r="AC60" s="324"/>
      <c r="AD60" s="324"/>
      <c r="AE60" s="623"/>
    </row>
    <row r="61" spans="1:32" x14ac:dyDescent="0.25">
      <c r="A61" s="486"/>
      <c r="B61" s="328"/>
      <c r="C61" s="323"/>
      <c r="D61" s="324" t="s">
        <v>241</v>
      </c>
      <c r="E61" s="324"/>
      <c r="F61" s="324"/>
      <c r="G61" s="324"/>
      <c r="H61" s="324"/>
      <c r="I61" s="324"/>
      <c r="J61" s="324"/>
      <c r="K61" s="324"/>
      <c r="L61" s="324"/>
      <c r="M61" s="324"/>
      <c r="N61" s="324"/>
      <c r="O61" s="324"/>
      <c r="P61" s="324"/>
      <c r="Q61" s="324"/>
      <c r="R61" s="324"/>
      <c r="S61" s="324"/>
      <c r="T61" s="324"/>
      <c r="U61" s="324"/>
      <c r="V61" s="324"/>
      <c r="W61" s="324"/>
      <c r="X61" s="324"/>
      <c r="Y61" s="326"/>
      <c r="Z61" s="324"/>
      <c r="AA61" s="487"/>
      <c r="AB61" s="324"/>
      <c r="AC61" s="324"/>
      <c r="AD61" s="324"/>
      <c r="AE61" s="623"/>
    </row>
    <row r="62" spans="1:32" x14ac:dyDescent="0.25">
      <c r="A62" s="486"/>
      <c r="B62" s="328"/>
      <c r="C62" s="323"/>
      <c r="D62" s="324" t="s">
        <v>245</v>
      </c>
      <c r="E62" s="324"/>
      <c r="F62" s="324"/>
      <c r="G62" s="324"/>
      <c r="H62" s="324"/>
      <c r="I62" s="324"/>
      <c r="J62" s="324"/>
      <c r="K62" s="324"/>
      <c r="L62" s="324"/>
      <c r="M62" s="324"/>
      <c r="N62" s="324"/>
      <c r="O62" s="324"/>
      <c r="P62" s="324"/>
      <c r="Q62" s="324"/>
      <c r="R62" s="324"/>
      <c r="S62" s="324"/>
      <c r="T62" s="324"/>
      <c r="U62" s="324"/>
      <c r="V62" s="324"/>
      <c r="W62" s="324"/>
      <c r="X62" s="324"/>
      <c r="Y62" s="326"/>
      <c r="Z62" s="324"/>
      <c r="AA62" s="487"/>
      <c r="AB62" s="324"/>
      <c r="AC62" s="324"/>
      <c r="AD62" s="324"/>
      <c r="AE62" s="623"/>
    </row>
    <row r="63" spans="1:32" x14ac:dyDescent="0.25">
      <c r="A63" s="486"/>
      <c r="B63" s="328"/>
      <c r="C63" s="323"/>
      <c r="D63" s="324" t="s">
        <v>240</v>
      </c>
      <c r="E63" s="324"/>
      <c r="F63" s="324"/>
      <c r="G63" s="324"/>
      <c r="H63" s="324"/>
      <c r="I63" s="324"/>
      <c r="J63" s="324"/>
      <c r="K63" s="324"/>
      <c r="L63" s="324"/>
      <c r="M63" s="324"/>
      <c r="N63" s="324"/>
      <c r="O63" s="324"/>
      <c r="P63" s="324"/>
      <c r="Q63" s="324"/>
      <c r="R63" s="324"/>
      <c r="S63" s="324"/>
      <c r="T63" s="324"/>
      <c r="U63" s="324"/>
      <c r="V63" s="324"/>
      <c r="W63" s="324"/>
      <c r="X63" s="324"/>
      <c r="Y63" s="326"/>
      <c r="Z63" s="324"/>
      <c r="AA63" s="487"/>
      <c r="AB63" s="324"/>
      <c r="AC63" s="324"/>
      <c r="AD63" s="324"/>
      <c r="AE63" s="623"/>
    </row>
    <row r="64" spans="1:32" x14ac:dyDescent="0.25">
      <c r="A64" s="486"/>
      <c r="B64" s="328"/>
      <c r="C64" s="323"/>
      <c r="D64" s="324" t="s">
        <v>242</v>
      </c>
      <c r="E64" s="324"/>
      <c r="F64" s="324"/>
      <c r="G64" s="324"/>
      <c r="H64" s="324"/>
      <c r="I64" s="324"/>
      <c r="J64" s="324"/>
      <c r="K64" s="324"/>
      <c r="L64" s="324"/>
      <c r="M64" s="324"/>
      <c r="N64" s="324"/>
      <c r="O64" s="324"/>
      <c r="P64" s="324"/>
      <c r="Q64" s="324"/>
      <c r="R64" s="324"/>
      <c r="S64" s="324"/>
      <c r="T64" s="324"/>
      <c r="U64" s="324"/>
      <c r="V64" s="324"/>
      <c r="W64" s="324"/>
      <c r="X64" s="324"/>
      <c r="Y64" s="326"/>
      <c r="Z64" s="324"/>
      <c r="AA64" s="487"/>
      <c r="AB64" s="324"/>
      <c r="AC64" s="324"/>
      <c r="AD64" s="324"/>
      <c r="AE64" s="623"/>
    </row>
    <row r="65" spans="1:31" ht="16.5" customHeight="1" x14ac:dyDescent="0.25">
      <c r="A65" s="486"/>
      <c r="B65" s="328"/>
      <c r="C65" s="323"/>
      <c r="D65" s="324" t="s">
        <v>243</v>
      </c>
      <c r="E65" s="324"/>
      <c r="F65" s="324"/>
      <c r="G65" s="324"/>
      <c r="H65" s="324"/>
      <c r="I65" s="324"/>
      <c r="J65" s="324"/>
      <c r="K65" s="324"/>
      <c r="L65" s="324"/>
      <c r="M65" s="324"/>
      <c r="N65" s="324"/>
      <c r="O65" s="324"/>
      <c r="P65" s="324"/>
      <c r="Q65" s="324"/>
      <c r="R65" s="324"/>
      <c r="S65" s="324"/>
      <c r="T65" s="324"/>
      <c r="U65" s="324"/>
      <c r="V65" s="324"/>
      <c r="W65" s="324"/>
      <c r="X65" s="324"/>
      <c r="Y65" s="326"/>
      <c r="Z65" s="324"/>
      <c r="AA65" s="487"/>
      <c r="AB65" s="324"/>
      <c r="AC65" s="324"/>
      <c r="AD65" s="324"/>
      <c r="AE65" s="623"/>
    </row>
    <row r="66" spans="1:31" ht="16.5" customHeight="1" x14ac:dyDescent="0.25">
      <c r="A66" s="486"/>
      <c r="B66" s="328"/>
      <c r="C66" s="323"/>
      <c r="D66" s="324" t="s">
        <v>244</v>
      </c>
      <c r="E66" s="324"/>
      <c r="F66" s="324"/>
      <c r="G66" s="324"/>
      <c r="H66" s="324"/>
      <c r="I66" s="324"/>
      <c r="J66" s="324"/>
      <c r="K66" s="324"/>
      <c r="L66" s="324"/>
      <c r="M66" s="324"/>
      <c r="N66" s="324"/>
      <c r="O66" s="324"/>
      <c r="P66" s="324"/>
      <c r="Q66" s="324"/>
      <c r="R66" s="324"/>
      <c r="S66" s="324"/>
      <c r="T66" s="324"/>
      <c r="U66" s="324"/>
      <c r="V66" s="324"/>
      <c r="W66" s="324"/>
      <c r="X66" s="324"/>
      <c r="Y66" s="326"/>
      <c r="Z66" s="324"/>
      <c r="AA66" s="487"/>
      <c r="AB66" s="324"/>
      <c r="AC66" s="324"/>
      <c r="AD66" s="324"/>
      <c r="AE66" s="623"/>
    </row>
    <row r="67" spans="1:31" ht="16.5" customHeight="1" x14ac:dyDescent="0.25">
      <c r="A67" s="486"/>
      <c r="B67" s="328"/>
      <c r="C67" s="323"/>
      <c r="D67" s="324" t="s">
        <v>288</v>
      </c>
      <c r="E67" s="324"/>
      <c r="F67" s="324"/>
      <c r="G67" s="324"/>
      <c r="H67" s="324"/>
      <c r="I67" s="324"/>
      <c r="J67" s="324"/>
      <c r="K67" s="324"/>
      <c r="L67" s="324"/>
      <c r="M67" s="324"/>
      <c r="N67" s="324"/>
      <c r="O67" s="324"/>
      <c r="P67" s="324"/>
      <c r="Q67" s="324"/>
      <c r="R67" s="324"/>
      <c r="S67" s="324"/>
      <c r="T67" s="324"/>
      <c r="U67" s="324"/>
      <c r="V67" s="324"/>
      <c r="W67" s="324"/>
      <c r="X67" s="324"/>
      <c r="Y67" s="326"/>
      <c r="Z67" s="324"/>
      <c r="AA67" s="487"/>
      <c r="AB67" s="324"/>
      <c r="AC67" s="324"/>
      <c r="AD67" s="324"/>
      <c r="AE67" s="623"/>
    </row>
    <row r="68" spans="1:31" ht="16.5" customHeight="1" x14ac:dyDescent="0.25">
      <c r="A68" s="486"/>
      <c r="B68" s="328"/>
      <c r="C68" s="323"/>
      <c r="D68" s="324" t="s">
        <v>246</v>
      </c>
      <c r="E68" s="324"/>
      <c r="F68" s="324"/>
      <c r="G68" s="324"/>
      <c r="H68" s="324"/>
      <c r="I68" s="324"/>
      <c r="J68" s="324"/>
      <c r="K68" s="324"/>
      <c r="L68" s="324"/>
      <c r="M68" s="324"/>
      <c r="N68" s="324"/>
      <c r="O68" s="324"/>
      <c r="P68" s="324"/>
      <c r="Q68" s="324"/>
      <c r="R68" s="324"/>
      <c r="S68" s="324"/>
      <c r="T68" s="324"/>
      <c r="U68" s="324"/>
      <c r="V68" s="324"/>
      <c r="W68" s="324"/>
      <c r="X68" s="324"/>
      <c r="Y68" s="326"/>
      <c r="Z68" s="324"/>
      <c r="AA68" s="487"/>
      <c r="AB68" s="324"/>
      <c r="AC68" s="324"/>
      <c r="AD68" s="324"/>
      <c r="AE68" s="623"/>
    </row>
    <row r="69" spans="1:31" ht="16.5" customHeight="1" x14ac:dyDescent="0.25">
      <c r="A69" s="486"/>
      <c r="B69" s="328"/>
      <c r="C69" s="323"/>
      <c r="D69" s="324" t="s">
        <v>315</v>
      </c>
      <c r="E69" s="324"/>
      <c r="F69" s="324"/>
      <c r="G69" s="324"/>
      <c r="H69" s="324"/>
      <c r="I69" s="324"/>
      <c r="J69" s="324"/>
      <c r="K69" s="324"/>
      <c r="L69" s="324"/>
      <c r="M69" s="324"/>
      <c r="N69" s="324"/>
      <c r="O69" s="324"/>
      <c r="P69" s="324"/>
      <c r="Q69" s="324"/>
      <c r="R69" s="324"/>
      <c r="S69" s="324"/>
      <c r="T69" s="324"/>
      <c r="U69" s="324"/>
      <c r="V69" s="324"/>
      <c r="W69" s="324"/>
      <c r="X69" s="324"/>
      <c r="Y69" s="326"/>
      <c r="Z69" s="324"/>
      <c r="AA69" s="487"/>
      <c r="AB69" s="324"/>
      <c r="AC69" s="324"/>
      <c r="AD69" s="324"/>
      <c r="AE69" s="623"/>
    </row>
    <row r="70" spans="1:31" ht="16.5" customHeight="1" x14ac:dyDescent="0.25">
      <c r="A70" s="486"/>
      <c r="B70" s="328"/>
      <c r="C70" s="323"/>
      <c r="D70" s="324" t="s">
        <v>312</v>
      </c>
      <c r="E70" s="324"/>
      <c r="F70" s="324"/>
      <c r="G70" s="324"/>
      <c r="H70" s="324"/>
      <c r="I70" s="324"/>
      <c r="J70" s="324"/>
      <c r="K70" s="324"/>
      <c r="L70" s="324"/>
      <c r="M70" s="324"/>
      <c r="N70" s="324"/>
      <c r="O70" s="324"/>
      <c r="P70" s="324"/>
      <c r="Q70" s="324"/>
      <c r="R70" s="324"/>
      <c r="S70" s="324"/>
      <c r="T70" s="324"/>
      <c r="U70" s="324"/>
      <c r="V70" s="324"/>
      <c r="W70" s="324"/>
      <c r="X70" s="324"/>
      <c r="Y70" s="326"/>
      <c r="Z70" s="324"/>
      <c r="AA70" s="487"/>
      <c r="AB70" s="324"/>
      <c r="AC70" s="324"/>
      <c r="AD70" s="324"/>
      <c r="AE70" s="623"/>
    </row>
    <row r="71" spans="1:31" ht="16.5" customHeight="1" x14ac:dyDescent="0.25">
      <c r="A71" s="486"/>
      <c r="B71" s="328"/>
      <c r="C71" s="323"/>
      <c r="D71" s="324" t="s">
        <v>313</v>
      </c>
      <c r="E71" s="324"/>
      <c r="F71" s="324"/>
      <c r="G71" s="324"/>
      <c r="H71" s="324"/>
      <c r="I71" s="324"/>
      <c r="J71" s="324"/>
      <c r="K71" s="324"/>
      <c r="L71" s="324"/>
      <c r="M71" s="324"/>
      <c r="N71" s="324"/>
      <c r="O71" s="324"/>
      <c r="P71" s="324"/>
      <c r="Q71" s="324"/>
      <c r="R71" s="324"/>
      <c r="S71" s="324"/>
      <c r="T71" s="324"/>
      <c r="U71" s="324"/>
      <c r="V71" s="324"/>
      <c r="W71" s="324"/>
      <c r="X71" s="324"/>
      <c r="Y71" s="326"/>
      <c r="Z71" s="324"/>
      <c r="AA71" s="487"/>
      <c r="AB71" s="324"/>
      <c r="AC71" s="324"/>
      <c r="AD71" s="324"/>
      <c r="AE71" s="623"/>
    </row>
    <row r="72" spans="1:31" ht="16.5" customHeight="1" x14ac:dyDescent="0.25">
      <c r="A72" s="486"/>
      <c r="B72" s="328"/>
      <c r="C72" s="323"/>
      <c r="D72" s="324" t="s">
        <v>314</v>
      </c>
      <c r="E72" s="324"/>
      <c r="F72" s="324"/>
      <c r="G72" s="324"/>
      <c r="H72" s="324"/>
      <c r="I72" s="324"/>
      <c r="J72" s="324"/>
      <c r="K72" s="324"/>
      <c r="L72" s="324"/>
      <c r="M72" s="324"/>
      <c r="N72" s="324"/>
      <c r="O72" s="324"/>
      <c r="P72" s="324"/>
      <c r="Q72" s="324"/>
      <c r="R72" s="324"/>
      <c r="S72" s="324"/>
      <c r="T72" s="324"/>
      <c r="U72" s="324"/>
      <c r="V72" s="324"/>
      <c r="W72" s="324"/>
      <c r="X72" s="324"/>
      <c r="Y72" s="326"/>
      <c r="Z72" s="324"/>
      <c r="AA72" s="487"/>
      <c r="AB72" s="324"/>
      <c r="AC72" s="324"/>
      <c r="AD72" s="324"/>
      <c r="AE72" s="623"/>
    </row>
    <row r="73" spans="1:31" ht="16.5" customHeight="1" x14ac:dyDescent="0.25">
      <c r="A73" s="486"/>
      <c r="B73" s="328"/>
      <c r="C73" s="323"/>
      <c r="D73" s="324" t="s">
        <v>311</v>
      </c>
      <c r="E73" s="324"/>
      <c r="F73" s="324"/>
      <c r="G73" s="324"/>
      <c r="H73" s="324"/>
      <c r="I73" s="324"/>
      <c r="J73" s="324"/>
      <c r="K73" s="324"/>
      <c r="L73" s="324"/>
      <c r="M73" s="324"/>
      <c r="N73" s="324"/>
      <c r="O73" s="324"/>
      <c r="P73" s="324"/>
      <c r="Q73" s="324"/>
      <c r="R73" s="324"/>
      <c r="S73" s="324"/>
      <c r="T73" s="324"/>
      <c r="U73" s="324"/>
      <c r="V73" s="324"/>
      <c r="W73" s="324"/>
      <c r="X73" s="324"/>
      <c r="Y73" s="326"/>
      <c r="Z73" s="324"/>
      <c r="AA73" s="487"/>
      <c r="AB73" s="324"/>
      <c r="AC73" s="324"/>
      <c r="AD73" s="324"/>
      <c r="AE73" s="623"/>
    </row>
    <row r="74" spans="1:31" ht="16.5" customHeight="1" x14ac:dyDescent="0.25">
      <c r="A74" s="486"/>
      <c r="B74" s="328"/>
      <c r="C74" s="323"/>
      <c r="D74" s="324"/>
      <c r="E74" s="324"/>
      <c r="F74" s="324"/>
      <c r="G74" s="324"/>
      <c r="H74" s="324"/>
      <c r="I74" s="324"/>
      <c r="J74" s="324"/>
      <c r="K74" s="324"/>
      <c r="L74" s="324"/>
      <c r="M74" s="324"/>
      <c r="N74" s="324"/>
      <c r="O74" s="324"/>
      <c r="P74" s="324"/>
      <c r="Q74" s="324"/>
      <c r="R74" s="324"/>
      <c r="S74" s="324"/>
      <c r="T74" s="324"/>
      <c r="U74" s="324"/>
      <c r="V74" s="324"/>
      <c r="W74" s="324"/>
      <c r="X74" s="324"/>
      <c r="Y74" s="326"/>
      <c r="Z74" s="324"/>
      <c r="AA74" s="487"/>
      <c r="AB74" s="324"/>
      <c r="AC74" s="324"/>
      <c r="AD74" s="324"/>
      <c r="AE74" s="623"/>
    </row>
    <row r="75" spans="1:31" ht="16.5" customHeight="1" x14ac:dyDescent="0.25">
      <c r="A75" s="486"/>
      <c r="B75" s="328" t="s">
        <v>250</v>
      </c>
      <c r="C75" s="323"/>
      <c r="D75" s="324" t="s">
        <v>220</v>
      </c>
      <c r="E75" s="324"/>
      <c r="F75" s="324"/>
      <c r="G75" s="324"/>
      <c r="H75" s="324"/>
      <c r="I75" s="324"/>
      <c r="J75" s="324"/>
      <c r="K75" s="324"/>
      <c r="L75" s="324"/>
      <c r="M75" s="324"/>
      <c r="N75" s="324"/>
      <c r="O75" s="324"/>
      <c r="P75" s="324"/>
      <c r="Q75" s="324"/>
      <c r="R75" s="324"/>
      <c r="S75" s="324"/>
      <c r="T75" s="324"/>
      <c r="U75" s="324"/>
      <c r="V75" s="324"/>
      <c r="W75" s="324"/>
      <c r="X75" s="324"/>
      <c r="Y75" s="326"/>
      <c r="Z75" s="324"/>
      <c r="AA75" s="487"/>
      <c r="AB75" s="324"/>
      <c r="AC75" s="324"/>
      <c r="AD75" s="324"/>
      <c r="AE75" s="623"/>
    </row>
    <row r="76" spans="1:31" ht="16.5" customHeight="1" x14ac:dyDescent="0.25">
      <c r="A76" s="486"/>
      <c r="B76" s="328"/>
      <c r="C76" s="323"/>
      <c r="D76" s="326" t="s">
        <v>120</v>
      </c>
      <c r="E76" s="326"/>
      <c r="F76" s="326"/>
      <c r="G76" s="326"/>
      <c r="H76" s="326"/>
      <c r="I76" s="326"/>
      <c r="J76" s="326"/>
      <c r="K76" s="326"/>
      <c r="L76" s="326"/>
      <c r="M76" s="326"/>
      <c r="N76" s="326"/>
      <c r="O76" s="326"/>
      <c r="P76" s="326"/>
      <c r="Q76" s="326"/>
      <c r="R76" s="326"/>
      <c r="S76" s="326"/>
      <c r="T76" s="326"/>
      <c r="U76" s="326"/>
      <c r="V76" s="326"/>
      <c r="W76" s="326"/>
      <c r="X76" s="326"/>
      <c r="Y76" s="326"/>
      <c r="Z76" s="324"/>
      <c r="AA76" s="487"/>
      <c r="AB76" s="324"/>
      <c r="AC76" s="324"/>
      <c r="AD76" s="324"/>
      <c r="AE76" s="623"/>
    </row>
    <row r="77" spans="1:31" x14ac:dyDescent="0.25">
      <c r="A77" s="486"/>
      <c r="B77" s="328"/>
      <c r="C77" s="323"/>
      <c r="D77" s="326" t="s">
        <v>121</v>
      </c>
      <c r="E77" s="326"/>
      <c r="F77" s="326"/>
      <c r="G77" s="326"/>
      <c r="H77" s="326"/>
      <c r="I77" s="326"/>
      <c r="J77" s="326"/>
      <c r="K77" s="326"/>
      <c r="L77" s="324"/>
      <c r="M77" s="326"/>
      <c r="N77" s="326"/>
      <c r="O77" s="326"/>
      <c r="P77" s="326"/>
      <c r="Q77" s="326"/>
      <c r="R77" s="326"/>
      <c r="S77" s="326"/>
      <c r="T77" s="326"/>
      <c r="U77" s="326"/>
      <c r="V77" s="326"/>
      <c r="W77" s="326"/>
      <c r="X77" s="326"/>
      <c r="Y77" s="326"/>
      <c r="Z77" s="324"/>
      <c r="AA77" s="487"/>
      <c r="AB77" s="324"/>
      <c r="AC77" s="324"/>
      <c r="AD77" s="324"/>
      <c r="AE77" s="623"/>
    </row>
    <row r="78" spans="1:31" x14ac:dyDescent="0.25">
      <c r="A78" s="486"/>
      <c r="B78" s="324"/>
      <c r="C78" s="323"/>
      <c r="D78" s="326" t="s">
        <v>122</v>
      </c>
      <c r="E78" s="326"/>
      <c r="F78" s="326"/>
      <c r="G78" s="326"/>
      <c r="H78" s="326"/>
      <c r="I78" s="326"/>
      <c r="J78" s="326"/>
      <c r="K78" s="326"/>
      <c r="L78" s="326"/>
      <c r="M78" s="326"/>
      <c r="N78" s="326"/>
      <c r="O78" s="326"/>
      <c r="P78" s="326"/>
      <c r="Q78" s="326"/>
      <c r="R78" s="326"/>
      <c r="S78" s="326"/>
      <c r="T78" s="326"/>
      <c r="U78" s="326"/>
      <c r="V78" s="326"/>
      <c r="W78" s="326"/>
      <c r="X78" s="326"/>
      <c r="Y78" s="326"/>
      <c r="Z78" s="324"/>
      <c r="AA78" s="487"/>
      <c r="AB78" s="324"/>
      <c r="AC78" s="324"/>
      <c r="AD78" s="324"/>
      <c r="AE78" s="623"/>
    </row>
    <row r="79" spans="1:31" x14ac:dyDescent="0.25">
      <c r="A79" s="486"/>
      <c r="B79" s="328"/>
      <c r="C79" s="323"/>
      <c r="D79" s="326" t="s">
        <v>123</v>
      </c>
      <c r="E79" s="324"/>
      <c r="F79" s="326"/>
      <c r="G79" s="326"/>
      <c r="H79" s="326"/>
      <c r="I79" s="326"/>
      <c r="J79" s="326"/>
      <c r="K79" s="326"/>
      <c r="L79" s="326"/>
      <c r="M79" s="326"/>
      <c r="N79" s="326"/>
      <c r="O79" s="326"/>
      <c r="P79" s="326"/>
      <c r="Q79" s="326"/>
      <c r="R79" s="326"/>
      <c r="S79" s="326"/>
      <c r="T79" s="326"/>
      <c r="U79" s="326"/>
      <c r="V79" s="326"/>
      <c r="W79" s="326"/>
      <c r="X79" s="326"/>
      <c r="Y79" s="326"/>
      <c r="Z79" s="324"/>
      <c r="AA79" s="487"/>
      <c r="AB79" s="324"/>
      <c r="AC79" s="324"/>
      <c r="AD79" s="324"/>
      <c r="AE79" s="623"/>
    </row>
    <row r="80" spans="1:31" x14ac:dyDescent="0.25">
      <c r="A80" s="486"/>
      <c r="B80" s="328"/>
      <c r="C80" s="323"/>
      <c r="D80" s="326" t="s">
        <v>235</v>
      </c>
      <c r="E80" s="324"/>
      <c r="F80" s="326"/>
      <c r="G80" s="326"/>
      <c r="H80" s="326"/>
      <c r="I80" s="326"/>
      <c r="J80" s="326"/>
      <c r="K80" s="326"/>
      <c r="L80" s="326"/>
      <c r="M80" s="326"/>
      <c r="N80" s="324"/>
      <c r="O80" s="326"/>
      <c r="P80" s="326"/>
      <c r="Q80" s="326"/>
      <c r="R80" s="326"/>
      <c r="S80" s="326"/>
      <c r="T80" s="326"/>
      <c r="U80" s="326"/>
      <c r="V80" s="326"/>
      <c r="W80" s="326"/>
      <c r="X80" s="326"/>
      <c r="Y80" s="326"/>
      <c r="Z80" s="324"/>
      <c r="AA80" s="487"/>
      <c r="AB80" s="324"/>
      <c r="AC80" s="324"/>
      <c r="AD80" s="324"/>
      <c r="AE80" s="623"/>
    </row>
    <row r="81" spans="1:35" x14ac:dyDescent="0.25">
      <c r="A81" s="486"/>
      <c r="B81" s="328"/>
      <c r="C81" s="324"/>
      <c r="D81" s="326" t="s">
        <v>236</v>
      </c>
      <c r="E81" s="326"/>
      <c r="F81" s="326"/>
      <c r="G81" s="326"/>
      <c r="H81" s="326"/>
      <c r="I81" s="326"/>
      <c r="J81" s="326"/>
      <c r="K81" s="326"/>
      <c r="L81" s="326"/>
      <c r="M81" s="352"/>
      <c r="N81" s="326"/>
      <c r="O81" s="326"/>
      <c r="P81" s="326"/>
      <c r="Q81" s="326"/>
      <c r="R81" s="326"/>
      <c r="S81" s="326"/>
      <c r="T81" s="326"/>
      <c r="U81" s="326"/>
      <c r="V81" s="326"/>
      <c r="W81" s="326"/>
      <c r="X81" s="326"/>
      <c r="Y81" s="326"/>
      <c r="Z81" s="324"/>
      <c r="AA81" s="487"/>
      <c r="AB81" s="324"/>
      <c r="AC81" s="324"/>
      <c r="AD81" s="324"/>
      <c r="AE81" s="623"/>
    </row>
    <row r="82" spans="1:35" x14ac:dyDescent="0.25">
      <c r="A82" s="486"/>
      <c r="B82" s="328"/>
      <c r="C82" s="324"/>
      <c r="D82" s="326"/>
      <c r="E82" s="326"/>
      <c r="F82" s="326"/>
      <c r="G82" s="326"/>
      <c r="H82" s="326"/>
      <c r="I82" s="326"/>
      <c r="J82" s="326"/>
      <c r="K82" s="326"/>
      <c r="L82" s="326"/>
      <c r="M82" s="352"/>
      <c r="N82" s="326"/>
      <c r="O82" s="326"/>
      <c r="P82" s="326"/>
      <c r="Q82" s="326"/>
      <c r="R82" s="326"/>
      <c r="S82" s="326"/>
      <c r="T82" s="326"/>
      <c r="U82" s="326"/>
      <c r="V82" s="326"/>
      <c r="W82" s="326"/>
      <c r="X82" s="326"/>
      <c r="Y82" s="326"/>
      <c r="Z82" s="324"/>
      <c r="AA82" s="487"/>
      <c r="AB82" s="324"/>
      <c r="AC82" s="324"/>
      <c r="AD82" s="324"/>
      <c r="AE82" s="623"/>
    </row>
    <row r="83" spans="1:35" x14ac:dyDescent="0.25">
      <c r="A83" s="486"/>
      <c r="B83" s="328" t="s">
        <v>251</v>
      </c>
      <c r="C83" s="323"/>
      <c r="D83" s="324" t="s">
        <v>196</v>
      </c>
      <c r="E83" s="324"/>
      <c r="F83" s="324"/>
      <c r="G83" s="324"/>
      <c r="H83" s="324"/>
      <c r="I83" s="324"/>
      <c r="J83" s="324"/>
      <c r="K83" s="324"/>
      <c r="L83" s="324"/>
      <c r="M83" s="324"/>
      <c r="N83" s="324"/>
      <c r="O83" s="324"/>
      <c r="P83" s="324"/>
      <c r="Q83" s="324"/>
      <c r="R83" s="324"/>
      <c r="S83" s="324"/>
      <c r="T83" s="324"/>
      <c r="U83" s="324"/>
      <c r="V83" s="324"/>
      <c r="W83" s="324"/>
      <c r="X83" s="324"/>
      <c r="Y83" s="326"/>
      <c r="Z83" s="324"/>
      <c r="AA83" s="487"/>
      <c r="AB83" s="324"/>
      <c r="AC83" s="324"/>
      <c r="AD83" s="324"/>
      <c r="AE83" s="623"/>
    </row>
    <row r="84" spans="1:35" x14ac:dyDescent="0.25">
      <c r="A84" s="486"/>
      <c r="B84" s="324"/>
      <c r="C84" s="323"/>
      <c r="D84" s="324" t="s">
        <v>193</v>
      </c>
      <c r="E84" s="324"/>
      <c r="F84" s="324"/>
      <c r="G84" s="324"/>
      <c r="H84" s="324"/>
      <c r="I84" s="324"/>
      <c r="J84" s="324"/>
      <c r="K84" s="324"/>
      <c r="L84" s="324"/>
      <c r="M84" s="324"/>
      <c r="N84" s="324"/>
      <c r="O84" s="324"/>
      <c r="P84" s="324"/>
      <c r="Q84" s="324"/>
      <c r="R84" s="324"/>
      <c r="S84" s="324"/>
      <c r="T84" s="324"/>
      <c r="U84" s="324"/>
      <c r="V84" s="324"/>
      <c r="W84" s="324"/>
      <c r="X84" s="324"/>
      <c r="Y84" s="326"/>
      <c r="Z84" s="324"/>
      <c r="AA84" s="487"/>
      <c r="AB84" s="324"/>
      <c r="AC84" s="324"/>
      <c r="AD84" s="324"/>
      <c r="AE84" s="623"/>
    </row>
    <row r="85" spans="1:35" x14ac:dyDescent="0.25">
      <c r="A85" s="486"/>
      <c r="B85" s="328"/>
      <c r="C85" s="323"/>
      <c r="D85" s="324" t="s">
        <v>194</v>
      </c>
      <c r="E85" s="324"/>
      <c r="F85" s="324"/>
      <c r="G85" s="324"/>
      <c r="H85" s="324"/>
      <c r="I85" s="324"/>
      <c r="J85" s="324"/>
      <c r="K85" s="324"/>
      <c r="L85" s="324"/>
      <c r="M85" s="324"/>
      <c r="N85" s="324"/>
      <c r="O85" s="324"/>
      <c r="P85" s="324"/>
      <c r="Q85" s="324"/>
      <c r="R85" s="324"/>
      <c r="S85" s="324"/>
      <c r="T85" s="324"/>
      <c r="U85" s="324"/>
      <c r="V85" s="324"/>
      <c r="W85" s="324"/>
      <c r="X85" s="324"/>
      <c r="Y85" s="326"/>
      <c r="Z85" s="324"/>
      <c r="AA85" s="487"/>
      <c r="AB85" s="324"/>
      <c r="AC85" s="324"/>
      <c r="AD85" s="324"/>
      <c r="AE85" s="623"/>
    </row>
    <row r="86" spans="1:35" x14ac:dyDescent="0.25">
      <c r="A86" s="486"/>
      <c r="B86" s="328"/>
      <c r="C86" s="323"/>
      <c r="D86" s="324" t="s">
        <v>195</v>
      </c>
      <c r="E86" s="324"/>
      <c r="F86" s="324"/>
      <c r="G86" s="324"/>
      <c r="H86" s="324"/>
      <c r="I86" s="324"/>
      <c r="J86" s="324"/>
      <c r="K86" s="324"/>
      <c r="L86" s="324"/>
      <c r="M86" s="324"/>
      <c r="N86" s="324"/>
      <c r="O86" s="324"/>
      <c r="P86" s="324"/>
      <c r="Q86" s="324"/>
      <c r="R86" s="324"/>
      <c r="S86" s="324"/>
      <c r="T86" s="324"/>
      <c r="U86" s="324"/>
      <c r="V86" s="324"/>
      <c r="W86" s="324"/>
      <c r="X86" s="324"/>
      <c r="Y86" s="326"/>
      <c r="Z86" s="324"/>
      <c r="AA86" s="487"/>
      <c r="AB86" s="324"/>
      <c r="AC86" s="324"/>
      <c r="AD86" s="324"/>
      <c r="AE86" s="623"/>
    </row>
    <row r="87" spans="1:35" x14ac:dyDescent="0.25">
      <c r="A87" s="486"/>
      <c r="B87" s="328"/>
      <c r="C87" s="323"/>
      <c r="D87" s="324" t="s">
        <v>221</v>
      </c>
      <c r="E87" s="324"/>
      <c r="F87" s="324"/>
      <c r="G87" s="324"/>
      <c r="H87" s="324"/>
      <c r="I87" s="324"/>
      <c r="J87" s="324"/>
      <c r="K87" s="324"/>
      <c r="L87" s="324"/>
      <c r="M87" s="324"/>
      <c r="N87" s="324"/>
      <c r="O87" s="324"/>
      <c r="P87" s="324"/>
      <c r="Q87" s="324"/>
      <c r="R87" s="324"/>
      <c r="S87" s="324"/>
      <c r="T87" s="324"/>
      <c r="U87" s="324"/>
      <c r="V87" s="324"/>
      <c r="W87" s="324"/>
      <c r="X87" s="324"/>
      <c r="Y87" s="326"/>
      <c r="Z87" s="324"/>
      <c r="AA87" s="487"/>
      <c r="AB87" s="324"/>
      <c r="AC87" s="324"/>
      <c r="AD87" s="324"/>
      <c r="AE87" s="623"/>
    </row>
    <row r="88" spans="1:35" x14ac:dyDescent="0.25">
      <c r="A88" s="486"/>
      <c r="B88" s="328"/>
      <c r="C88" s="323"/>
      <c r="D88" s="324" t="s">
        <v>213</v>
      </c>
      <c r="E88" s="324"/>
      <c r="F88" s="324"/>
      <c r="G88" s="324"/>
      <c r="H88" s="324"/>
      <c r="I88" s="324"/>
      <c r="J88" s="324"/>
      <c r="K88" s="324"/>
      <c r="L88" s="324"/>
      <c r="M88" s="324"/>
      <c r="N88" s="324"/>
      <c r="O88" s="324"/>
      <c r="P88" s="324"/>
      <c r="Q88" s="324"/>
      <c r="R88" s="324"/>
      <c r="S88" s="324"/>
      <c r="T88" s="324"/>
      <c r="U88" s="324"/>
      <c r="V88" s="324"/>
      <c r="W88" s="324"/>
      <c r="X88" s="324"/>
      <c r="Y88" s="326"/>
      <c r="Z88" s="324"/>
      <c r="AA88" s="487"/>
      <c r="AB88" s="324"/>
      <c r="AC88" s="324"/>
      <c r="AD88" s="324"/>
      <c r="AE88" s="623"/>
    </row>
    <row r="89" spans="1:35" x14ac:dyDescent="0.25">
      <c r="A89" s="486"/>
      <c r="B89" s="328"/>
      <c r="C89" s="323"/>
      <c r="D89" s="324" t="s">
        <v>199</v>
      </c>
      <c r="E89" s="324"/>
      <c r="F89" s="324"/>
      <c r="G89" s="324"/>
      <c r="H89" s="324"/>
      <c r="I89" s="324"/>
      <c r="J89" s="324"/>
      <c r="K89" s="324"/>
      <c r="L89" s="324"/>
      <c r="M89" s="324"/>
      <c r="N89" s="324"/>
      <c r="O89" s="324"/>
      <c r="P89" s="324"/>
      <c r="Q89" s="324"/>
      <c r="R89" s="324"/>
      <c r="S89" s="324"/>
      <c r="T89" s="324"/>
      <c r="U89" s="324"/>
      <c r="V89" s="324"/>
      <c r="W89" s="324"/>
      <c r="X89" s="324"/>
      <c r="Y89" s="326"/>
      <c r="Z89" s="324"/>
      <c r="AA89" s="487"/>
      <c r="AB89" s="324"/>
      <c r="AC89" s="324"/>
      <c r="AD89" s="324"/>
      <c r="AE89" s="623"/>
    </row>
    <row r="90" spans="1:35" x14ac:dyDescent="0.25">
      <c r="A90" s="486"/>
      <c r="B90" s="328"/>
      <c r="C90" s="323"/>
      <c r="D90" s="324" t="s">
        <v>289</v>
      </c>
      <c r="E90" s="324"/>
      <c r="F90" s="324"/>
      <c r="G90" s="324"/>
      <c r="H90" s="324"/>
      <c r="I90" s="324"/>
      <c r="J90" s="324"/>
      <c r="K90" s="324"/>
      <c r="L90" s="324"/>
      <c r="M90" s="324"/>
      <c r="N90" s="324"/>
      <c r="O90" s="324"/>
      <c r="P90" s="324"/>
      <c r="Q90" s="324"/>
      <c r="R90" s="324"/>
      <c r="S90" s="324"/>
      <c r="T90" s="324"/>
      <c r="U90" s="324"/>
      <c r="V90" s="324"/>
      <c r="W90" s="324"/>
      <c r="X90" s="324"/>
      <c r="Y90" s="326"/>
      <c r="Z90" s="324"/>
      <c r="AA90" s="487"/>
      <c r="AB90" s="324"/>
      <c r="AC90" s="324"/>
      <c r="AD90" s="324"/>
      <c r="AE90" s="623"/>
    </row>
    <row r="91" spans="1:35" ht="20.25" x14ac:dyDescent="0.25">
      <c r="A91" s="486"/>
      <c r="B91" s="328"/>
      <c r="C91" s="323"/>
      <c r="D91" s="324" t="s">
        <v>290</v>
      </c>
      <c r="E91" s="324"/>
      <c r="F91" s="324"/>
      <c r="G91" s="324"/>
      <c r="H91" s="324"/>
      <c r="I91" s="324"/>
      <c r="J91" s="324"/>
      <c r="K91" s="324"/>
      <c r="L91" s="324"/>
      <c r="M91" s="324"/>
      <c r="N91" s="324"/>
      <c r="O91" s="324"/>
      <c r="P91" s="324"/>
      <c r="Q91" s="324"/>
      <c r="R91" s="324"/>
      <c r="S91" s="324"/>
      <c r="T91" s="324"/>
      <c r="U91" s="324"/>
      <c r="V91" s="324"/>
      <c r="W91" s="324"/>
      <c r="X91" s="324"/>
      <c r="Y91" s="326"/>
      <c r="Z91" s="324"/>
      <c r="AA91" s="487"/>
      <c r="AB91" s="324"/>
      <c r="AC91" s="324"/>
      <c r="AD91" s="324"/>
      <c r="AE91" s="623"/>
    </row>
    <row r="92" spans="1:35" ht="20.25" x14ac:dyDescent="0.25">
      <c r="A92" s="486"/>
      <c r="B92" s="328"/>
      <c r="C92" s="323"/>
      <c r="D92" s="327" t="s">
        <v>317</v>
      </c>
      <c r="E92" s="324"/>
      <c r="F92" s="324"/>
      <c r="G92" s="324"/>
      <c r="H92" s="324"/>
      <c r="I92" s="324"/>
      <c r="J92" s="324"/>
      <c r="K92" s="324"/>
      <c r="L92" s="324"/>
      <c r="M92" s="324"/>
      <c r="N92" s="324"/>
      <c r="O92" s="324"/>
      <c r="P92" s="324"/>
      <c r="Q92" s="324"/>
      <c r="R92" s="324"/>
      <c r="S92" s="324"/>
      <c r="T92" s="324"/>
      <c r="U92" s="324"/>
      <c r="V92" s="324"/>
      <c r="W92" s="324"/>
      <c r="X92" s="324"/>
      <c r="Y92" s="326"/>
      <c r="Z92" s="324"/>
      <c r="AA92" s="487"/>
      <c r="AB92" s="324"/>
      <c r="AC92" s="324"/>
      <c r="AD92" s="324"/>
      <c r="AE92" s="623"/>
    </row>
    <row r="93" spans="1:35" x14ac:dyDescent="0.25">
      <c r="A93" s="486"/>
      <c r="B93" s="328"/>
      <c r="C93" s="323"/>
      <c r="D93" s="327" t="s">
        <v>318</v>
      </c>
      <c r="E93" s="324"/>
      <c r="F93" s="324"/>
      <c r="G93" s="324"/>
      <c r="H93" s="324"/>
      <c r="I93" s="324"/>
      <c r="J93" s="324"/>
      <c r="K93" s="324"/>
      <c r="L93" s="324"/>
      <c r="M93" s="324"/>
      <c r="N93" s="324"/>
      <c r="O93" s="324"/>
      <c r="P93" s="324"/>
      <c r="Q93" s="324"/>
      <c r="R93" s="324"/>
      <c r="S93" s="324"/>
      <c r="T93" s="324"/>
      <c r="U93" s="324"/>
      <c r="V93" s="324"/>
      <c r="W93" s="324"/>
      <c r="X93" s="324"/>
      <c r="Y93" s="326"/>
      <c r="Z93" s="324"/>
      <c r="AA93" s="487"/>
      <c r="AB93" s="324"/>
      <c r="AC93" s="324"/>
      <c r="AD93" s="324"/>
      <c r="AE93" s="623"/>
    </row>
    <row r="94" spans="1:35" x14ac:dyDescent="0.25">
      <c r="A94" s="486"/>
      <c r="B94" s="328"/>
      <c r="C94" s="323"/>
      <c r="D94" s="327"/>
      <c r="E94" s="324"/>
      <c r="F94" s="324"/>
      <c r="G94" s="324"/>
      <c r="H94" s="324"/>
      <c r="I94" s="324"/>
      <c r="J94" s="324"/>
      <c r="K94" s="324"/>
      <c r="L94" s="324"/>
      <c r="M94" s="324"/>
      <c r="N94" s="324"/>
      <c r="O94" s="324"/>
      <c r="P94" s="324"/>
      <c r="Q94" s="324"/>
      <c r="R94" s="324"/>
      <c r="S94" s="324"/>
      <c r="T94" s="324"/>
      <c r="U94" s="324"/>
      <c r="V94" s="324"/>
      <c r="W94" s="324"/>
      <c r="X94" s="324"/>
      <c r="Y94" s="326"/>
      <c r="Z94" s="324"/>
      <c r="AA94" s="487"/>
      <c r="AB94" s="324"/>
      <c r="AC94" s="324"/>
      <c r="AD94" s="324"/>
      <c r="AE94" s="623"/>
    </row>
    <row r="95" spans="1:35" x14ac:dyDescent="0.25">
      <c r="A95" s="486"/>
      <c r="B95" s="328"/>
      <c r="C95" s="323"/>
      <c r="D95" s="324" t="s">
        <v>291</v>
      </c>
      <c r="E95" s="324"/>
      <c r="F95" s="324"/>
      <c r="G95" s="324"/>
      <c r="H95" s="324"/>
      <c r="I95" s="324"/>
      <c r="J95" s="324"/>
      <c r="K95" s="324"/>
      <c r="L95" s="324"/>
      <c r="M95" s="324"/>
      <c r="N95" s="324"/>
      <c r="O95" s="324"/>
      <c r="P95" s="324"/>
      <c r="Q95" s="324"/>
      <c r="R95" s="324"/>
      <c r="S95" s="324"/>
      <c r="T95" s="324"/>
      <c r="U95" s="324"/>
      <c r="V95" s="324"/>
      <c r="W95" s="394"/>
      <c r="X95" s="324"/>
      <c r="Y95" s="326"/>
      <c r="Z95" s="324"/>
      <c r="AA95" s="487"/>
      <c r="AB95" s="324"/>
      <c r="AC95" s="324"/>
      <c r="AD95" s="324"/>
      <c r="AE95" s="623"/>
      <c r="AI95" s="295"/>
    </row>
    <row r="96" spans="1:35" x14ac:dyDescent="0.25">
      <c r="A96" s="486"/>
      <c r="B96" s="324"/>
      <c r="C96" s="324"/>
      <c r="D96" s="324" t="s">
        <v>227</v>
      </c>
      <c r="E96" s="324"/>
      <c r="F96" s="324"/>
      <c r="G96" s="324"/>
      <c r="H96" s="324"/>
      <c r="I96" s="324"/>
      <c r="J96" s="324"/>
      <c r="K96" s="324"/>
      <c r="L96" s="324"/>
      <c r="M96" s="324"/>
      <c r="N96" s="324"/>
      <c r="O96" s="324"/>
      <c r="P96" s="324"/>
      <c r="Q96" s="324"/>
      <c r="R96" s="324"/>
      <c r="S96" s="324"/>
      <c r="T96" s="324"/>
      <c r="U96" s="324"/>
      <c r="V96" s="324"/>
      <c r="W96" s="324"/>
      <c r="X96" s="324"/>
      <c r="Y96" s="326"/>
      <c r="Z96" s="324"/>
      <c r="AA96" s="487"/>
      <c r="AB96" s="324"/>
      <c r="AC96" s="324"/>
      <c r="AD96" s="324"/>
      <c r="AE96" s="623"/>
      <c r="AI96" s="295"/>
    </row>
    <row r="97" spans="1:35" x14ac:dyDescent="0.25">
      <c r="A97" s="486"/>
      <c r="B97" s="324"/>
      <c r="C97" s="324"/>
      <c r="D97" s="296"/>
      <c r="E97" s="324"/>
      <c r="F97" s="324"/>
      <c r="G97" s="324"/>
      <c r="H97" s="324"/>
      <c r="I97" s="324"/>
      <c r="J97" s="324"/>
      <c r="K97" s="324"/>
      <c r="L97" s="324"/>
      <c r="M97" s="324"/>
      <c r="N97" s="328" t="s">
        <v>316</v>
      </c>
      <c r="O97" s="324"/>
      <c r="P97" s="324"/>
      <c r="Q97" s="324"/>
      <c r="R97" s="324"/>
      <c r="S97" s="324"/>
      <c r="T97" s="324"/>
      <c r="U97" s="324"/>
      <c r="V97" s="324"/>
      <c r="W97" s="324"/>
      <c r="X97" s="324"/>
      <c r="Y97" s="326"/>
      <c r="Z97" s="324"/>
      <c r="AA97" s="487"/>
      <c r="AB97" s="324"/>
      <c r="AC97" s="324"/>
      <c r="AD97" s="324"/>
      <c r="AE97" s="623"/>
      <c r="AI97" s="295"/>
    </row>
    <row r="98" spans="1:35" ht="17.25" thickBot="1" x14ac:dyDescent="0.3">
      <c r="A98" s="486"/>
      <c r="B98" s="324"/>
      <c r="C98" s="324"/>
      <c r="D98" s="324"/>
      <c r="E98" s="324"/>
      <c r="F98" s="324"/>
      <c r="G98" s="324"/>
      <c r="H98" s="324"/>
      <c r="I98" s="324"/>
      <c r="J98" s="324"/>
      <c r="K98" s="324"/>
      <c r="L98" s="324"/>
      <c r="M98" s="324"/>
      <c r="N98" s="324"/>
      <c r="O98" s="324"/>
      <c r="P98" s="324"/>
      <c r="Q98" s="324"/>
      <c r="R98" s="324"/>
      <c r="S98" s="324"/>
      <c r="T98" s="324"/>
      <c r="U98" s="324"/>
      <c r="V98" s="324"/>
      <c r="W98" s="324"/>
      <c r="X98" s="324"/>
      <c r="Y98" s="326"/>
      <c r="Z98" s="324"/>
      <c r="AA98" s="487"/>
      <c r="AB98" s="324"/>
      <c r="AC98" s="324"/>
      <c r="AD98" s="324"/>
      <c r="AE98" s="623"/>
      <c r="AI98" s="295"/>
    </row>
    <row r="99" spans="1:35" x14ac:dyDescent="0.25">
      <c r="A99" s="486"/>
      <c r="B99" s="328"/>
      <c r="C99" s="395"/>
      <c r="D99" s="396">
        <f>SUM(AC99,AB99)</f>
        <v>572</v>
      </c>
      <c r="E99" s="397" t="s">
        <v>190</v>
      </c>
      <c r="F99" s="370"/>
      <c r="G99" s="370"/>
      <c r="H99" s="370"/>
      <c r="I99" s="370"/>
      <c r="J99" s="370"/>
      <c r="K99" s="370"/>
      <c r="L99" s="370"/>
      <c r="M99" s="370"/>
      <c r="N99" s="370"/>
      <c r="O99" s="370"/>
      <c r="P99" s="370"/>
      <c r="Q99" s="370"/>
      <c r="R99" s="370"/>
      <c r="S99" s="370"/>
      <c r="T99" s="370"/>
      <c r="U99" s="370"/>
      <c r="V99" s="370"/>
      <c r="W99" s="370"/>
      <c r="X99" s="370"/>
      <c r="Y99" s="383"/>
      <c r="Z99" s="370"/>
      <c r="AA99" s="370"/>
      <c r="AB99" s="616">
        <f>COUNTIF(D101:AC122,0)</f>
        <v>268</v>
      </c>
      <c r="AC99" s="617">
        <f>COUNTIF(D101:AC122,1)</f>
        <v>304</v>
      </c>
      <c r="AD99" s="485"/>
      <c r="AE99" s="624"/>
      <c r="AF99" s="299"/>
      <c r="AG99" s="299"/>
      <c r="AH99" s="299"/>
      <c r="AI99" s="295"/>
    </row>
    <row r="100" spans="1:35" ht="18" x14ac:dyDescent="0.25">
      <c r="A100" s="486"/>
      <c r="B100" s="328"/>
      <c r="C100" s="398"/>
      <c r="D100" s="399">
        <v>1</v>
      </c>
      <c r="E100" s="399">
        <v>2</v>
      </c>
      <c r="F100" s="399">
        <v>3</v>
      </c>
      <c r="G100" s="399">
        <v>4</v>
      </c>
      <c r="H100" s="399">
        <v>5</v>
      </c>
      <c r="I100" s="399">
        <v>6</v>
      </c>
      <c r="J100" s="399">
        <v>7</v>
      </c>
      <c r="K100" s="399">
        <v>8</v>
      </c>
      <c r="L100" s="399">
        <v>9</v>
      </c>
      <c r="M100" s="399">
        <v>10</v>
      </c>
      <c r="N100" s="399">
        <v>11</v>
      </c>
      <c r="O100" s="399">
        <v>12</v>
      </c>
      <c r="P100" s="399">
        <v>13</v>
      </c>
      <c r="Q100" s="399">
        <v>14</v>
      </c>
      <c r="R100" s="399">
        <v>15</v>
      </c>
      <c r="S100" s="399">
        <v>16</v>
      </c>
      <c r="T100" s="399">
        <v>17</v>
      </c>
      <c r="U100" s="399">
        <v>18</v>
      </c>
      <c r="V100" s="399">
        <v>19</v>
      </c>
      <c r="W100" s="399">
        <v>20</v>
      </c>
      <c r="X100" s="399">
        <v>21</v>
      </c>
      <c r="Y100" s="400">
        <v>22</v>
      </c>
      <c r="Z100" s="399">
        <v>23</v>
      </c>
      <c r="AA100" s="399">
        <v>24</v>
      </c>
      <c r="AB100" s="399">
        <v>25</v>
      </c>
      <c r="AC100" s="399">
        <v>26</v>
      </c>
      <c r="AD100" s="487"/>
      <c r="AE100" s="624"/>
      <c r="AF100" s="299"/>
      <c r="AG100" s="299"/>
      <c r="AH100" s="299"/>
      <c r="AI100" s="295"/>
    </row>
    <row r="101" spans="1:35" ht="18" x14ac:dyDescent="0.25">
      <c r="A101" s="486"/>
      <c r="B101" s="328"/>
      <c r="C101" s="401">
        <v>1</v>
      </c>
      <c r="D101" s="402">
        <v>1</v>
      </c>
      <c r="E101" s="403">
        <v>1</v>
      </c>
      <c r="F101" s="404">
        <v>0</v>
      </c>
      <c r="G101" s="404">
        <v>0</v>
      </c>
      <c r="H101" s="404">
        <v>0</v>
      </c>
      <c r="I101" s="405">
        <v>0</v>
      </c>
      <c r="J101" s="406">
        <v>1</v>
      </c>
      <c r="K101" s="403">
        <v>1</v>
      </c>
      <c r="L101" s="404">
        <v>0</v>
      </c>
      <c r="M101" s="404">
        <v>0</v>
      </c>
      <c r="N101" s="404">
        <v>0</v>
      </c>
      <c r="O101" s="407">
        <v>1</v>
      </c>
      <c r="P101" s="406">
        <v>1</v>
      </c>
      <c r="Q101" s="403">
        <v>1</v>
      </c>
      <c r="R101" s="404">
        <v>0</v>
      </c>
      <c r="S101" s="404">
        <v>0</v>
      </c>
      <c r="T101" s="403">
        <v>1</v>
      </c>
      <c r="U101" s="407">
        <v>1</v>
      </c>
      <c r="V101" s="406">
        <v>1</v>
      </c>
      <c r="W101" s="403">
        <v>1</v>
      </c>
      <c r="X101" s="404">
        <v>0</v>
      </c>
      <c r="Y101" s="404">
        <v>0</v>
      </c>
      <c r="Z101" s="403">
        <v>1</v>
      </c>
      <c r="AA101" s="405">
        <v>0</v>
      </c>
      <c r="AB101" s="406">
        <v>1</v>
      </c>
      <c r="AC101" s="408">
        <v>1</v>
      </c>
      <c r="AD101" s="615"/>
      <c r="AE101" s="624"/>
      <c r="AF101" s="299"/>
      <c r="AG101" s="300"/>
      <c r="AH101" s="299"/>
      <c r="AI101" s="295"/>
    </row>
    <row r="102" spans="1:35" ht="18" x14ac:dyDescent="0.25">
      <c r="A102" s="486"/>
      <c r="B102" s="328"/>
      <c r="C102" s="401">
        <v>2</v>
      </c>
      <c r="D102" s="409">
        <v>0</v>
      </c>
      <c r="E102" s="410">
        <v>1</v>
      </c>
      <c r="F102" s="410">
        <v>1</v>
      </c>
      <c r="G102" s="411">
        <v>0</v>
      </c>
      <c r="H102" s="412">
        <v>1</v>
      </c>
      <c r="I102" s="410">
        <v>1</v>
      </c>
      <c r="J102" s="413">
        <v>0</v>
      </c>
      <c r="K102" s="410">
        <v>1</v>
      </c>
      <c r="L102" s="410">
        <v>1</v>
      </c>
      <c r="M102" s="414">
        <v>1</v>
      </c>
      <c r="N102" s="412">
        <v>1</v>
      </c>
      <c r="O102" s="410">
        <v>1</v>
      </c>
      <c r="P102" s="413">
        <v>0</v>
      </c>
      <c r="Q102" s="410">
        <v>1</v>
      </c>
      <c r="R102" s="413">
        <v>0</v>
      </c>
      <c r="S102" s="414">
        <v>1</v>
      </c>
      <c r="T102" s="412">
        <v>1</v>
      </c>
      <c r="U102" s="410">
        <v>1</v>
      </c>
      <c r="V102" s="413">
        <v>0</v>
      </c>
      <c r="W102" s="410">
        <v>1</v>
      </c>
      <c r="X102" s="413">
        <v>0</v>
      </c>
      <c r="Y102" s="411">
        <v>0</v>
      </c>
      <c r="Z102" s="412">
        <v>1</v>
      </c>
      <c r="AA102" s="410">
        <v>1</v>
      </c>
      <c r="AB102" s="410">
        <v>1</v>
      </c>
      <c r="AC102" s="415">
        <v>1</v>
      </c>
      <c r="AD102" s="615"/>
      <c r="AE102" s="624"/>
      <c r="AF102" s="299"/>
      <c r="AG102" s="300"/>
      <c r="AH102" s="299"/>
      <c r="AI102" s="295"/>
    </row>
    <row r="103" spans="1:35" ht="18" x14ac:dyDescent="0.25">
      <c r="A103" s="486"/>
      <c r="B103" s="328"/>
      <c r="C103" s="401">
        <v>3</v>
      </c>
      <c r="D103" s="409">
        <v>0</v>
      </c>
      <c r="E103" s="411">
        <v>0</v>
      </c>
      <c r="F103" s="412">
        <v>1</v>
      </c>
      <c r="G103" s="410">
        <v>1</v>
      </c>
      <c r="H103" s="410">
        <v>1</v>
      </c>
      <c r="I103" s="410">
        <v>1</v>
      </c>
      <c r="J103" s="413">
        <v>0</v>
      </c>
      <c r="K103" s="414">
        <v>1</v>
      </c>
      <c r="L103" s="412">
        <v>1</v>
      </c>
      <c r="M103" s="410">
        <v>1</v>
      </c>
      <c r="N103" s="410">
        <v>1</v>
      </c>
      <c r="O103" s="410">
        <v>1</v>
      </c>
      <c r="P103" s="410">
        <v>1</v>
      </c>
      <c r="Q103" s="414">
        <v>1</v>
      </c>
      <c r="R103" s="412">
        <v>1</v>
      </c>
      <c r="S103" s="410">
        <v>1</v>
      </c>
      <c r="T103" s="410">
        <v>1</v>
      </c>
      <c r="U103" s="410">
        <v>1</v>
      </c>
      <c r="V103" s="410">
        <v>1</v>
      </c>
      <c r="W103" s="411">
        <v>0</v>
      </c>
      <c r="X103" s="412">
        <v>1</v>
      </c>
      <c r="Y103" s="416">
        <v>1</v>
      </c>
      <c r="Z103" s="410">
        <v>1</v>
      </c>
      <c r="AA103" s="413">
        <v>0</v>
      </c>
      <c r="AB103" s="410">
        <v>1</v>
      </c>
      <c r="AC103" s="417">
        <v>0</v>
      </c>
      <c r="AD103" s="615"/>
      <c r="AE103" s="625"/>
      <c r="AF103" s="299"/>
      <c r="AG103" s="300"/>
      <c r="AH103" s="299"/>
      <c r="AI103" s="295"/>
    </row>
    <row r="104" spans="1:35" ht="18" x14ac:dyDescent="0.25">
      <c r="A104" s="486"/>
      <c r="B104" s="328"/>
      <c r="C104" s="401">
        <v>4</v>
      </c>
      <c r="D104" s="418">
        <v>1</v>
      </c>
      <c r="E104" s="410">
        <v>1</v>
      </c>
      <c r="F104" s="410">
        <v>1</v>
      </c>
      <c r="G104" s="413">
        <v>0</v>
      </c>
      <c r="H104" s="410">
        <v>1</v>
      </c>
      <c r="I104" s="414">
        <v>1</v>
      </c>
      <c r="J104" s="412">
        <v>1</v>
      </c>
      <c r="K104" s="410">
        <v>1</v>
      </c>
      <c r="L104" s="410">
        <v>1</v>
      </c>
      <c r="M104" s="413">
        <v>0</v>
      </c>
      <c r="N104" s="413">
        <v>0</v>
      </c>
      <c r="O104" s="414">
        <v>1</v>
      </c>
      <c r="P104" s="412">
        <v>1</v>
      </c>
      <c r="Q104" s="410">
        <v>1</v>
      </c>
      <c r="R104" s="410">
        <v>1</v>
      </c>
      <c r="S104" s="413">
        <v>0</v>
      </c>
      <c r="T104" s="413">
        <v>0</v>
      </c>
      <c r="U104" s="411">
        <v>0</v>
      </c>
      <c r="V104" s="412">
        <v>1</v>
      </c>
      <c r="W104" s="413">
        <v>0</v>
      </c>
      <c r="X104" s="410">
        <v>1</v>
      </c>
      <c r="Y104" s="413">
        <v>0</v>
      </c>
      <c r="Z104" s="413">
        <v>0</v>
      </c>
      <c r="AA104" s="411">
        <v>0</v>
      </c>
      <c r="AB104" s="412">
        <v>1</v>
      </c>
      <c r="AC104" s="417">
        <v>0</v>
      </c>
      <c r="AD104" s="615"/>
      <c r="AE104" s="625"/>
      <c r="AF104" s="299"/>
      <c r="AG104" s="300"/>
      <c r="AH104" s="299"/>
      <c r="AI104" s="295"/>
    </row>
    <row r="105" spans="1:35" ht="18" x14ac:dyDescent="0.25">
      <c r="A105" s="486"/>
      <c r="B105" s="328"/>
      <c r="C105" s="401">
        <v>5</v>
      </c>
      <c r="D105" s="418">
        <v>1</v>
      </c>
      <c r="E105" s="413">
        <v>0</v>
      </c>
      <c r="F105" s="413">
        <v>0</v>
      </c>
      <c r="G105" s="414">
        <v>1</v>
      </c>
      <c r="H105" s="412">
        <v>1</v>
      </c>
      <c r="I105" s="413">
        <v>0</v>
      </c>
      <c r="J105" s="410">
        <v>1</v>
      </c>
      <c r="K105" s="413">
        <v>0</v>
      </c>
      <c r="L105" s="410">
        <v>1</v>
      </c>
      <c r="M105" s="414">
        <v>1</v>
      </c>
      <c r="N105" s="412">
        <v>1</v>
      </c>
      <c r="O105" s="413">
        <v>0</v>
      </c>
      <c r="P105" s="410">
        <v>1</v>
      </c>
      <c r="Q105" s="413">
        <v>0</v>
      </c>
      <c r="R105" s="410">
        <v>1</v>
      </c>
      <c r="S105" s="411">
        <v>0</v>
      </c>
      <c r="T105" s="412">
        <v>1</v>
      </c>
      <c r="U105" s="413">
        <v>0</v>
      </c>
      <c r="V105" s="410">
        <v>1</v>
      </c>
      <c r="W105" s="410">
        <v>1</v>
      </c>
      <c r="X105" s="410">
        <v>1</v>
      </c>
      <c r="Y105" s="411">
        <v>0</v>
      </c>
      <c r="Z105" s="412">
        <v>1</v>
      </c>
      <c r="AA105" s="413">
        <v>0</v>
      </c>
      <c r="AB105" s="410">
        <v>1</v>
      </c>
      <c r="AC105" s="415">
        <v>1</v>
      </c>
      <c r="AD105" s="615"/>
      <c r="AE105" s="625"/>
      <c r="AF105" s="299"/>
      <c r="AG105" s="299"/>
      <c r="AH105" s="300"/>
      <c r="AI105" s="295"/>
    </row>
    <row r="106" spans="1:35" ht="18" x14ac:dyDescent="0.25">
      <c r="A106" s="486"/>
      <c r="B106" s="328"/>
      <c r="C106" s="401">
        <v>6</v>
      </c>
      <c r="D106" s="418">
        <v>1</v>
      </c>
      <c r="E106" s="414">
        <v>1</v>
      </c>
      <c r="F106" s="412">
        <v>1</v>
      </c>
      <c r="G106" s="413">
        <v>0</v>
      </c>
      <c r="H106" s="410">
        <v>1</v>
      </c>
      <c r="I106" s="410">
        <v>1</v>
      </c>
      <c r="J106" s="413">
        <v>0</v>
      </c>
      <c r="K106" s="414">
        <v>1</v>
      </c>
      <c r="L106" s="412">
        <v>1</v>
      </c>
      <c r="M106" s="413">
        <v>0</v>
      </c>
      <c r="N106" s="410">
        <v>1</v>
      </c>
      <c r="O106" s="410">
        <v>1</v>
      </c>
      <c r="P106" s="413">
        <v>0</v>
      </c>
      <c r="Q106" s="411">
        <v>0</v>
      </c>
      <c r="R106" s="412">
        <v>1</v>
      </c>
      <c r="S106" s="413">
        <v>0</v>
      </c>
      <c r="T106" s="413">
        <v>0</v>
      </c>
      <c r="U106" s="410">
        <v>1</v>
      </c>
      <c r="V106" s="413">
        <v>0</v>
      </c>
      <c r="W106" s="411">
        <v>0</v>
      </c>
      <c r="X106" s="412">
        <v>1</v>
      </c>
      <c r="Y106" s="413">
        <v>0</v>
      </c>
      <c r="Z106" s="413">
        <v>0</v>
      </c>
      <c r="AA106" s="410">
        <v>1</v>
      </c>
      <c r="AB106" s="413">
        <v>0</v>
      </c>
      <c r="AC106" s="415">
        <v>1</v>
      </c>
      <c r="AD106" s="615"/>
      <c r="AE106" s="625"/>
      <c r="AF106" s="299"/>
      <c r="AG106" s="299"/>
      <c r="AH106" s="300"/>
      <c r="AI106" s="295"/>
    </row>
    <row r="107" spans="1:35" ht="18" x14ac:dyDescent="0.25">
      <c r="A107" s="486"/>
      <c r="B107" s="328"/>
      <c r="C107" s="401">
        <v>7</v>
      </c>
      <c r="D107" s="418">
        <v>1</v>
      </c>
      <c r="E107" s="413">
        <v>0</v>
      </c>
      <c r="F107" s="413">
        <v>0</v>
      </c>
      <c r="G107" s="410">
        <v>1</v>
      </c>
      <c r="H107" s="410">
        <v>1</v>
      </c>
      <c r="I107" s="414">
        <v>1</v>
      </c>
      <c r="J107" s="412">
        <v>1</v>
      </c>
      <c r="K107" s="413">
        <v>0</v>
      </c>
      <c r="L107" s="413">
        <v>0</v>
      </c>
      <c r="M107" s="410">
        <v>1</v>
      </c>
      <c r="N107" s="410">
        <v>1</v>
      </c>
      <c r="O107" s="411">
        <v>0</v>
      </c>
      <c r="P107" s="412">
        <v>1</v>
      </c>
      <c r="Q107" s="413">
        <v>0</v>
      </c>
      <c r="R107" s="413">
        <v>0</v>
      </c>
      <c r="S107" s="413">
        <v>0</v>
      </c>
      <c r="T107" s="410">
        <v>1</v>
      </c>
      <c r="U107" s="411">
        <v>0</v>
      </c>
      <c r="V107" s="412">
        <v>1</v>
      </c>
      <c r="W107" s="413">
        <v>0</v>
      </c>
      <c r="X107" s="413">
        <v>0</v>
      </c>
      <c r="Y107" s="413">
        <v>0</v>
      </c>
      <c r="Z107" s="410">
        <v>1</v>
      </c>
      <c r="AA107" s="414">
        <v>1</v>
      </c>
      <c r="AB107" s="412">
        <v>1</v>
      </c>
      <c r="AC107" s="417">
        <v>0</v>
      </c>
      <c r="AD107" s="615"/>
      <c r="AE107" s="625"/>
      <c r="AF107" s="300"/>
      <c r="AG107" s="299"/>
      <c r="AH107" s="299"/>
      <c r="AI107" s="295"/>
    </row>
    <row r="108" spans="1:35" ht="18" x14ac:dyDescent="0.25">
      <c r="A108" s="486"/>
      <c r="B108" s="324"/>
      <c r="C108" s="401">
        <v>8</v>
      </c>
      <c r="D108" s="409">
        <v>0</v>
      </c>
      <c r="E108" s="413">
        <v>0</v>
      </c>
      <c r="F108" s="413">
        <v>0</v>
      </c>
      <c r="G108" s="414">
        <v>1</v>
      </c>
      <c r="H108" s="412">
        <v>1</v>
      </c>
      <c r="I108" s="413">
        <v>0</v>
      </c>
      <c r="J108" s="413">
        <v>0</v>
      </c>
      <c r="K108" s="413">
        <v>0</v>
      </c>
      <c r="L108" s="413">
        <v>0</v>
      </c>
      <c r="M108" s="411">
        <v>0</v>
      </c>
      <c r="N108" s="412">
        <v>1</v>
      </c>
      <c r="O108" s="413">
        <v>0</v>
      </c>
      <c r="P108" s="413">
        <v>0</v>
      </c>
      <c r="Q108" s="413">
        <v>0</v>
      </c>
      <c r="R108" s="413">
        <v>0</v>
      </c>
      <c r="S108" s="411">
        <v>0</v>
      </c>
      <c r="T108" s="412">
        <v>1</v>
      </c>
      <c r="U108" s="413">
        <v>0</v>
      </c>
      <c r="V108" s="413">
        <v>0</v>
      </c>
      <c r="W108" s="413">
        <v>0</v>
      </c>
      <c r="X108" s="413">
        <v>0</v>
      </c>
      <c r="Y108" s="419">
        <v>1</v>
      </c>
      <c r="Z108" s="412">
        <v>1</v>
      </c>
      <c r="AA108" s="413">
        <v>0</v>
      </c>
      <c r="AB108" s="413">
        <v>0</v>
      </c>
      <c r="AC108" s="417">
        <v>0</v>
      </c>
      <c r="AD108" s="615"/>
      <c r="AE108" s="625"/>
      <c r="AF108" s="300"/>
      <c r="AG108" s="299"/>
      <c r="AH108" s="299"/>
      <c r="AI108" s="295"/>
    </row>
    <row r="109" spans="1:35" ht="16.5" customHeight="1" x14ac:dyDescent="0.25">
      <c r="A109" s="486"/>
      <c r="B109" s="328"/>
      <c r="C109" s="401">
        <v>9</v>
      </c>
      <c r="D109" s="418">
        <v>1</v>
      </c>
      <c r="E109" s="414">
        <v>1</v>
      </c>
      <c r="F109" s="412">
        <v>1</v>
      </c>
      <c r="G109" s="413">
        <v>0</v>
      </c>
      <c r="H109" s="413">
        <v>0</v>
      </c>
      <c r="I109" s="413">
        <v>0</v>
      </c>
      <c r="J109" s="410">
        <v>1</v>
      </c>
      <c r="K109" s="411">
        <v>0</v>
      </c>
      <c r="L109" s="412">
        <v>1</v>
      </c>
      <c r="M109" s="413">
        <v>0</v>
      </c>
      <c r="N109" s="413">
        <v>0</v>
      </c>
      <c r="O109" s="410">
        <v>1</v>
      </c>
      <c r="P109" s="410">
        <v>1</v>
      </c>
      <c r="Q109" s="411">
        <v>0</v>
      </c>
      <c r="R109" s="412">
        <v>1</v>
      </c>
      <c r="S109" s="413">
        <v>0</v>
      </c>
      <c r="T109" s="413">
        <v>0</v>
      </c>
      <c r="U109" s="410">
        <v>1</v>
      </c>
      <c r="V109" s="410">
        <v>1</v>
      </c>
      <c r="W109" s="414">
        <v>1</v>
      </c>
      <c r="X109" s="412">
        <v>1</v>
      </c>
      <c r="Y109" s="413">
        <v>0</v>
      </c>
      <c r="Z109" s="413">
        <v>0</v>
      </c>
      <c r="AA109" s="410">
        <v>1</v>
      </c>
      <c r="AB109" s="413">
        <v>0</v>
      </c>
      <c r="AC109" s="415">
        <v>1</v>
      </c>
      <c r="AD109" s="615"/>
      <c r="AE109" s="625"/>
      <c r="AF109" s="300"/>
      <c r="AG109" s="300"/>
      <c r="AH109" s="300"/>
    </row>
    <row r="110" spans="1:35" ht="18" x14ac:dyDescent="0.25">
      <c r="A110" s="486"/>
      <c r="B110" s="328"/>
      <c r="C110" s="401">
        <v>10</v>
      </c>
      <c r="D110" s="418">
        <v>1</v>
      </c>
      <c r="E110" s="413">
        <v>0</v>
      </c>
      <c r="F110" s="413">
        <v>0</v>
      </c>
      <c r="G110" s="410">
        <v>1</v>
      </c>
      <c r="H110" s="413">
        <v>0</v>
      </c>
      <c r="I110" s="411">
        <v>0</v>
      </c>
      <c r="J110" s="412">
        <v>1</v>
      </c>
      <c r="K110" s="413">
        <v>0</v>
      </c>
      <c r="L110" s="410">
        <v>1</v>
      </c>
      <c r="M110" s="410">
        <v>1</v>
      </c>
      <c r="N110" s="413">
        <v>0</v>
      </c>
      <c r="O110" s="411">
        <v>0</v>
      </c>
      <c r="P110" s="412">
        <v>1</v>
      </c>
      <c r="Q110" s="413">
        <v>0</v>
      </c>
      <c r="R110" s="410">
        <v>1</v>
      </c>
      <c r="S110" s="412">
        <v>1</v>
      </c>
      <c r="T110" s="413">
        <v>0</v>
      </c>
      <c r="U110" s="414">
        <v>1</v>
      </c>
      <c r="V110" s="412">
        <v>1</v>
      </c>
      <c r="W110" s="413">
        <v>0</v>
      </c>
      <c r="X110" s="410">
        <v>1</v>
      </c>
      <c r="Y110" s="416">
        <v>1</v>
      </c>
      <c r="Z110" s="410">
        <v>1</v>
      </c>
      <c r="AA110" s="414">
        <v>1</v>
      </c>
      <c r="AB110" s="412">
        <v>1</v>
      </c>
      <c r="AC110" s="417">
        <v>0</v>
      </c>
      <c r="AD110" s="615"/>
      <c r="AE110" s="625"/>
      <c r="AF110" s="300"/>
      <c r="AG110" s="300"/>
      <c r="AH110" s="300"/>
    </row>
    <row r="111" spans="1:35" ht="18" x14ac:dyDescent="0.25">
      <c r="A111" s="486"/>
      <c r="B111" s="328"/>
      <c r="C111" s="401">
        <v>11</v>
      </c>
      <c r="D111" s="418">
        <v>1</v>
      </c>
      <c r="E111" s="410">
        <v>1</v>
      </c>
      <c r="F111" s="410">
        <v>1</v>
      </c>
      <c r="G111" s="411">
        <v>0</v>
      </c>
      <c r="H111" s="412">
        <v>1</v>
      </c>
      <c r="I111" s="413">
        <v>0</v>
      </c>
      <c r="J111" s="410">
        <v>1</v>
      </c>
      <c r="K111" s="413">
        <v>0</v>
      </c>
      <c r="L111" s="410">
        <v>1</v>
      </c>
      <c r="M111" s="411">
        <v>0</v>
      </c>
      <c r="N111" s="412">
        <v>1</v>
      </c>
      <c r="O111" s="413">
        <v>0</v>
      </c>
      <c r="P111" s="410">
        <v>1</v>
      </c>
      <c r="Q111" s="413">
        <v>0</v>
      </c>
      <c r="R111" s="410">
        <v>1</v>
      </c>
      <c r="S111" s="414">
        <v>1</v>
      </c>
      <c r="T111" s="412">
        <v>1</v>
      </c>
      <c r="U111" s="413">
        <v>0</v>
      </c>
      <c r="V111" s="410">
        <v>1</v>
      </c>
      <c r="W111" s="413">
        <v>0</v>
      </c>
      <c r="X111" s="413">
        <v>0</v>
      </c>
      <c r="Y111" s="419">
        <v>1</v>
      </c>
      <c r="Z111" s="412">
        <v>1</v>
      </c>
      <c r="AA111" s="413">
        <v>0</v>
      </c>
      <c r="AB111" s="410">
        <v>1</v>
      </c>
      <c r="AC111" s="417">
        <v>0</v>
      </c>
      <c r="AD111" s="615"/>
      <c r="AE111" s="625"/>
      <c r="AF111" s="300"/>
      <c r="AG111" s="300"/>
      <c r="AH111" s="305"/>
    </row>
    <row r="112" spans="1:35" ht="18" x14ac:dyDescent="0.25">
      <c r="A112" s="486"/>
      <c r="B112" s="328"/>
      <c r="C112" s="401">
        <v>12</v>
      </c>
      <c r="D112" s="409">
        <v>0</v>
      </c>
      <c r="E112" s="411">
        <v>0</v>
      </c>
      <c r="F112" s="412">
        <v>1</v>
      </c>
      <c r="G112" s="410">
        <v>1</v>
      </c>
      <c r="H112" s="410">
        <v>1</v>
      </c>
      <c r="I112" s="413">
        <v>0</v>
      </c>
      <c r="J112" s="413">
        <v>0</v>
      </c>
      <c r="K112" s="411">
        <v>0</v>
      </c>
      <c r="L112" s="412">
        <v>1</v>
      </c>
      <c r="M112" s="410">
        <v>1</v>
      </c>
      <c r="N112" s="410">
        <v>1</v>
      </c>
      <c r="O112" s="413">
        <v>0</v>
      </c>
      <c r="P112" s="413">
        <v>0</v>
      </c>
      <c r="Q112" s="414">
        <v>1</v>
      </c>
      <c r="R112" s="412">
        <v>1</v>
      </c>
      <c r="S112" s="410">
        <v>1</v>
      </c>
      <c r="T112" s="410">
        <v>1</v>
      </c>
      <c r="U112" s="413">
        <v>0</v>
      </c>
      <c r="V112" s="410">
        <v>1</v>
      </c>
      <c r="W112" s="414">
        <v>1</v>
      </c>
      <c r="X112" s="412">
        <v>1</v>
      </c>
      <c r="Y112" s="416">
        <v>1</v>
      </c>
      <c r="Z112" s="410">
        <v>1</v>
      </c>
      <c r="AA112" s="413">
        <v>0</v>
      </c>
      <c r="AB112" s="410">
        <v>1</v>
      </c>
      <c r="AC112" s="417">
        <v>0</v>
      </c>
      <c r="AD112" s="615"/>
      <c r="AE112" s="626"/>
      <c r="AF112" s="303"/>
      <c r="AG112" s="303"/>
    </row>
    <row r="113" spans="1:31" ht="18" x14ac:dyDescent="0.25">
      <c r="A113" s="486"/>
      <c r="B113" s="328"/>
      <c r="C113" s="401">
        <v>13</v>
      </c>
      <c r="D113" s="418">
        <v>1</v>
      </c>
      <c r="E113" s="410">
        <v>1</v>
      </c>
      <c r="F113" s="410">
        <v>1</v>
      </c>
      <c r="G113" s="410">
        <v>1</v>
      </c>
      <c r="H113" s="410">
        <v>1</v>
      </c>
      <c r="I113" s="411">
        <v>0</v>
      </c>
      <c r="J113" s="412">
        <v>1</v>
      </c>
      <c r="K113" s="410">
        <v>1</v>
      </c>
      <c r="L113" s="410">
        <v>1</v>
      </c>
      <c r="M113" s="410">
        <v>1</v>
      </c>
      <c r="N113" s="410">
        <v>1</v>
      </c>
      <c r="O113" s="414">
        <v>1</v>
      </c>
      <c r="P113" s="412">
        <v>1</v>
      </c>
      <c r="Q113" s="410">
        <v>1</v>
      </c>
      <c r="R113" s="410">
        <v>1</v>
      </c>
      <c r="S113" s="410">
        <v>1</v>
      </c>
      <c r="T113" s="413">
        <v>0</v>
      </c>
      <c r="U113" s="414">
        <v>1</v>
      </c>
      <c r="V113" s="412">
        <v>1</v>
      </c>
      <c r="W113" s="410">
        <v>1</v>
      </c>
      <c r="X113" s="410">
        <v>1</v>
      </c>
      <c r="Y113" s="416">
        <v>1</v>
      </c>
      <c r="Z113" s="413">
        <v>0</v>
      </c>
      <c r="AA113" s="411">
        <v>0</v>
      </c>
      <c r="AB113" s="412">
        <v>1</v>
      </c>
      <c r="AC113" s="415">
        <v>1</v>
      </c>
      <c r="AD113" s="615"/>
      <c r="AE113" s="623"/>
    </row>
    <row r="114" spans="1:31" ht="18" x14ac:dyDescent="0.25">
      <c r="A114" s="486"/>
      <c r="B114" s="328"/>
      <c r="C114" s="401">
        <v>14</v>
      </c>
      <c r="D114" s="409">
        <v>0</v>
      </c>
      <c r="E114" s="410">
        <v>1</v>
      </c>
      <c r="F114" s="413">
        <v>0</v>
      </c>
      <c r="G114" s="411">
        <v>0</v>
      </c>
      <c r="H114" s="412">
        <v>1</v>
      </c>
      <c r="I114" s="410">
        <v>1</v>
      </c>
      <c r="J114" s="413">
        <v>0</v>
      </c>
      <c r="K114" s="410">
        <v>1</v>
      </c>
      <c r="L114" s="413">
        <v>0</v>
      </c>
      <c r="M114" s="414">
        <v>1</v>
      </c>
      <c r="N114" s="412">
        <v>1</v>
      </c>
      <c r="O114" s="410">
        <v>1</v>
      </c>
      <c r="P114" s="413">
        <v>0</v>
      </c>
      <c r="Q114" s="410">
        <v>1</v>
      </c>
      <c r="R114" s="410">
        <v>1</v>
      </c>
      <c r="S114" s="414">
        <v>1</v>
      </c>
      <c r="T114" s="412">
        <v>1</v>
      </c>
      <c r="U114" s="410">
        <v>1</v>
      </c>
      <c r="V114" s="413">
        <v>0</v>
      </c>
      <c r="W114" s="410">
        <v>1</v>
      </c>
      <c r="X114" s="410">
        <v>1</v>
      </c>
      <c r="Y114" s="411">
        <v>0</v>
      </c>
      <c r="Z114" s="412">
        <v>1</v>
      </c>
      <c r="AA114" s="410">
        <v>1</v>
      </c>
      <c r="AB114" s="413">
        <v>0</v>
      </c>
      <c r="AC114" s="417">
        <v>0</v>
      </c>
      <c r="AD114" s="615"/>
      <c r="AE114" s="623"/>
    </row>
    <row r="115" spans="1:31" ht="18" x14ac:dyDescent="0.25">
      <c r="A115" s="486"/>
      <c r="B115" s="328"/>
      <c r="C115" s="401">
        <v>15</v>
      </c>
      <c r="D115" s="418">
        <v>1</v>
      </c>
      <c r="E115" s="411">
        <v>0</v>
      </c>
      <c r="F115" s="412">
        <v>1</v>
      </c>
      <c r="G115" s="410">
        <v>1</v>
      </c>
      <c r="H115" s="413">
        <v>0</v>
      </c>
      <c r="I115" s="413">
        <v>0</v>
      </c>
      <c r="J115" s="410">
        <v>1</v>
      </c>
      <c r="K115" s="414">
        <v>1</v>
      </c>
      <c r="L115" s="412">
        <v>1</v>
      </c>
      <c r="M115" s="410">
        <v>1</v>
      </c>
      <c r="N115" s="413">
        <v>0</v>
      </c>
      <c r="O115" s="413">
        <v>0</v>
      </c>
      <c r="P115" s="413">
        <v>0</v>
      </c>
      <c r="Q115" s="414">
        <v>1</v>
      </c>
      <c r="R115" s="412">
        <v>1</v>
      </c>
      <c r="S115" s="410">
        <v>1</v>
      </c>
      <c r="T115" s="413">
        <v>0</v>
      </c>
      <c r="U115" s="413">
        <v>0</v>
      </c>
      <c r="V115" s="413">
        <v>0</v>
      </c>
      <c r="W115" s="411">
        <v>0</v>
      </c>
      <c r="X115" s="420">
        <v>0</v>
      </c>
      <c r="Y115" s="416">
        <v>1</v>
      </c>
      <c r="Z115" s="413">
        <v>0</v>
      </c>
      <c r="AA115" s="413">
        <v>0</v>
      </c>
      <c r="AB115" s="413">
        <v>0</v>
      </c>
      <c r="AC115" s="417">
        <v>0</v>
      </c>
      <c r="AD115" s="615"/>
      <c r="AE115" s="623"/>
    </row>
    <row r="116" spans="1:31" ht="18" x14ac:dyDescent="0.25">
      <c r="A116" s="486"/>
      <c r="B116" s="328"/>
      <c r="C116" s="401">
        <v>16</v>
      </c>
      <c r="D116" s="409">
        <v>0</v>
      </c>
      <c r="E116" s="410">
        <v>1</v>
      </c>
      <c r="F116" s="413">
        <v>0</v>
      </c>
      <c r="G116" s="413">
        <v>0</v>
      </c>
      <c r="H116" s="413">
        <v>0</v>
      </c>
      <c r="I116" s="414">
        <v>1</v>
      </c>
      <c r="J116" s="420">
        <v>0</v>
      </c>
      <c r="K116" s="410">
        <v>1</v>
      </c>
      <c r="L116" s="413">
        <v>0</v>
      </c>
      <c r="M116" s="413">
        <v>0</v>
      </c>
      <c r="N116" s="410">
        <v>1</v>
      </c>
      <c r="O116" s="414">
        <v>1</v>
      </c>
      <c r="P116" s="420">
        <v>0</v>
      </c>
      <c r="Q116" s="410">
        <v>1</v>
      </c>
      <c r="R116" s="413">
        <v>0</v>
      </c>
      <c r="S116" s="413">
        <v>0</v>
      </c>
      <c r="T116" s="410">
        <v>1</v>
      </c>
      <c r="U116" s="411">
        <v>0</v>
      </c>
      <c r="V116" s="420">
        <v>0</v>
      </c>
      <c r="W116" s="410">
        <v>1</v>
      </c>
      <c r="X116" s="413">
        <v>0</v>
      </c>
      <c r="Y116" s="416">
        <v>1</v>
      </c>
      <c r="Z116" s="410">
        <v>1</v>
      </c>
      <c r="AA116" s="411">
        <v>0</v>
      </c>
      <c r="AB116" s="420">
        <v>0</v>
      </c>
      <c r="AC116" s="415">
        <v>1</v>
      </c>
      <c r="AD116" s="615"/>
      <c r="AE116" s="623"/>
    </row>
    <row r="117" spans="1:31" ht="18" x14ac:dyDescent="0.25">
      <c r="A117" s="486"/>
      <c r="B117" s="328"/>
      <c r="C117" s="401">
        <v>17</v>
      </c>
      <c r="D117" s="409">
        <v>0</v>
      </c>
      <c r="E117" s="410">
        <v>1</v>
      </c>
      <c r="F117" s="410">
        <v>1</v>
      </c>
      <c r="G117" s="414">
        <v>1</v>
      </c>
      <c r="H117" s="420">
        <v>0</v>
      </c>
      <c r="I117" s="410">
        <v>1</v>
      </c>
      <c r="J117" s="413">
        <v>0</v>
      </c>
      <c r="K117" s="410">
        <v>1</v>
      </c>
      <c r="L117" s="413">
        <v>0</v>
      </c>
      <c r="M117" s="414">
        <v>1</v>
      </c>
      <c r="N117" s="420">
        <v>0</v>
      </c>
      <c r="O117" s="410">
        <v>1</v>
      </c>
      <c r="P117" s="413">
        <v>0</v>
      </c>
      <c r="Q117" s="410">
        <v>1</v>
      </c>
      <c r="R117" s="413">
        <v>0</v>
      </c>
      <c r="S117" s="411">
        <v>0</v>
      </c>
      <c r="T117" s="420">
        <v>0</v>
      </c>
      <c r="U117" s="410">
        <v>1</v>
      </c>
      <c r="V117" s="410">
        <v>1</v>
      </c>
      <c r="W117" s="410">
        <v>1</v>
      </c>
      <c r="X117" s="413">
        <v>0</v>
      </c>
      <c r="Y117" s="411">
        <v>0</v>
      </c>
      <c r="Z117" s="420">
        <v>0</v>
      </c>
      <c r="AA117" s="410">
        <v>1</v>
      </c>
      <c r="AB117" s="410">
        <v>1</v>
      </c>
      <c r="AC117" s="415">
        <v>1</v>
      </c>
      <c r="AD117" s="615"/>
      <c r="AE117" s="623"/>
    </row>
    <row r="118" spans="1:31" ht="18" x14ac:dyDescent="0.25">
      <c r="A118" s="486"/>
      <c r="B118" s="328"/>
      <c r="C118" s="401">
        <v>18</v>
      </c>
      <c r="D118" s="409">
        <v>0</v>
      </c>
      <c r="E118" s="414">
        <v>1</v>
      </c>
      <c r="F118" s="420">
        <v>0</v>
      </c>
      <c r="G118" s="410">
        <v>1</v>
      </c>
      <c r="H118" s="410">
        <v>1</v>
      </c>
      <c r="I118" s="410">
        <v>1</v>
      </c>
      <c r="J118" s="410">
        <v>1</v>
      </c>
      <c r="K118" s="414">
        <v>1</v>
      </c>
      <c r="L118" s="420">
        <v>0</v>
      </c>
      <c r="M118" s="410">
        <v>1</v>
      </c>
      <c r="N118" s="410">
        <v>1</v>
      </c>
      <c r="O118" s="410">
        <v>1</v>
      </c>
      <c r="P118" s="410">
        <v>1</v>
      </c>
      <c r="Q118" s="411">
        <v>0</v>
      </c>
      <c r="R118" s="420">
        <v>0</v>
      </c>
      <c r="S118" s="410">
        <v>1</v>
      </c>
      <c r="T118" s="410">
        <v>1</v>
      </c>
      <c r="U118" s="413">
        <v>0</v>
      </c>
      <c r="V118" s="410">
        <v>1</v>
      </c>
      <c r="W118" s="411">
        <v>0</v>
      </c>
      <c r="X118" s="420">
        <v>0</v>
      </c>
      <c r="Y118" s="416">
        <v>1</v>
      </c>
      <c r="Z118" s="410">
        <v>1</v>
      </c>
      <c r="AA118" s="413">
        <v>0</v>
      </c>
      <c r="AB118" s="410">
        <v>1</v>
      </c>
      <c r="AC118" s="415">
        <v>1</v>
      </c>
      <c r="AD118" s="615"/>
      <c r="AE118" s="623"/>
    </row>
    <row r="119" spans="1:31" ht="18" x14ac:dyDescent="0.25">
      <c r="A119" s="486"/>
      <c r="B119" s="328"/>
      <c r="C119" s="401">
        <v>19</v>
      </c>
      <c r="D119" s="409">
        <v>0</v>
      </c>
      <c r="E119" s="410">
        <v>1</v>
      </c>
      <c r="F119" s="410">
        <v>1</v>
      </c>
      <c r="G119" s="413">
        <v>0</v>
      </c>
      <c r="H119" s="413">
        <v>0</v>
      </c>
      <c r="I119" s="414">
        <v>1</v>
      </c>
      <c r="J119" s="420">
        <v>0</v>
      </c>
      <c r="K119" s="410">
        <v>1</v>
      </c>
      <c r="L119" s="410">
        <v>1</v>
      </c>
      <c r="M119" s="413">
        <v>0</v>
      </c>
      <c r="N119" s="413">
        <v>0</v>
      </c>
      <c r="O119" s="411">
        <v>0</v>
      </c>
      <c r="P119" s="420">
        <v>0</v>
      </c>
      <c r="Q119" s="413">
        <v>0</v>
      </c>
      <c r="R119" s="410">
        <v>1</v>
      </c>
      <c r="S119" s="413">
        <v>0</v>
      </c>
      <c r="T119" s="413">
        <v>0</v>
      </c>
      <c r="U119" s="411">
        <v>0</v>
      </c>
      <c r="V119" s="420">
        <v>0</v>
      </c>
      <c r="W119" s="413">
        <v>0</v>
      </c>
      <c r="X119" s="410">
        <v>1</v>
      </c>
      <c r="Y119" s="413">
        <v>0</v>
      </c>
      <c r="Z119" s="413">
        <v>0</v>
      </c>
      <c r="AA119" s="414">
        <v>1</v>
      </c>
      <c r="AB119" s="420">
        <v>0</v>
      </c>
      <c r="AC119" s="417">
        <v>0</v>
      </c>
      <c r="AD119" s="615"/>
      <c r="AE119" s="623"/>
    </row>
    <row r="120" spans="1:31" ht="18" x14ac:dyDescent="0.25">
      <c r="A120" s="486"/>
      <c r="B120" s="328"/>
      <c r="C120" s="401">
        <v>20</v>
      </c>
      <c r="D120" s="418">
        <v>1</v>
      </c>
      <c r="E120" s="413">
        <v>0</v>
      </c>
      <c r="F120" s="410">
        <v>1</v>
      </c>
      <c r="G120" s="414">
        <v>1</v>
      </c>
      <c r="H120" s="420">
        <v>0</v>
      </c>
      <c r="I120" s="413">
        <v>0</v>
      </c>
      <c r="J120" s="410">
        <v>1</v>
      </c>
      <c r="K120" s="413">
        <v>0</v>
      </c>
      <c r="L120" s="410">
        <v>1</v>
      </c>
      <c r="M120" s="411">
        <v>0</v>
      </c>
      <c r="N120" s="420">
        <v>0</v>
      </c>
      <c r="O120" s="413">
        <v>0</v>
      </c>
      <c r="P120" s="410">
        <v>1</v>
      </c>
      <c r="Q120" s="410">
        <v>1</v>
      </c>
      <c r="R120" s="410">
        <v>1</v>
      </c>
      <c r="S120" s="411">
        <v>0</v>
      </c>
      <c r="T120" s="420">
        <v>0</v>
      </c>
      <c r="U120" s="413">
        <v>0</v>
      </c>
      <c r="V120" s="410">
        <v>1</v>
      </c>
      <c r="W120" s="410">
        <v>1</v>
      </c>
      <c r="X120" s="410">
        <v>1</v>
      </c>
      <c r="Y120" s="419">
        <v>1</v>
      </c>
      <c r="Z120" s="420">
        <v>0</v>
      </c>
      <c r="AA120" s="413">
        <v>0</v>
      </c>
      <c r="AB120" s="410">
        <v>1</v>
      </c>
      <c r="AC120" s="415">
        <v>1</v>
      </c>
      <c r="AD120" s="615"/>
      <c r="AE120" s="623"/>
    </row>
    <row r="121" spans="1:31" ht="18" x14ac:dyDescent="0.25">
      <c r="A121" s="486"/>
      <c r="B121" s="328"/>
      <c r="C121" s="401">
        <v>21</v>
      </c>
      <c r="D121" s="409">
        <v>0</v>
      </c>
      <c r="E121" s="414">
        <v>1</v>
      </c>
      <c r="F121" s="420">
        <v>0</v>
      </c>
      <c r="G121" s="413">
        <v>0</v>
      </c>
      <c r="H121" s="410">
        <v>1</v>
      </c>
      <c r="I121" s="410">
        <v>1</v>
      </c>
      <c r="J121" s="413">
        <v>0</v>
      </c>
      <c r="K121" s="413">
        <v>0</v>
      </c>
      <c r="L121" s="420">
        <v>0</v>
      </c>
      <c r="M121" s="413">
        <v>0</v>
      </c>
      <c r="N121" s="413">
        <v>0</v>
      </c>
      <c r="O121" s="410">
        <v>1</v>
      </c>
      <c r="P121" s="413">
        <v>0</v>
      </c>
      <c r="Q121" s="413">
        <v>0</v>
      </c>
      <c r="R121" s="420">
        <v>0</v>
      </c>
      <c r="S121" s="413">
        <v>0</v>
      </c>
      <c r="T121" s="413">
        <v>0</v>
      </c>
      <c r="U121" s="410">
        <v>1</v>
      </c>
      <c r="V121" s="413">
        <v>0</v>
      </c>
      <c r="W121" s="414">
        <v>1</v>
      </c>
      <c r="X121" s="420">
        <v>0</v>
      </c>
      <c r="Y121" s="413">
        <v>0</v>
      </c>
      <c r="Z121" s="413">
        <v>0</v>
      </c>
      <c r="AA121" s="410">
        <v>1</v>
      </c>
      <c r="AB121" s="410">
        <v>1</v>
      </c>
      <c r="AC121" s="415">
        <v>1</v>
      </c>
      <c r="AD121" s="615"/>
      <c r="AE121" s="623"/>
    </row>
    <row r="122" spans="1:31" ht="18" x14ac:dyDescent="0.25">
      <c r="A122" s="486"/>
      <c r="B122" s="328"/>
      <c r="C122" s="401">
        <v>22</v>
      </c>
      <c r="D122" s="421">
        <v>0</v>
      </c>
      <c r="E122" s="422">
        <v>0</v>
      </c>
      <c r="F122" s="422">
        <v>0</v>
      </c>
      <c r="G122" s="423">
        <v>1</v>
      </c>
      <c r="H122" s="423">
        <v>1</v>
      </c>
      <c r="I122" s="424">
        <v>0</v>
      </c>
      <c r="J122" s="425">
        <v>0</v>
      </c>
      <c r="K122" s="422">
        <v>0</v>
      </c>
      <c r="L122" s="422">
        <v>0</v>
      </c>
      <c r="M122" s="422">
        <v>0</v>
      </c>
      <c r="N122" s="423">
        <v>1</v>
      </c>
      <c r="O122" s="424">
        <v>0</v>
      </c>
      <c r="P122" s="425">
        <v>0</v>
      </c>
      <c r="Q122" s="422">
        <v>0</v>
      </c>
      <c r="R122" s="422">
        <v>0</v>
      </c>
      <c r="S122" s="422">
        <v>0</v>
      </c>
      <c r="T122" s="423">
        <v>1</v>
      </c>
      <c r="U122" s="426">
        <v>1</v>
      </c>
      <c r="V122" s="425">
        <v>0</v>
      </c>
      <c r="W122" s="422">
        <v>0</v>
      </c>
      <c r="X122" s="422">
        <v>0</v>
      </c>
      <c r="Y122" s="422">
        <v>0</v>
      </c>
      <c r="Z122" s="422">
        <v>0</v>
      </c>
      <c r="AA122" s="426">
        <v>1</v>
      </c>
      <c r="AB122" s="425">
        <v>0</v>
      </c>
      <c r="AC122" s="427">
        <v>0</v>
      </c>
      <c r="AD122" s="615"/>
      <c r="AE122" s="623"/>
    </row>
    <row r="123" spans="1:31" ht="21" thickBot="1" x14ac:dyDescent="0.3">
      <c r="A123" s="486"/>
      <c r="B123" s="328"/>
      <c r="C123" s="428"/>
      <c r="D123" s="432">
        <v>0</v>
      </c>
      <c r="E123" s="432">
        <v>0</v>
      </c>
      <c r="F123" s="432">
        <v>0</v>
      </c>
      <c r="G123" s="433">
        <v>0</v>
      </c>
      <c r="H123" s="431">
        <v>0</v>
      </c>
      <c r="I123" s="429">
        <v>0</v>
      </c>
      <c r="J123" s="429">
        <v>0</v>
      </c>
      <c r="K123" s="429">
        <v>0</v>
      </c>
      <c r="L123" s="429">
        <v>0</v>
      </c>
      <c r="M123" s="430">
        <v>0</v>
      </c>
      <c r="N123" s="380" t="s">
        <v>228</v>
      </c>
      <c r="O123" s="380"/>
      <c r="P123" s="380"/>
      <c r="Q123" s="380"/>
      <c r="R123" s="380"/>
      <c r="S123" s="380"/>
      <c r="T123" s="380"/>
      <c r="U123" s="380"/>
      <c r="V123" s="380"/>
      <c r="W123" s="380"/>
      <c r="X123" s="380"/>
      <c r="Y123" s="386"/>
      <c r="Z123" s="380"/>
      <c r="AA123" s="380"/>
      <c r="AB123" s="604"/>
      <c r="AC123" s="618" t="s">
        <v>192</v>
      </c>
      <c r="AD123" s="606"/>
      <c r="AE123" s="623"/>
    </row>
    <row r="124" spans="1:31" x14ac:dyDescent="0.25">
      <c r="A124" s="486"/>
      <c r="B124" s="328"/>
      <c r="C124" s="323"/>
      <c r="D124" s="324"/>
      <c r="E124" s="324"/>
      <c r="F124" s="324"/>
      <c r="G124" s="324"/>
      <c r="H124" s="324"/>
      <c r="I124" s="324"/>
      <c r="J124" s="324"/>
      <c r="K124" s="324"/>
      <c r="L124" s="324"/>
      <c r="M124" s="324"/>
      <c r="N124" s="324"/>
      <c r="O124" s="324"/>
      <c r="P124" s="324"/>
      <c r="Q124" s="324"/>
      <c r="R124" s="324"/>
      <c r="S124" s="324"/>
      <c r="T124" s="324"/>
      <c r="U124" s="324"/>
      <c r="V124" s="324"/>
      <c r="W124" s="324"/>
      <c r="X124" s="324"/>
      <c r="Y124" s="326"/>
      <c r="Z124" s="324"/>
      <c r="AA124" s="487"/>
      <c r="AB124" s="324"/>
      <c r="AC124" s="363"/>
      <c r="AD124" s="363"/>
      <c r="AE124" s="623"/>
    </row>
    <row r="125" spans="1:31" x14ac:dyDescent="0.25">
      <c r="A125" s="486"/>
      <c r="B125" s="324"/>
      <c r="C125" s="323"/>
      <c r="D125" s="324" t="s">
        <v>222</v>
      </c>
      <c r="E125" s="324"/>
      <c r="F125" s="324"/>
      <c r="G125" s="324"/>
      <c r="H125" s="324"/>
      <c r="I125" s="324"/>
      <c r="J125" s="324"/>
      <c r="K125" s="324"/>
      <c r="L125" s="324"/>
      <c r="M125" s="324"/>
      <c r="N125" s="324"/>
      <c r="O125" s="324"/>
      <c r="P125" s="324"/>
      <c r="Q125" s="324"/>
      <c r="R125" s="324"/>
      <c r="S125" s="324"/>
      <c r="T125" s="324"/>
      <c r="U125" s="324"/>
      <c r="V125" s="324"/>
      <c r="W125" s="324"/>
      <c r="X125" s="324"/>
      <c r="Y125" s="326"/>
      <c r="Z125" s="324"/>
      <c r="AA125" s="487"/>
      <c r="AB125" s="324"/>
      <c r="AC125" s="363"/>
      <c r="AD125" s="363"/>
      <c r="AE125" s="623"/>
    </row>
    <row r="126" spans="1:31" x14ac:dyDescent="0.25">
      <c r="A126" s="486"/>
      <c r="B126" s="328"/>
      <c r="C126" s="323"/>
      <c r="D126" s="324"/>
      <c r="E126" s="324"/>
      <c r="F126" s="324"/>
      <c r="G126" s="324"/>
      <c r="H126" s="324"/>
      <c r="I126" s="324"/>
      <c r="J126" s="324"/>
      <c r="K126" s="324"/>
      <c r="L126" s="324"/>
      <c r="M126" s="324"/>
      <c r="N126" s="324"/>
      <c r="O126" s="324"/>
      <c r="P126" s="324"/>
      <c r="Q126" s="324"/>
      <c r="R126" s="324"/>
      <c r="S126" s="324"/>
      <c r="T126" s="324"/>
      <c r="U126" s="324"/>
      <c r="V126" s="324"/>
      <c r="W126" s="324"/>
      <c r="X126" s="324"/>
      <c r="Y126" s="326"/>
      <c r="Z126" s="324"/>
      <c r="AA126" s="487"/>
      <c r="AB126" s="324"/>
      <c r="AC126" s="363"/>
      <c r="AD126" s="363"/>
      <c r="AE126" s="623"/>
    </row>
    <row r="127" spans="1:31" x14ac:dyDescent="0.25">
      <c r="A127" s="486"/>
      <c r="B127" s="328" t="s">
        <v>252</v>
      </c>
      <c r="C127" s="323"/>
      <c r="D127" s="324" t="s">
        <v>263</v>
      </c>
      <c r="E127" s="324"/>
      <c r="F127" s="324"/>
      <c r="G127" s="324"/>
      <c r="H127" s="324"/>
      <c r="I127" s="324"/>
      <c r="J127" s="324"/>
      <c r="K127" s="324"/>
      <c r="L127" s="324"/>
      <c r="M127" s="324"/>
      <c r="N127" s="324"/>
      <c r="O127" s="324"/>
      <c r="P127" s="324"/>
      <c r="Q127" s="324"/>
      <c r="R127" s="324"/>
      <c r="S127" s="324"/>
      <c r="T127" s="324"/>
      <c r="U127" s="324"/>
      <c r="V127" s="324"/>
      <c r="W127" s="324"/>
      <c r="X127" s="324"/>
      <c r="Y127" s="326"/>
      <c r="Z127" s="324"/>
      <c r="AA127" s="487"/>
      <c r="AB127" s="324"/>
      <c r="AC127" s="363"/>
      <c r="AD127" s="363"/>
      <c r="AE127" s="623"/>
    </row>
    <row r="128" spans="1:31" x14ac:dyDescent="0.25">
      <c r="A128" s="486"/>
      <c r="B128" s="328"/>
      <c r="C128" s="323"/>
      <c r="D128" s="324" t="s">
        <v>264</v>
      </c>
      <c r="E128" s="324"/>
      <c r="F128" s="324"/>
      <c r="G128" s="324"/>
      <c r="H128" s="324"/>
      <c r="I128" s="324"/>
      <c r="J128" s="324"/>
      <c r="K128" s="324"/>
      <c r="L128" s="324"/>
      <c r="M128" s="324"/>
      <c r="N128" s="324"/>
      <c r="O128" s="324"/>
      <c r="P128" s="324"/>
      <c r="Q128" s="324"/>
      <c r="R128" s="324"/>
      <c r="S128" s="324"/>
      <c r="T128" s="324"/>
      <c r="U128" s="324"/>
      <c r="V128" s="324"/>
      <c r="W128" s="324"/>
      <c r="X128" s="324"/>
      <c r="Y128" s="326"/>
      <c r="Z128" s="324"/>
      <c r="AA128" s="487"/>
      <c r="AB128" s="324"/>
      <c r="AC128" s="363"/>
      <c r="AD128" s="363"/>
      <c r="AE128" s="623"/>
    </row>
    <row r="129" spans="1:31" x14ac:dyDescent="0.25">
      <c r="A129" s="486"/>
      <c r="B129" s="328"/>
      <c r="C129" s="323"/>
      <c r="D129" s="324" t="s">
        <v>265</v>
      </c>
      <c r="E129" s="324"/>
      <c r="F129" s="324"/>
      <c r="G129" s="324"/>
      <c r="H129" s="324"/>
      <c r="I129" s="324"/>
      <c r="J129" s="324"/>
      <c r="K129" s="324"/>
      <c r="L129" s="324"/>
      <c r="M129" s="324"/>
      <c r="N129" s="324"/>
      <c r="O129" s="324"/>
      <c r="P129" s="324"/>
      <c r="Q129" s="324"/>
      <c r="R129" s="324"/>
      <c r="S129" s="324"/>
      <c r="T129" s="324"/>
      <c r="U129" s="324"/>
      <c r="V129" s="324"/>
      <c r="W129" s="324"/>
      <c r="X129" s="324"/>
      <c r="Y129" s="326"/>
      <c r="Z129" s="324"/>
      <c r="AA129" s="487"/>
      <c r="AB129" s="324"/>
      <c r="AC129" s="363"/>
      <c r="AD129" s="363"/>
      <c r="AE129" s="623"/>
    </row>
    <row r="130" spans="1:31" x14ac:dyDescent="0.25">
      <c r="A130" s="486"/>
      <c r="B130" s="328"/>
      <c r="C130" s="323"/>
      <c r="D130" s="324" t="s">
        <v>266</v>
      </c>
      <c r="E130" s="324"/>
      <c r="F130" s="324"/>
      <c r="G130" s="324"/>
      <c r="H130" s="324"/>
      <c r="I130" s="324"/>
      <c r="J130" s="324"/>
      <c r="K130" s="324"/>
      <c r="L130" s="324"/>
      <c r="M130" s="324"/>
      <c r="N130" s="324"/>
      <c r="O130" s="324"/>
      <c r="P130" s="324"/>
      <c r="Q130" s="324"/>
      <c r="R130" s="324"/>
      <c r="S130" s="324"/>
      <c r="T130" s="324"/>
      <c r="U130" s="324"/>
      <c r="V130" s="324"/>
      <c r="W130" s="324"/>
      <c r="X130" s="324"/>
      <c r="Y130" s="326"/>
      <c r="Z130" s="324"/>
      <c r="AA130" s="487"/>
      <c r="AB130" s="324"/>
      <c r="AC130" s="363"/>
      <c r="AD130" s="363"/>
      <c r="AE130" s="623"/>
    </row>
    <row r="131" spans="1:31" x14ac:dyDescent="0.25">
      <c r="A131" s="486"/>
      <c r="B131" s="328"/>
      <c r="C131" s="323"/>
      <c r="D131" s="324" t="s">
        <v>267</v>
      </c>
      <c r="E131" s="324"/>
      <c r="F131" s="324"/>
      <c r="G131" s="324"/>
      <c r="H131" s="324"/>
      <c r="I131" s="324"/>
      <c r="J131" s="324"/>
      <c r="K131" s="324"/>
      <c r="L131" s="324"/>
      <c r="M131" s="324"/>
      <c r="N131" s="324"/>
      <c r="O131" s="324"/>
      <c r="P131" s="324"/>
      <c r="Q131" s="324"/>
      <c r="R131" s="324"/>
      <c r="S131" s="324"/>
      <c r="T131" s="324"/>
      <c r="U131" s="324"/>
      <c r="V131" s="324"/>
      <c r="W131" s="324"/>
      <c r="X131" s="324"/>
      <c r="Y131" s="326"/>
      <c r="Z131" s="324"/>
      <c r="AA131" s="487"/>
      <c r="AB131" s="324"/>
      <c r="AC131" s="363"/>
      <c r="AD131" s="363"/>
      <c r="AE131" s="623"/>
    </row>
    <row r="132" spans="1:31" x14ac:dyDescent="0.25">
      <c r="A132" s="486"/>
      <c r="B132" s="328"/>
      <c r="C132" s="323"/>
      <c r="D132" s="324" t="s">
        <v>269</v>
      </c>
      <c r="E132" s="324"/>
      <c r="F132" s="324"/>
      <c r="G132" s="324"/>
      <c r="H132" s="324"/>
      <c r="I132" s="324"/>
      <c r="J132" s="324"/>
      <c r="K132" s="324"/>
      <c r="L132" s="324"/>
      <c r="M132" s="324"/>
      <c r="N132" s="324"/>
      <c r="O132" s="324"/>
      <c r="P132" s="324"/>
      <c r="Q132" s="324"/>
      <c r="R132" s="324"/>
      <c r="S132" s="324"/>
      <c r="T132" s="324"/>
      <c r="U132" s="324"/>
      <c r="V132" s="324"/>
      <c r="W132" s="324"/>
      <c r="X132" s="324"/>
      <c r="Y132" s="326"/>
      <c r="Z132" s="324"/>
      <c r="AA132" s="487"/>
      <c r="AB132" s="324"/>
      <c r="AC132" s="363"/>
      <c r="AD132" s="363"/>
      <c r="AE132" s="623"/>
    </row>
    <row r="133" spans="1:31" x14ac:dyDescent="0.25">
      <c r="A133" s="486"/>
      <c r="B133" s="328"/>
      <c r="C133" s="323"/>
      <c r="D133" s="324" t="s">
        <v>268</v>
      </c>
      <c r="E133" s="324"/>
      <c r="F133" s="324"/>
      <c r="G133" s="324"/>
      <c r="H133" s="324"/>
      <c r="I133" s="324"/>
      <c r="J133" s="324"/>
      <c r="K133" s="324"/>
      <c r="L133" s="324"/>
      <c r="M133" s="324"/>
      <c r="N133" s="324"/>
      <c r="O133" s="324"/>
      <c r="P133" s="324"/>
      <c r="Q133" s="324"/>
      <c r="R133" s="324"/>
      <c r="S133" s="324"/>
      <c r="T133" s="324"/>
      <c r="U133" s="324"/>
      <c r="V133" s="324"/>
      <c r="W133" s="324"/>
      <c r="X133" s="324"/>
      <c r="Y133" s="326"/>
      <c r="Z133" s="324"/>
      <c r="AA133" s="487"/>
      <c r="AB133" s="324"/>
      <c r="AC133" s="363"/>
      <c r="AD133" s="363"/>
      <c r="AE133" s="623"/>
    </row>
    <row r="134" spans="1:31" x14ac:dyDescent="0.25">
      <c r="A134" s="486"/>
      <c r="B134" s="328"/>
      <c r="C134" s="323"/>
      <c r="D134" s="324" t="s">
        <v>270</v>
      </c>
      <c r="E134" s="324"/>
      <c r="F134" s="324"/>
      <c r="G134" s="324"/>
      <c r="H134" s="324"/>
      <c r="I134" s="324"/>
      <c r="J134" s="324"/>
      <c r="K134" s="375"/>
      <c r="L134" s="324"/>
      <c r="M134" s="324"/>
      <c r="N134" s="324"/>
      <c r="O134" s="375"/>
      <c r="P134" s="324"/>
      <c r="Q134" s="324"/>
      <c r="R134" s="324"/>
      <c r="S134" s="324"/>
      <c r="T134" s="324"/>
      <c r="U134" s="324"/>
      <c r="V134" s="324"/>
      <c r="W134" s="324"/>
      <c r="X134" s="324"/>
      <c r="Y134" s="326"/>
      <c r="Z134" s="324"/>
      <c r="AA134" s="487"/>
      <c r="AB134" s="324"/>
      <c r="AC134" s="476"/>
      <c r="AD134" s="477"/>
      <c r="AE134" s="623"/>
    </row>
    <row r="135" spans="1:31" x14ac:dyDescent="0.25">
      <c r="A135" s="486"/>
      <c r="B135" s="328"/>
      <c r="C135" s="323"/>
      <c r="D135" s="324" t="s">
        <v>271</v>
      </c>
      <c r="E135" s="324"/>
      <c r="F135" s="324"/>
      <c r="G135" s="324"/>
      <c r="H135" s="324"/>
      <c r="I135" s="324"/>
      <c r="J135" s="375"/>
      <c r="K135" s="375"/>
      <c r="L135" s="324"/>
      <c r="M135" s="324"/>
      <c r="N135" s="324"/>
      <c r="O135" s="478"/>
      <c r="P135" s="324"/>
      <c r="Q135" s="324"/>
      <c r="R135" s="324"/>
      <c r="S135" s="324"/>
      <c r="T135" s="324"/>
      <c r="U135" s="478"/>
      <c r="V135" s="324"/>
      <c r="W135" s="324"/>
      <c r="X135" s="324"/>
      <c r="Y135" s="326"/>
      <c r="Z135" s="324"/>
      <c r="AA135" s="487"/>
      <c r="AB135" s="324"/>
      <c r="AC135" s="324"/>
      <c r="AD135" s="324"/>
      <c r="AE135" s="623"/>
    </row>
    <row r="136" spans="1:31" x14ac:dyDescent="0.25">
      <c r="A136" s="486"/>
      <c r="B136" s="328"/>
      <c r="C136" s="323"/>
      <c r="D136" s="478"/>
      <c r="E136" s="478"/>
      <c r="F136" s="478"/>
      <c r="G136" s="478"/>
      <c r="H136" s="478"/>
      <c r="I136" s="478"/>
      <c r="J136" s="478"/>
      <c r="K136" s="478"/>
      <c r="L136" s="478"/>
      <c r="M136" s="478"/>
      <c r="N136" s="478"/>
      <c r="O136" s="478"/>
      <c r="P136" s="478"/>
      <c r="Q136" s="478"/>
      <c r="R136" s="478"/>
      <c r="S136" s="478"/>
      <c r="T136" s="478"/>
      <c r="U136" s="478"/>
      <c r="V136" s="324"/>
      <c r="W136" s="478"/>
      <c r="X136" s="478"/>
      <c r="Y136" s="479"/>
      <c r="Z136" s="478"/>
      <c r="AA136" s="487"/>
      <c r="AB136" s="324"/>
      <c r="AC136" s="324"/>
      <c r="AD136" s="324"/>
      <c r="AE136" s="623"/>
    </row>
    <row r="137" spans="1:31" x14ac:dyDescent="0.25">
      <c r="A137" s="486"/>
      <c r="B137" s="328"/>
      <c r="C137" s="323"/>
      <c r="D137" s="324" t="s">
        <v>293</v>
      </c>
      <c r="E137" s="478"/>
      <c r="F137" s="478"/>
      <c r="G137" s="478"/>
      <c r="H137" s="478"/>
      <c r="I137" s="478"/>
      <c r="J137" s="478"/>
      <c r="K137" s="478"/>
      <c r="L137" s="478"/>
      <c r="M137" s="478"/>
      <c r="N137" s="478"/>
      <c r="O137" s="478"/>
      <c r="P137" s="478"/>
      <c r="Q137" s="478"/>
      <c r="R137" s="478"/>
      <c r="S137" s="478"/>
      <c r="T137" s="478"/>
      <c r="U137" s="478"/>
      <c r="V137" s="478"/>
      <c r="W137" s="478"/>
      <c r="X137" s="478"/>
      <c r="Y137" s="479"/>
      <c r="Z137" s="478"/>
      <c r="AA137" s="487"/>
      <c r="AB137" s="324"/>
      <c r="AC137" s="324"/>
      <c r="AD137" s="324"/>
      <c r="AE137" s="623"/>
    </row>
    <row r="138" spans="1:31" x14ac:dyDescent="0.25">
      <c r="A138" s="488"/>
      <c r="B138" s="328"/>
      <c r="C138" s="323"/>
      <c r="D138" s="324" t="s">
        <v>292</v>
      </c>
      <c r="E138" s="324"/>
      <c r="F138" s="324"/>
      <c r="G138" s="324"/>
      <c r="H138" s="324"/>
      <c r="I138" s="324"/>
      <c r="J138" s="375"/>
      <c r="K138" s="375"/>
      <c r="L138" s="324"/>
      <c r="M138" s="324"/>
      <c r="N138" s="324"/>
      <c r="O138" s="324"/>
      <c r="P138" s="324"/>
      <c r="Q138" s="324"/>
      <c r="R138" s="296" t="s">
        <v>307</v>
      </c>
      <c r="S138" s="296"/>
      <c r="T138" s="324"/>
      <c r="U138" s="324"/>
      <c r="V138" s="324"/>
      <c r="W138" s="324"/>
      <c r="X138" s="324"/>
      <c r="Y138" s="326"/>
      <c r="Z138" s="324"/>
      <c r="AA138" s="487"/>
      <c r="AB138" s="324"/>
      <c r="AC138" s="324"/>
      <c r="AD138" s="324"/>
      <c r="AE138" s="623"/>
    </row>
    <row r="139" spans="1:31" x14ac:dyDescent="0.25">
      <c r="A139" s="488"/>
      <c r="B139" s="328"/>
      <c r="C139" s="323"/>
      <c r="D139" s="324"/>
      <c r="E139" s="324"/>
      <c r="F139" s="324"/>
      <c r="G139" s="324"/>
      <c r="H139" s="324"/>
      <c r="I139" s="324"/>
      <c r="J139" s="375"/>
      <c r="K139" s="375"/>
      <c r="L139" s="324"/>
      <c r="M139" s="324"/>
      <c r="N139" s="324"/>
      <c r="O139" s="324"/>
      <c r="P139" s="324"/>
      <c r="Q139" s="324"/>
      <c r="R139" s="324"/>
      <c r="S139" s="324"/>
      <c r="T139" s="324"/>
      <c r="U139" s="324"/>
      <c r="V139" s="324"/>
      <c r="W139" s="324"/>
      <c r="X139" s="324"/>
      <c r="Y139" s="326"/>
      <c r="Z139" s="324"/>
      <c r="AA139" s="487"/>
      <c r="AB139" s="324"/>
      <c r="AC139" s="324"/>
      <c r="AD139" s="324"/>
      <c r="AE139" s="623"/>
    </row>
    <row r="140" spans="1:31" x14ac:dyDescent="0.25">
      <c r="A140" s="488"/>
      <c r="B140" s="328"/>
      <c r="C140" s="323"/>
      <c r="D140" s="324" t="s">
        <v>237</v>
      </c>
      <c r="E140" s="324"/>
      <c r="F140" s="324"/>
      <c r="G140" s="324"/>
      <c r="H140" s="324"/>
      <c r="I140" s="324"/>
      <c r="J140" s="324"/>
      <c r="K140" s="324"/>
      <c r="L140" s="324"/>
      <c r="M140" s="324"/>
      <c r="N140" s="324"/>
      <c r="O140" s="324"/>
      <c r="P140" s="324"/>
      <c r="Q140" s="324"/>
      <c r="R140" s="324"/>
      <c r="S140" s="324"/>
      <c r="T140" s="324"/>
      <c r="U140" s="324"/>
      <c r="V140" s="324"/>
      <c r="W140" s="324"/>
      <c r="X140" s="324"/>
      <c r="Y140" s="326"/>
      <c r="Z140" s="324"/>
      <c r="AA140" s="487"/>
      <c r="AB140" s="324"/>
      <c r="AC140" s="324"/>
      <c r="AD140" s="324"/>
      <c r="AE140" s="623"/>
    </row>
    <row r="141" spans="1:31" ht="17.25" thickBot="1" x14ac:dyDescent="0.3">
      <c r="A141" s="613"/>
      <c r="B141" s="609"/>
      <c r="C141" s="610"/>
      <c r="D141" s="611"/>
      <c r="E141" s="611"/>
      <c r="F141" s="611"/>
      <c r="G141" s="611"/>
      <c r="H141" s="611"/>
      <c r="I141" s="611"/>
      <c r="J141" s="611"/>
      <c r="K141" s="611"/>
      <c r="L141" s="611"/>
      <c r="M141" s="611"/>
      <c r="N141" s="611"/>
      <c r="O141" s="611"/>
      <c r="P141" s="611"/>
      <c r="Q141" s="611"/>
      <c r="R141" s="611"/>
      <c r="S141" s="611"/>
      <c r="T141" s="611"/>
      <c r="U141" s="611"/>
      <c r="V141" s="611"/>
      <c r="W141" s="611"/>
      <c r="X141" s="611"/>
      <c r="Y141" s="612"/>
      <c r="Z141" s="611"/>
      <c r="AA141" s="614"/>
      <c r="AB141" s="627"/>
      <c r="AC141" s="627"/>
      <c r="AD141" s="627"/>
      <c r="AE141" s="628"/>
    </row>
    <row r="142" spans="1:31" x14ac:dyDescent="0.25">
      <c r="B142" s="292"/>
      <c r="H142" s="296"/>
      <c r="I142" s="296"/>
      <c r="J142" s="296"/>
      <c r="K142" s="296"/>
      <c r="Y142" s="295"/>
    </row>
    <row r="143" spans="1:31" x14ac:dyDescent="0.25">
      <c r="H143" s="296"/>
      <c r="I143" s="296"/>
      <c r="J143" s="296"/>
      <c r="K143" s="306"/>
      <c r="L143" s="296"/>
      <c r="M143" s="296"/>
      <c r="N143" s="296"/>
      <c r="O143" s="296"/>
      <c r="P143" s="301"/>
      <c r="Q143" s="301"/>
      <c r="R143" s="295"/>
      <c r="S143" s="307"/>
      <c r="T143" s="295"/>
      <c r="U143" s="308"/>
      <c r="V143" s="308"/>
      <c r="W143" s="295"/>
      <c r="X143" s="295"/>
      <c r="Y143" s="295"/>
    </row>
    <row r="144" spans="1:31" x14ac:dyDescent="0.25">
      <c r="H144" s="296"/>
      <c r="I144" s="296"/>
      <c r="J144" s="296"/>
      <c r="K144" s="321"/>
      <c r="L144" s="296"/>
      <c r="M144" s="296"/>
      <c r="N144" s="296"/>
      <c r="O144" s="296"/>
      <c r="P144" s="301"/>
      <c r="Q144" s="301"/>
      <c r="R144" s="295"/>
      <c r="S144" s="307"/>
      <c r="T144" s="295"/>
      <c r="U144" s="308"/>
      <c r="V144" s="308"/>
      <c r="W144" s="295"/>
      <c r="X144" s="295"/>
      <c r="Y144" s="295"/>
    </row>
    <row r="145" spans="2:25" x14ac:dyDescent="0.25">
      <c r="H145" s="296"/>
      <c r="I145" s="296"/>
      <c r="J145" s="296"/>
      <c r="K145" s="306"/>
      <c r="L145" s="296"/>
      <c r="M145" s="296"/>
      <c r="N145" s="296"/>
      <c r="O145" s="296"/>
      <c r="P145" s="301"/>
      <c r="Q145" s="301"/>
      <c r="R145" s="295"/>
      <c r="S145" s="307"/>
      <c r="T145" s="295"/>
      <c r="U145" s="308"/>
      <c r="V145" s="308"/>
      <c r="W145" s="295"/>
      <c r="X145" s="295"/>
      <c r="Y145" s="295"/>
    </row>
    <row r="146" spans="2:25" x14ac:dyDescent="0.25">
      <c r="H146" s="296"/>
      <c r="I146" s="296"/>
      <c r="J146" s="296"/>
      <c r="K146" s="306"/>
      <c r="L146" s="296"/>
      <c r="M146" s="296"/>
      <c r="N146" s="296"/>
      <c r="O146" s="296"/>
      <c r="P146" s="301"/>
      <c r="Q146" s="301"/>
      <c r="R146" s="295"/>
      <c r="S146" s="307"/>
      <c r="T146" s="295"/>
      <c r="U146" s="308"/>
      <c r="V146" s="308"/>
      <c r="W146" s="295"/>
      <c r="X146" s="295"/>
      <c r="Y146" s="295"/>
    </row>
    <row r="147" spans="2:25" x14ac:dyDescent="0.25">
      <c r="H147" s="296"/>
      <c r="I147" s="296"/>
      <c r="J147" s="296"/>
      <c r="K147" s="306"/>
      <c r="L147" s="296"/>
      <c r="M147" s="296"/>
      <c r="N147" s="296"/>
      <c r="O147" s="296"/>
      <c r="P147" s="301"/>
      <c r="Q147" s="301"/>
      <c r="R147" s="295"/>
      <c r="S147" s="307"/>
      <c r="T147" s="295"/>
      <c r="U147" s="308"/>
      <c r="V147" s="308"/>
      <c r="W147" s="295"/>
      <c r="X147" s="295"/>
      <c r="Y147" s="295"/>
    </row>
    <row r="148" spans="2:25" x14ac:dyDescent="0.25">
      <c r="H148" s="296"/>
      <c r="I148" s="296"/>
      <c r="J148" s="296"/>
      <c r="K148" s="306"/>
      <c r="L148" s="296"/>
      <c r="M148" s="296"/>
      <c r="N148" s="296"/>
      <c r="O148" s="296"/>
      <c r="P148" s="301"/>
      <c r="Q148" s="301"/>
      <c r="R148" s="295"/>
      <c r="S148" s="307"/>
      <c r="T148" s="295"/>
      <c r="U148" s="308"/>
      <c r="V148" s="308"/>
      <c r="W148" s="295"/>
      <c r="X148" s="295"/>
      <c r="Y148" s="295"/>
    </row>
    <row r="149" spans="2:25" x14ac:dyDescent="0.25">
      <c r="H149" s="296"/>
      <c r="I149" s="296"/>
      <c r="J149" s="296"/>
      <c r="K149" s="306"/>
      <c r="L149" s="296"/>
      <c r="N149" s="296"/>
      <c r="O149" s="296"/>
      <c r="P149" s="301"/>
      <c r="Q149" s="301"/>
      <c r="R149" s="295"/>
      <c r="S149" s="307"/>
      <c r="T149" s="295"/>
      <c r="U149" s="308"/>
      <c r="V149" s="308"/>
      <c r="W149" s="295"/>
      <c r="X149" s="295"/>
      <c r="Y149" s="295"/>
    </row>
    <row r="150" spans="2:25" x14ac:dyDescent="0.25">
      <c r="H150" s="296"/>
      <c r="I150" s="296"/>
      <c r="J150" s="296"/>
      <c r="K150" s="306"/>
      <c r="L150" s="296"/>
      <c r="M150" s="296"/>
      <c r="N150" s="296"/>
      <c r="O150" s="296"/>
      <c r="P150" s="301"/>
      <c r="Q150" s="301"/>
      <c r="R150" s="295"/>
      <c r="S150" s="307"/>
      <c r="T150" s="295"/>
      <c r="U150" s="308"/>
      <c r="V150" s="308"/>
      <c r="W150" s="295"/>
      <c r="X150" s="295"/>
      <c r="Y150" s="295"/>
    </row>
    <row r="151" spans="2:25" x14ac:dyDescent="0.25">
      <c r="H151" s="296"/>
      <c r="I151" s="296"/>
      <c r="J151" s="296"/>
      <c r="K151" s="306"/>
      <c r="L151" s="296"/>
      <c r="M151" s="296"/>
      <c r="N151" s="296"/>
      <c r="O151" s="296"/>
      <c r="P151" s="301"/>
      <c r="Q151" s="301"/>
      <c r="R151" s="295"/>
      <c r="S151" s="307"/>
      <c r="T151" s="295"/>
      <c r="U151" s="308"/>
      <c r="V151" s="300"/>
      <c r="W151" s="309"/>
      <c r="X151" s="295"/>
      <c r="Y151" s="295"/>
    </row>
    <row r="152" spans="2:25" x14ac:dyDescent="0.25">
      <c r="H152" s="296"/>
      <c r="I152" s="296"/>
      <c r="J152" s="296"/>
      <c r="K152" s="306"/>
      <c r="L152" s="296"/>
      <c r="M152" s="296"/>
      <c r="N152" s="296"/>
      <c r="O152" s="296"/>
      <c r="P152" s="301"/>
      <c r="Q152" s="301"/>
      <c r="R152" s="295"/>
      <c r="S152" s="307"/>
      <c r="T152" s="295"/>
      <c r="U152" s="308"/>
      <c r="V152" s="308"/>
      <c r="W152" s="295"/>
      <c r="X152" s="295"/>
      <c r="Y152" s="295"/>
    </row>
    <row r="153" spans="2:25" x14ac:dyDescent="0.25">
      <c r="H153" s="296"/>
      <c r="I153" s="296"/>
      <c r="J153" s="296"/>
      <c r="K153" s="306"/>
      <c r="L153" s="296"/>
      <c r="M153" s="296"/>
      <c r="N153" s="296"/>
      <c r="O153" s="296"/>
      <c r="P153" s="301"/>
      <c r="Q153" s="301"/>
      <c r="R153" s="295"/>
      <c r="S153" s="307"/>
      <c r="T153" s="295"/>
      <c r="U153" s="308"/>
      <c r="V153" s="308"/>
      <c r="W153" s="295"/>
      <c r="X153" s="295"/>
      <c r="Y153" s="295"/>
    </row>
    <row r="154" spans="2:25" x14ac:dyDescent="0.25">
      <c r="H154" s="296"/>
      <c r="I154" s="296"/>
      <c r="J154" s="296"/>
      <c r="K154" s="306"/>
      <c r="L154" s="296"/>
      <c r="M154" s="296"/>
      <c r="N154" s="296"/>
      <c r="O154" s="296"/>
      <c r="P154" s="301"/>
      <c r="Q154" s="301"/>
      <c r="R154" s="295"/>
      <c r="S154" s="307"/>
      <c r="T154" s="295"/>
      <c r="U154" s="308"/>
      <c r="V154" s="308"/>
      <c r="W154" s="295"/>
      <c r="X154" s="295"/>
      <c r="Y154" s="295"/>
    </row>
    <row r="155" spans="2:25" x14ac:dyDescent="0.25">
      <c r="H155" s="296"/>
      <c r="I155" s="296"/>
      <c r="J155" s="296"/>
      <c r="K155" s="306"/>
      <c r="L155" s="296"/>
      <c r="M155" s="296"/>
      <c r="N155" s="296"/>
      <c r="O155" s="296"/>
      <c r="P155" s="301"/>
      <c r="Q155" s="301"/>
      <c r="R155" s="295"/>
      <c r="S155" s="307"/>
      <c r="T155" s="295"/>
      <c r="U155" s="308"/>
      <c r="V155" s="308"/>
      <c r="W155" s="295"/>
      <c r="X155" s="295"/>
      <c r="Y155" s="295"/>
    </row>
    <row r="156" spans="2:25" x14ac:dyDescent="0.25">
      <c r="H156" s="296"/>
      <c r="I156" s="296"/>
      <c r="J156" s="296"/>
      <c r="K156" s="306"/>
      <c r="L156" s="296"/>
      <c r="M156" s="296"/>
      <c r="N156" s="296"/>
      <c r="O156" s="296"/>
      <c r="P156" s="301"/>
      <c r="Q156" s="301"/>
      <c r="R156" s="295"/>
      <c r="S156" s="307"/>
      <c r="T156" s="295"/>
      <c r="U156" s="308"/>
      <c r="V156" s="308"/>
      <c r="W156" s="295"/>
      <c r="X156" s="295"/>
      <c r="Y156" s="295"/>
    </row>
    <row r="157" spans="2:25" x14ac:dyDescent="0.25">
      <c r="H157" s="296"/>
      <c r="I157" s="296"/>
      <c r="J157" s="296"/>
      <c r="K157" s="306"/>
      <c r="L157" s="296"/>
      <c r="M157" s="296"/>
      <c r="N157" s="296"/>
      <c r="O157" s="296"/>
      <c r="P157" s="301"/>
      <c r="Q157" s="301"/>
      <c r="R157" s="295"/>
      <c r="S157" s="307"/>
      <c r="T157" s="295"/>
      <c r="U157" s="308"/>
      <c r="V157" s="308"/>
      <c r="W157" s="295"/>
      <c r="X157" s="295"/>
      <c r="Y157" s="295"/>
    </row>
    <row r="158" spans="2:25" x14ac:dyDescent="0.25">
      <c r="H158" s="296"/>
      <c r="I158" s="296"/>
      <c r="J158" s="296"/>
      <c r="K158" s="296"/>
      <c r="O158" s="301"/>
      <c r="P158" s="301"/>
      <c r="Q158" s="295"/>
      <c r="R158" s="307"/>
      <c r="S158" s="295"/>
      <c r="T158" s="308"/>
      <c r="U158" s="308"/>
      <c r="V158" s="295"/>
      <c r="W158" s="295"/>
      <c r="X158" s="295"/>
      <c r="Y158" s="295"/>
    </row>
    <row r="159" spans="2:25" x14ac:dyDescent="0.25">
      <c r="B159" s="292"/>
      <c r="H159" s="296"/>
      <c r="I159" s="296"/>
      <c r="J159" s="296"/>
      <c r="K159" s="296"/>
      <c r="S159" s="295"/>
      <c r="T159" s="308"/>
      <c r="U159" s="308"/>
      <c r="V159" s="295"/>
      <c r="W159" s="295"/>
      <c r="X159" s="295"/>
      <c r="Y159" s="295"/>
    </row>
    <row r="160" spans="2:25" x14ac:dyDescent="0.25">
      <c r="H160" s="296"/>
      <c r="I160" s="296"/>
      <c r="J160" s="296"/>
      <c r="K160" s="296"/>
      <c r="S160" s="295"/>
      <c r="T160" s="308"/>
      <c r="U160" s="308"/>
      <c r="V160" s="295"/>
      <c r="W160" s="295"/>
      <c r="X160" s="295"/>
      <c r="Y160" s="295"/>
    </row>
    <row r="161" spans="8:25" x14ac:dyDescent="0.25">
      <c r="H161" s="296"/>
      <c r="I161" s="296"/>
      <c r="J161" s="296"/>
      <c r="K161" s="296"/>
      <c r="S161" s="295"/>
      <c r="T161" s="308"/>
      <c r="U161" s="308"/>
      <c r="V161" s="295"/>
      <c r="W161" s="295"/>
      <c r="X161" s="295"/>
      <c r="Y161" s="295"/>
    </row>
    <row r="162" spans="8:25" x14ac:dyDescent="0.25">
      <c r="H162" s="296"/>
      <c r="I162" s="296"/>
      <c r="J162" s="296"/>
      <c r="K162" s="296"/>
      <c r="S162" s="295"/>
      <c r="T162" s="308"/>
      <c r="U162" s="308"/>
      <c r="V162" s="295"/>
      <c r="W162" s="295"/>
      <c r="X162" s="295"/>
      <c r="Y162" s="295"/>
    </row>
    <row r="163" spans="8:25" x14ac:dyDescent="0.25">
      <c r="H163" s="296"/>
      <c r="I163" s="296"/>
      <c r="J163" s="296"/>
      <c r="K163" s="296"/>
      <c r="S163" s="295"/>
      <c r="T163" s="308"/>
      <c r="U163" s="308"/>
      <c r="V163" s="295"/>
      <c r="W163" s="295"/>
      <c r="X163" s="295"/>
      <c r="Y163" s="295"/>
    </row>
    <row r="164" spans="8:25" x14ac:dyDescent="0.25">
      <c r="H164" s="296"/>
      <c r="I164" s="296"/>
      <c r="J164" s="296"/>
      <c r="K164" s="296"/>
      <c r="S164" s="295"/>
      <c r="T164" s="308"/>
      <c r="U164" s="308"/>
      <c r="V164" s="295"/>
      <c r="W164" s="295"/>
      <c r="X164" s="295"/>
      <c r="Y164" s="295"/>
    </row>
    <row r="165" spans="8:25" x14ac:dyDescent="0.25">
      <c r="H165" s="296"/>
      <c r="I165" s="296"/>
      <c r="J165" s="296"/>
      <c r="K165" s="296"/>
      <c r="S165" s="295"/>
      <c r="T165" s="308"/>
      <c r="U165" s="308"/>
      <c r="V165" s="295"/>
      <c r="W165" s="295"/>
      <c r="X165" s="295"/>
      <c r="Y165" s="295"/>
    </row>
    <row r="166" spans="8:25" x14ac:dyDescent="0.25">
      <c r="H166" s="296"/>
      <c r="I166" s="296"/>
      <c r="J166" s="296"/>
      <c r="K166" s="296"/>
      <c r="S166" s="295"/>
      <c r="T166" s="308"/>
      <c r="U166" s="308"/>
      <c r="V166" s="295"/>
      <c r="W166" s="295"/>
      <c r="X166" s="295"/>
      <c r="Y166" s="295"/>
    </row>
    <row r="167" spans="8:25" x14ac:dyDescent="0.25">
      <c r="H167" s="296"/>
      <c r="I167" s="296"/>
      <c r="J167" s="296"/>
      <c r="K167" s="296"/>
      <c r="S167" s="295"/>
      <c r="T167" s="308"/>
      <c r="U167" s="308"/>
      <c r="V167" s="295"/>
      <c r="W167" s="295"/>
      <c r="X167" s="295"/>
      <c r="Y167" s="295"/>
    </row>
    <row r="168" spans="8:25" x14ac:dyDescent="0.25">
      <c r="H168" s="296"/>
      <c r="I168" s="296"/>
      <c r="J168" s="296"/>
      <c r="K168" s="296"/>
      <c r="S168" s="295"/>
      <c r="T168" s="308"/>
      <c r="U168" s="308"/>
      <c r="V168" s="295"/>
      <c r="W168" s="295"/>
      <c r="X168" s="295"/>
      <c r="Y168" s="295"/>
    </row>
    <row r="169" spans="8:25" x14ac:dyDescent="0.25">
      <c r="H169" s="296"/>
      <c r="I169" s="296"/>
      <c r="J169" s="296"/>
      <c r="K169" s="296"/>
      <c r="S169" s="295"/>
      <c r="T169" s="308"/>
      <c r="U169" s="308"/>
      <c r="V169" s="295"/>
      <c r="W169" s="295"/>
      <c r="X169" s="295"/>
      <c r="Y169" s="295"/>
    </row>
    <row r="170" spans="8:25" x14ac:dyDescent="0.25">
      <c r="H170" s="296"/>
      <c r="I170" s="296"/>
      <c r="J170" s="296"/>
      <c r="K170" s="296"/>
      <c r="S170" s="295"/>
      <c r="T170" s="308"/>
      <c r="U170" s="308"/>
      <c r="V170" s="295"/>
      <c r="W170" s="295"/>
      <c r="X170" s="295"/>
      <c r="Y170" s="295"/>
    </row>
    <row r="171" spans="8:25" x14ac:dyDescent="0.25">
      <c r="H171" s="296"/>
      <c r="I171" s="296"/>
      <c r="J171" s="296"/>
      <c r="K171" s="296"/>
      <c r="S171" s="295"/>
      <c r="T171" s="308"/>
      <c r="U171" s="308"/>
      <c r="V171" s="295"/>
      <c r="W171" s="295"/>
      <c r="X171" s="295"/>
      <c r="Y171" s="295"/>
    </row>
    <row r="172" spans="8:25" x14ac:dyDescent="0.25">
      <c r="H172" s="296"/>
      <c r="I172" s="296"/>
      <c r="J172" s="296"/>
      <c r="K172" s="296"/>
      <c r="S172" s="295"/>
      <c r="T172" s="308"/>
      <c r="U172" s="308"/>
      <c r="V172" s="295"/>
      <c r="W172" s="295"/>
      <c r="X172" s="295"/>
      <c r="Y172" s="295"/>
    </row>
    <row r="173" spans="8:25" x14ac:dyDescent="0.25">
      <c r="H173" s="296"/>
      <c r="I173" s="296"/>
      <c r="J173" s="296"/>
      <c r="K173" s="296"/>
      <c r="S173" s="295"/>
      <c r="T173" s="308"/>
      <c r="U173" s="308"/>
      <c r="V173" s="295"/>
      <c r="W173" s="295"/>
      <c r="X173" s="295"/>
      <c r="Y173" s="295"/>
    </row>
    <row r="174" spans="8:25" x14ac:dyDescent="0.25">
      <c r="H174" s="296"/>
      <c r="I174" s="296"/>
      <c r="J174" s="296"/>
      <c r="K174" s="296"/>
      <c r="S174" s="295"/>
      <c r="T174" s="308"/>
      <c r="U174" s="308"/>
      <c r="V174" s="295"/>
      <c r="W174" s="295"/>
      <c r="X174" s="295"/>
      <c r="Y174" s="295"/>
    </row>
    <row r="175" spans="8:25" x14ac:dyDescent="0.25">
      <c r="H175" s="296"/>
      <c r="I175" s="296"/>
      <c r="J175" s="296"/>
      <c r="K175" s="296"/>
      <c r="S175" s="295"/>
      <c r="T175" s="308"/>
      <c r="U175" s="308"/>
      <c r="V175" s="295"/>
      <c r="W175" s="295"/>
      <c r="X175" s="295"/>
      <c r="Y175" s="295"/>
    </row>
    <row r="176" spans="8:25" x14ac:dyDescent="0.25">
      <c r="H176" s="296"/>
      <c r="I176" s="296"/>
      <c r="J176" s="296"/>
      <c r="K176" s="296"/>
      <c r="S176" s="295"/>
      <c r="T176" s="308"/>
      <c r="U176" s="308"/>
      <c r="V176" s="295"/>
      <c r="W176" s="295"/>
      <c r="X176" s="295"/>
      <c r="Y176" s="295"/>
    </row>
    <row r="177" spans="10:25" x14ac:dyDescent="0.25">
      <c r="J177" s="296"/>
      <c r="S177" s="295"/>
      <c r="T177" s="308"/>
      <c r="U177" s="308"/>
      <c r="V177" s="295"/>
      <c r="W177" s="295"/>
      <c r="X177" s="295"/>
      <c r="Y177" s="295"/>
    </row>
    <row r="178" spans="10:25" x14ac:dyDescent="0.25">
      <c r="J178" s="296"/>
      <c r="S178" s="295"/>
      <c r="T178" s="308"/>
      <c r="U178" s="308"/>
      <c r="V178" s="295"/>
      <c r="W178" s="295"/>
      <c r="X178" s="295"/>
      <c r="Y178" s="295"/>
    </row>
    <row r="179" spans="10:25" x14ac:dyDescent="0.25">
      <c r="J179" s="296"/>
      <c r="S179" s="295"/>
      <c r="T179" s="308"/>
      <c r="U179" s="308"/>
      <c r="V179" s="295"/>
      <c r="W179" s="295"/>
      <c r="X179" s="295"/>
      <c r="Y179" s="295"/>
    </row>
    <row r="180" spans="10:25" x14ac:dyDescent="0.25">
      <c r="J180" s="296"/>
      <c r="S180" s="295"/>
      <c r="T180" s="308"/>
      <c r="U180" s="308"/>
      <c r="V180" s="295"/>
      <c r="W180" s="295"/>
      <c r="X180" s="295"/>
      <c r="Y180" s="295"/>
    </row>
    <row r="181" spans="10:25" x14ac:dyDescent="0.25">
      <c r="J181" s="296"/>
      <c r="S181" s="295"/>
      <c r="T181" s="308"/>
      <c r="U181" s="308"/>
      <c r="V181" s="295"/>
      <c r="W181" s="295"/>
      <c r="X181" s="295"/>
      <c r="Y181" s="295"/>
    </row>
    <row r="182" spans="10:25" x14ac:dyDescent="0.25">
      <c r="J182" s="296"/>
      <c r="S182" s="295"/>
      <c r="T182" s="308"/>
      <c r="U182" s="308"/>
      <c r="V182" s="295"/>
      <c r="W182" s="295"/>
      <c r="X182" s="295"/>
      <c r="Y182" s="295"/>
    </row>
    <row r="183" spans="10:25" x14ac:dyDescent="0.25">
      <c r="J183" s="296"/>
      <c r="O183" s="301"/>
      <c r="P183" s="301"/>
      <c r="Q183" s="295"/>
      <c r="R183" s="307"/>
      <c r="S183" s="295"/>
      <c r="T183" s="308"/>
      <c r="U183" s="308"/>
      <c r="V183" s="295"/>
      <c r="W183" s="295"/>
      <c r="X183" s="295"/>
      <c r="Y183" s="295"/>
    </row>
    <row r="184" spans="10:25" x14ac:dyDescent="0.25">
      <c r="J184" s="296"/>
      <c r="O184" s="301"/>
      <c r="P184" s="301"/>
      <c r="Q184" s="295"/>
      <c r="R184" s="307"/>
      <c r="S184" s="295"/>
      <c r="T184" s="308"/>
      <c r="U184" s="308"/>
      <c r="V184" s="295"/>
      <c r="W184" s="295"/>
      <c r="X184" s="295"/>
      <c r="Y184" s="295"/>
    </row>
    <row r="185" spans="10:25" x14ac:dyDescent="0.25">
      <c r="J185" s="296"/>
      <c r="O185" s="301"/>
      <c r="P185" s="301"/>
      <c r="Q185" s="295"/>
      <c r="R185" s="307"/>
      <c r="S185" s="295"/>
      <c r="T185" s="308"/>
      <c r="U185" s="308"/>
      <c r="V185" s="295"/>
      <c r="W185" s="295"/>
      <c r="X185" s="295"/>
      <c r="Y185" s="295"/>
    </row>
    <row r="186" spans="10:25" x14ac:dyDescent="0.25">
      <c r="J186" s="296"/>
      <c r="O186" s="301"/>
      <c r="P186" s="301"/>
      <c r="Q186" s="295"/>
      <c r="R186" s="307"/>
      <c r="S186" s="295"/>
      <c r="T186" s="308"/>
      <c r="U186" s="308"/>
      <c r="V186" s="295"/>
      <c r="W186" s="295"/>
      <c r="X186" s="295"/>
      <c r="Y186" s="295"/>
    </row>
    <row r="187" spans="10:25" x14ac:dyDescent="0.25">
      <c r="J187" s="296"/>
      <c r="O187" s="301"/>
      <c r="P187" s="301"/>
      <c r="Q187" s="295"/>
      <c r="R187" s="307"/>
      <c r="S187" s="295"/>
      <c r="T187" s="308"/>
      <c r="U187" s="308"/>
      <c r="V187" s="295"/>
      <c r="W187" s="295"/>
      <c r="X187" s="295"/>
      <c r="Y187" s="295"/>
    </row>
    <row r="188" spans="10:25" x14ac:dyDescent="0.25">
      <c r="J188" s="296"/>
      <c r="O188" s="301"/>
      <c r="P188" s="301"/>
      <c r="Q188" s="295"/>
      <c r="R188" s="307"/>
      <c r="S188" s="295"/>
      <c r="T188" s="308"/>
      <c r="U188" s="308"/>
      <c r="V188" s="295"/>
      <c r="W188" s="295"/>
      <c r="X188" s="295"/>
      <c r="Y188" s="295"/>
    </row>
    <row r="189" spans="10:25" x14ac:dyDescent="0.25">
      <c r="J189" s="296"/>
      <c r="O189" s="301"/>
      <c r="P189" s="301"/>
      <c r="Q189" s="295"/>
      <c r="R189" s="307"/>
      <c r="S189" s="295"/>
      <c r="T189" s="308"/>
      <c r="U189" s="308"/>
      <c r="V189" s="295"/>
      <c r="W189" s="295"/>
      <c r="X189" s="295"/>
      <c r="Y189" s="295"/>
    </row>
    <row r="190" spans="10:25" x14ac:dyDescent="0.25">
      <c r="J190" s="296"/>
      <c r="O190" s="301"/>
      <c r="P190" s="301"/>
      <c r="Q190" s="295"/>
      <c r="R190" s="307"/>
      <c r="S190" s="295"/>
      <c r="T190" s="308"/>
      <c r="U190" s="308"/>
      <c r="V190" s="295"/>
      <c r="W190" s="295"/>
      <c r="X190" s="295"/>
      <c r="Y190" s="295"/>
    </row>
    <row r="191" spans="10:25" x14ac:dyDescent="0.25">
      <c r="J191" s="296"/>
      <c r="O191" s="301"/>
      <c r="P191" s="301"/>
      <c r="Q191" s="295"/>
      <c r="R191" s="307"/>
      <c r="S191" s="295"/>
      <c r="T191" s="308"/>
      <c r="U191" s="308"/>
      <c r="V191" s="295"/>
      <c r="W191" s="295"/>
      <c r="X191" s="295"/>
      <c r="Y191" s="295"/>
    </row>
    <row r="192" spans="10:25" x14ac:dyDescent="0.25">
      <c r="J192" s="296"/>
      <c r="O192" s="301"/>
      <c r="P192" s="301"/>
      <c r="Q192" s="295"/>
      <c r="R192" s="307"/>
      <c r="S192" s="295"/>
      <c r="T192" s="308"/>
      <c r="U192" s="308"/>
      <c r="V192" s="295"/>
      <c r="W192" s="295"/>
      <c r="X192" s="295"/>
      <c r="Y192" s="295"/>
    </row>
    <row r="193" spans="3:25" x14ac:dyDescent="0.25">
      <c r="J193" s="296"/>
      <c r="O193" s="301"/>
      <c r="P193" s="301"/>
      <c r="Q193" s="295"/>
      <c r="R193" s="307"/>
      <c r="S193" s="295"/>
      <c r="T193" s="310"/>
      <c r="U193" s="308"/>
      <c r="V193" s="311"/>
      <c r="W193" s="295"/>
      <c r="X193" s="295"/>
      <c r="Y193" s="295"/>
    </row>
    <row r="194" spans="3:25" x14ac:dyDescent="0.25">
      <c r="C194" s="292"/>
      <c r="D194" s="295"/>
      <c r="E194" s="295"/>
      <c r="F194" s="295"/>
      <c r="G194" s="312"/>
      <c r="H194" s="313"/>
      <c r="I194" s="301"/>
      <c r="J194" s="301"/>
      <c r="K194" s="301"/>
      <c r="L194" s="301"/>
      <c r="M194" s="301"/>
      <c r="N194" s="301"/>
      <c r="O194" s="301"/>
      <c r="P194" s="301"/>
      <c r="Q194" s="295"/>
      <c r="R194" s="307"/>
      <c r="S194" s="295"/>
      <c r="T194" s="310"/>
      <c r="U194" s="308"/>
      <c r="V194" s="311"/>
      <c r="W194" s="295"/>
      <c r="X194" s="295"/>
      <c r="Y194" s="295"/>
    </row>
    <row r="195" spans="3:25" x14ac:dyDescent="0.25">
      <c r="C195" s="292"/>
      <c r="D195" s="295"/>
      <c r="E195" s="295"/>
      <c r="F195" s="295"/>
      <c r="G195" s="295"/>
      <c r="H195" s="295"/>
      <c r="I195" s="295"/>
      <c r="J195" s="314"/>
      <c r="K195" s="303"/>
      <c r="L195" s="303"/>
      <c r="M195" s="303"/>
      <c r="N195" s="303"/>
      <c r="O195" s="303"/>
      <c r="P195" s="303"/>
      <c r="Q195" s="295"/>
      <c r="R195" s="295"/>
      <c r="S195" s="295"/>
      <c r="T195" s="295"/>
      <c r="U195" s="295"/>
      <c r="V195" s="295"/>
      <c r="W195" s="295"/>
      <c r="X195" s="295"/>
      <c r="Y195" s="295"/>
    </row>
    <row r="196" spans="3:25" x14ac:dyDescent="0.25">
      <c r="C196" s="292"/>
      <c r="D196" s="295"/>
      <c r="E196" s="295"/>
      <c r="F196" s="295"/>
      <c r="G196" s="295"/>
      <c r="H196" s="295"/>
      <c r="I196" s="295"/>
      <c r="J196" s="314"/>
      <c r="K196" s="295"/>
      <c r="L196" s="295"/>
      <c r="M196" s="295"/>
      <c r="N196" s="295"/>
      <c r="O196" s="295"/>
      <c r="P196" s="295"/>
      <c r="Q196" s="295"/>
      <c r="R196" s="295"/>
      <c r="S196" s="295"/>
      <c r="T196" s="295"/>
      <c r="U196" s="295"/>
      <c r="V196" s="295"/>
      <c r="W196" s="295"/>
      <c r="X196" s="295"/>
      <c r="Y196" s="295"/>
    </row>
    <row r="197" spans="3:25" x14ac:dyDescent="0.25">
      <c r="C197" s="292"/>
      <c r="D197" s="295"/>
      <c r="E197" s="295"/>
      <c r="F197" s="295"/>
      <c r="G197" s="295"/>
      <c r="H197" s="295"/>
      <c r="I197" s="295"/>
      <c r="J197" s="314"/>
      <c r="K197" s="295"/>
      <c r="L197" s="295"/>
      <c r="M197" s="295"/>
      <c r="N197" s="295"/>
      <c r="O197" s="295"/>
      <c r="P197" s="295"/>
      <c r="Q197" s="295"/>
      <c r="R197" s="295"/>
      <c r="S197" s="295"/>
      <c r="T197" s="295"/>
      <c r="U197" s="295"/>
      <c r="V197" s="295"/>
      <c r="W197" s="295"/>
      <c r="X197" s="295"/>
      <c r="Y197" s="295"/>
    </row>
    <row r="198" spans="3:25" x14ac:dyDescent="0.25">
      <c r="C198" s="292"/>
      <c r="D198" s="295"/>
      <c r="E198" s="295"/>
      <c r="F198" s="295"/>
      <c r="G198" s="315"/>
      <c r="H198" s="315"/>
      <c r="I198" s="295"/>
      <c r="J198" s="314"/>
      <c r="K198" s="295"/>
      <c r="L198" s="295"/>
      <c r="M198" s="295"/>
      <c r="N198" s="316"/>
      <c r="O198" s="295"/>
      <c r="P198" s="295"/>
      <c r="Q198" s="295"/>
      <c r="R198" s="295"/>
      <c r="S198" s="295"/>
      <c r="T198" s="295"/>
      <c r="U198" s="295"/>
      <c r="V198" s="295"/>
      <c r="W198" s="295"/>
      <c r="X198" s="295"/>
      <c r="Y198" s="295"/>
    </row>
    <row r="199" spans="3:25" x14ac:dyDescent="0.25">
      <c r="C199" s="292"/>
      <c r="D199" s="295"/>
      <c r="E199" s="295"/>
      <c r="F199" s="295"/>
      <c r="G199" s="315"/>
      <c r="H199" s="315"/>
      <c r="I199" s="307"/>
      <c r="J199" s="307"/>
      <c r="K199" s="307"/>
      <c r="L199" s="307"/>
      <c r="M199" s="307"/>
      <c r="N199" s="307"/>
      <c r="O199" s="307"/>
      <c r="P199" s="307"/>
      <c r="Q199" s="295"/>
      <c r="R199" s="295"/>
      <c r="S199" s="295"/>
      <c r="T199" s="298"/>
      <c r="U199" s="298"/>
      <c r="V199" s="295"/>
      <c r="W199" s="295"/>
      <c r="X199" s="295"/>
      <c r="Y199" s="295"/>
    </row>
    <row r="200" spans="3:25" x14ac:dyDescent="0.25">
      <c r="C200" s="292"/>
      <c r="D200" s="295"/>
      <c r="E200" s="295"/>
      <c r="F200" s="295"/>
      <c r="G200" s="312"/>
      <c r="H200" s="313"/>
      <c r="I200" s="295"/>
      <c r="J200" s="314"/>
      <c r="K200" s="316"/>
      <c r="L200" s="316"/>
      <c r="M200" s="316"/>
      <c r="N200" s="316"/>
      <c r="O200" s="316"/>
      <c r="P200" s="316"/>
      <c r="Q200" s="295"/>
      <c r="R200" s="295"/>
      <c r="S200" s="295"/>
      <c r="T200" s="317"/>
      <c r="U200" s="317"/>
      <c r="V200" s="295"/>
      <c r="W200" s="295"/>
      <c r="X200" s="295"/>
      <c r="Y200" s="295"/>
    </row>
    <row r="201" spans="3:25" x14ac:dyDescent="0.25">
      <c r="C201" s="292"/>
      <c r="D201" s="295"/>
      <c r="E201" s="295"/>
      <c r="F201" s="295"/>
      <c r="G201" s="312"/>
      <c r="H201" s="313"/>
      <c r="I201" s="295"/>
      <c r="J201" s="314"/>
      <c r="K201" s="316"/>
      <c r="L201" s="316"/>
      <c r="M201" s="316"/>
      <c r="N201" s="316"/>
      <c r="O201" s="316"/>
      <c r="P201" s="316"/>
      <c r="Q201" s="295"/>
      <c r="R201" s="295"/>
      <c r="S201" s="295"/>
      <c r="T201" s="317"/>
      <c r="U201" s="317"/>
      <c r="V201" s="295"/>
      <c r="W201" s="295"/>
      <c r="X201" s="295"/>
      <c r="Y201" s="295"/>
    </row>
    <row r="202" spans="3:25" x14ac:dyDescent="0.25">
      <c r="C202" s="292"/>
      <c r="D202" s="295"/>
      <c r="E202" s="295"/>
      <c r="F202" s="295"/>
      <c r="G202" s="312"/>
      <c r="H202" s="313"/>
      <c r="I202" s="295"/>
      <c r="J202" s="314"/>
      <c r="K202" s="316"/>
      <c r="L202" s="316"/>
      <c r="M202" s="316"/>
      <c r="N202" s="316"/>
      <c r="O202" s="316"/>
      <c r="P202" s="316"/>
      <c r="Q202" s="295"/>
      <c r="R202" s="295"/>
      <c r="S202" s="295"/>
      <c r="T202" s="317"/>
      <c r="U202" s="317"/>
      <c r="V202" s="295"/>
      <c r="W202" s="295"/>
      <c r="X202" s="295"/>
      <c r="Y202" s="295"/>
    </row>
    <row r="203" spans="3:25" x14ac:dyDescent="0.25">
      <c r="C203" s="292"/>
      <c r="D203" s="295"/>
      <c r="E203" s="295"/>
      <c r="F203" s="295"/>
      <c r="G203" s="312"/>
      <c r="H203" s="313"/>
      <c r="I203" s="295"/>
      <c r="J203" s="314"/>
      <c r="K203" s="316"/>
      <c r="L203" s="316"/>
      <c r="M203" s="316"/>
      <c r="N203" s="316"/>
      <c r="O203" s="316"/>
      <c r="P203" s="316"/>
      <c r="Q203" s="295"/>
      <c r="R203" s="295"/>
      <c r="S203" s="295"/>
      <c r="T203" s="317"/>
      <c r="U203" s="317"/>
      <c r="V203" s="295"/>
      <c r="W203" s="295"/>
      <c r="X203" s="295"/>
      <c r="Y203" s="295"/>
    </row>
    <row r="204" spans="3:25" x14ac:dyDescent="0.25">
      <c r="C204" s="292"/>
      <c r="D204" s="295"/>
      <c r="E204" s="295"/>
      <c r="F204" s="295"/>
      <c r="G204" s="312"/>
      <c r="H204" s="313"/>
      <c r="I204" s="295"/>
      <c r="J204" s="314"/>
      <c r="K204" s="316"/>
      <c r="L204" s="316"/>
      <c r="M204" s="316"/>
      <c r="N204" s="316"/>
      <c r="O204" s="316"/>
      <c r="P204" s="316"/>
      <c r="Q204" s="295"/>
      <c r="R204" s="295"/>
      <c r="S204" s="295"/>
      <c r="T204" s="317"/>
      <c r="U204" s="317"/>
      <c r="V204" s="295"/>
      <c r="W204" s="295"/>
      <c r="X204" s="295"/>
      <c r="Y204" s="295"/>
    </row>
    <row r="205" spans="3:25" x14ac:dyDescent="0.25">
      <c r="C205" s="292"/>
      <c r="D205" s="295"/>
      <c r="E205" s="295"/>
      <c r="F205" s="295"/>
      <c r="G205" s="312"/>
      <c r="H205" s="313"/>
      <c r="I205" s="295"/>
      <c r="J205" s="314"/>
      <c r="K205" s="316"/>
      <c r="L205" s="316"/>
      <c r="M205" s="316"/>
      <c r="N205" s="316"/>
      <c r="O205" s="316"/>
      <c r="P205" s="316"/>
      <c r="Q205" s="295"/>
      <c r="R205" s="295"/>
      <c r="S205" s="295"/>
      <c r="T205" s="317"/>
      <c r="U205" s="317"/>
      <c r="V205" s="295"/>
      <c r="W205" s="295"/>
      <c r="X205" s="295"/>
      <c r="Y205" s="295"/>
    </row>
    <row r="206" spans="3:25" x14ac:dyDescent="0.25">
      <c r="C206" s="292"/>
      <c r="D206" s="295"/>
      <c r="E206" s="295"/>
      <c r="F206" s="295"/>
      <c r="G206" s="312"/>
      <c r="H206" s="313"/>
      <c r="I206" s="295"/>
      <c r="J206" s="314"/>
      <c r="K206" s="316"/>
      <c r="L206" s="316"/>
      <c r="M206" s="316"/>
      <c r="N206" s="316"/>
      <c r="O206" s="316"/>
      <c r="P206" s="316"/>
      <c r="Q206" s="295"/>
      <c r="R206" s="295"/>
      <c r="S206" s="295"/>
      <c r="T206" s="317"/>
      <c r="U206" s="317"/>
      <c r="V206" s="295"/>
      <c r="W206" s="295"/>
      <c r="X206" s="295"/>
      <c r="Y206" s="295"/>
    </row>
    <row r="207" spans="3:25" x14ac:dyDescent="0.25">
      <c r="C207" s="292"/>
      <c r="D207" s="295"/>
      <c r="E207" s="295"/>
      <c r="F207" s="295"/>
      <c r="G207" s="312"/>
      <c r="H207" s="313"/>
      <c r="I207" s="295"/>
      <c r="J207" s="314"/>
      <c r="K207" s="316"/>
      <c r="L207" s="316"/>
      <c r="M207" s="316"/>
      <c r="N207" s="316"/>
      <c r="O207" s="316"/>
      <c r="P207" s="316"/>
      <c r="Q207" s="295"/>
      <c r="R207" s="295"/>
      <c r="S207" s="295"/>
      <c r="T207" s="317"/>
      <c r="U207" s="317"/>
      <c r="V207" s="295"/>
      <c r="W207" s="295"/>
      <c r="X207" s="295"/>
      <c r="Y207" s="295"/>
    </row>
    <row r="208" spans="3:25" x14ac:dyDescent="0.25">
      <c r="C208" s="292"/>
      <c r="D208" s="295"/>
      <c r="E208" s="295"/>
      <c r="F208" s="295"/>
      <c r="G208" s="312"/>
      <c r="H208" s="313"/>
      <c r="I208" s="295"/>
      <c r="J208" s="314"/>
      <c r="K208" s="316"/>
      <c r="L208" s="316"/>
      <c r="M208" s="316"/>
      <c r="N208" s="316"/>
      <c r="O208" s="316"/>
      <c r="P208" s="316"/>
      <c r="Q208" s="295"/>
      <c r="R208" s="295"/>
      <c r="S208" s="295"/>
      <c r="T208" s="317"/>
      <c r="U208" s="317"/>
      <c r="V208" s="295"/>
      <c r="W208" s="295"/>
      <c r="X208" s="295"/>
      <c r="Y208" s="295"/>
    </row>
    <row r="209" spans="3:25" x14ac:dyDescent="0.25">
      <c r="C209" s="292"/>
      <c r="D209" s="295"/>
      <c r="E209" s="295"/>
      <c r="F209" s="295"/>
      <c r="G209" s="312"/>
      <c r="H209" s="313"/>
      <c r="I209" s="295"/>
      <c r="J209" s="314"/>
      <c r="K209" s="316"/>
      <c r="L209" s="316"/>
      <c r="M209" s="316"/>
      <c r="N209" s="316"/>
      <c r="O209" s="316"/>
      <c r="P209" s="316"/>
      <c r="Q209" s="295"/>
      <c r="R209" s="295"/>
      <c r="S209" s="295"/>
      <c r="T209" s="317"/>
      <c r="U209" s="317"/>
      <c r="V209" s="295"/>
      <c r="W209" s="295"/>
      <c r="X209" s="295"/>
      <c r="Y209" s="295"/>
    </row>
    <row r="210" spans="3:25" x14ac:dyDescent="0.25">
      <c r="C210" s="292"/>
      <c r="D210" s="295"/>
      <c r="E210" s="295"/>
      <c r="F210" s="295"/>
      <c r="G210" s="312"/>
      <c r="H210" s="313"/>
      <c r="I210" s="295"/>
      <c r="J210" s="314"/>
      <c r="K210" s="316"/>
      <c r="L210" s="316"/>
      <c r="M210" s="316"/>
      <c r="N210" s="316"/>
      <c r="O210" s="316"/>
      <c r="P210" s="316"/>
      <c r="Q210" s="295"/>
      <c r="R210" s="295"/>
      <c r="S210" s="295"/>
      <c r="T210" s="317"/>
      <c r="U210" s="317"/>
      <c r="V210" s="295"/>
      <c r="W210" s="295"/>
      <c r="X210" s="295"/>
      <c r="Y210" s="295"/>
    </row>
    <row r="211" spans="3:25" x14ac:dyDescent="0.25">
      <c r="C211" s="292"/>
      <c r="D211" s="295"/>
      <c r="E211" s="295"/>
      <c r="F211" s="295"/>
      <c r="G211" s="312"/>
      <c r="H211" s="313"/>
      <c r="I211" s="295"/>
      <c r="J211" s="314"/>
      <c r="K211" s="316"/>
      <c r="L211" s="316"/>
      <c r="M211" s="316"/>
      <c r="N211" s="316"/>
      <c r="O211" s="316"/>
      <c r="P211" s="316"/>
      <c r="Q211" s="295"/>
      <c r="R211" s="295"/>
      <c r="S211" s="295"/>
      <c r="T211" s="317"/>
      <c r="U211" s="317"/>
      <c r="V211" s="295"/>
      <c r="W211" s="295"/>
      <c r="X211" s="295"/>
      <c r="Y211" s="295"/>
    </row>
    <row r="212" spans="3:25" x14ac:dyDescent="0.25">
      <c r="C212" s="292"/>
      <c r="D212" s="295"/>
      <c r="E212" s="295"/>
      <c r="F212" s="295"/>
      <c r="G212" s="312"/>
      <c r="H212" s="313"/>
      <c r="I212" s="295"/>
      <c r="J212" s="314"/>
      <c r="K212" s="316"/>
      <c r="L212" s="316"/>
      <c r="M212" s="316"/>
      <c r="N212" s="316"/>
      <c r="O212" s="316"/>
      <c r="P212" s="316"/>
      <c r="Q212" s="295"/>
      <c r="R212" s="295"/>
      <c r="S212" s="295"/>
      <c r="T212" s="317"/>
      <c r="U212" s="317"/>
      <c r="V212" s="295"/>
      <c r="W212" s="295"/>
      <c r="X212" s="295"/>
      <c r="Y212" s="295"/>
    </row>
    <row r="213" spans="3:25" x14ac:dyDescent="0.25">
      <c r="C213" s="292"/>
      <c r="D213" s="295"/>
      <c r="E213" s="295"/>
      <c r="F213" s="295"/>
      <c r="G213" s="312"/>
      <c r="H213" s="313"/>
      <c r="I213" s="295"/>
      <c r="J213" s="314"/>
      <c r="K213" s="316"/>
      <c r="L213" s="316"/>
      <c r="M213" s="316"/>
      <c r="N213" s="316"/>
      <c r="O213" s="316"/>
      <c r="P213" s="316"/>
      <c r="Q213" s="295"/>
      <c r="R213" s="295"/>
      <c r="S213" s="295"/>
      <c r="T213" s="317"/>
      <c r="U213" s="317"/>
      <c r="V213" s="295"/>
      <c r="W213" s="295"/>
      <c r="X213" s="295"/>
      <c r="Y213" s="295"/>
    </row>
    <row r="214" spans="3:25" x14ac:dyDescent="0.25">
      <c r="C214" s="292"/>
      <c r="D214" s="295"/>
      <c r="E214" s="295"/>
      <c r="F214" s="295"/>
      <c r="G214" s="312"/>
      <c r="H214" s="313"/>
      <c r="I214" s="295"/>
      <c r="J214" s="314"/>
      <c r="K214" s="316"/>
      <c r="L214" s="316"/>
      <c r="M214" s="316"/>
      <c r="N214" s="316"/>
      <c r="O214" s="316"/>
      <c r="P214" s="316"/>
      <c r="Q214" s="295"/>
      <c r="R214" s="295"/>
      <c r="S214" s="295"/>
      <c r="T214" s="317"/>
      <c r="U214" s="317"/>
      <c r="V214" s="295"/>
      <c r="W214" s="295"/>
      <c r="X214" s="295"/>
      <c r="Y214" s="295"/>
    </row>
    <row r="215" spans="3:25" x14ac:dyDescent="0.25">
      <c r="C215" s="292"/>
      <c r="D215" s="295"/>
      <c r="E215" s="295"/>
      <c r="F215" s="295"/>
      <c r="G215" s="312"/>
      <c r="H215" s="313"/>
      <c r="I215" s="295"/>
      <c r="J215" s="314"/>
      <c r="K215" s="316"/>
      <c r="L215" s="316"/>
      <c r="M215" s="316"/>
      <c r="N215" s="316"/>
      <c r="O215" s="316"/>
      <c r="P215" s="316"/>
      <c r="Q215" s="295"/>
      <c r="R215" s="295"/>
      <c r="S215" s="295"/>
      <c r="T215" s="317"/>
      <c r="U215" s="317"/>
      <c r="V215" s="295"/>
      <c r="W215" s="295"/>
      <c r="X215" s="295"/>
      <c r="Y215" s="295"/>
    </row>
    <row r="216" spans="3:25" x14ac:dyDescent="0.25">
      <c r="C216" s="292"/>
      <c r="D216" s="295"/>
      <c r="E216" s="295"/>
      <c r="F216" s="295"/>
      <c r="G216" s="312"/>
      <c r="H216" s="313"/>
      <c r="I216" s="295"/>
      <c r="J216" s="314"/>
      <c r="K216" s="316"/>
      <c r="L216" s="316"/>
      <c r="M216" s="316"/>
      <c r="N216" s="316"/>
      <c r="O216" s="316"/>
      <c r="P216" s="316"/>
      <c r="Q216" s="295"/>
      <c r="R216" s="295"/>
      <c r="S216" s="295"/>
      <c r="T216" s="317"/>
      <c r="U216" s="317"/>
      <c r="V216" s="295"/>
      <c r="W216" s="295"/>
      <c r="X216" s="295"/>
      <c r="Y216" s="295"/>
    </row>
    <row r="217" spans="3:25" x14ac:dyDescent="0.25">
      <c r="C217" s="292"/>
      <c r="D217" s="295"/>
      <c r="E217" s="295"/>
      <c r="F217" s="295"/>
      <c r="G217" s="312"/>
      <c r="H217" s="313"/>
      <c r="I217" s="295"/>
      <c r="J217" s="314"/>
      <c r="K217" s="316"/>
      <c r="L217" s="316"/>
      <c r="M217" s="316"/>
      <c r="N217" s="316"/>
      <c r="O217" s="316"/>
      <c r="P217" s="316"/>
      <c r="Q217" s="295"/>
      <c r="R217" s="295"/>
      <c r="S217" s="295"/>
      <c r="T217" s="317"/>
      <c r="U217" s="317"/>
      <c r="V217" s="295"/>
      <c r="W217" s="295"/>
      <c r="X217" s="295"/>
      <c r="Y217" s="295"/>
    </row>
    <row r="218" spans="3:25" x14ac:dyDescent="0.25">
      <c r="C218" s="292"/>
      <c r="D218" s="295"/>
      <c r="E218" s="295"/>
      <c r="F218" s="295"/>
      <c r="G218" s="312"/>
      <c r="H218" s="313"/>
      <c r="I218" s="295"/>
      <c r="J218" s="314"/>
      <c r="K218" s="316"/>
      <c r="L218" s="316"/>
      <c r="M218" s="316"/>
      <c r="N218" s="316"/>
      <c r="O218" s="316"/>
      <c r="P218" s="316"/>
      <c r="Q218" s="295"/>
      <c r="R218" s="295"/>
      <c r="S218" s="295"/>
      <c r="T218" s="317"/>
      <c r="U218" s="317"/>
      <c r="V218" s="295"/>
      <c r="W218" s="295"/>
      <c r="X218" s="295"/>
      <c r="Y218" s="295"/>
    </row>
    <row r="219" spans="3:25" x14ac:dyDescent="0.25">
      <c r="C219" s="292"/>
      <c r="D219" s="295"/>
      <c r="E219" s="295"/>
      <c r="F219" s="295"/>
      <c r="G219" s="312"/>
      <c r="H219" s="313"/>
      <c r="I219" s="295"/>
      <c r="J219" s="314"/>
      <c r="K219" s="316"/>
      <c r="L219" s="316"/>
      <c r="M219" s="316"/>
      <c r="N219" s="316"/>
      <c r="O219" s="316"/>
      <c r="P219" s="316"/>
      <c r="Q219" s="295"/>
      <c r="R219" s="295"/>
      <c r="S219" s="295"/>
      <c r="T219" s="317"/>
      <c r="U219" s="317"/>
      <c r="V219" s="295"/>
      <c r="W219" s="295"/>
      <c r="X219" s="295"/>
      <c r="Y219" s="295"/>
    </row>
    <row r="220" spans="3:25" x14ac:dyDescent="0.25">
      <c r="C220" s="292"/>
      <c r="D220" s="295"/>
      <c r="E220" s="295"/>
      <c r="F220" s="295"/>
      <c r="G220" s="312"/>
      <c r="H220" s="313"/>
      <c r="I220" s="295"/>
      <c r="J220" s="314"/>
      <c r="K220" s="316"/>
      <c r="L220" s="316"/>
      <c r="M220" s="316"/>
      <c r="N220" s="316"/>
      <c r="O220" s="316"/>
      <c r="P220" s="316"/>
      <c r="Q220" s="295"/>
      <c r="R220" s="295"/>
      <c r="S220" s="295"/>
      <c r="T220" s="317"/>
      <c r="U220" s="317"/>
      <c r="V220" s="295"/>
      <c r="W220" s="295"/>
      <c r="X220" s="295"/>
      <c r="Y220" s="295"/>
    </row>
    <row r="221" spans="3:25" x14ac:dyDescent="0.25">
      <c r="C221" s="292"/>
      <c r="D221" s="295"/>
      <c r="E221" s="295"/>
      <c r="F221" s="295"/>
      <c r="G221" s="312"/>
      <c r="H221" s="313"/>
      <c r="I221" s="295"/>
      <c r="J221" s="314"/>
      <c r="K221" s="316"/>
      <c r="L221" s="316"/>
      <c r="M221" s="316"/>
      <c r="N221" s="316"/>
      <c r="O221" s="316"/>
      <c r="P221" s="316"/>
      <c r="Q221" s="295"/>
      <c r="R221" s="295"/>
      <c r="S221" s="295"/>
      <c r="T221" s="317"/>
      <c r="U221" s="317"/>
      <c r="V221" s="295"/>
      <c r="W221" s="295"/>
      <c r="X221" s="295"/>
      <c r="Y221" s="295"/>
    </row>
    <row r="222" spans="3:25" x14ac:dyDescent="0.25">
      <c r="C222" s="292"/>
      <c r="D222" s="295"/>
      <c r="E222" s="295"/>
      <c r="F222" s="295"/>
      <c r="G222" s="312"/>
      <c r="H222" s="313"/>
      <c r="I222" s="295"/>
      <c r="J222" s="314"/>
      <c r="K222" s="316"/>
      <c r="L222" s="316"/>
      <c r="M222" s="316"/>
      <c r="N222" s="316"/>
      <c r="O222" s="316"/>
      <c r="P222" s="316"/>
      <c r="Q222" s="295"/>
      <c r="R222" s="295"/>
      <c r="S222" s="295"/>
      <c r="T222" s="317"/>
      <c r="U222" s="317"/>
      <c r="V222" s="295"/>
      <c r="W222" s="295"/>
      <c r="X222" s="295"/>
      <c r="Y222" s="295"/>
    </row>
    <row r="223" spans="3:25" x14ac:dyDescent="0.25">
      <c r="C223" s="292"/>
      <c r="D223" s="295"/>
      <c r="E223" s="295"/>
      <c r="F223" s="295"/>
      <c r="G223" s="312"/>
      <c r="H223" s="313"/>
      <c r="I223" s="295"/>
      <c r="J223" s="314"/>
      <c r="K223" s="316"/>
      <c r="L223" s="316"/>
      <c r="M223" s="316"/>
      <c r="N223" s="316"/>
      <c r="O223" s="316"/>
      <c r="P223" s="316"/>
      <c r="Q223" s="295"/>
      <c r="R223" s="295"/>
      <c r="S223" s="295"/>
      <c r="T223" s="317"/>
      <c r="U223" s="317"/>
      <c r="V223" s="295"/>
      <c r="W223" s="295"/>
      <c r="X223" s="295"/>
      <c r="Y223" s="295"/>
    </row>
    <row r="224" spans="3:25" x14ac:dyDescent="0.25">
      <c r="C224" s="292"/>
      <c r="D224" s="295"/>
      <c r="E224" s="295"/>
      <c r="F224" s="295"/>
      <c r="G224" s="312"/>
      <c r="H224" s="313"/>
      <c r="I224" s="295"/>
      <c r="J224" s="314"/>
      <c r="K224" s="316"/>
      <c r="L224" s="316"/>
      <c r="M224" s="316"/>
      <c r="N224" s="316"/>
      <c r="O224" s="316"/>
      <c r="P224" s="316"/>
      <c r="Q224" s="295"/>
      <c r="R224" s="295"/>
      <c r="S224" s="295"/>
      <c r="T224" s="317"/>
      <c r="U224" s="317"/>
      <c r="V224" s="295"/>
      <c r="W224" s="295"/>
      <c r="X224" s="295"/>
      <c r="Y224" s="295"/>
    </row>
    <row r="225" spans="3:25" x14ac:dyDescent="0.25">
      <c r="C225" s="292"/>
      <c r="D225" s="295"/>
      <c r="E225" s="295"/>
      <c r="F225" s="295"/>
      <c r="G225" s="312"/>
      <c r="H225" s="313"/>
      <c r="I225" s="295"/>
      <c r="J225" s="314"/>
      <c r="K225" s="316"/>
      <c r="L225" s="316"/>
      <c r="M225" s="316"/>
      <c r="N225" s="316"/>
      <c r="O225" s="316"/>
      <c r="P225" s="316"/>
      <c r="Q225" s="295"/>
      <c r="R225" s="295"/>
      <c r="S225" s="295"/>
      <c r="T225" s="317"/>
      <c r="U225" s="317"/>
      <c r="V225" s="295"/>
      <c r="W225" s="295"/>
      <c r="X225" s="295"/>
      <c r="Y225" s="295"/>
    </row>
    <row r="226" spans="3:25" x14ac:dyDescent="0.25">
      <c r="C226" s="292"/>
      <c r="D226" s="295"/>
      <c r="E226" s="295"/>
      <c r="F226" s="295"/>
      <c r="G226" s="312"/>
      <c r="H226" s="313"/>
      <c r="I226" s="295"/>
      <c r="J226" s="314"/>
      <c r="K226" s="316"/>
      <c r="L226" s="316"/>
      <c r="M226" s="316"/>
      <c r="N226" s="316"/>
      <c r="O226" s="316"/>
      <c r="P226" s="316"/>
      <c r="Q226" s="295"/>
      <c r="R226" s="295"/>
      <c r="S226" s="295"/>
      <c r="T226" s="317"/>
      <c r="U226" s="317"/>
      <c r="V226" s="295"/>
      <c r="W226" s="295"/>
      <c r="X226" s="295"/>
      <c r="Y226" s="295"/>
    </row>
    <row r="227" spans="3:25" x14ac:dyDescent="0.25">
      <c r="C227" s="292"/>
      <c r="D227" s="295"/>
      <c r="E227" s="295"/>
      <c r="F227" s="295"/>
      <c r="G227" s="312"/>
      <c r="H227" s="313"/>
      <c r="I227" s="295"/>
      <c r="J227" s="295"/>
      <c r="K227" s="316"/>
      <c r="L227" s="316"/>
      <c r="M227" s="316"/>
      <c r="N227" s="316"/>
      <c r="O227" s="316"/>
      <c r="P227" s="316"/>
      <c r="Q227" s="295"/>
      <c r="R227" s="295"/>
      <c r="S227" s="295"/>
      <c r="T227" s="317"/>
      <c r="U227" s="317"/>
      <c r="V227" s="295"/>
      <c r="W227" s="295"/>
      <c r="X227" s="295"/>
      <c r="Y227" s="295"/>
    </row>
    <row r="228" spans="3:25" x14ac:dyDescent="0.25">
      <c r="C228" s="292"/>
      <c r="D228" s="295"/>
      <c r="E228" s="295"/>
      <c r="F228" s="295"/>
      <c r="G228" s="312"/>
      <c r="H228" s="313"/>
      <c r="I228" s="295"/>
      <c r="J228" s="295"/>
      <c r="K228" s="316"/>
      <c r="L228" s="316"/>
      <c r="M228" s="316"/>
      <c r="N228" s="316"/>
      <c r="O228" s="316"/>
      <c r="P228" s="316"/>
      <c r="Q228" s="295"/>
      <c r="R228" s="295"/>
      <c r="S228" s="295"/>
      <c r="T228" s="317"/>
      <c r="U228" s="317"/>
      <c r="V228" s="295"/>
      <c r="W228" s="295"/>
      <c r="X228" s="295"/>
      <c r="Y228" s="295"/>
    </row>
    <row r="229" spans="3:25" x14ac:dyDescent="0.25">
      <c r="C229" s="292"/>
      <c r="D229" s="295"/>
      <c r="E229" s="295"/>
      <c r="F229" s="295"/>
      <c r="G229" s="312"/>
      <c r="H229" s="313"/>
      <c r="I229" s="295"/>
      <c r="J229" s="295"/>
      <c r="K229" s="316"/>
      <c r="L229" s="316"/>
      <c r="M229" s="316"/>
      <c r="N229" s="316"/>
      <c r="O229" s="316"/>
      <c r="P229" s="316"/>
      <c r="Q229" s="295"/>
      <c r="R229" s="295"/>
      <c r="S229" s="295"/>
      <c r="T229" s="317"/>
      <c r="U229" s="317"/>
      <c r="V229" s="295"/>
      <c r="W229" s="295"/>
      <c r="X229" s="295"/>
      <c r="Y229" s="295"/>
    </row>
    <row r="230" spans="3:25" x14ac:dyDescent="0.25">
      <c r="C230" s="292"/>
      <c r="D230" s="295"/>
      <c r="E230" s="295"/>
      <c r="F230" s="295"/>
      <c r="G230" s="312"/>
      <c r="H230" s="313"/>
      <c r="I230" s="295"/>
      <c r="J230" s="295"/>
      <c r="K230" s="316"/>
      <c r="L230" s="316"/>
      <c r="M230" s="316"/>
      <c r="N230" s="316"/>
      <c r="O230" s="316"/>
      <c r="P230" s="316"/>
      <c r="Q230" s="295"/>
      <c r="R230" s="295"/>
      <c r="S230" s="295"/>
      <c r="T230" s="317"/>
      <c r="U230" s="317"/>
      <c r="V230" s="295"/>
      <c r="W230" s="295"/>
      <c r="X230" s="295"/>
      <c r="Y230" s="295"/>
    </row>
    <row r="231" spans="3:25" x14ac:dyDescent="0.25">
      <c r="C231" s="292"/>
      <c r="D231" s="295"/>
      <c r="E231" s="295"/>
      <c r="F231" s="295"/>
      <c r="G231" s="312"/>
      <c r="H231" s="313"/>
      <c r="I231" s="295"/>
      <c r="J231" s="295"/>
      <c r="K231" s="316"/>
      <c r="L231" s="316"/>
      <c r="M231" s="316"/>
      <c r="N231" s="316"/>
      <c r="O231" s="316"/>
      <c r="P231" s="316"/>
      <c r="Q231" s="295"/>
      <c r="R231" s="295"/>
      <c r="S231" s="295"/>
      <c r="T231" s="317"/>
      <c r="U231" s="300"/>
      <c r="V231" s="309"/>
      <c r="W231" s="295"/>
      <c r="X231" s="295"/>
      <c r="Y231" s="295"/>
    </row>
    <row r="232" spans="3:25" x14ac:dyDescent="0.25">
      <c r="C232" s="292"/>
      <c r="D232" s="295"/>
      <c r="E232" s="295"/>
      <c r="F232" s="295"/>
      <c r="G232" s="312"/>
      <c r="H232" s="313"/>
      <c r="I232" s="295"/>
      <c r="J232" s="316"/>
      <c r="K232" s="316"/>
      <c r="L232" s="316"/>
      <c r="M232" s="316"/>
      <c r="N232" s="316"/>
      <c r="O232" s="316"/>
      <c r="P232" s="316"/>
      <c r="Q232" s="295"/>
      <c r="R232" s="295"/>
      <c r="S232" s="295"/>
      <c r="T232" s="310"/>
      <c r="U232" s="317"/>
      <c r="V232" s="311"/>
      <c r="W232" s="295"/>
      <c r="X232" s="295"/>
      <c r="Y232" s="295"/>
    </row>
    <row r="233" spans="3:25" x14ac:dyDescent="0.25">
      <c r="C233" s="292"/>
      <c r="D233" s="295"/>
      <c r="E233" s="295"/>
      <c r="F233" s="295"/>
      <c r="G233" s="312"/>
      <c r="H233" s="313"/>
      <c r="I233" s="295"/>
      <c r="J233" s="316"/>
      <c r="K233" s="316"/>
      <c r="L233" s="316"/>
      <c r="M233" s="316"/>
      <c r="N233" s="316"/>
      <c r="O233" s="316"/>
      <c r="P233" s="316"/>
      <c r="Q233" s="295"/>
      <c r="R233" s="295"/>
      <c r="S233" s="295"/>
      <c r="T233" s="317"/>
      <c r="U233" s="317"/>
      <c r="V233" s="295"/>
      <c r="W233" s="295"/>
      <c r="X233" s="295"/>
      <c r="Y233" s="295"/>
    </row>
    <row r="234" spans="3:25" x14ac:dyDescent="0.25">
      <c r="C234" s="292"/>
      <c r="D234" s="295"/>
      <c r="E234" s="295"/>
      <c r="F234" s="295"/>
      <c r="G234" s="312"/>
      <c r="H234" s="313"/>
      <c r="I234" s="295"/>
      <c r="J234" s="316"/>
      <c r="K234" s="316"/>
      <c r="L234" s="316"/>
      <c r="M234" s="316"/>
      <c r="N234" s="316"/>
      <c r="O234" s="316"/>
      <c r="P234" s="316"/>
      <c r="Q234" s="295"/>
      <c r="R234" s="295"/>
      <c r="S234" s="295"/>
      <c r="T234" s="317"/>
      <c r="U234" s="317"/>
      <c r="V234" s="295"/>
      <c r="W234" s="295"/>
      <c r="X234" s="295"/>
      <c r="Y234" s="295"/>
    </row>
    <row r="235" spans="3:25" x14ac:dyDescent="0.25">
      <c r="C235" s="292"/>
      <c r="D235" s="295"/>
      <c r="E235" s="295"/>
      <c r="F235" s="295"/>
      <c r="G235" s="312"/>
      <c r="H235" s="313"/>
      <c r="I235" s="295"/>
      <c r="J235" s="316"/>
      <c r="K235" s="316"/>
      <c r="L235" s="316"/>
      <c r="M235" s="316"/>
      <c r="N235" s="316"/>
      <c r="O235" s="316"/>
      <c r="P235" s="316"/>
      <c r="Q235" s="295"/>
      <c r="R235" s="295"/>
      <c r="S235" s="295"/>
      <c r="T235" s="317"/>
      <c r="U235" s="317"/>
      <c r="V235" s="295"/>
      <c r="W235" s="295"/>
      <c r="X235" s="295"/>
      <c r="Y235" s="295"/>
    </row>
    <row r="236" spans="3:25" x14ac:dyDescent="0.25">
      <c r="C236" s="292"/>
      <c r="D236" s="295"/>
      <c r="E236" s="295"/>
      <c r="F236" s="295"/>
      <c r="G236" s="312"/>
      <c r="H236" s="313"/>
      <c r="I236" s="295"/>
      <c r="J236" s="316"/>
      <c r="K236" s="316"/>
      <c r="L236" s="316"/>
      <c r="M236" s="316"/>
      <c r="N236" s="316"/>
      <c r="O236" s="316"/>
      <c r="P236" s="316"/>
      <c r="Q236" s="295"/>
      <c r="R236" s="295"/>
      <c r="S236" s="295"/>
      <c r="T236" s="317"/>
      <c r="U236" s="317"/>
      <c r="V236" s="295"/>
      <c r="W236" s="295"/>
      <c r="X236" s="295"/>
      <c r="Y236" s="295"/>
    </row>
    <row r="237" spans="3:25" x14ac:dyDescent="0.25">
      <c r="C237" s="292"/>
      <c r="D237" s="295"/>
      <c r="E237" s="295"/>
      <c r="F237" s="295"/>
      <c r="G237" s="312"/>
      <c r="H237" s="313"/>
      <c r="I237" s="295"/>
      <c r="J237" s="316"/>
      <c r="K237" s="316"/>
      <c r="L237" s="316"/>
      <c r="M237" s="316"/>
      <c r="N237" s="316"/>
      <c r="O237" s="316"/>
      <c r="P237" s="316"/>
      <c r="Q237" s="295"/>
      <c r="R237" s="295"/>
      <c r="S237" s="295"/>
      <c r="T237" s="317"/>
      <c r="U237" s="317"/>
      <c r="V237" s="295"/>
      <c r="W237" s="295"/>
      <c r="X237" s="295"/>
      <c r="Y237" s="295"/>
    </row>
    <row r="238" spans="3:25" x14ac:dyDescent="0.25">
      <c r="C238" s="292"/>
      <c r="D238" s="295"/>
      <c r="E238" s="295"/>
      <c r="F238" s="295"/>
      <c r="G238" s="312"/>
      <c r="H238" s="313"/>
      <c r="I238" s="295"/>
      <c r="J238" s="316"/>
      <c r="K238" s="316"/>
      <c r="L238" s="316"/>
      <c r="M238" s="316"/>
      <c r="N238" s="316"/>
      <c r="O238" s="316"/>
      <c r="P238" s="316"/>
      <c r="Q238" s="295"/>
      <c r="R238" s="295"/>
      <c r="S238" s="295"/>
      <c r="T238" s="317"/>
      <c r="U238" s="317"/>
      <c r="V238" s="295"/>
      <c r="W238" s="295"/>
      <c r="X238" s="295"/>
      <c r="Y238" s="295"/>
    </row>
    <row r="239" spans="3:25" x14ac:dyDescent="0.25">
      <c r="C239" s="292"/>
      <c r="D239" s="295"/>
      <c r="E239" s="295"/>
      <c r="F239" s="295"/>
      <c r="G239" s="312"/>
      <c r="H239" s="313"/>
      <c r="I239" s="295"/>
      <c r="J239" s="316"/>
      <c r="K239" s="316"/>
      <c r="L239" s="316"/>
      <c r="M239" s="316"/>
      <c r="N239" s="316"/>
      <c r="O239" s="316"/>
      <c r="P239" s="316"/>
      <c r="Q239" s="295"/>
      <c r="R239" s="295"/>
      <c r="S239" s="295"/>
      <c r="T239" s="317"/>
      <c r="U239" s="317"/>
      <c r="V239" s="295"/>
      <c r="W239" s="295"/>
      <c r="X239" s="295"/>
      <c r="Y239" s="295"/>
    </row>
    <row r="240" spans="3:25" x14ac:dyDescent="0.25">
      <c r="C240" s="292"/>
      <c r="D240" s="295"/>
      <c r="E240" s="295"/>
      <c r="F240" s="295"/>
      <c r="G240" s="312"/>
      <c r="H240" s="313"/>
      <c r="I240" s="295"/>
      <c r="J240" s="316"/>
      <c r="K240" s="316"/>
      <c r="L240" s="316"/>
      <c r="M240" s="316"/>
      <c r="N240" s="316"/>
      <c r="O240" s="316"/>
      <c r="P240" s="316"/>
      <c r="Q240" s="295"/>
      <c r="R240" s="295"/>
      <c r="S240" s="295"/>
      <c r="T240" s="317"/>
      <c r="U240" s="317"/>
      <c r="V240" s="295"/>
      <c r="W240" s="295"/>
      <c r="X240" s="295"/>
      <c r="Y240" s="295"/>
    </row>
    <row r="241" spans="3:25" x14ac:dyDescent="0.25">
      <c r="C241" s="292"/>
      <c r="D241" s="295"/>
      <c r="E241" s="295"/>
      <c r="F241" s="295"/>
      <c r="G241" s="312"/>
      <c r="H241" s="313"/>
      <c r="I241" s="295"/>
      <c r="J241" s="316"/>
      <c r="K241" s="316"/>
      <c r="L241" s="316"/>
      <c r="M241" s="316"/>
      <c r="N241" s="316"/>
      <c r="O241" s="316"/>
      <c r="P241" s="316"/>
      <c r="Q241" s="295"/>
      <c r="R241" s="295"/>
      <c r="S241" s="295"/>
      <c r="T241" s="317"/>
      <c r="U241" s="317"/>
      <c r="V241" s="295"/>
      <c r="W241" s="295"/>
      <c r="X241" s="295"/>
      <c r="Y241" s="295"/>
    </row>
    <row r="242" spans="3:25" x14ac:dyDescent="0.25">
      <c r="C242" s="292"/>
      <c r="D242" s="295"/>
      <c r="E242" s="295"/>
      <c r="F242" s="295"/>
      <c r="G242" s="312"/>
      <c r="H242" s="313"/>
      <c r="I242" s="295"/>
      <c r="J242" s="316"/>
      <c r="K242" s="316"/>
      <c r="L242" s="316"/>
      <c r="M242" s="316"/>
      <c r="N242" s="316"/>
      <c r="O242" s="316"/>
      <c r="P242" s="316"/>
      <c r="Q242" s="295"/>
      <c r="R242" s="295"/>
      <c r="S242" s="295"/>
      <c r="T242" s="317"/>
      <c r="U242" s="317"/>
      <c r="V242" s="295"/>
      <c r="W242" s="295"/>
      <c r="X242" s="295"/>
      <c r="Y242" s="295"/>
    </row>
    <row r="243" spans="3:25" x14ac:dyDescent="0.25">
      <c r="C243" s="292"/>
      <c r="D243" s="295"/>
      <c r="E243" s="295"/>
      <c r="F243" s="295"/>
      <c r="G243" s="312"/>
      <c r="H243" s="313"/>
      <c r="I243" s="295"/>
      <c r="J243" s="316"/>
      <c r="K243" s="316"/>
      <c r="L243" s="316"/>
      <c r="M243" s="316"/>
      <c r="N243" s="316"/>
      <c r="O243" s="316"/>
      <c r="P243" s="316"/>
      <c r="Q243" s="295"/>
      <c r="R243" s="295"/>
      <c r="S243" s="295"/>
      <c r="T243" s="317"/>
      <c r="U243" s="317"/>
      <c r="V243" s="295"/>
      <c r="W243" s="295"/>
      <c r="X243" s="295"/>
      <c r="Y243" s="295"/>
    </row>
    <row r="244" spans="3:25" x14ac:dyDescent="0.25">
      <c r="C244" s="292"/>
      <c r="D244" s="295"/>
      <c r="E244" s="295"/>
      <c r="F244" s="295"/>
      <c r="G244" s="312"/>
      <c r="H244" s="313"/>
      <c r="I244" s="295"/>
      <c r="J244" s="316"/>
      <c r="K244" s="316"/>
      <c r="L244" s="316"/>
      <c r="M244" s="316"/>
      <c r="N244" s="316"/>
      <c r="O244" s="316"/>
      <c r="P244" s="316"/>
      <c r="Q244" s="295"/>
      <c r="R244" s="295"/>
      <c r="S244" s="295"/>
      <c r="T244" s="317"/>
      <c r="U244" s="317"/>
      <c r="V244" s="295"/>
      <c r="W244" s="295"/>
      <c r="X244" s="295"/>
      <c r="Y244" s="295"/>
    </row>
    <row r="245" spans="3:25" x14ac:dyDescent="0.25">
      <c r="C245" s="292"/>
      <c r="D245" s="295"/>
      <c r="E245" s="295"/>
      <c r="F245" s="295"/>
      <c r="G245" s="312"/>
      <c r="H245" s="313"/>
      <c r="I245" s="295"/>
      <c r="J245" s="316"/>
      <c r="K245" s="316"/>
      <c r="L245" s="316"/>
      <c r="M245" s="316"/>
      <c r="N245" s="316"/>
      <c r="O245" s="316"/>
      <c r="P245" s="316"/>
      <c r="Q245" s="295"/>
      <c r="R245" s="295"/>
      <c r="S245" s="295"/>
      <c r="T245" s="317"/>
      <c r="U245" s="317"/>
      <c r="V245" s="295"/>
      <c r="W245" s="295"/>
      <c r="X245" s="295"/>
      <c r="Y245" s="295"/>
    </row>
    <row r="246" spans="3:25" x14ac:dyDescent="0.25">
      <c r="C246" s="292"/>
      <c r="D246" s="295"/>
      <c r="E246" s="295"/>
      <c r="F246" s="295"/>
      <c r="G246" s="312"/>
      <c r="H246" s="313"/>
      <c r="I246" s="295"/>
      <c r="J246" s="316"/>
      <c r="K246" s="316"/>
      <c r="L246" s="316"/>
      <c r="M246" s="316"/>
      <c r="N246" s="316"/>
      <c r="O246" s="316"/>
      <c r="P246" s="316"/>
      <c r="Q246" s="295"/>
      <c r="R246" s="295"/>
      <c r="S246" s="295"/>
      <c r="T246" s="317"/>
      <c r="U246" s="317"/>
      <c r="V246" s="295"/>
      <c r="W246" s="295"/>
      <c r="X246" s="295"/>
      <c r="Y246" s="295"/>
    </row>
    <row r="247" spans="3:25" x14ac:dyDescent="0.25">
      <c r="C247" s="292"/>
      <c r="D247" s="295"/>
      <c r="E247" s="295"/>
      <c r="F247" s="295"/>
      <c r="G247" s="312"/>
      <c r="H247" s="313"/>
      <c r="I247" s="295"/>
      <c r="J247" s="316"/>
      <c r="K247" s="316"/>
      <c r="L247" s="316"/>
      <c r="M247" s="316"/>
      <c r="N247" s="316"/>
      <c r="O247" s="316"/>
      <c r="P247" s="316"/>
      <c r="Q247" s="295"/>
      <c r="R247" s="295"/>
      <c r="S247" s="295"/>
      <c r="T247" s="317"/>
      <c r="U247" s="317"/>
      <c r="V247" s="295"/>
      <c r="W247" s="295"/>
      <c r="X247" s="295"/>
      <c r="Y247" s="295"/>
    </row>
    <row r="248" spans="3:25" x14ac:dyDescent="0.25">
      <c r="C248" s="292"/>
      <c r="D248" s="295"/>
      <c r="E248" s="295"/>
      <c r="F248" s="295"/>
      <c r="G248" s="312"/>
      <c r="H248" s="313"/>
      <c r="I248" s="295"/>
      <c r="J248" s="316"/>
      <c r="K248" s="316"/>
      <c r="L248" s="316"/>
      <c r="M248" s="316"/>
      <c r="N248" s="316"/>
      <c r="O248" s="316"/>
      <c r="P248" s="316"/>
      <c r="Q248" s="295"/>
      <c r="R248" s="295"/>
      <c r="S248" s="295"/>
      <c r="T248" s="317"/>
      <c r="U248" s="317"/>
      <c r="V248" s="295"/>
      <c r="W248" s="295"/>
      <c r="X248" s="295"/>
      <c r="Y248" s="295"/>
    </row>
    <row r="249" spans="3:25" x14ac:dyDescent="0.25">
      <c r="C249" s="292"/>
      <c r="D249" s="295"/>
      <c r="E249" s="295"/>
      <c r="F249" s="295"/>
      <c r="G249" s="312"/>
      <c r="H249" s="313"/>
      <c r="I249" s="295"/>
      <c r="J249" s="316"/>
      <c r="K249" s="316"/>
      <c r="L249" s="316"/>
      <c r="M249" s="316"/>
      <c r="N249" s="316"/>
      <c r="O249" s="316"/>
      <c r="P249" s="316"/>
      <c r="Q249" s="295"/>
      <c r="R249" s="295"/>
      <c r="S249" s="295"/>
      <c r="T249" s="317"/>
      <c r="U249" s="317"/>
      <c r="V249" s="295"/>
      <c r="W249" s="295"/>
      <c r="X249" s="295"/>
      <c r="Y249" s="295"/>
    </row>
    <row r="250" spans="3:25" x14ac:dyDescent="0.25">
      <c r="C250" s="292"/>
      <c r="D250" s="295"/>
      <c r="E250" s="295"/>
      <c r="F250" s="295"/>
      <c r="G250" s="312"/>
      <c r="H250" s="313"/>
      <c r="I250" s="295"/>
      <c r="J250" s="316"/>
      <c r="K250" s="316"/>
      <c r="L250" s="316"/>
      <c r="M250" s="316"/>
      <c r="N250" s="316"/>
      <c r="O250" s="316"/>
      <c r="P250" s="316"/>
      <c r="Q250" s="295"/>
      <c r="R250" s="295"/>
      <c r="S250" s="295"/>
      <c r="T250" s="317"/>
      <c r="U250" s="317"/>
      <c r="V250" s="295"/>
      <c r="W250" s="295"/>
      <c r="X250" s="295"/>
      <c r="Y250" s="295"/>
    </row>
    <row r="251" spans="3:25" x14ac:dyDescent="0.25">
      <c r="C251" s="292"/>
      <c r="D251" s="295"/>
      <c r="E251" s="295"/>
      <c r="F251" s="295"/>
      <c r="G251" s="312"/>
      <c r="H251" s="313"/>
      <c r="I251" s="295"/>
      <c r="J251" s="316"/>
      <c r="K251" s="316"/>
      <c r="L251" s="316"/>
      <c r="M251" s="316"/>
      <c r="N251" s="316"/>
      <c r="O251" s="316"/>
      <c r="P251" s="316"/>
      <c r="Q251" s="295"/>
      <c r="R251" s="295"/>
      <c r="S251" s="295"/>
      <c r="T251" s="317"/>
      <c r="U251" s="317"/>
      <c r="V251" s="295"/>
      <c r="W251" s="295"/>
      <c r="X251" s="295"/>
      <c r="Y251" s="295"/>
    </row>
    <row r="252" spans="3:25" x14ac:dyDescent="0.25">
      <c r="C252" s="292"/>
      <c r="D252" s="295"/>
      <c r="E252" s="295"/>
      <c r="F252" s="295"/>
      <c r="G252" s="312"/>
      <c r="H252" s="313"/>
      <c r="I252" s="295"/>
      <c r="J252" s="316"/>
      <c r="K252" s="316"/>
      <c r="L252" s="316"/>
      <c r="M252" s="316"/>
      <c r="N252" s="316"/>
      <c r="O252" s="316"/>
      <c r="P252" s="316"/>
      <c r="Q252" s="295"/>
      <c r="R252" s="295"/>
      <c r="S252" s="295"/>
      <c r="T252" s="317"/>
      <c r="U252" s="317"/>
      <c r="V252" s="295"/>
      <c r="W252" s="295"/>
      <c r="X252" s="295"/>
      <c r="Y252" s="295"/>
    </row>
    <row r="253" spans="3:25" x14ac:dyDescent="0.25">
      <c r="C253" s="292"/>
      <c r="D253" s="295"/>
      <c r="E253" s="295"/>
      <c r="F253" s="295"/>
      <c r="G253" s="312"/>
      <c r="H253" s="313"/>
      <c r="I253" s="295"/>
      <c r="J253" s="316"/>
      <c r="K253" s="316"/>
      <c r="L253" s="316"/>
      <c r="M253" s="316"/>
      <c r="N253" s="316"/>
      <c r="O253" s="316"/>
      <c r="P253" s="316"/>
      <c r="Q253" s="295"/>
      <c r="R253" s="295"/>
      <c r="S253" s="295"/>
      <c r="T253" s="317"/>
      <c r="U253" s="317"/>
      <c r="V253" s="295"/>
      <c r="W253" s="295"/>
      <c r="X253" s="295"/>
      <c r="Y253" s="295"/>
    </row>
    <row r="254" spans="3:25" x14ac:dyDescent="0.25">
      <c r="C254" s="292"/>
      <c r="D254" s="295"/>
      <c r="E254" s="295"/>
      <c r="F254" s="295"/>
      <c r="G254" s="312"/>
      <c r="H254" s="313"/>
      <c r="I254" s="295"/>
      <c r="J254" s="316"/>
      <c r="K254" s="316"/>
      <c r="L254" s="316"/>
      <c r="M254" s="316"/>
      <c r="N254" s="316"/>
      <c r="O254" s="316"/>
      <c r="P254" s="316"/>
      <c r="Q254" s="295"/>
      <c r="R254" s="295"/>
      <c r="S254" s="295"/>
      <c r="T254" s="317"/>
      <c r="U254" s="317"/>
      <c r="V254" s="295"/>
      <c r="W254" s="295"/>
      <c r="X254" s="295"/>
      <c r="Y254" s="295"/>
    </row>
    <row r="255" spans="3:25" x14ac:dyDescent="0.25">
      <c r="C255" s="292"/>
      <c r="D255" s="295"/>
      <c r="E255" s="295"/>
      <c r="F255" s="295"/>
      <c r="G255" s="312"/>
      <c r="H255" s="313"/>
      <c r="I255" s="295"/>
      <c r="J255" s="316"/>
      <c r="K255" s="316"/>
      <c r="L255" s="316"/>
      <c r="M255" s="316"/>
      <c r="N255" s="316"/>
      <c r="O255" s="316"/>
      <c r="P255" s="316"/>
      <c r="Q255" s="295"/>
      <c r="R255" s="295"/>
      <c r="S255" s="295"/>
      <c r="T255" s="317"/>
      <c r="U255" s="317"/>
      <c r="V255" s="295"/>
      <c r="W255" s="295"/>
      <c r="X255" s="295"/>
      <c r="Y255" s="295"/>
    </row>
    <row r="256" spans="3:25" x14ac:dyDescent="0.25">
      <c r="C256" s="292"/>
      <c r="D256" s="295"/>
      <c r="E256" s="295"/>
      <c r="F256" s="295"/>
      <c r="G256" s="312"/>
      <c r="H256" s="313"/>
      <c r="I256" s="295"/>
      <c r="J256" s="316"/>
      <c r="K256" s="316"/>
      <c r="L256" s="316"/>
      <c r="M256" s="316"/>
      <c r="N256" s="316"/>
      <c r="O256" s="316"/>
      <c r="P256" s="316"/>
      <c r="Q256" s="295"/>
      <c r="R256" s="295"/>
      <c r="S256" s="295"/>
      <c r="T256" s="317"/>
      <c r="U256" s="317"/>
      <c r="V256" s="295"/>
      <c r="W256" s="295"/>
      <c r="X256" s="295"/>
      <c r="Y256" s="295"/>
    </row>
    <row r="257" spans="3:25" x14ac:dyDescent="0.25">
      <c r="C257" s="292"/>
      <c r="D257" s="295"/>
      <c r="E257" s="295"/>
      <c r="F257" s="295"/>
      <c r="G257" s="312"/>
      <c r="H257" s="313"/>
      <c r="I257" s="295"/>
      <c r="J257" s="316"/>
      <c r="K257" s="316"/>
      <c r="L257" s="316"/>
      <c r="M257" s="316"/>
      <c r="N257" s="316"/>
      <c r="O257" s="316"/>
      <c r="P257" s="316"/>
      <c r="Q257" s="295"/>
      <c r="R257" s="295"/>
      <c r="S257" s="295"/>
      <c r="T257" s="317"/>
      <c r="U257" s="317"/>
      <c r="V257" s="295"/>
      <c r="W257" s="295"/>
      <c r="X257" s="295"/>
      <c r="Y257" s="295"/>
    </row>
    <row r="258" spans="3:25" x14ac:dyDescent="0.25">
      <c r="C258" s="292"/>
      <c r="D258" s="295"/>
      <c r="E258" s="295"/>
      <c r="F258" s="295"/>
      <c r="G258" s="312"/>
      <c r="H258" s="313"/>
      <c r="I258" s="295"/>
      <c r="J258" s="316"/>
      <c r="K258" s="316"/>
      <c r="L258" s="316"/>
      <c r="M258" s="316"/>
      <c r="N258" s="316"/>
      <c r="O258" s="316"/>
      <c r="P258" s="316"/>
      <c r="Q258" s="295"/>
      <c r="R258" s="295"/>
      <c r="S258" s="295"/>
      <c r="T258" s="317"/>
      <c r="U258" s="317"/>
      <c r="V258" s="295"/>
      <c r="W258" s="295"/>
      <c r="X258" s="295"/>
      <c r="Y258" s="295"/>
    </row>
    <row r="259" spans="3:25" x14ac:dyDescent="0.25">
      <c r="C259" s="292"/>
      <c r="D259" s="295"/>
      <c r="E259" s="295"/>
      <c r="F259" s="295"/>
      <c r="G259" s="312"/>
      <c r="H259" s="313"/>
      <c r="I259" s="295"/>
      <c r="J259" s="316"/>
      <c r="K259" s="316"/>
      <c r="L259" s="316"/>
      <c r="M259" s="316"/>
      <c r="N259" s="316"/>
      <c r="O259" s="316"/>
      <c r="P259" s="316"/>
      <c r="Q259" s="295"/>
      <c r="R259" s="295"/>
      <c r="S259" s="295"/>
      <c r="T259" s="317"/>
      <c r="U259" s="317"/>
      <c r="V259" s="295"/>
      <c r="W259" s="295"/>
      <c r="X259" s="295"/>
      <c r="Y259" s="295"/>
    </row>
    <row r="260" spans="3:25" x14ac:dyDescent="0.25">
      <c r="C260" s="292"/>
      <c r="D260" s="295"/>
      <c r="E260" s="295"/>
      <c r="F260" s="295"/>
      <c r="G260" s="312"/>
      <c r="H260" s="313"/>
      <c r="I260" s="295"/>
      <c r="J260" s="316"/>
      <c r="K260" s="316"/>
      <c r="L260" s="316"/>
      <c r="M260" s="316"/>
      <c r="N260" s="316"/>
      <c r="O260" s="316"/>
      <c r="P260" s="316"/>
      <c r="Q260" s="295"/>
      <c r="R260" s="295"/>
      <c r="S260" s="295"/>
      <c r="T260" s="317"/>
      <c r="U260" s="317"/>
      <c r="V260" s="295"/>
      <c r="W260" s="295"/>
      <c r="X260" s="295"/>
      <c r="Y260" s="295"/>
    </row>
    <row r="261" spans="3:25" x14ac:dyDescent="0.25">
      <c r="C261" s="292"/>
      <c r="D261" s="295"/>
      <c r="E261" s="295"/>
      <c r="F261" s="295"/>
      <c r="G261" s="312"/>
      <c r="H261" s="313"/>
      <c r="I261" s="295"/>
      <c r="J261" s="316"/>
      <c r="K261" s="316"/>
      <c r="L261" s="316"/>
      <c r="M261" s="316"/>
      <c r="N261" s="316"/>
      <c r="O261" s="316"/>
      <c r="P261" s="316"/>
      <c r="Q261" s="295"/>
      <c r="R261" s="295"/>
      <c r="S261" s="295"/>
      <c r="T261" s="317"/>
      <c r="U261" s="317"/>
      <c r="V261" s="295"/>
      <c r="W261" s="295"/>
      <c r="X261" s="295"/>
      <c r="Y261" s="295"/>
    </row>
    <row r="262" spans="3:25" x14ac:dyDescent="0.25">
      <c r="C262" s="292"/>
      <c r="D262" s="295"/>
      <c r="E262" s="295"/>
      <c r="F262" s="295"/>
      <c r="G262" s="312"/>
      <c r="H262" s="313"/>
      <c r="I262" s="295"/>
      <c r="J262" s="316"/>
      <c r="K262" s="316"/>
      <c r="L262" s="316"/>
      <c r="M262" s="316"/>
      <c r="N262" s="316"/>
      <c r="O262" s="316"/>
      <c r="P262" s="316"/>
      <c r="Q262" s="295"/>
      <c r="R262" s="295"/>
      <c r="S262" s="295"/>
      <c r="T262" s="317"/>
      <c r="U262" s="317"/>
      <c r="V262" s="295"/>
      <c r="W262" s="295"/>
      <c r="X262" s="295"/>
      <c r="Y262" s="295"/>
    </row>
    <row r="263" spans="3:25" x14ac:dyDescent="0.25">
      <c r="C263" s="292"/>
      <c r="D263" s="295"/>
      <c r="E263" s="295"/>
      <c r="F263" s="295"/>
      <c r="G263" s="312"/>
      <c r="H263" s="313"/>
      <c r="I263" s="295"/>
      <c r="J263" s="316"/>
      <c r="K263" s="316"/>
      <c r="L263" s="316"/>
      <c r="M263" s="316"/>
      <c r="N263" s="316"/>
      <c r="O263" s="316"/>
      <c r="P263" s="316"/>
      <c r="Q263" s="295"/>
      <c r="R263" s="295"/>
      <c r="S263" s="295"/>
      <c r="T263" s="317"/>
      <c r="U263" s="317"/>
      <c r="V263" s="295"/>
      <c r="W263" s="295"/>
      <c r="X263" s="295"/>
      <c r="Y263" s="295"/>
    </row>
    <row r="264" spans="3:25" x14ac:dyDescent="0.25">
      <c r="C264" s="292"/>
      <c r="D264" s="295"/>
      <c r="E264" s="295"/>
      <c r="F264" s="295"/>
      <c r="G264" s="312"/>
      <c r="H264" s="313"/>
      <c r="I264" s="295"/>
      <c r="J264" s="316"/>
      <c r="K264" s="316"/>
      <c r="L264" s="316"/>
      <c r="M264" s="316"/>
      <c r="N264" s="316"/>
      <c r="O264" s="316"/>
      <c r="P264" s="316"/>
      <c r="Q264" s="295"/>
      <c r="R264" s="295"/>
      <c r="S264" s="295"/>
      <c r="T264" s="317"/>
      <c r="U264" s="317"/>
      <c r="V264" s="295"/>
      <c r="W264" s="295"/>
      <c r="X264" s="295"/>
      <c r="Y264" s="295"/>
    </row>
    <row r="265" spans="3:25" x14ac:dyDescent="0.25">
      <c r="C265" s="292"/>
      <c r="D265" s="295"/>
      <c r="E265" s="295"/>
      <c r="F265" s="295"/>
      <c r="G265" s="312"/>
      <c r="H265" s="313"/>
      <c r="I265" s="295"/>
      <c r="J265" s="316"/>
      <c r="K265" s="316"/>
      <c r="L265" s="316"/>
      <c r="M265" s="316"/>
      <c r="N265" s="316"/>
      <c r="O265" s="316"/>
      <c r="P265" s="316"/>
      <c r="Q265" s="295"/>
      <c r="R265" s="295"/>
      <c r="S265" s="295"/>
      <c r="T265" s="317"/>
      <c r="U265" s="317"/>
      <c r="V265" s="295"/>
      <c r="W265" s="295"/>
      <c r="X265" s="295"/>
      <c r="Y265" s="295"/>
    </row>
    <row r="266" spans="3:25" x14ac:dyDescent="0.25">
      <c r="C266" s="292"/>
      <c r="D266" s="295"/>
      <c r="E266" s="295"/>
      <c r="F266" s="295"/>
      <c r="G266" s="312"/>
      <c r="H266" s="313"/>
      <c r="I266" s="295"/>
      <c r="J266" s="316"/>
      <c r="K266" s="316"/>
      <c r="L266" s="316"/>
      <c r="M266" s="316"/>
      <c r="N266" s="316"/>
      <c r="O266" s="316"/>
      <c r="P266" s="316"/>
      <c r="Q266" s="295"/>
      <c r="R266" s="295"/>
      <c r="S266" s="295"/>
      <c r="T266" s="317"/>
      <c r="U266" s="317"/>
      <c r="V266" s="295"/>
      <c r="W266" s="295"/>
      <c r="X266" s="295"/>
      <c r="Y266" s="295"/>
    </row>
    <row r="267" spans="3:25" x14ac:dyDescent="0.25">
      <c r="C267" s="292"/>
      <c r="D267" s="295"/>
      <c r="E267" s="295"/>
      <c r="F267" s="295"/>
      <c r="G267" s="312"/>
      <c r="H267" s="313"/>
      <c r="I267" s="295"/>
      <c r="J267" s="316"/>
      <c r="K267" s="316"/>
      <c r="L267" s="316"/>
      <c r="M267" s="316"/>
      <c r="N267" s="316"/>
      <c r="O267" s="316"/>
      <c r="P267" s="316"/>
      <c r="Q267" s="295"/>
      <c r="R267" s="295"/>
      <c r="S267" s="295"/>
      <c r="T267" s="317"/>
      <c r="U267" s="317"/>
      <c r="V267" s="295"/>
      <c r="W267" s="295"/>
      <c r="X267" s="295"/>
      <c r="Y267" s="295"/>
    </row>
    <row r="268" spans="3:25" x14ac:dyDescent="0.25">
      <c r="C268" s="292"/>
      <c r="D268" s="295"/>
      <c r="E268" s="295"/>
      <c r="F268" s="295"/>
      <c r="G268" s="312"/>
      <c r="H268" s="313"/>
      <c r="I268" s="295"/>
      <c r="J268" s="316"/>
      <c r="K268" s="316"/>
      <c r="L268" s="316"/>
      <c r="M268" s="316"/>
      <c r="N268" s="316"/>
      <c r="O268" s="316"/>
      <c r="P268" s="316"/>
      <c r="Q268" s="295"/>
      <c r="R268" s="295"/>
      <c r="S268" s="295"/>
      <c r="T268" s="317"/>
      <c r="U268" s="317"/>
      <c r="V268" s="295"/>
      <c r="W268" s="295"/>
      <c r="X268" s="295"/>
      <c r="Y268" s="295"/>
    </row>
    <row r="269" spans="3:25" x14ac:dyDescent="0.25">
      <c r="C269" s="292"/>
      <c r="D269" s="295"/>
      <c r="E269" s="295"/>
      <c r="F269" s="295"/>
      <c r="G269" s="312"/>
      <c r="H269" s="313"/>
      <c r="I269" s="295"/>
      <c r="J269" s="316"/>
      <c r="K269" s="316"/>
      <c r="L269" s="316"/>
      <c r="M269" s="316"/>
      <c r="N269" s="316"/>
      <c r="O269" s="316"/>
      <c r="P269" s="316"/>
      <c r="Q269" s="295"/>
      <c r="R269" s="295"/>
      <c r="S269" s="295"/>
      <c r="T269" s="317"/>
      <c r="U269" s="317"/>
      <c r="V269" s="295"/>
      <c r="W269" s="295"/>
      <c r="X269" s="295"/>
      <c r="Y269" s="295"/>
    </row>
    <row r="270" spans="3:25" x14ac:dyDescent="0.25">
      <c r="C270" s="292"/>
      <c r="D270" s="295"/>
      <c r="E270" s="295"/>
      <c r="F270" s="295"/>
      <c r="G270" s="312"/>
      <c r="H270" s="313"/>
      <c r="I270" s="295"/>
      <c r="J270" s="316"/>
      <c r="K270" s="316"/>
      <c r="L270" s="316"/>
      <c r="M270" s="316"/>
      <c r="N270" s="316"/>
      <c r="O270" s="316"/>
      <c r="P270" s="316"/>
      <c r="Q270" s="295"/>
      <c r="R270" s="295"/>
      <c r="S270" s="295"/>
      <c r="T270" s="317"/>
      <c r="U270" s="317"/>
      <c r="V270" s="295"/>
      <c r="W270" s="295"/>
      <c r="X270" s="295"/>
      <c r="Y270" s="295"/>
    </row>
    <row r="271" spans="3:25" x14ac:dyDescent="0.25">
      <c r="C271" s="292"/>
      <c r="D271" s="295"/>
      <c r="E271" s="295"/>
      <c r="F271" s="295"/>
      <c r="G271" s="312"/>
      <c r="H271" s="313"/>
      <c r="I271" s="295"/>
      <c r="J271" s="316"/>
      <c r="K271" s="316"/>
      <c r="L271" s="316"/>
      <c r="M271" s="316"/>
      <c r="N271" s="316"/>
      <c r="O271" s="316"/>
      <c r="P271" s="316"/>
      <c r="Q271" s="295"/>
      <c r="R271" s="295"/>
      <c r="S271" s="295"/>
      <c r="T271" s="317"/>
      <c r="U271" s="317"/>
      <c r="V271" s="295"/>
      <c r="W271" s="295"/>
      <c r="X271" s="295"/>
      <c r="Y271" s="295"/>
    </row>
    <row r="272" spans="3:25" x14ac:dyDescent="0.25">
      <c r="C272" s="292"/>
      <c r="D272" s="295"/>
      <c r="E272" s="295"/>
      <c r="F272" s="295"/>
      <c r="G272" s="312"/>
      <c r="H272" s="313"/>
      <c r="I272" s="295"/>
      <c r="J272" s="316"/>
      <c r="K272" s="316"/>
      <c r="L272" s="316"/>
      <c r="M272" s="316"/>
      <c r="N272" s="316"/>
      <c r="O272" s="316"/>
      <c r="P272" s="316"/>
      <c r="Q272" s="295"/>
      <c r="R272" s="295"/>
      <c r="S272" s="295"/>
      <c r="T272" s="317"/>
      <c r="U272" s="317"/>
      <c r="V272" s="295"/>
      <c r="W272" s="295"/>
      <c r="X272" s="295"/>
      <c r="Y272" s="295"/>
    </row>
    <row r="273" spans="3:25" x14ac:dyDescent="0.25">
      <c r="C273" s="292"/>
      <c r="D273" s="295"/>
      <c r="E273" s="295"/>
      <c r="F273" s="295"/>
      <c r="G273" s="312"/>
      <c r="H273" s="313"/>
      <c r="I273" s="295"/>
      <c r="J273" s="316"/>
      <c r="K273" s="316"/>
      <c r="L273" s="316"/>
      <c r="M273" s="316"/>
      <c r="N273" s="316"/>
      <c r="O273" s="316"/>
      <c r="P273" s="316"/>
      <c r="Q273" s="295"/>
      <c r="R273" s="295"/>
      <c r="S273" s="295"/>
      <c r="T273" s="317"/>
      <c r="U273" s="317"/>
      <c r="V273" s="295"/>
      <c r="W273" s="295"/>
      <c r="X273" s="295"/>
      <c r="Y273" s="295"/>
    </row>
    <row r="274" spans="3:25" x14ac:dyDescent="0.25">
      <c r="C274" s="292"/>
      <c r="D274" s="295"/>
      <c r="E274" s="295"/>
      <c r="F274" s="295"/>
      <c r="G274" s="312"/>
      <c r="H274" s="313"/>
      <c r="I274" s="295"/>
      <c r="J274" s="316"/>
      <c r="K274" s="316"/>
      <c r="L274" s="316"/>
      <c r="M274" s="316"/>
      <c r="N274" s="316"/>
      <c r="O274" s="316"/>
      <c r="P274" s="316"/>
      <c r="Q274" s="295"/>
      <c r="R274" s="295"/>
      <c r="S274" s="295"/>
      <c r="T274" s="317"/>
      <c r="U274" s="317"/>
      <c r="V274" s="295"/>
      <c r="W274" s="295"/>
      <c r="X274" s="295"/>
      <c r="Y274" s="295"/>
    </row>
    <row r="275" spans="3:25" x14ac:dyDescent="0.25">
      <c r="C275" s="292"/>
      <c r="D275" s="295"/>
      <c r="E275" s="295"/>
      <c r="F275" s="295"/>
      <c r="G275" s="312"/>
      <c r="H275" s="313"/>
      <c r="I275" s="295"/>
      <c r="J275" s="316"/>
      <c r="K275" s="316"/>
      <c r="L275" s="316"/>
      <c r="M275" s="316"/>
      <c r="N275" s="316"/>
      <c r="O275" s="316"/>
      <c r="P275" s="316"/>
      <c r="Q275" s="295"/>
      <c r="R275" s="295"/>
      <c r="S275" s="295"/>
      <c r="T275" s="317"/>
      <c r="U275" s="317"/>
      <c r="V275" s="295"/>
      <c r="W275" s="295"/>
      <c r="X275" s="295"/>
      <c r="Y275" s="295"/>
    </row>
    <row r="276" spans="3:25" x14ac:dyDescent="0.25">
      <c r="C276" s="292"/>
      <c r="D276" s="295"/>
      <c r="E276" s="295"/>
      <c r="F276" s="295"/>
      <c r="G276" s="312"/>
      <c r="H276" s="313"/>
      <c r="I276" s="295"/>
      <c r="J276" s="316"/>
      <c r="K276" s="316"/>
      <c r="L276" s="316"/>
      <c r="M276" s="316"/>
      <c r="N276" s="316"/>
      <c r="O276" s="316"/>
      <c r="P276" s="316"/>
      <c r="Q276" s="295"/>
      <c r="R276" s="295"/>
      <c r="S276" s="295"/>
      <c r="T276" s="317"/>
      <c r="U276" s="317"/>
      <c r="V276" s="295"/>
      <c r="W276" s="295"/>
      <c r="X276" s="295"/>
      <c r="Y276" s="295"/>
    </row>
    <row r="277" spans="3:25" x14ac:dyDescent="0.25">
      <c r="C277" s="292"/>
      <c r="D277" s="295"/>
      <c r="E277" s="295"/>
      <c r="F277" s="295"/>
      <c r="G277" s="312"/>
      <c r="H277" s="313"/>
      <c r="I277" s="295"/>
      <c r="J277" s="316"/>
      <c r="K277" s="316"/>
      <c r="L277" s="316"/>
      <c r="M277" s="316"/>
      <c r="N277" s="316"/>
      <c r="O277" s="316"/>
      <c r="P277" s="316"/>
      <c r="Q277" s="295"/>
      <c r="R277" s="295"/>
      <c r="S277" s="295"/>
      <c r="T277" s="317"/>
      <c r="U277" s="317"/>
      <c r="V277" s="295"/>
      <c r="W277" s="295"/>
      <c r="X277" s="295"/>
      <c r="Y277" s="295"/>
    </row>
    <row r="278" spans="3:25" x14ac:dyDescent="0.25">
      <c r="C278" s="292"/>
      <c r="D278" s="295"/>
      <c r="E278" s="295"/>
      <c r="F278" s="295"/>
      <c r="G278" s="312"/>
      <c r="H278" s="313"/>
      <c r="I278" s="295"/>
      <c r="J278" s="316"/>
      <c r="K278" s="316"/>
      <c r="L278" s="316"/>
      <c r="M278" s="316"/>
      <c r="N278" s="316"/>
      <c r="O278" s="316"/>
      <c r="P278" s="316"/>
      <c r="Q278" s="295"/>
      <c r="R278" s="295"/>
      <c r="S278" s="295"/>
      <c r="T278" s="317"/>
      <c r="U278" s="317"/>
      <c r="V278" s="295"/>
      <c r="W278" s="295"/>
      <c r="X278" s="295"/>
      <c r="Y278" s="295"/>
    </row>
    <row r="279" spans="3:25" x14ac:dyDescent="0.25">
      <c r="C279" s="292"/>
      <c r="D279" s="295"/>
      <c r="E279" s="295"/>
      <c r="F279" s="295"/>
      <c r="G279" s="312"/>
      <c r="H279" s="313"/>
      <c r="I279" s="295"/>
      <c r="J279" s="316"/>
      <c r="K279" s="316"/>
      <c r="L279" s="316"/>
      <c r="M279" s="316"/>
      <c r="N279" s="316"/>
      <c r="O279" s="316"/>
      <c r="P279" s="316"/>
      <c r="Q279" s="295"/>
      <c r="R279" s="295"/>
      <c r="S279" s="295"/>
      <c r="T279" s="317"/>
      <c r="U279" s="317"/>
      <c r="V279" s="295"/>
      <c r="W279" s="295"/>
      <c r="X279" s="295"/>
      <c r="Y279" s="295"/>
    </row>
    <row r="280" spans="3:25" x14ac:dyDescent="0.25">
      <c r="C280" s="292"/>
      <c r="D280" s="295"/>
      <c r="E280" s="295"/>
      <c r="F280" s="295"/>
      <c r="G280" s="312"/>
      <c r="H280" s="313"/>
      <c r="I280" s="295"/>
      <c r="J280" s="316"/>
      <c r="K280" s="316"/>
      <c r="L280" s="316"/>
      <c r="M280" s="316"/>
      <c r="N280" s="316"/>
      <c r="O280" s="316"/>
      <c r="P280" s="316"/>
      <c r="Q280" s="295"/>
      <c r="R280" s="295"/>
      <c r="S280" s="295"/>
      <c r="T280" s="317"/>
      <c r="U280" s="317"/>
      <c r="V280" s="295"/>
      <c r="W280" s="295"/>
      <c r="X280" s="295"/>
      <c r="Y280" s="295"/>
    </row>
    <row r="281" spans="3:25" x14ac:dyDescent="0.25">
      <c r="C281" s="292"/>
      <c r="D281" s="295"/>
      <c r="E281" s="295"/>
      <c r="F281" s="295"/>
      <c r="G281" s="312"/>
      <c r="H281" s="313"/>
      <c r="I281" s="295"/>
      <c r="J281" s="316"/>
      <c r="K281" s="316"/>
      <c r="L281" s="316"/>
      <c r="M281" s="316"/>
      <c r="N281" s="316"/>
      <c r="O281" s="316"/>
      <c r="P281" s="316"/>
      <c r="Q281" s="295"/>
      <c r="R281" s="295"/>
      <c r="S281" s="295"/>
      <c r="T281" s="317"/>
      <c r="U281" s="317"/>
      <c r="V281" s="295"/>
      <c r="W281" s="295"/>
      <c r="X281" s="295"/>
      <c r="Y281" s="295"/>
    </row>
    <row r="282" spans="3:25" x14ac:dyDescent="0.25">
      <c r="C282" s="292"/>
      <c r="D282" s="295"/>
      <c r="E282" s="295"/>
      <c r="F282" s="295"/>
      <c r="G282" s="312"/>
      <c r="H282" s="313"/>
      <c r="I282" s="295"/>
      <c r="J282" s="316"/>
      <c r="K282" s="316"/>
      <c r="L282" s="316"/>
      <c r="M282" s="316"/>
      <c r="N282" s="316"/>
      <c r="O282" s="316"/>
      <c r="P282" s="316"/>
      <c r="Q282" s="295"/>
      <c r="R282" s="295"/>
      <c r="S282" s="295"/>
      <c r="T282" s="317"/>
      <c r="U282" s="317"/>
      <c r="V282" s="295"/>
      <c r="W282" s="295"/>
      <c r="X282" s="295"/>
      <c r="Y282" s="295"/>
    </row>
    <row r="283" spans="3:25" x14ac:dyDescent="0.25">
      <c r="C283" s="292"/>
      <c r="D283" s="295"/>
      <c r="E283" s="295"/>
      <c r="F283" s="295"/>
      <c r="G283" s="312"/>
      <c r="H283" s="313"/>
      <c r="I283" s="295"/>
      <c r="J283" s="316"/>
      <c r="K283" s="316"/>
      <c r="L283" s="316"/>
      <c r="M283" s="316"/>
      <c r="N283" s="316"/>
      <c r="O283" s="316"/>
      <c r="P283" s="316"/>
      <c r="Q283" s="295"/>
      <c r="R283" s="295"/>
      <c r="S283" s="295"/>
      <c r="T283" s="317"/>
      <c r="U283" s="317"/>
      <c r="V283" s="295"/>
      <c r="W283" s="295"/>
      <c r="X283" s="295"/>
      <c r="Y283" s="295"/>
    </row>
    <row r="284" spans="3:25" x14ac:dyDescent="0.25">
      <c r="C284" s="292"/>
      <c r="D284" s="295"/>
      <c r="E284" s="295"/>
      <c r="F284" s="295"/>
      <c r="G284" s="312"/>
      <c r="H284" s="313"/>
      <c r="I284" s="295"/>
      <c r="J284" s="316"/>
      <c r="K284" s="316"/>
      <c r="L284" s="316"/>
      <c r="M284" s="316"/>
      <c r="N284" s="316"/>
      <c r="O284" s="316"/>
      <c r="P284" s="316"/>
      <c r="Q284" s="295"/>
      <c r="R284" s="295"/>
      <c r="S284" s="295"/>
      <c r="T284" s="317"/>
      <c r="U284" s="317"/>
      <c r="V284" s="295"/>
      <c r="W284" s="295"/>
      <c r="X284" s="295"/>
      <c r="Y284" s="295"/>
    </row>
    <row r="285" spans="3:25" x14ac:dyDescent="0.25">
      <c r="C285" s="292"/>
      <c r="D285" s="295"/>
      <c r="E285" s="295"/>
      <c r="F285" s="295"/>
      <c r="G285" s="312"/>
      <c r="H285" s="313"/>
      <c r="I285" s="295"/>
      <c r="J285" s="316"/>
      <c r="K285" s="316"/>
      <c r="L285" s="316"/>
      <c r="M285" s="316"/>
      <c r="N285" s="316"/>
      <c r="O285" s="316"/>
      <c r="P285" s="316"/>
      <c r="Q285" s="295"/>
      <c r="R285" s="295"/>
      <c r="S285" s="295"/>
      <c r="T285" s="317"/>
      <c r="U285" s="317"/>
      <c r="V285" s="295"/>
      <c r="W285" s="295"/>
      <c r="X285" s="295"/>
      <c r="Y285" s="295"/>
    </row>
    <row r="286" spans="3:25" x14ac:dyDescent="0.25">
      <c r="C286" s="292"/>
      <c r="D286" s="295"/>
      <c r="E286" s="295"/>
      <c r="F286" s="295"/>
      <c r="G286" s="312"/>
      <c r="H286" s="313"/>
      <c r="I286" s="295"/>
      <c r="J286" s="316"/>
      <c r="K286" s="316"/>
      <c r="L286" s="316"/>
      <c r="M286" s="316"/>
      <c r="N286" s="316"/>
      <c r="O286" s="316"/>
      <c r="P286" s="316"/>
      <c r="Q286" s="295"/>
      <c r="R286" s="295"/>
      <c r="S286" s="295"/>
      <c r="T286" s="317"/>
      <c r="U286" s="317"/>
      <c r="V286" s="295"/>
      <c r="W286" s="295"/>
      <c r="X286" s="295"/>
      <c r="Y286" s="295"/>
    </row>
    <row r="287" spans="3:25" x14ac:dyDescent="0.25">
      <c r="C287" s="292"/>
      <c r="D287" s="295"/>
      <c r="E287" s="295"/>
      <c r="F287" s="295"/>
      <c r="G287" s="312"/>
      <c r="H287" s="313"/>
      <c r="I287" s="295"/>
      <c r="J287" s="316"/>
      <c r="K287" s="316"/>
      <c r="L287" s="316"/>
      <c r="M287" s="316"/>
      <c r="N287" s="316"/>
      <c r="O287" s="316"/>
      <c r="P287" s="316"/>
      <c r="Q287" s="295"/>
      <c r="R287" s="295"/>
      <c r="S287" s="295"/>
      <c r="T287" s="317"/>
      <c r="U287" s="317"/>
      <c r="V287" s="295"/>
      <c r="W287" s="295"/>
      <c r="X287" s="295"/>
      <c r="Y287" s="295"/>
    </row>
    <row r="288" spans="3:25" x14ac:dyDescent="0.25">
      <c r="C288" s="292"/>
      <c r="D288" s="295"/>
      <c r="E288" s="295"/>
      <c r="F288" s="295"/>
      <c r="G288" s="312"/>
      <c r="H288" s="313"/>
      <c r="I288" s="295"/>
      <c r="J288" s="316"/>
      <c r="K288" s="316"/>
      <c r="L288" s="316"/>
      <c r="M288" s="316"/>
      <c r="N288" s="316"/>
      <c r="O288" s="316"/>
      <c r="P288" s="316"/>
      <c r="Q288" s="295"/>
      <c r="R288" s="295"/>
      <c r="S288" s="295"/>
      <c r="T288" s="317"/>
      <c r="U288" s="317"/>
      <c r="V288" s="295"/>
      <c r="W288" s="295"/>
      <c r="X288" s="295"/>
      <c r="Y288" s="295"/>
    </row>
    <row r="289" spans="3:25" x14ac:dyDescent="0.25">
      <c r="C289" s="292"/>
      <c r="D289" s="295"/>
      <c r="E289" s="295"/>
      <c r="F289" s="295"/>
      <c r="G289" s="312"/>
      <c r="H289" s="313"/>
      <c r="I289" s="295"/>
      <c r="J289" s="316"/>
      <c r="K289" s="316"/>
      <c r="L289" s="316"/>
      <c r="M289" s="316"/>
      <c r="N289" s="316"/>
      <c r="O289" s="316"/>
      <c r="P289" s="316"/>
      <c r="Q289" s="295"/>
      <c r="R289" s="295"/>
      <c r="S289" s="295"/>
      <c r="T289" s="317"/>
      <c r="U289" s="317"/>
      <c r="V289" s="295"/>
      <c r="W289" s="295"/>
      <c r="X289" s="295"/>
      <c r="Y289" s="295"/>
    </row>
    <row r="290" spans="3:25" x14ac:dyDescent="0.25">
      <c r="C290" s="292"/>
      <c r="D290" s="295"/>
      <c r="E290" s="295"/>
      <c r="F290" s="295"/>
      <c r="G290" s="312"/>
      <c r="H290" s="313"/>
      <c r="I290" s="295"/>
      <c r="J290" s="316"/>
      <c r="K290" s="316"/>
      <c r="L290" s="316"/>
      <c r="M290" s="316"/>
      <c r="N290" s="316"/>
      <c r="O290" s="316"/>
      <c r="P290" s="316"/>
      <c r="Q290" s="295"/>
      <c r="R290" s="295"/>
      <c r="S290" s="295"/>
      <c r="T290" s="317"/>
      <c r="U290" s="317"/>
      <c r="V290" s="295"/>
      <c r="W290" s="295"/>
      <c r="X290" s="295"/>
      <c r="Y290" s="295"/>
    </row>
    <row r="291" spans="3:25" x14ac:dyDescent="0.25">
      <c r="C291" s="292"/>
      <c r="D291" s="295"/>
      <c r="E291" s="295"/>
      <c r="F291" s="295"/>
      <c r="G291" s="312"/>
      <c r="H291" s="313"/>
      <c r="I291" s="295"/>
      <c r="J291" s="316"/>
      <c r="K291" s="316"/>
      <c r="L291" s="316"/>
      <c r="M291" s="316"/>
      <c r="N291" s="316"/>
      <c r="O291" s="316"/>
      <c r="P291" s="316"/>
      <c r="Q291" s="295"/>
      <c r="R291" s="295"/>
      <c r="S291" s="295"/>
      <c r="T291" s="317"/>
      <c r="U291" s="317"/>
      <c r="V291" s="295"/>
      <c r="W291" s="295"/>
      <c r="X291" s="295"/>
      <c r="Y291" s="295"/>
    </row>
    <row r="292" spans="3:25" x14ac:dyDescent="0.25">
      <c r="C292" s="292"/>
      <c r="D292" s="295"/>
      <c r="E292" s="295"/>
      <c r="F292" s="295"/>
      <c r="G292" s="312"/>
      <c r="H292" s="313"/>
      <c r="I292" s="295"/>
      <c r="J292" s="316"/>
      <c r="K292" s="316"/>
      <c r="L292" s="316"/>
      <c r="M292" s="316"/>
      <c r="N292" s="316"/>
      <c r="O292" s="316"/>
      <c r="P292" s="316"/>
      <c r="Q292" s="295"/>
      <c r="R292" s="295"/>
      <c r="S292" s="295"/>
      <c r="T292" s="317"/>
      <c r="U292" s="317"/>
      <c r="V292" s="295"/>
      <c r="W292" s="295"/>
      <c r="X292" s="295"/>
      <c r="Y292" s="295"/>
    </row>
    <row r="293" spans="3:25" x14ac:dyDescent="0.25">
      <c r="C293" s="292"/>
      <c r="D293" s="295"/>
      <c r="E293" s="295"/>
      <c r="F293" s="295"/>
      <c r="G293" s="312"/>
      <c r="H293" s="313"/>
      <c r="I293" s="295"/>
      <c r="J293" s="316"/>
      <c r="K293" s="316"/>
      <c r="L293" s="316"/>
      <c r="M293" s="316"/>
      <c r="N293" s="316"/>
      <c r="O293" s="316"/>
      <c r="P293" s="316"/>
      <c r="Q293" s="295"/>
      <c r="R293" s="295"/>
      <c r="S293" s="295"/>
      <c r="T293" s="317"/>
      <c r="U293" s="317"/>
      <c r="V293" s="295"/>
      <c r="W293" s="295"/>
      <c r="X293" s="295"/>
      <c r="Y293" s="295"/>
    </row>
    <row r="294" spans="3:25" x14ac:dyDescent="0.25">
      <c r="C294" s="292"/>
      <c r="D294" s="295"/>
      <c r="E294" s="295"/>
      <c r="F294" s="295"/>
      <c r="G294" s="312"/>
      <c r="H294" s="313"/>
      <c r="I294" s="295"/>
      <c r="J294" s="316"/>
      <c r="K294" s="316"/>
      <c r="L294" s="316"/>
      <c r="M294" s="316"/>
      <c r="N294" s="316"/>
      <c r="O294" s="316"/>
      <c r="P294" s="316"/>
      <c r="Q294" s="295"/>
      <c r="R294" s="295"/>
      <c r="S294" s="295"/>
      <c r="T294" s="317"/>
      <c r="U294" s="317"/>
      <c r="V294" s="295"/>
      <c r="W294" s="295"/>
      <c r="X294" s="295"/>
      <c r="Y294" s="295"/>
    </row>
    <row r="295" spans="3:25" x14ac:dyDescent="0.25">
      <c r="C295" s="292"/>
      <c r="D295" s="295"/>
      <c r="E295" s="295"/>
      <c r="F295" s="295"/>
      <c r="G295" s="312"/>
      <c r="H295" s="313"/>
      <c r="I295" s="295"/>
      <c r="J295" s="316"/>
      <c r="K295" s="316"/>
      <c r="L295" s="316"/>
      <c r="M295" s="316"/>
      <c r="N295" s="316"/>
      <c r="O295" s="316"/>
      <c r="P295" s="316"/>
      <c r="Q295" s="295"/>
      <c r="R295" s="295"/>
      <c r="S295" s="295"/>
      <c r="T295" s="317"/>
      <c r="U295" s="300"/>
      <c r="V295" s="309"/>
      <c r="W295" s="295"/>
      <c r="X295" s="295"/>
      <c r="Y295" s="295"/>
    </row>
    <row r="296" spans="3:25" x14ac:dyDescent="0.25">
      <c r="C296" s="292"/>
      <c r="D296" s="295"/>
      <c r="E296" s="295"/>
      <c r="F296" s="295"/>
      <c r="G296" s="312"/>
      <c r="H296" s="313"/>
      <c r="I296" s="316"/>
      <c r="J296" s="316"/>
      <c r="K296" s="316"/>
      <c r="L296" s="316"/>
      <c r="M296" s="316"/>
      <c r="N296" s="316"/>
      <c r="O296" s="316"/>
      <c r="P296" s="316"/>
      <c r="Q296" s="295"/>
      <c r="R296" s="295"/>
      <c r="S296" s="295"/>
      <c r="T296" s="310"/>
      <c r="U296" s="317"/>
      <c r="V296" s="311"/>
      <c r="W296" s="295"/>
      <c r="X296" s="295"/>
      <c r="Y296" s="295"/>
    </row>
    <row r="297" spans="3:25" x14ac:dyDescent="0.25">
      <c r="C297" s="292"/>
      <c r="D297" s="295"/>
      <c r="E297" s="295"/>
      <c r="F297" s="295"/>
      <c r="G297" s="295"/>
      <c r="H297" s="318"/>
      <c r="I297" s="295"/>
      <c r="J297" s="295"/>
      <c r="K297" s="319"/>
      <c r="L297" s="319"/>
      <c r="M297" s="319"/>
      <c r="N297" s="319"/>
      <c r="O297" s="319"/>
      <c r="P297" s="319"/>
      <c r="Q297" s="320"/>
      <c r="R297" s="295"/>
      <c r="S297" s="295"/>
      <c r="T297" s="295"/>
      <c r="U297" s="295"/>
      <c r="V297" s="295"/>
      <c r="W297" s="295"/>
      <c r="X297" s="295"/>
      <c r="Y297" s="295"/>
    </row>
    <row r="298" spans="3:25" x14ac:dyDescent="0.25">
      <c r="C298" s="292"/>
      <c r="D298" s="295"/>
      <c r="E298" s="295"/>
      <c r="F298" s="295"/>
      <c r="G298" s="295"/>
      <c r="H298" s="295"/>
      <c r="I298" s="295"/>
      <c r="J298" s="295"/>
      <c r="K298" s="295"/>
      <c r="L298" s="295"/>
      <c r="M298" s="295"/>
      <c r="N298" s="295"/>
      <c r="O298" s="295"/>
      <c r="P298" s="295"/>
      <c r="Q298" s="295"/>
      <c r="R298" s="295"/>
      <c r="S298" s="295"/>
      <c r="T298" s="295"/>
      <c r="U298" s="295"/>
      <c r="V298" s="295"/>
      <c r="W298" s="295"/>
      <c r="X298" s="295"/>
      <c r="Y298" s="295"/>
    </row>
    <row r="299" spans="3:25" x14ac:dyDescent="0.25">
      <c r="C299" s="292"/>
      <c r="D299" s="295"/>
      <c r="E299" s="295"/>
      <c r="F299" s="295"/>
      <c r="G299" s="295"/>
      <c r="H299" s="295"/>
      <c r="I299" s="295"/>
      <c r="J299" s="295"/>
      <c r="K299" s="295"/>
      <c r="L299" s="295"/>
      <c r="M299" s="295"/>
      <c r="N299" s="295"/>
      <c r="O299" s="295"/>
      <c r="P299" s="295"/>
      <c r="Q299" s="295"/>
      <c r="R299" s="295"/>
      <c r="S299" s="295"/>
      <c r="T299" s="295"/>
      <c r="U299" s="295"/>
      <c r="V299" s="295"/>
      <c r="W299" s="295"/>
      <c r="X299" s="295"/>
      <c r="Y299" s="295"/>
    </row>
    <row r="300" spans="3:25" x14ac:dyDescent="0.25">
      <c r="C300" s="292"/>
      <c r="D300" s="295"/>
      <c r="E300" s="295"/>
      <c r="F300" s="295"/>
      <c r="G300" s="295"/>
      <c r="H300" s="295"/>
      <c r="I300" s="295"/>
      <c r="J300" s="295"/>
      <c r="K300" s="295"/>
      <c r="L300" s="295"/>
      <c r="M300" s="295"/>
      <c r="N300" s="295"/>
      <c r="O300" s="295"/>
      <c r="P300" s="295"/>
      <c r="Q300" s="295"/>
      <c r="R300" s="295"/>
      <c r="S300" s="295"/>
      <c r="T300" s="295"/>
      <c r="U300" s="295"/>
      <c r="V300" s="295"/>
      <c r="W300" s="295"/>
      <c r="X300" s="295"/>
      <c r="Y300" s="295"/>
    </row>
    <row r="301" spans="3:25" x14ac:dyDescent="0.25">
      <c r="C301" s="292"/>
      <c r="D301" s="295"/>
      <c r="E301" s="295"/>
      <c r="F301" s="295"/>
      <c r="G301" s="295"/>
      <c r="H301" s="295"/>
      <c r="I301" s="295"/>
      <c r="J301" s="295"/>
      <c r="K301" s="295"/>
      <c r="L301" s="295"/>
      <c r="M301" s="295"/>
      <c r="N301" s="295"/>
      <c r="O301" s="295"/>
      <c r="P301" s="295"/>
      <c r="Q301" s="295"/>
      <c r="R301" s="295"/>
      <c r="S301" s="295"/>
      <c r="T301" s="295"/>
      <c r="U301" s="295"/>
      <c r="V301" s="295"/>
      <c r="W301" s="295"/>
      <c r="X301" s="295"/>
      <c r="Y301" s="295"/>
    </row>
    <row r="302" spans="3:25" x14ac:dyDescent="0.25">
      <c r="C302" s="292"/>
      <c r="D302" s="295"/>
      <c r="E302" s="295"/>
      <c r="F302" s="295"/>
      <c r="G302" s="295"/>
      <c r="H302" s="295"/>
      <c r="I302" s="295"/>
      <c r="J302" s="295"/>
      <c r="K302" s="295"/>
      <c r="L302" s="295"/>
      <c r="M302" s="295"/>
      <c r="N302" s="295"/>
      <c r="O302" s="295"/>
      <c r="P302" s="295"/>
      <c r="Q302" s="295"/>
      <c r="R302" s="295"/>
      <c r="S302" s="295"/>
      <c r="T302" s="295"/>
      <c r="U302" s="295"/>
      <c r="V302" s="295"/>
      <c r="W302" s="295"/>
      <c r="X302" s="295"/>
      <c r="Y302" s="295"/>
    </row>
    <row r="303" spans="3:25" x14ac:dyDescent="0.25">
      <c r="C303" s="292"/>
      <c r="D303" s="295"/>
      <c r="E303" s="295"/>
      <c r="F303" s="295"/>
      <c r="G303" s="295"/>
      <c r="H303" s="295"/>
      <c r="I303" s="295"/>
      <c r="J303" s="295"/>
      <c r="K303" s="295"/>
      <c r="L303" s="295"/>
      <c r="M303" s="295"/>
      <c r="N303" s="295"/>
      <c r="O303" s="295"/>
      <c r="P303" s="295"/>
      <c r="Q303" s="295"/>
      <c r="R303" s="295"/>
      <c r="S303" s="295"/>
      <c r="T303" s="295"/>
      <c r="U303" s="295"/>
      <c r="V303" s="295"/>
      <c r="W303" s="295"/>
      <c r="X303" s="295"/>
      <c r="Y303" s="295"/>
    </row>
    <row r="304" spans="3:25" x14ac:dyDescent="0.25">
      <c r="C304" s="292"/>
      <c r="D304" s="295"/>
      <c r="E304" s="295"/>
      <c r="F304" s="295"/>
      <c r="G304" s="295"/>
      <c r="H304" s="295"/>
      <c r="I304" s="295"/>
      <c r="J304" s="295"/>
      <c r="K304" s="295"/>
      <c r="L304" s="295"/>
      <c r="M304" s="295"/>
      <c r="N304" s="295"/>
      <c r="O304" s="295"/>
      <c r="P304" s="295"/>
      <c r="Q304" s="295"/>
      <c r="R304" s="295"/>
      <c r="S304" s="295"/>
      <c r="T304" s="295"/>
      <c r="U304" s="295"/>
      <c r="V304" s="295"/>
      <c r="W304" s="295"/>
      <c r="X304" s="295"/>
      <c r="Y304" s="295"/>
    </row>
    <row r="305" spans="3:25" x14ac:dyDescent="0.25">
      <c r="C305" s="292"/>
      <c r="D305" s="295"/>
      <c r="E305" s="295"/>
      <c r="F305" s="295"/>
      <c r="G305" s="295"/>
      <c r="H305" s="295"/>
      <c r="I305" s="295"/>
      <c r="J305" s="295"/>
      <c r="K305" s="295"/>
      <c r="L305" s="295"/>
      <c r="M305" s="295"/>
      <c r="N305" s="295"/>
      <c r="O305" s="295"/>
      <c r="P305" s="295"/>
      <c r="Q305" s="295"/>
      <c r="R305" s="295"/>
      <c r="S305" s="295"/>
      <c r="T305" s="295"/>
      <c r="U305" s="295"/>
      <c r="V305" s="295"/>
      <c r="W305" s="295"/>
      <c r="X305" s="295"/>
      <c r="Y305" s="295"/>
    </row>
    <row r="306" spans="3:25" x14ac:dyDescent="0.25">
      <c r="C306" s="292"/>
      <c r="D306" s="295"/>
      <c r="E306" s="295"/>
      <c r="F306" s="295"/>
      <c r="G306" s="295"/>
      <c r="H306" s="295"/>
      <c r="I306" s="295"/>
      <c r="J306" s="295"/>
      <c r="K306" s="295"/>
      <c r="L306" s="295"/>
      <c r="M306" s="295"/>
      <c r="N306" s="295"/>
      <c r="O306" s="295"/>
      <c r="P306" s="295"/>
      <c r="Q306" s="295"/>
      <c r="R306" s="295"/>
      <c r="S306" s="295"/>
      <c r="T306" s="295"/>
      <c r="U306" s="295"/>
      <c r="V306" s="295"/>
      <c r="W306" s="295"/>
      <c r="X306" s="295"/>
      <c r="Y306" s="295"/>
    </row>
    <row r="307" spans="3:25" x14ac:dyDescent="0.25">
      <c r="C307" s="292"/>
      <c r="D307" s="295"/>
      <c r="E307" s="295"/>
      <c r="F307" s="295"/>
      <c r="G307" s="295"/>
      <c r="H307" s="295"/>
      <c r="I307" s="295"/>
      <c r="J307" s="295"/>
      <c r="K307" s="295"/>
      <c r="L307" s="295"/>
      <c r="M307" s="295"/>
      <c r="N307" s="295"/>
      <c r="O307" s="295"/>
      <c r="P307" s="295"/>
      <c r="Q307" s="295"/>
      <c r="R307" s="295"/>
      <c r="S307" s="295"/>
      <c r="T307" s="295"/>
      <c r="U307" s="295"/>
      <c r="V307" s="295"/>
      <c r="W307" s="295"/>
      <c r="X307" s="295"/>
      <c r="Y307" s="295"/>
    </row>
    <row r="308" spans="3:25" x14ac:dyDescent="0.25">
      <c r="C308" s="292"/>
      <c r="D308" s="295"/>
      <c r="E308" s="295"/>
      <c r="F308" s="295"/>
      <c r="G308" s="295"/>
      <c r="H308" s="295"/>
      <c r="I308" s="295"/>
      <c r="J308" s="295"/>
      <c r="K308" s="295"/>
      <c r="L308" s="295"/>
      <c r="M308" s="295"/>
      <c r="N308" s="295"/>
      <c r="O308" s="295"/>
      <c r="P308" s="295"/>
      <c r="Q308" s="295"/>
      <c r="R308" s="295"/>
      <c r="S308" s="295"/>
      <c r="T308" s="295"/>
      <c r="U308" s="295"/>
      <c r="V308" s="295"/>
      <c r="W308" s="295"/>
      <c r="X308" s="295"/>
      <c r="Y308" s="295"/>
    </row>
    <row r="309" spans="3:25" x14ac:dyDescent="0.25">
      <c r="C309" s="292"/>
      <c r="D309" s="295"/>
      <c r="E309" s="295"/>
      <c r="F309" s="295"/>
      <c r="G309" s="295"/>
      <c r="H309" s="295"/>
      <c r="I309" s="295"/>
      <c r="J309" s="295"/>
      <c r="K309" s="295"/>
      <c r="L309" s="295"/>
      <c r="M309" s="295"/>
      <c r="N309" s="295"/>
      <c r="O309" s="295"/>
      <c r="P309" s="295"/>
      <c r="Q309" s="295"/>
      <c r="R309" s="295"/>
      <c r="S309" s="295"/>
      <c r="T309" s="295"/>
      <c r="U309" s="295"/>
      <c r="V309" s="295"/>
      <c r="W309" s="295"/>
      <c r="X309" s="295"/>
      <c r="Y309" s="295"/>
    </row>
    <row r="310" spans="3:25" x14ac:dyDescent="0.25">
      <c r="C310" s="292"/>
      <c r="D310" s="295"/>
      <c r="E310" s="295"/>
      <c r="F310" s="295"/>
      <c r="G310" s="295"/>
      <c r="H310" s="295"/>
      <c r="I310" s="295"/>
      <c r="J310" s="295"/>
      <c r="K310" s="295"/>
      <c r="L310" s="295"/>
      <c r="M310" s="295"/>
      <c r="N310" s="295"/>
      <c r="O310" s="295"/>
      <c r="P310" s="295"/>
      <c r="Q310" s="295"/>
      <c r="R310" s="295"/>
      <c r="S310" s="295"/>
      <c r="T310" s="295"/>
      <c r="U310" s="295"/>
      <c r="V310" s="295"/>
      <c r="W310" s="295"/>
      <c r="X310" s="295"/>
      <c r="Y310" s="295"/>
    </row>
    <row r="311" spans="3:25" x14ac:dyDescent="0.25">
      <c r="C311" s="292"/>
      <c r="D311" s="295"/>
      <c r="E311" s="295"/>
      <c r="F311" s="295"/>
      <c r="G311" s="295"/>
      <c r="H311" s="295"/>
      <c r="I311" s="295"/>
      <c r="J311" s="295"/>
      <c r="K311" s="295"/>
      <c r="L311" s="295"/>
      <c r="M311" s="295"/>
      <c r="N311" s="295"/>
      <c r="O311" s="295"/>
      <c r="P311" s="295"/>
      <c r="Q311" s="295"/>
      <c r="R311" s="295"/>
      <c r="S311" s="295"/>
      <c r="T311" s="295"/>
      <c r="U311" s="295"/>
      <c r="V311" s="295"/>
      <c r="W311" s="295"/>
      <c r="X311" s="295"/>
      <c r="Y311" s="295"/>
    </row>
    <row r="312" spans="3:25" x14ac:dyDescent="0.25">
      <c r="C312" s="292"/>
      <c r="D312" s="295"/>
      <c r="E312" s="295"/>
      <c r="F312" s="295"/>
      <c r="G312" s="295"/>
      <c r="H312" s="295"/>
      <c r="I312" s="295"/>
      <c r="J312" s="295"/>
      <c r="K312" s="295"/>
      <c r="L312" s="295"/>
      <c r="M312" s="295"/>
      <c r="N312" s="295"/>
      <c r="O312" s="295"/>
      <c r="P312" s="295"/>
      <c r="Q312" s="295"/>
      <c r="R312" s="295"/>
      <c r="S312" s="295"/>
      <c r="T312" s="295"/>
      <c r="U312" s="295"/>
      <c r="V312" s="295"/>
      <c r="W312" s="295"/>
      <c r="X312" s="295"/>
      <c r="Y312" s="295"/>
    </row>
    <row r="313" spans="3:25" x14ac:dyDescent="0.25">
      <c r="C313" s="292"/>
      <c r="D313" s="295"/>
      <c r="E313" s="295"/>
      <c r="F313" s="295"/>
      <c r="G313" s="295"/>
      <c r="H313" s="295"/>
      <c r="I313" s="295"/>
      <c r="J313" s="295"/>
      <c r="K313" s="295"/>
      <c r="L313" s="295"/>
      <c r="M313" s="295"/>
      <c r="N313" s="295"/>
      <c r="O313" s="295"/>
      <c r="P313" s="295"/>
      <c r="Q313" s="295"/>
      <c r="R313" s="295"/>
      <c r="S313" s="295"/>
      <c r="T313" s="295"/>
      <c r="U313" s="295"/>
      <c r="V313" s="295"/>
      <c r="W313" s="295"/>
      <c r="X313" s="295"/>
      <c r="Y313" s="295"/>
    </row>
    <row r="314" spans="3:25" x14ac:dyDescent="0.25">
      <c r="C314" s="292"/>
      <c r="D314" s="295"/>
      <c r="E314" s="295"/>
      <c r="F314" s="295"/>
      <c r="G314" s="295"/>
      <c r="H314" s="295"/>
      <c r="I314" s="295"/>
      <c r="J314" s="295"/>
      <c r="K314" s="295"/>
      <c r="L314" s="295"/>
      <c r="M314" s="295"/>
      <c r="N314" s="295"/>
      <c r="O314" s="295"/>
      <c r="P314" s="295"/>
      <c r="Q314" s="295"/>
      <c r="R314" s="295"/>
      <c r="S314" s="295"/>
      <c r="T314" s="295"/>
      <c r="U314" s="295"/>
      <c r="V314" s="295"/>
      <c r="W314" s="295"/>
      <c r="X314" s="295"/>
      <c r="Y314" s="295"/>
    </row>
    <row r="315" spans="3:25" x14ac:dyDescent="0.25">
      <c r="C315" s="292"/>
      <c r="D315" s="295"/>
      <c r="E315" s="295"/>
      <c r="F315" s="295"/>
      <c r="G315" s="295"/>
      <c r="H315" s="295"/>
      <c r="I315" s="295"/>
      <c r="J315" s="295"/>
      <c r="K315" s="295"/>
      <c r="L315" s="295"/>
      <c r="M315" s="295"/>
      <c r="N315" s="295"/>
      <c r="O315" s="295"/>
      <c r="P315" s="295"/>
      <c r="Q315" s="295"/>
      <c r="R315" s="295"/>
      <c r="S315" s="295"/>
      <c r="T315" s="295"/>
      <c r="U315" s="295"/>
      <c r="V315" s="295"/>
      <c r="W315" s="295"/>
      <c r="X315" s="295"/>
      <c r="Y315" s="295"/>
    </row>
    <row r="316" spans="3:25" x14ac:dyDescent="0.25">
      <c r="C316" s="292"/>
      <c r="D316" s="295"/>
      <c r="E316" s="295"/>
      <c r="F316" s="295"/>
      <c r="G316" s="295"/>
      <c r="H316" s="295"/>
      <c r="I316" s="295"/>
      <c r="J316" s="295"/>
      <c r="K316" s="295"/>
      <c r="L316" s="295"/>
      <c r="M316" s="295"/>
      <c r="N316" s="295"/>
      <c r="O316" s="295"/>
      <c r="P316" s="295"/>
      <c r="Q316" s="295"/>
      <c r="R316" s="295"/>
      <c r="S316" s="295"/>
      <c r="T316" s="295"/>
      <c r="U316" s="295"/>
      <c r="V316" s="295"/>
      <c r="W316" s="295"/>
      <c r="X316" s="295"/>
      <c r="Y316" s="295"/>
    </row>
    <row r="317" spans="3:25" x14ac:dyDescent="0.25">
      <c r="C317" s="292"/>
      <c r="D317" s="295"/>
      <c r="E317" s="295"/>
      <c r="F317" s="295"/>
      <c r="G317" s="295"/>
      <c r="H317" s="295"/>
      <c r="I317" s="295"/>
      <c r="J317" s="295"/>
      <c r="K317" s="295"/>
      <c r="L317" s="295"/>
      <c r="M317" s="295"/>
      <c r="N317" s="295"/>
      <c r="O317" s="295"/>
      <c r="P317" s="295"/>
      <c r="Q317" s="295"/>
      <c r="R317" s="295"/>
      <c r="S317" s="295"/>
      <c r="T317" s="295"/>
      <c r="U317" s="295"/>
      <c r="V317" s="295"/>
      <c r="W317" s="295"/>
      <c r="X317" s="295"/>
      <c r="Y317" s="295"/>
    </row>
    <row r="318" spans="3:25" x14ac:dyDescent="0.25">
      <c r="C318" s="292"/>
      <c r="D318" s="295"/>
      <c r="E318" s="295"/>
      <c r="F318" s="295"/>
      <c r="G318" s="295"/>
      <c r="H318" s="295"/>
      <c r="I318" s="295"/>
      <c r="J318" s="295"/>
      <c r="K318" s="295"/>
      <c r="L318" s="295"/>
      <c r="M318" s="295"/>
      <c r="N318" s="295"/>
      <c r="O318" s="295"/>
      <c r="P318" s="295"/>
      <c r="Q318" s="295"/>
      <c r="R318" s="295"/>
      <c r="S318" s="295"/>
      <c r="T318" s="295"/>
      <c r="U318" s="295"/>
      <c r="V318" s="295"/>
      <c r="W318" s="295"/>
      <c r="X318" s="295"/>
      <c r="Y318" s="295"/>
    </row>
    <row r="319" spans="3:25" x14ac:dyDescent="0.25">
      <c r="C319" s="292"/>
      <c r="D319" s="295"/>
      <c r="E319" s="295"/>
      <c r="F319" s="295"/>
      <c r="G319" s="295"/>
      <c r="H319" s="295"/>
      <c r="I319" s="295"/>
      <c r="J319" s="295"/>
      <c r="K319" s="295"/>
      <c r="L319" s="295"/>
      <c r="M319" s="295"/>
      <c r="N319" s="295"/>
      <c r="O319" s="295"/>
      <c r="P319" s="295"/>
      <c r="Q319" s="295"/>
      <c r="R319" s="295"/>
      <c r="S319" s="295"/>
      <c r="T319" s="295"/>
      <c r="U319" s="295"/>
      <c r="V319" s="295"/>
      <c r="W319" s="295"/>
      <c r="X319" s="295"/>
      <c r="Y319" s="295"/>
    </row>
    <row r="320" spans="3:25" x14ac:dyDescent="0.25">
      <c r="C320" s="292"/>
      <c r="D320" s="295"/>
      <c r="E320" s="295"/>
      <c r="F320" s="295"/>
      <c r="G320" s="295"/>
      <c r="H320" s="295"/>
      <c r="I320" s="295"/>
      <c r="J320" s="295"/>
      <c r="K320" s="295"/>
      <c r="L320" s="295"/>
      <c r="M320" s="295"/>
      <c r="N320" s="295"/>
      <c r="O320" s="295"/>
      <c r="P320" s="295"/>
      <c r="Q320" s="295"/>
      <c r="R320" s="295"/>
      <c r="S320" s="295"/>
      <c r="T320" s="295"/>
      <c r="U320" s="295"/>
      <c r="V320" s="295"/>
      <c r="W320" s="295"/>
      <c r="X320" s="295"/>
      <c r="Y320" s="295"/>
    </row>
    <row r="321" spans="3:25" x14ac:dyDescent="0.25">
      <c r="C321" s="292"/>
      <c r="D321" s="295"/>
      <c r="E321" s="295"/>
      <c r="F321" s="295"/>
      <c r="G321" s="295"/>
      <c r="H321" s="295"/>
      <c r="I321" s="295"/>
      <c r="J321" s="295"/>
      <c r="K321" s="295"/>
      <c r="L321" s="295"/>
      <c r="M321" s="295"/>
      <c r="N321" s="295"/>
      <c r="O321" s="295"/>
      <c r="P321" s="295"/>
      <c r="Q321" s="295"/>
      <c r="R321" s="295"/>
      <c r="S321" s="295"/>
      <c r="T321" s="295"/>
      <c r="U321" s="295"/>
      <c r="V321" s="295"/>
      <c r="W321" s="295"/>
      <c r="X321" s="295"/>
      <c r="Y321" s="295"/>
    </row>
    <row r="322" spans="3:25" x14ac:dyDescent="0.25">
      <c r="C322" s="292"/>
      <c r="D322" s="295"/>
      <c r="E322" s="295"/>
      <c r="F322" s="295"/>
      <c r="G322" s="295"/>
      <c r="H322" s="295"/>
      <c r="I322" s="295"/>
      <c r="J322" s="295"/>
      <c r="K322" s="295"/>
      <c r="L322" s="295"/>
      <c r="M322" s="295"/>
      <c r="N322" s="295"/>
      <c r="O322" s="295"/>
      <c r="P322" s="295"/>
      <c r="Q322" s="295"/>
      <c r="R322" s="295"/>
      <c r="S322" s="295"/>
      <c r="T322" s="295"/>
      <c r="U322" s="295"/>
      <c r="V322" s="295"/>
      <c r="W322" s="295"/>
      <c r="X322" s="295"/>
      <c r="Y322" s="295"/>
    </row>
    <row r="323" spans="3:25" x14ac:dyDescent="0.25">
      <c r="C323" s="292"/>
      <c r="D323" s="295"/>
      <c r="E323" s="295"/>
      <c r="F323" s="295"/>
      <c r="G323" s="295"/>
      <c r="H323" s="295"/>
      <c r="I323" s="295"/>
      <c r="J323" s="295"/>
      <c r="K323" s="295"/>
      <c r="L323" s="295"/>
      <c r="M323" s="295"/>
      <c r="N323" s="295"/>
      <c r="O323" s="295"/>
      <c r="P323" s="295"/>
      <c r="Q323" s="295"/>
      <c r="R323" s="295"/>
      <c r="S323" s="295"/>
      <c r="T323" s="295"/>
      <c r="U323" s="295"/>
      <c r="V323" s="295"/>
      <c r="W323" s="295"/>
      <c r="X323" s="295"/>
      <c r="Y323" s="295"/>
    </row>
    <row r="324" spans="3:25" x14ac:dyDescent="0.25">
      <c r="C324" s="292"/>
      <c r="D324" s="295"/>
      <c r="E324" s="295"/>
      <c r="F324" s="295"/>
      <c r="G324" s="295"/>
      <c r="H324" s="295"/>
      <c r="I324" s="295"/>
      <c r="J324" s="295"/>
      <c r="K324" s="295"/>
      <c r="L324" s="295"/>
      <c r="M324" s="295"/>
      <c r="N324" s="295"/>
      <c r="O324" s="295"/>
      <c r="P324" s="295"/>
      <c r="Q324" s="295"/>
      <c r="R324" s="295"/>
      <c r="S324" s="295"/>
      <c r="T324" s="295"/>
      <c r="U324" s="295"/>
      <c r="V324" s="295"/>
      <c r="W324" s="295"/>
      <c r="X324" s="295"/>
      <c r="Y324" s="295"/>
    </row>
    <row r="325" spans="3:25" x14ac:dyDescent="0.25">
      <c r="C325" s="292"/>
      <c r="D325" s="295"/>
      <c r="E325" s="295"/>
      <c r="F325" s="295"/>
      <c r="G325" s="295"/>
      <c r="H325" s="295"/>
      <c r="I325" s="295"/>
      <c r="J325" s="295"/>
      <c r="K325" s="295"/>
      <c r="L325" s="295"/>
      <c r="M325" s="295"/>
      <c r="N325" s="295"/>
      <c r="O325" s="295"/>
      <c r="P325" s="295"/>
      <c r="Q325" s="295"/>
      <c r="R325" s="295"/>
      <c r="S325" s="295"/>
      <c r="T325" s="295"/>
      <c r="U325" s="295"/>
      <c r="V325" s="295"/>
      <c r="W325" s="295"/>
      <c r="X325" s="295"/>
      <c r="Y325" s="295"/>
    </row>
    <row r="326" spans="3:25" x14ac:dyDescent="0.25">
      <c r="C326" s="292"/>
      <c r="D326" s="295"/>
      <c r="E326" s="295"/>
      <c r="F326" s="295"/>
      <c r="G326" s="295"/>
      <c r="H326" s="295"/>
      <c r="I326" s="295"/>
      <c r="J326" s="295"/>
      <c r="K326" s="295"/>
      <c r="L326" s="295"/>
      <c r="M326" s="295"/>
      <c r="N326" s="295"/>
      <c r="O326" s="295"/>
      <c r="P326" s="295"/>
      <c r="Q326" s="295"/>
      <c r="R326" s="295"/>
      <c r="S326" s="295"/>
      <c r="T326" s="295"/>
      <c r="U326" s="295"/>
      <c r="V326" s="295"/>
      <c r="W326" s="295"/>
      <c r="X326" s="295"/>
      <c r="Y326" s="295"/>
    </row>
    <row r="327" spans="3:25" x14ac:dyDescent="0.25">
      <c r="C327" s="292"/>
      <c r="D327" s="295"/>
      <c r="E327" s="295"/>
      <c r="F327" s="295"/>
      <c r="G327" s="295"/>
      <c r="H327" s="295"/>
      <c r="I327" s="295"/>
      <c r="J327" s="295"/>
      <c r="K327" s="295"/>
      <c r="L327" s="295"/>
      <c r="M327" s="295"/>
      <c r="N327" s="295"/>
      <c r="O327" s="295"/>
      <c r="P327" s="295"/>
      <c r="Q327" s="295"/>
      <c r="R327" s="295"/>
      <c r="S327" s="295"/>
      <c r="T327" s="295"/>
      <c r="U327" s="295"/>
      <c r="V327" s="295"/>
      <c r="W327" s="295"/>
      <c r="X327" s="295"/>
      <c r="Y327" s="295"/>
    </row>
    <row r="328" spans="3:25" x14ac:dyDescent="0.25">
      <c r="C328" s="292"/>
      <c r="D328" s="295"/>
      <c r="E328" s="295"/>
      <c r="F328" s="295"/>
      <c r="G328" s="295"/>
      <c r="H328" s="295"/>
      <c r="I328" s="295"/>
      <c r="J328" s="295"/>
      <c r="K328" s="295"/>
      <c r="L328" s="295"/>
      <c r="M328" s="295"/>
      <c r="N328" s="295"/>
      <c r="O328" s="295"/>
      <c r="P328" s="295"/>
      <c r="Q328" s="295"/>
      <c r="R328" s="295"/>
      <c r="S328" s="295"/>
      <c r="T328" s="295"/>
      <c r="U328" s="295"/>
      <c r="V328" s="295"/>
      <c r="W328" s="295"/>
      <c r="X328" s="295"/>
      <c r="Y328" s="295"/>
    </row>
    <row r="329" spans="3:25" x14ac:dyDescent="0.25">
      <c r="C329" s="292"/>
      <c r="D329" s="295"/>
      <c r="E329" s="295"/>
      <c r="F329" s="295"/>
      <c r="G329" s="295"/>
      <c r="H329" s="295"/>
      <c r="I329" s="295"/>
      <c r="J329" s="295"/>
      <c r="K329" s="295"/>
      <c r="L329" s="295"/>
      <c r="M329" s="295"/>
      <c r="N329" s="295"/>
      <c r="O329" s="295"/>
      <c r="P329" s="295"/>
      <c r="Q329" s="295"/>
      <c r="R329" s="295"/>
      <c r="S329" s="295"/>
      <c r="T329" s="295"/>
      <c r="U329" s="295"/>
      <c r="V329" s="295"/>
      <c r="W329" s="295"/>
      <c r="X329" s="295"/>
      <c r="Y329" s="295"/>
    </row>
    <row r="330" spans="3:25" x14ac:dyDescent="0.25">
      <c r="C330" s="292"/>
      <c r="D330" s="295"/>
      <c r="E330" s="295"/>
      <c r="F330" s="295"/>
      <c r="G330" s="295"/>
      <c r="H330" s="295"/>
      <c r="I330" s="295"/>
      <c r="J330" s="295"/>
      <c r="K330" s="295"/>
      <c r="L330" s="295"/>
      <c r="M330" s="295"/>
      <c r="N330" s="295"/>
      <c r="O330" s="295"/>
      <c r="P330" s="295"/>
      <c r="Q330" s="295"/>
      <c r="R330" s="295"/>
      <c r="S330" s="295"/>
      <c r="T330" s="295"/>
      <c r="U330" s="295"/>
      <c r="V330" s="295"/>
      <c r="W330" s="295"/>
      <c r="X330" s="295"/>
      <c r="Y330" s="295"/>
    </row>
    <row r="331" spans="3:25" x14ac:dyDescent="0.25">
      <c r="C331" s="292"/>
      <c r="D331" s="295"/>
      <c r="E331" s="295"/>
      <c r="F331" s="295"/>
      <c r="G331" s="295"/>
      <c r="H331" s="295"/>
      <c r="I331" s="295"/>
      <c r="J331" s="295"/>
      <c r="K331" s="295"/>
      <c r="L331" s="295"/>
      <c r="M331" s="295"/>
      <c r="N331" s="295"/>
      <c r="O331" s="295"/>
      <c r="P331" s="295"/>
      <c r="Q331" s="295"/>
      <c r="R331" s="295"/>
      <c r="S331" s="295"/>
      <c r="T331" s="295"/>
      <c r="U331" s="295"/>
      <c r="V331" s="295"/>
      <c r="W331" s="295"/>
      <c r="X331" s="295"/>
      <c r="Y331" s="295"/>
    </row>
    <row r="332" spans="3:25" x14ac:dyDescent="0.25">
      <c r="C332" s="292"/>
      <c r="D332" s="295"/>
      <c r="E332" s="295"/>
      <c r="F332" s="295"/>
      <c r="G332" s="295"/>
      <c r="H332" s="295"/>
      <c r="I332" s="295"/>
      <c r="J332" s="295"/>
      <c r="K332" s="295"/>
      <c r="L332" s="295"/>
      <c r="M332" s="295"/>
      <c r="N332" s="295"/>
      <c r="O332" s="295"/>
      <c r="P332" s="295"/>
      <c r="Q332" s="295"/>
      <c r="R332" s="295"/>
      <c r="S332" s="295"/>
      <c r="T332" s="295"/>
      <c r="U332" s="295"/>
      <c r="V332" s="295"/>
      <c r="W332" s="295"/>
      <c r="X332" s="295"/>
      <c r="Y332" s="295"/>
    </row>
    <row r="333" spans="3:25" x14ac:dyDescent="0.25">
      <c r="C333" s="292"/>
      <c r="D333" s="295"/>
      <c r="E333" s="295"/>
      <c r="F333" s="295"/>
      <c r="G333" s="295"/>
      <c r="H333" s="295"/>
      <c r="I333" s="295"/>
      <c r="J333" s="295"/>
      <c r="K333" s="295"/>
      <c r="L333" s="295"/>
      <c r="M333" s="295"/>
      <c r="N333" s="295"/>
      <c r="O333" s="295"/>
      <c r="P333" s="295"/>
      <c r="Q333" s="295"/>
      <c r="R333" s="295"/>
      <c r="S333" s="295"/>
      <c r="T333" s="295"/>
      <c r="U333" s="295"/>
      <c r="V333" s="295"/>
      <c r="W333" s="295"/>
      <c r="X333" s="295"/>
      <c r="Y333" s="295"/>
    </row>
    <row r="334" spans="3:25" x14ac:dyDescent="0.25">
      <c r="C334" s="292"/>
      <c r="D334" s="295"/>
      <c r="E334" s="295"/>
      <c r="F334" s="295"/>
      <c r="G334" s="295"/>
      <c r="H334" s="295"/>
      <c r="I334" s="295"/>
      <c r="J334" s="295"/>
      <c r="K334" s="295"/>
      <c r="L334" s="295"/>
      <c r="M334" s="295"/>
      <c r="N334" s="295"/>
      <c r="O334" s="295"/>
      <c r="P334" s="295"/>
      <c r="Q334" s="295"/>
      <c r="R334" s="295"/>
      <c r="S334" s="295"/>
      <c r="T334" s="295"/>
      <c r="U334" s="295"/>
      <c r="V334" s="295"/>
      <c r="W334" s="295"/>
      <c r="X334" s="295"/>
      <c r="Y334" s="295"/>
    </row>
    <row r="335" spans="3:25" x14ac:dyDescent="0.25">
      <c r="C335" s="292"/>
      <c r="D335" s="295"/>
      <c r="E335" s="295"/>
      <c r="F335" s="295"/>
      <c r="G335" s="295"/>
      <c r="H335" s="295"/>
      <c r="I335" s="295"/>
      <c r="J335" s="295"/>
      <c r="K335" s="295"/>
      <c r="L335" s="295"/>
      <c r="M335" s="295"/>
      <c r="N335" s="295"/>
      <c r="O335" s="295"/>
      <c r="P335" s="295"/>
      <c r="Q335" s="295"/>
      <c r="R335" s="295"/>
      <c r="S335" s="295"/>
      <c r="T335" s="295"/>
      <c r="U335" s="295"/>
      <c r="V335" s="295"/>
      <c r="W335" s="295"/>
      <c r="X335" s="295"/>
      <c r="Y335" s="295"/>
    </row>
    <row r="336" spans="3:25" x14ac:dyDescent="0.25">
      <c r="C336" s="292"/>
      <c r="D336" s="295"/>
      <c r="E336" s="295"/>
      <c r="F336" s="295"/>
      <c r="G336" s="295"/>
      <c r="H336" s="295"/>
      <c r="I336" s="295"/>
      <c r="J336" s="295"/>
      <c r="K336" s="295"/>
      <c r="L336" s="295"/>
      <c r="M336" s="295"/>
      <c r="N336" s="295"/>
      <c r="O336" s="295"/>
      <c r="P336" s="295"/>
      <c r="Q336" s="295"/>
      <c r="R336" s="295"/>
      <c r="S336" s="295"/>
      <c r="T336" s="295"/>
      <c r="U336" s="295"/>
      <c r="V336" s="295"/>
      <c r="W336" s="295"/>
      <c r="X336" s="295"/>
      <c r="Y336" s="295"/>
    </row>
    <row r="337" spans="3:25" x14ac:dyDescent="0.25">
      <c r="C337" s="292"/>
      <c r="D337" s="295"/>
      <c r="E337" s="295"/>
      <c r="F337" s="295"/>
      <c r="G337" s="295"/>
      <c r="H337" s="295"/>
      <c r="I337" s="295"/>
      <c r="J337" s="295"/>
      <c r="K337" s="295"/>
      <c r="L337" s="295"/>
      <c r="M337" s="295"/>
      <c r="N337" s="295"/>
      <c r="O337" s="295"/>
      <c r="P337" s="295"/>
      <c r="Q337" s="295"/>
      <c r="R337" s="295"/>
      <c r="S337" s="295"/>
      <c r="T337" s="295"/>
      <c r="U337" s="295"/>
      <c r="V337" s="295"/>
      <c r="W337" s="295"/>
      <c r="X337" s="295"/>
      <c r="Y337" s="295"/>
    </row>
    <row r="338" spans="3:25" x14ac:dyDescent="0.25">
      <c r="C338" s="292"/>
      <c r="D338" s="295"/>
      <c r="E338" s="295"/>
      <c r="F338" s="295"/>
      <c r="G338" s="295"/>
      <c r="H338" s="295"/>
      <c r="I338" s="295"/>
      <c r="J338" s="295"/>
      <c r="K338" s="295"/>
      <c r="L338" s="295"/>
      <c r="M338" s="295"/>
      <c r="N338" s="295"/>
      <c r="O338" s="295"/>
      <c r="P338" s="295"/>
      <c r="Q338" s="295"/>
      <c r="R338" s="295"/>
      <c r="S338" s="295"/>
      <c r="T338" s="295"/>
      <c r="U338" s="295"/>
      <c r="V338" s="295"/>
      <c r="W338" s="295"/>
      <c r="X338" s="295"/>
      <c r="Y338" s="295"/>
    </row>
    <row r="339" spans="3:25" x14ac:dyDescent="0.25">
      <c r="C339" s="292"/>
      <c r="D339" s="295"/>
      <c r="E339" s="295"/>
      <c r="F339" s="295"/>
      <c r="G339" s="295"/>
      <c r="H339" s="295"/>
      <c r="I339" s="295"/>
      <c r="J339" s="295"/>
      <c r="K339" s="295"/>
      <c r="L339" s="295"/>
      <c r="M339" s="295"/>
      <c r="N339" s="295"/>
      <c r="O339" s="295"/>
      <c r="P339" s="295"/>
      <c r="Q339" s="295"/>
      <c r="R339" s="295"/>
      <c r="S339" s="295"/>
      <c r="T339" s="295"/>
      <c r="U339" s="295"/>
      <c r="V339" s="295"/>
      <c r="W339" s="295"/>
      <c r="X339" s="295"/>
      <c r="Y339" s="295"/>
    </row>
    <row r="340" spans="3:25" x14ac:dyDescent="0.25">
      <c r="C340" s="292"/>
      <c r="D340" s="295"/>
      <c r="E340" s="295"/>
      <c r="F340" s="295"/>
      <c r="G340" s="295"/>
      <c r="H340" s="295"/>
      <c r="I340" s="295"/>
      <c r="J340" s="295"/>
      <c r="K340" s="295"/>
      <c r="L340" s="295"/>
      <c r="M340" s="295"/>
      <c r="N340" s="295"/>
      <c r="O340" s="295"/>
      <c r="P340" s="295"/>
      <c r="Q340" s="295"/>
      <c r="R340" s="295"/>
      <c r="S340" s="295"/>
      <c r="T340" s="295"/>
      <c r="U340" s="295"/>
      <c r="V340" s="295"/>
      <c r="W340" s="295"/>
      <c r="X340" s="295"/>
      <c r="Y340" s="295"/>
    </row>
    <row r="341" spans="3:25" x14ac:dyDescent="0.25">
      <c r="C341" s="292"/>
      <c r="D341" s="295"/>
      <c r="E341" s="295"/>
      <c r="F341" s="295"/>
      <c r="G341" s="295"/>
      <c r="H341" s="295"/>
      <c r="I341" s="295"/>
      <c r="J341" s="295"/>
      <c r="K341" s="295"/>
      <c r="L341" s="295"/>
      <c r="M341" s="295"/>
      <c r="N341" s="295"/>
      <c r="O341" s="295"/>
      <c r="P341" s="295"/>
      <c r="Q341" s="295"/>
      <c r="R341" s="295"/>
      <c r="S341" s="295"/>
      <c r="T341" s="295"/>
      <c r="U341" s="295"/>
      <c r="V341" s="295"/>
      <c r="W341" s="295"/>
      <c r="X341" s="295"/>
      <c r="Y341" s="295"/>
    </row>
    <row r="342" spans="3:25" x14ac:dyDescent="0.25">
      <c r="C342" s="292"/>
      <c r="D342" s="295"/>
      <c r="E342" s="295"/>
      <c r="F342" s="295"/>
      <c r="G342" s="295"/>
      <c r="H342" s="295"/>
      <c r="I342" s="295"/>
      <c r="J342" s="295"/>
      <c r="K342" s="295"/>
      <c r="L342" s="295"/>
      <c r="M342" s="295"/>
      <c r="N342" s="295"/>
      <c r="O342" s="295"/>
      <c r="P342" s="295"/>
      <c r="Q342" s="295"/>
      <c r="R342" s="295"/>
      <c r="S342" s="295"/>
      <c r="T342" s="295"/>
      <c r="U342" s="295"/>
      <c r="V342" s="295"/>
      <c r="W342" s="295"/>
      <c r="X342" s="295"/>
      <c r="Y342" s="295"/>
    </row>
    <row r="343" spans="3:25" x14ac:dyDescent="0.25">
      <c r="C343" s="292"/>
      <c r="D343" s="295"/>
      <c r="E343" s="295"/>
      <c r="F343" s="295"/>
      <c r="G343" s="295"/>
      <c r="H343" s="295"/>
      <c r="I343" s="295"/>
      <c r="J343" s="295"/>
      <c r="K343" s="295"/>
      <c r="L343" s="295"/>
      <c r="M343" s="295"/>
      <c r="N343" s="295"/>
      <c r="O343" s="295"/>
      <c r="P343" s="295"/>
      <c r="Q343" s="295"/>
      <c r="R343" s="295"/>
      <c r="S343" s="295"/>
      <c r="T343" s="295"/>
      <c r="U343" s="295"/>
      <c r="V343" s="295"/>
      <c r="W343" s="295"/>
      <c r="X343" s="295"/>
      <c r="Y343" s="295"/>
    </row>
    <row r="344" spans="3:25" x14ac:dyDescent="0.25">
      <c r="C344" s="292"/>
      <c r="D344" s="295"/>
      <c r="E344" s="295"/>
      <c r="F344" s="295"/>
      <c r="G344" s="295"/>
      <c r="H344" s="295"/>
      <c r="I344" s="295"/>
      <c r="J344" s="295"/>
      <c r="K344" s="295"/>
      <c r="L344" s="295"/>
      <c r="M344" s="295"/>
      <c r="N344" s="295"/>
      <c r="O344" s="295"/>
      <c r="P344" s="295"/>
      <c r="Q344" s="295"/>
      <c r="R344" s="295"/>
      <c r="S344" s="295"/>
      <c r="T344" s="295"/>
      <c r="U344" s="295"/>
      <c r="V344" s="295"/>
      <c r="W344" s="295"/>
      <c r="X344" s="295"/>
      <c r="Y344" s="295"/>
    </row>
    <row r="345" spans="3:25" x14ac:dyDescent="0.25">
      <c r="C345" s="292"/>
      <c r="D345" s="295"/>
      <c r="E345" s="295"/>
      <c r="F345" s="295"/>
      <c r="G345" s="295"/>
      <c r="H345" s="295"/>
      <c r="I345" s="295"/>
      <c r="J345" s="295"/>
      <c r="K345" s="295"/>
      <c r="L345" s="295"/>
      <c r="M345" s="295"/>
      <c r="N345" s="295"/>
      <c r="O345" s="295"/>
      <c r="P345" s="295"/>
      <c r="Q345" s="295"/>
      <c r="R345" s="295"/>
      <c r="S345" s="295"/>
      <c r="T345" s="295"/>
      <c r="U345" s="295"/>
      <c r="V345" s="295"/>
      <c r="W345" s="295"/>
      <c r="X345" s="295"/>
      <c r="Y345" s="295"/>
    </row>
    <row r="346" spans="3:25" x14ac:dyDescent="0.25">
      <c r="C346" s="292"/>
      <c r="D346" s="295"/>
      <c r="E346" s="295"/>
      <c r="F346" s="295"/>
      <c r="G346" s="295"/>
      <c r="H346" s="295"/>
      <c r="I346" s="295"/>
      <c r="J346" s="295"/>
      <c r="K346" s="295"/>
      <c r="L346" s="295"/>
      <c r="M346" s="295"/>
      <c r="N346" s="295"/>
      <c r="O346" s="295"/>
      <c r="P346" s="295"/>
      <c r="Q346" s="295"/>
      <c r="R346" s="295"/>
      <c r="S346" s="295"/>
      <c r="T346" s="295"/>
      <c r="U346" s="295"/>
      <c r="V346" s="295"/>
      <c r="W346" s="295"/>
      <c r="X346" s="295"/>
      <c r="Y346" s="295"/>
    </row>
    <row r="347" spans="3:25" x14ac:dyDescent="0.25">
      <c r="C347" s="292"/>
      <c r="D347" s="295"/>
      <c r="E347" s="295"/>
      <c r="F347" s="295"/>
      <c r="G347" s="295"/>
      <c r="H347" s="295"/>
      <c r="I347" s="295"/>
      <c r="J347" s="295"/>
      <c r="K347" s="295"/>
      <c r="L347" s="295"/>
      <c r="M347" s="295"/>
      <c r="N347" s="295"/>
      <c r="O347" s="295"/>
      <c r="P347" s="295"/>
      <c r="Q347" s="295"/>
      <c r="R347" s="295"/>
      <c r="S347" s="295"/>
      <c r="T347" s="295"/>
      <c r="U347" s="295"/>
      <c r="V347" s="295"/>
      <c r="W347" s="295"/>
      <c r="X347" s="295"/>
      <c r="Y347" s="295"/>
    </row>
    <row r="348" spans="3:25" x14ac:dyDescent="0.25">
      <c r="C348" s="292"/>
      <c r="D348" s="295"/>
      <c r="E348" s="295"/>
      <c r="F348" s="295"/>
      <c r="G348" s="295"/>
      <c r="H348" s="295"/>
      <c r="I348" s="295"/>
      <c r="J348" s="295"/>
      <c r="K348" s="295"/>
      <c r="L348" s="295"/>
      <c r="M348" s="295"/>
      <c r="N348" s="295"/>
      <c r="O348" s="295"/>
      <c r="P348" s="295"/>
      <c r="Q348" s="295"/>
      <c r="R348" s="295"/>
      <c r="S348" s="295"/>
      <c r="T348" s="295"/>
      <c r="U348" s="295"/>
      <c r="V348" s="295"/>
      <c r="W348" s="295"/>
      <c r="X348" s="295"/>
      <c r="Y348" s="295"/>
    </row>
    <row r="349" spans="3:25" x14ac:dyDescent="0.25">
      <c r="C349" s="292"/>
      <c r="D349" s="295"/>
      <c r="E349" s="295"/>
      <c r="F349" s="295"/>
      <c r="G349" s="295"/>
      <c r="H349" s="295"/>
      <c r="I349" s="295"/>
      <c r="J349" s="295"/>
      <c r="K349" s="295"/>
      <c r="L349" s="295"/>
      <c r="M349" s="295"/>
      <c r="N349" s="295"/>
      <c r="O349" s="295"/>
      <c r="P349" s="295"/>
      <c r="Q349" s="295"/>
      <c r="R349" s="295"/>
      <c r="S349" s="295"/>
      <c r="T349" s="295"/>
      <c r="U349" s="295"/>
      <c r="V349" s="295"/>
      <c r="W349" s="295"/>
      <c r="X349" s="295"/>
      <c r="Y349" s="295"/>
    </row>
    <row r="350" spans="3:25" x14ac:dyDescent="0.25">
      <c r="C350" s="292"/>
      <c r="D350" s="295"/>
      <c r="E350" s="295"/>
      <c r="F350" s="295"/>
      <c r="G350" s="295"/>
      <c r="H350" s="295"/>
      <c r="I350" s="295"/>
      <c r="J350" s="295"/>
      <c r="K350" s="295"/>
      <c r="L350" s="295"/>
      <c r="M350" s="295"/>
      <c r="N350" s="295"/>
      <c r="O350" s="295"/>
      <c r="P350" s="295"/>
      <c r="Q350" s="295"/>
      <c r="R350" s="295"/>
      <c r="S350" s="295"/>
      <c r="T350" s="295"/>
      <c r="U350" s="295"/>
      <c r="V350" s="295"/>
      <c r="W350" s="295"/>
      <c r="X350" s="295"/>
      <c r="Y350" s="295"/>
    </row>
    <row r="351" spans="3:25" x14ac:dyDescent="0.25">
      <c r="C351" s="292"/>
      <c r="D351" s="295"/>
      <c r="E351" s="295"/>
      <c r="F351" s="295"/>
      <c r="G351" s="295"/>
      <c r="H351" s="295"/>
      <c r="I351" s="295"/>
      <c r="J351" s="295"/>
      <c r="K351" s="295"/>
      <c r="L351" s="295"/>
      <c r="M351" s="295"/>
      <c r="N351" s="295"/>
      <c r="O351" s="295"/>
      <c r="P351" s="295"/>
      <c r="Q351" s="295"/>
      <c r="R351" s="295"/>
      <c r="S351" s="295"/>
      <c r="T351" s="295"/>
      <c r="U351" s="295"/>
      <c r="V351" s="295"/>
      <c r="W351" s="295"/>
      <c r="X351" s="295"/>
      <c r="Y351" s="295"/>
    </row>
    <row r="352" spans="3:25" x14ac:dyDescent="0.25">
      <c r="C352" s="292"/>
      <c r="D352" s="295"/>
      <c r="E352" s="295"/>
      <c r="F352" s="295"/>
      <c r="G352" s="295"/>
      <c r="H352" s="295"/>
      <c r="I352" s="295"/>
      <c r="J352" s="295"/>
      <c r="K352" s="295"/>
      <c r="L352" s="295"/>
      <c r="M352" s="295"/>
      <c r="N352" s="295"/>
      <c r="O352" s="295"/>
      <c r="P352" s="295"/>
      <c r="Q352" s="295"/>
      <c r="R352" s="295"/>
      <c r="S352" s="295"/>
      <c r="T352" s="295"/>
      <c r="U352" s="295"/>
      <c r="V352" s="295"/>
      <c r="W352" s="295"/>
      <c r="X352" s="295"/>
      <c r="Y352" s="295"/>
    </row>
    <row r="353" spans="3:25" x14ac:dyDescent="0.25">
      <c r="C353" s="292"/>
      <c r="D353" s="295"/>
      <c r="E353" s="295"/>
      <c r="F353" s="295"/>
      <c r="G353" s="295"/>
      <c r="H353" s="295"/>
      <c r="I353" s="295"/>
      <c r="J353" s="295"/>
      <c r="K353" s="295"/>
      <c r="L353" s="295"/>
      <c r="M353" s="295"/>
      <c r="N353" s="295"/>
      <c r="O353" s="295"/>
      <c r="P353" s="295"/>
      <c r="Q353" s="295"/>
      <c r="R353" s="295"/>
      <c r="S353" s="295"/>
      <c r="T353" s="295"/>
      <c r="U353" s="295"/>
      <c r="V353" s="295"/>
      <c r="W353" s="295"/>
      <c r="X353" s="295"/>
      <c r="Y353" s="295"/>
    </row>
    <row r="354" spans="3:25" x14ac:dyDescent="0.25">
      <c r="C354" s="292"/>
      <c r="D354" s="295"/>
      <c r="E354" s="295"/>
      <c r="F354" s="295"/>
      <c r="G354" s="295"/>
      <c r="H354" s="295"/>
      <c r="I354" s="295"/>
      <c r="J354" s="295"/>
      <c r="K354" s="295"/>
      <c r="L354" s="295"/>
      <c r="M354" s="295"/>
      <c r="N354" s="295"/>
      <c r="O354" s="295"/>
      <c r="P354" s="295"/>
      <c r="Q354" s="295"/>
      <c r="R354" s="295"/>
      <c r="S354" s="295"/>
      <c r="T354" s="295"/>
      <c r="U354" s="295"/>
      <c r="V354" s="295"/>
      <c r="W354" s="295"/>
      <c r="X354" s="295"/>
      <c r="Y354" s="295"/>
    </row>
    <row r="355" spans="3:25" x14ac:dyDescent="0.25">
      <c r="C355" s="292"/>
      <c r="D355" s="295"/>
      <c r="E355" s="295"/>
      <c r="F355" s="295"/>
      <c r="G355" s="295"/>
      <c r="H355" s="295"/>
      <c r="I355" s="295"/>
      <c r="J355" s="295"/>
      <c r="K355" s="295"/>
      <c r="L355" s="295"/>
      <c r="M355" s="295"/>
      <c r="N355" s="295"/>
      <c r="O355" s="295"/>
      <c r="P355" s="295"/>
      <c r="Q355" s="295"/>
      <c r="R355" s="295"/>
      <c r="S355" s="295"/>
      <c r="T355" s="295"/>
      <c r="U355" s="295"/>
      <c r="V355" s="295"/>
      <c r="W355" s="295"/>
      <c r="X355" s="295"/>
      <c r="Y355" s="295"/>
    </row>
    <row r="356" spans="3:25" x14ac:dyDescent="0.25">
      <c r="C356" s="292"/>
      <c r="D356" s="295"/>
      <c r="E356" s="295"/>
      <c r="F356" s="295"/>
      <c r="G356" s="295"/>
      <c r="H356" s="295"/>
      <c r="I356" s="295"/>
      <c r="J356" s="295"/>
      <c r="K356" s="295"/>
      <c r="L356" s="295"/>
      <c r="M356" s="295"/>
      <c r="N356" s="295"/>
      <c r="O356" s="295"/>
      <c r="P356" s="295"/>
      <c r="Q356" s="295"/>
      <c r="R356" s="295"/>
      <c r="S356" s="295"/>
      <c r="T356" s="295"/>
      <c r="U356" s="295"/>
      <c r="V356" s="295"/>
      <c r="W356" s="295"/>
      <c r="X356" s="295"/>
      <c r="Y356" s="295"/>
    </row>
    <row r="357" spans="3:25" x14ac:dyDescent="0.25">
      <c r="C357" s="292"/>
      <c r="D357" s="295"/>
      <c r="E357" s="295"/>
      <c r="F357" s="295"/>
      <c r="G357" s="295"/>
      <c r="H357" s="295"/>
      <c r="I357" s="295"/>
      <c r="J357" s="295"/>
      <c r="K357" s="295"/>
      <c r="L357" s="295"/>
      <c r="M357" s="295"/>
      <c r="N357" s="295"/>
      <c r="O357" s="295"/>
      <c r="P357" s="295"/>
      <c r="Q357" s="295"/>
      <c r="R357" s="295"/>
      <c r="S357" s="295"/>
      <c r="T357" s="295"/>
      <c r="U357" s="295"/>
      <c r="V357" s="295"/>
      <c r="W357" s="295"/>
      <c r="X357" s="295"/>
      <c r="Y357" s="295"/>
    </row>
    <row r="358" spans="3:25" x14ac:dyDescent="0.25">
      <c r="C358" s="292"/>
      <c r="D358" s="295"/>
      <c r="E358" s="295"/>
      <c r="F358" s="295"/>
      <c r="G358" s="295"/>
      <c r="H358" s="295"/>
      <c r="I358" s="295"/>
      <c r="J358" s="295"/>
      <c r="K358" s="295"/>
      <c r="L358" s="295"/>
      <c r="M358" s="295"/>
      <c r="N358" s="295"/>
      <c r="O358" s="295"/>
      <c r="P358" s="295"/>
      <c r="Q358" s="295"/>
      <c r="R358" s="295"/>
      <c r="S358" s="295"/>
      <c r="T358" s="295"/>
      <c r="U358" s="295"/>
      <c r="V358" s="295"/>
      <c r="W358" s="295"/>
      <c r="X358" s="295"/>
      <c r="Y358" s="295"/>
    </row>
    <row r="359" spans="3:25" x14ac:dyDescent="0.25">
      <c r="C359" s="292"/>
      <c r="D359" s="295"/>
      <c r="E359" s="295"/>
      <c r="F359" s="295"/>
      <c r="G359" s="295"/>
      <c r="H359" s="295"/>
      <c r="I359" s="295"/>
      <c r="J359" s="295"/>
      <c r="K359" s="295"/>
      <c r="L359" s="295"/>
      <c r="M359" s="295"/>
      <c r="N359" s="295"/>
      <c r="O359" s="295"/>
      <c r="P359" s="295"/>
      <c r="Q359" s="295"/>
      <c r="R359" s="295"/>
      <c r="S359" s="295"/>
      <c r="T359" s="295"/>
      <c r="U359" s="295"/>
      <c r="V359" s="295"/>
      <c r="W359" s="295"/>
      <c r="X359" s="295"/>
      <c r="Y359" s="295"/>
    </row>
    <row r="360" spans="3:25" x14ac:dyDescent="0.25">
      <c r="C360" s="292"/>
      <c r="D360" s="295"/>
      <c r="E360" s="295"/>
      <c r="F360" s="295"/>
      <c r="G360" s="295"/>
      <c r="H360" s="295"/>
      <c r="I360" s="295"/>
      <c r="J360" s="295"/>
      <c r="K360" s="295"/>
      <c r="L360" s="295"/>
      <c r="M360" s="295"/>
      <c r="N360" s="295"/>
      <c r="O360" s="295"/>
      <c r="P360" s="295"/>
      <c r="Q360" s="295"/>
      <c r="R360" s="295"/>
      <c r="S360" s="295"/>
      <c r="T360" s="295"/>
      <c r="U360" s="295"/>
      <c r="V360" s="295"/>
      <c r="W360" s="295"/>
      <c r="X360" s="295"/>
      <c r="Y360" s="295"/>
    </row>
    <row r="361" spans="3:25" x14ac:dyDescent="0.25">
      <c r="C361" s="292"/>
      <c r="D361" s="295"/>
      <c r="E361" s="295"/>
      <c r="F361" s="295"/>
      <c r="G361" s="295"/>
      <c r="H361" s="295"/>
      <c r="I361" s="295"/>
      <c r="J361" s="295"/>
      <c r="K361" s="295"/>
      <c r="L361" s="295"/>
      <c r="M361" s="295"/>
      <c r="N361" s="295"/>
      <c r="O361" s="295"/>
      <c r="P361" s="295"/>
      <c r="Q361" s="295"/>
      <c r="R361" s="295"/>
      <c r="S361" s="295"/>
      <c r="T361" s="295"/>
      <c r="U361" s="295"/>
      <c r="V361" s="295"/>
      <c r="W361" s="295"/>
      <c r="X361" s="295"/>
      <c r="Y361" s="295"/>
    </row>
    <row r="362" spans="3:25" x14ac:dyDescent="0.25">
      <c r="C362" s="292"/>
      <c r="D362" s="295"/>
      <c r="E362" s="295"/>
      <c r="F362" s="295"/>
      <c r="G362" s="295"/>
      <c r="H362" s="295"/>
      <c r="I362" s="295"/>
      <c r="J362" s="295"/>
      <c r="K362" s="295"/>
      <c r="L362" s="295"/>
      <c r="M362" s="295"/>
      <c r="N362" s="295"/>
      <c r="O362" s="295"/>
      <c r="P362" s="295"/>
      <c r="Q362" s="295"/>
      <c r="R362" s="295"/>
      <c r="S362" s="295"/>
      <c r="T362" s="295"/>
      <c r="U362" s="295"/>
      <c r="V362" s="295"/>
      <c r="W362" s="295"/>
      <c r="X362" s="295"/>
      <c r="Y362" s="295"/>
    </row>
    <row r="363" spans="3:25" x14ac:dyDescent="0.25">
      <c r="C363" s="292"/>
      <c r="D363" s="295"/>
      <c r="E363" s="295"/>
      <c r="F363" s="295"/>
      <c r="G363" s="295"/>
      <c r="H363" s="295"/>
      <c r="I363" s="295"/>
      <c r="J363" s="295"/>
      <c r="K363" s="295"/>
      <c r="L363" s="295"/>
      <c r="M363" s="295"/>
      <c r="N363" s="295"/>
      <c r="O363" s="295"/>
      <c r="P363" s="295"/>
      <c r="Q363" s="295"/>
      <c r="R363" s="295"/>
      <c r="S363" s="295"/>
      <c r="T363" s="295"/>
      <c r="U363" s="295"/>
      <c r="V363" s="295"/>
      <c r="W363" s="295"/>
      <c r="X363" s="295"/>
      <c r="Y363" s="295"/>
    </row>
    <row r="364" spans="3:25" x14ac:dyDescent="0.25">
      <c r="C364" s="292"/>
      <c r="D364" s="295"/>
      <c r="E364" s="295"/>
      <c r="F364" s="295"/>
      <c r="G364" s="295"/>
      <c r="H364" s="295"/>
      <c r="I364" s="295"/>
      <c r="J364" s="295"/>
      <c r="K364" s="295"/>
      <c r="L364" s="295"/>
      <c r="M364" s="295"/>
      <c r="N364" s="295"/>
      <c r="O364" s="295"/>
      <c r="P364" s="295"/>
      <c r="Q364" s="295"/>
      <c r="R364" s="295"/>
      <c r="S364" s="295"/>
      <c r="T364" s="295"/>
      <c r="U364" s="295"/>
      <c r="V364" s="295"/>
      <c r="W364" s="295"/>
      <c r="X364" s="295"/>
      <c r="Y364" s="295"/>
    </row>
    <row r="365" spans="3:25" x14ac:dyDescent="0.25">
      <c r="C365" s="292"/>
      <c r="D365" s="295"/>
      <c r="E365" s="295"/>
      <c r="F365" s="295"/>
      <c r="G365" s="295"/>
      <c r="H365" s="295"/>
      <c r="I365" s="295"/>
      <c r="J365" s="295"/>
      <c r="K365" s="295"/>
      <c r="L365" s="295"/>
      <c r="M365" s="295"/>
      <c r="N365" s="295"/>
      <c r="O365" s="295"/>
      <c r="P365" s="295"/>
      <c r="Q365" s="295"/>
      <c r="R365" s="295"/>
      <c r="S365" s="295"/>
      <c r="T365" s="295"/>
      <c r="U365" s="295"/>
      <c r="V365" s="295"/>
      <c r="W365" s="295"/>
      <c r="X365" s="295"/>
      <c r="Y365" s="295"/>
    </row>
    <row r="366" spans="3:25" x14ac:dyDescent="0.25">
      <c r="C366" s="292"/>
      <c r="D366" s="295"/>
      <c r="E366" s="295"/>
      <c r="F366" s="295"/>
      <c r="G366" s="295"/>
      <c r="H366" s="295"/>
      <c r="I366" s="295"/>
      <c r="J366" s="295"/>
      <c r="K366" s="295"/>
      <c r="L366" s="295"/>
      <c r="M366" s="295"/>
      <c r="N366" s="295"/>
      <c r="O366" s="295"/>
      <c r="P366" s="295"/>
      <c r="Q366" s="295"/>
      <c r="R366" s="295"/>
      <c r="S366" s="295"/>
      <c r="T366" s="295"/>
      <c r="U366" s="295"/>
      <c r="V366" s="295"/>
      <c r="W366" s="295"/>
      <c r="X366" s="295"/>
      <c r="Y366" s="295"/>
    </row>
    <row r="367" spans="3:25" x14ac:dyDescent="0.25">
      <c r="C367" s="292"/>
      <c r="D367" s="295"/>
      <c r="E367" s="295"/>
      <c r="F367" s="295"/>
      <c r="G367" s="295"/>
      <c r="H367" s="295"/>
      <c r="I367" s="295"/>
      <c r="J367" s="295"/>
      <c r="K367" s="295"/>
      <c r="L367" s="295"/>
      <c r="M367" s="295"/>
      <c r="N367" s="295"/>
      <c r="O367" s="295"/>
      <c r="P367" s="295"/>
      <c r="Q367" s="295"/>
      <c r="R367" s="295"/>
      <c r="S367" s="295"/>
      <c r="T367" s="295"/>
      <c r="U367" s="295"/>
      <c r="V367" s="295"/>
      <c r="W367" s="295"/>
      <c r="X367" s="295"/>
      <c r="Y367" s="295"/>
    </row>
    <row r="368" spans="3:25" x14ac:dyDescent="0.25">
      <c r="C368" s="292"/>
      <c r="D368" s="295"/>
      <c r="E368" s="295"/>
      <c r="F368" s="295"/>
      <c r="G368" s="295"/>
      <c r="H368" s="295"/>
      <c r="I368" s="295"/>
      <c r="J368" s="295"/>
      <c r="K368" s="295"/>
      <c r="L368" s="295"/>
      <c r="M368" s="295"/>
      <c r="N368" s="295"/>
      <c r="O368" s="295"/>
      <c r="P368" s="295"/>
      <c r="Q368" s="295"/>
      <c r="R368" s="295"/>
      <c r="S368" s="295"/>
      <c r="T368" s="295"/>
      <c r="U368" s="295"/>
      <c r="V368" s="295"/>
      <c r="W368" s="295"/>
      <c r="X368" s="295"/>
      <c r="Y368" s="295"/>
    </row>
    <row r="369" spans="3:25" x14ac:dyDescent="0.25">
      <c r="C369" s="292"/>
      <c r="D369" s="295"/>
      <c r="E369" s="295"/>
      <c r="F369" s="295"/>
      <c r="G369" s="295"/>
      <c r="H369" s="295"/>
      <c r="I369" s="295"/>
      <c r="J369" s="295"/>
      <c r="K369" s="295"/>
      <c r="L369" s="295"/>
      <c r="M369" s="295"/>
      <c r="N369" s="295"/>
      <c r="O369" s="295"/>
      <c r="P369" s="295"/>
      <c r="Q369" s="295"/>
      <c r="R369" s="295"/>
      <c r="S369" s="295"/>
      <c r="T369" s="295"/>
      <c r="U369" s="295"/>
      <c r="V369" s="295"/>
      <c r="W369" s="295"/>
      <c r="X369" s="295"/>
      <c r="Y369" s="295"/>
    </row>
    <row r="370" spans="3:25" x14ac:dyDescent="0.25">
      <c r="C370" s="292"/>
      <c r="D370" s="295"/>
      <c r="E370" s="295"/>
      <c r="F370" s="295"/>
      <c r="G370" s="295"/>
      <c r="H370" s="295"/>
      <c r="I370" s="295"/>
      <c r="J370" s="295"/>
      <c r="K370" s="295"/>
      <c r="L370" s="295"/>
      <c r="M370" s="295"/>
      <c r="N370" s="295"/>
      <c r="O370" s="295"/>
      <c r="P370" s="295"/>
      <c r="Q370" s="295"/>
      <c r="R370" s="295"/>
      <c r="S370" s="295"/>
      <c r="T370" s="295"/>
      <c r="U370" s="295"/>
      <c r="V370" s="295"/>
      <c r="W370" s="295"/>
      <c r="X370" s="295"/>
      <c r="Y370" s="295"/>
    </row>
    <row r="371" spans="3:25" x14ac:dyDescent="0.25">
      <c r="C371" s="292"/>
      <c r="D371" s="295"/>
      <c r="E371" s="295"/>
      <c r="F371" s="295"/>
      <c r="G371" s="295"/>
      <c r="H371" s="295"/>
      <c r="I371" s="295"/>
      <c r="J371" s="295"/>
      <c r="K371" s="295"/>
      <c r="L371" s="295"/>
      <c r="M371" s="295"/>
      <c r="N371" s="295"/>
      <c r="O371" s="295"/>
      <c r="P371" s="295"/>
      <c r="Q371" s="295"/>
      <c r="R371" s="295"/>
      <c r="S371" s="295"/>
      <c r="T371" s="295"/>
      <c r="U371" s="295"/>
      <c r="V371" s="295"/>
      <c r="W371" s="295"/>
      <c r="X371" s="295"/>
      <c r="Y371" s="295"/>
    </row>
    <row r="372" spans="3:25" x14ac:dyDescent="0.25">
      <c r="C372" s="292"/>
      <c r="D372" s="295"/>
      <c r="E372" s="295"/>
      <c r="F372" s="295"/>
      <c r="G372" s="295"/>
      <c r="H372" s="295"/>
      <c r="I372" s="295"/>
      <c r="J372" s="295"/>
      <c r="K372" s="295"/>
      <c r="L372" s="295"/>
      <c r="M372" s="295"/>
      <c r="N372" s="295"/>
      <c r="O372" s="295"/>
      <c r="P372" s="295"/>
      <c r="Q372" s="295"/>
      <c r="R372" s="295"/>
      <c r="S372" s="295"/>
      <c r="T372" s="295"/>
      <c r="U372" s="295"/>
      <c r="V372" s="295"/>
      <c r="W372" s="295"/>
      <c r="X372" s="295"/>
      <c r="Y372" s="295"/>
    </row>
    <row r="373" spans="3:25" x14ac:dyDescent="0.25">
      <c r="C373" s="292"/>
      <c r="D373" s="295"/>
      <c r="E373" s="295"/>
      <c r="F373" s="295"/>
      <c r="G373" s="295"/>
      <c r="H373" s="295"/>
      <c r="I373" s="295"/>
      <c r="J373" s="295"/>
      <c r="K373" s="295"/>
      <c r="L373" s="295"/>
      <c r="M373" s="295"/>
      <c r="N373" s="295"/>
      <c r="O373" s="295"/>
      <c r="P373" s="295"/>
      <c r="Q373" s="295"/>
      <c r="R373" s="295"/>
      <c r="S373" s="295"/>
      <c r="T373" s="295"/>
      <c r="U373" s="295"/>
      <c r="V373" s="295"/>
      <c r="W373" s="295"/>
      <c r="X373" s="295"/>
      <c r="Y373" s="295"/>
    </row>
    <row r="374" spans="3:25" x14ac:dyDescent="0.25">
      <c r="C374" s="292"/>
      <c r="D374" s="295"/>
      <c r="E374" s="295"/>
      <c r="F374" s="295"/>
      <c r="G374" s="295"/>
      <c r="H374" s="295"/>
      <c r="I374" s="295"/>
      <c r="J374" s="295"/>
      <c r="K374" s="295"/>
      <c r="L374" s="295"/>
      <c r="M374" s="295"/>
      <c r="N374" s="295"/>
      <c r="O374" s="295"/>
      <c r="P374" s="295"/>
      <c r="Q374" s="295"/>
      <c r="R374" s="295"/>
      <c r="S374" s="295"/>
      <c r="T374" s="295"/>
      <c r="U374" s="295"/>
      <c r="V374" s="295"/>
      <c r="W374" s="295"/>
      <c r="X374" s="295"/>
      <c r="Y374" s="295"/>
    </row>
    <row r="375" spans="3:25" x14ac:dyDescent="0.25">
      <c r="C375" s="292"/>
      <c r="D375" s="295"/>
      <c r="E375" s="295"/>
      <c r="F375" s="295"/>
      <c r="G375" s="295"/>
      <c r="H375" s="295"/>
      <c r="I375" s="295"/>
      <c r="J375" s="295"/>
      <c r="K375" s="295"/>
      <c r="L375" s="295"/>
      <c r="M375" s="295"/>
      <c r="N375" s="295"/>
      <c r="O375" s="295"/>
      <c r="P375" s="295"/>
      <c r="Q375" s="295"/>
      <c r="R375" s="295"/>
      <c r="S375" s="295"/>
      <c r="T375" s="295"/>
      <c r="U375" s="295"/>
      <c r="V375" s="295"/>
      <c r="W375" s="295"/>
      <c r="X375" s="295"/>
      <c r="Y375" s="295"/>
    </row>
    <row r="376" spans="3:25" x14ac:dyDescent="0.25">
      <c r="C376" s="292"/>
      <c r="D376" s="295"/>
      <c r="E376" s="295"/>
      <c r="F376" s="295"/>
      <c r="G376" s="295"/>
      <c r="H376" s="295"/>
      <c r="I376" s="295"/>
      <c r="J376" s="295"/>
      <c r="K376" s="295"/>
      <c r="L376" s="295"/>
      <c r="M376" s="295"/>
      <c r="N376" s="295"/>
      <c r="O376" s="295"/>
      <c r="P376" s="295"/>
      <c r="Q376" s="295"/>
      <c r="R376" s="295"/>
      <c r="S376" s="295"/>
      <c r="T376" s="295"/>
      <c r="U376" s="295"/>
      <c r="V376" s="295"/>
      <c r="W376" s="295"/>
      <c r="X376" s="295"/>
      <c r="Y376" s="295"/>
    </row>
    <row r="377" spans="3:25" x14ac:dyDescent="0.25">
      <c r="C377" s="292"/>
      <c r="D377" s="295"/>
      <c r="E377" s="295"/>
      <c r="F377" s="295"/>
      <c r="G377" s="295"/>
      <c r="H377" s="295"/>
      <c r="I377" s="295"/>
      <c r="J377" s="295"/>
      <c r="K377" s="295"/>
      <c r="L377" s="295"/>
      <c r="M377" s="295"/>
      <c r="N377" s="295"/>
      <c r="O377" s="295"/>
      <c r="P377" s="295"/>
      <c r="Q377" s="295"/>
      <c r="R377" s="295"/>
      <c r="S377" s="295"/>
      <c r="T377" s="295"/>
      <c r="U377" s="295"/>
      <c r="V377" s="295"/>
      <c r="W377" s="295"/>
      <c r="X377" s="295"/>
      <c r="Y377" s="295"/>
    </row>
    <row r="378" spans="3:25" x14ac:dyDescent="0.25">
      <c r="C378" s="292"/>
      <c r="D378" s="295"/>
      <c r="E378" s="295"/>
      <c r="F378" s="295"/>
      <c r="G378" s="295"/>
      <c r="H378" s="295"/>
      <c r="I378" s="295"/>
      <c r="J378" s="295"/>
      <c r="K378" s="295"/>
      <c r="L378" s="295"/>
      <c r="M378" s="295"/>
      <c r="N378" s="295"/>
      <c r="O378" s="295"/>
      <c r="P378" s="295"/>
      <c r="Q378" s="295"/>
      <c r="R378" s="295"/>
      <c r="S378" s="295"/>
      <c r="T378" s="295"/>
      <c r="U378" s="295"/>
      <c r="V378" s="295"/>
      <c r="W378" s="295"/>
      <c r="X378" s="295"/>
      <c r="Y378" s="295"/>
    </row>
    <row r="379" spans="3:25" x14ac:dyDescent="0.25">
      <c r="C379" s="292"/>
      <c r="D379" s="295"/>
      <c r="E379" s="295"/>
      <c r="F379" s="295"/>
      <c r="G379" s="295"/>
      <c r="H379" s="295"/>
      <c r="I379" s="295"/>
      <c r="J379" s="295"/>
      <c r="K379" s="295"/>
      <c r="L379" s="295"/>
      <c r="M379" s="295"/>
      <c r="N379" s="295"/>
      <c r="O379" s="295"/>
      <c r="P379" s="295"/>
      <c r="Q379" s="295"/>
      <c r="R379" s="295"/>
      <c r="S379" s="295"/>
      <c r="T379" s="295"/>
      <c r="U379" s="295"/>
      <c r="V379" s="295"/>
      <c r="W379" s="295"/>
      <c r="X379" s="295"/>
      <c r="Y379" s="295"/>
    </row>
    <row r="380" spans="3:25" x14ac:dyDescent="0.25">
      <c r="C380" s="292"/>
      <c r="D380" s="295"/>
      <c r="E380" s="295"/>
      <c r="F380" s="295"/>
      <c r="G380" s="295"/>
      <c r="H380" s="295"/>
      <c r="I380" s="295"/>
      <c r="J380" s="295"/>
      <c r="K380" s="295"/>
      <c r="L380" s="295"/>
      <c r="M380" s="295"/>
      <c r="N380" s="295"/>
      <c r="O380" s="295"/>
      <c r="P380" s="295"/>
      <c r="Q380" s="295"/>
      <c r="R380" s="295"/>
      <c r="S380" s="295"/>
      <c r="T380" s="295"/>
      <c r="U380" s="295"/>
      <c r="V380" s="295"/>
      <c r="W380" s="295"/>
      <c r="X380" s="295"/>
      <c r="Y380" s="295"/>
    </row>
    <row r="381" spans="3:25" x14ac:dyDescent="0.25">
      <c r="C381" s="292"/>
      <c r="D381" s="295"/>
      <c r="E381" s="295"/>
      <c r="F381" s="295"/>
      <c r="G381" s="295"/>
      <c r="H381" s="295"/>
      <c r="I381" s="295"/>
      <c r="J381" s="295"/>
      <c r="K381" s="295"/>
      <c r="L381" s="295"/>
      <c r="M381" s="295"/>
      <c r="N381" s="295"/>
      <c r="O381" s="295"/>
      <c r="P381" s="295"/>
      <c r="Q381" s="295"/>
      <c r="R381" s="295"/>
      <c r="S381" s="295"/>
      <c r="T381" s="295"/>
      <c r="U381" s="295"/>
      <c r="V381" s="295"/>
      <c r="W381" s="295"/>
      <c r="X381" s="295"/>
      <c r="Y381" s="295"/>
    </row>
    <row r="382" spans="3:25" x14ac:dyDescent="0.25">
      <c r="C382" s="292"/>
      <c r="D382" s="295"/>
      <c r="E382" s="295"/>
      <c r="F382" s="295"/>
      <c r="G382" s="295"/>
      <c r="H382" s="295"/>
      <c r="I382" s="295"/>
      <c r="J382" s="295"/>
      <c r="K382" s="295"/>
      <c r="L382" s="295"/>
      <c r="M382" s="295"/>
      <c r="N382" s="295"/>
      <c r="O382" s="295"/>
      <c r="P382" s="295"/>
      <c r="Q382" s="295"/>
      <c r="R382" s="295"/>
      <c r="S382" s="295"/>
      <c r="T382" s="295"/>
      <c r="U382" s="295"/>
      <c r="V382" s="295"/>
      <c r="W382" s="295"/>
      <c r="X382" s="295"/>
      <c r="Y382" s="295"/>
    </row>
    <row r="383" spans="3:25" x14ac:dyDescent="0.25">
      <c r="C383" s="292"/>
      <c r="D383" s="295"/>
      <c r="E383" s="295"/>
      <c r="F383" s="295"/>
      <c r="G383" s="295"/>
      <c r="H383" s="295"/>
      <c r="I383" s="295"/>
      <c r="J383" s="295"/>
      <c r="K383" s="295"/>
      <c r="L383" s="295"/>
      <c r="M383" s="295"/>
      <c r="N383" s="295"/>
      <c r="O383" s="295"/>
      <c r="P383" s="295"/>
      <c r="Q383" s="295"/>
      <c r="R383" s="295"/>
      <c r="S383" s="295"/>
      <c r="T383" s="295"/>
      <c r="U383" s="295"/>
      <c r="V383" s="295"/>
      <c r="W383" s="295"/>
      <c r="X383" s="295"/>
      <c r="Y383" s="295"/>
    </row>
    <row r="384" spans="3:25" x14ac:dyDescent="0.25">
      <c r="C384" s="292"/>
      <c r="D384" s="295"/>
      <c r="E384" s="295"/>
      <c r="F384" s="295"/>
      <c r="G384" s="295"/>
      <c r="H384" s="295"/>
      <c r="I384" s="295"/>
      <c r="J384" s="295"/>
      <c r="K384" s="295"/>
      <c r="L384" s="295"/>
      <c r="M384" s="295"/>
      <c r="N384" s="295"/>
      <c r="O384" s="295"/>
      <c r="P384" s="295"/>
      <c r="Q384" s="295"/>
      <c r="R384" s="295"/>
      <c r="S384" s="295"/>
      <c r="T384" s="295"/>
      <c r="U384" s="295"/>
      <c r="V384" s="295"/>
      <c r="W384" s="295"/>
      <c r="X384" s="295"/>
      <c r="Y384" s="295"/>
    </row>
    <row r="385" spans="3:25" x14ac:dyDescent="0.25">
      <c r="C385" s="292"/>
      <c r="D385" s="295"/>
      <c r="E385" s="295"/>
      <c r="F385" s="295"/>
      <c r="G385" s="295"/>
      <c r="H385" s="295"/>
      <c r="I385" s="295"/>
      <c r="J385" s="295"/>
      <c r="K385" s="295"/>
      <c r="L385" s="295"/>
      <c r="M385" s="295"/>
      <c r="N385" s="295"/>
      <c r="O385" s="295"/>
      <c r="P385" s="295"/>
      <c r="Q385" s="295"/>
      <c r="R385" s="295"/>
      <c r="S385" s="295"/>
      <c r="T385" s="295"/>
      <c r="U385" s="295"/>
      <c r="V385" s="295"/>
      <c r="W385" s="295"/>
      <c r="X385" s="295"/>
      <c r="Y385" s="295"/>
    </row>
    <row r="386" spans="3:25" x14ac:dyDescent="0.25">
      <c r="C386" s="292"/>
      <c r="D386" s="295"/>
      <c r="E386" s="295"/>
      <c r="F386" s="295"/>
      <c r="G386" s="295"/>
      <c r="H386" s="295"/>
      <c r="I386" s="295"/>
      <c r="J386" s="295"/>
      <c r="K386" s="295"/>
      <c r="L386" s="295"/>
      <c r="M386" s="295"/>
      <c r="N386" s="295"/>
      <c r="O386" s="295"/>
      <c r="P386" s="295"/>
      <c r="Q386" s="295"/>
      <c r="R386" s="295"/>
      <c r="S386" s="295"/>
      <c r="T386" s="295"/>
      <c r="U386" s="295"/>
      <c r="V386" s="295"/>
      <c r="W386" s="295"/>
      <c r="X386" s="295"/>
      <c r="Y386" s="295"/>
    </row>
    <row r="387" spans="3:25" x14ac:dyDescent="0.25">
      <c r="C387" s="292"/>
      <c r="D387" s="295"/>
      <c r="E387" s="295"/>
      <c r="F387" s="295"/>
      <c r="G387" s="295"/>
      <c r="H387" s="295"/>
      <c r="I387" s="295"/>
      <c r="J387" s="295"/>
      <c r="K387" s="295"/>
      <c r="L387" s="295"/>
      <c r="M387" s="295"/>
      <c r="N387" s="295"/>
      <c r="O387" s="295"/>
      <c r="P387" s="295"/>
      <c r="Q387" s="295"/>
      <c r="R387" s="295"/>
      <c r="S387" s="295"/>
      <c r="T387" s="295"/>
      <c r="U387" s="295"/>
      <c r="V387" s="295"/>
      <c r="W387" s="295"/>
      <c r="X387" s="295"/>
      <c r="Y387" s="295"/>
    </row>
    <row r="388" spans="3:25" x14ac:dyDescent="0.25">
      <c r="C388" s="292"/>
      <c r="D388" s="295"/>
      <c r="E388" s="295"/>
      <c r="F388" s="295"/>
      <c r="G388" s="295"/>
      <c r="H388" s="295"/>
      <c r="I388" s="295"/>
      <c r="J388" s="295"/>
      <c r="K388" s="295"/>
      <c r="L388" s="295"/>
      <c r="M388" s="295"/>
      <c r="N388" s="295"/>
      <c r="O388" s="295"/>
      <c r="P388" s="295"/>
      <c r="Q388" s="295"/>
      <c r="R388" s="295"/>
      <c r="S388" s="295"/>
      <c r="T388" s="295"/>
      <c r="U388" s="295"/>
      <c r="V388" s="295"/>
      <c r="W388" s="295"/>
      <c r="X388" s="295"/>
      <c r="Y388" s="295"/>
    </row>
    <row r="389" spans="3:25" x14ac:dyDescent="0.25">
      <c r="C389" s="292"/>
      <c r="D389" s="295"/>
      <c r="E389" s="295"/>
      <c r="F389" s="295"/>
      <c r="G389" s="295"/>
      <c r="H389" s="295"/>
      <c r="I389" s="295"/>
      <c r="J389" s="295"/>
      <c r="K389" s="295"/>
      <c r="L389" s="295"/>
      <c r="M389" s="295"/>
      <c r="N389" s="295"/>
      <c r="O389" s="295"/>
      <c r="P389" s="295"/>
      <c r="Q389" s="295"/>
      <c r="R389" s="295"/>
      <c r="S389" s="295"/>
      <c r="T389" s="295"/>
      <c r="U389" s="295"/>
      <c r="V389" s="295"/>
      <c r="W389" s="295"/>
      <c r="X389" s="295"/>
      <c r="Y389" s="295"/>
    </row>
    <row r="390" spans="3:25" x14ac:dyDescent="0.25">
      <c r="C390" s="292"/>
      <c r="D390" s="295"/>
      <c r="E390" s="295"/>
      <c r="F390" s="295"/>
      <c r="G390" s="295"/>
      <c r="H390" s="295"/>
      <c r="I390" s="295"/>
      <c r="J390" s="295"/>
      <c r="K390" s="295"/>
      <c r="L390" s="295"/>
      <c r="M390" s="295"/>
      <c r="N390" s="295"/>
      <c r="O390" s="295"/>
      <c r="P390" s="295"/>
      <c r="Q390" s="295"/>
      <c r="R390" s="295"/>
      <c r="S390" s="295"/>
      <c r="T390" s="295"/>
      <c r="U390" s="295"/>
      <c r="V390" s="295"/>
      <c r="W390" s="295"/>
      <c r="X390" s="295"/>
      <c r="Y390" s="295"/>
    </row>
    <row r="391" spans="3:25" x14ac:dyDescent="0.25">
      <c r="C391" s="292"/>
      <c r="D391" s="295"/>
      <c r="E391" s="295"/>
      <c r="F391" s="295"/>
      <c r="G391" s="295"/>
      <c r="H391" s="295"/>
      <c r="I391" s="295"/>
      <c r="J391" s="295"/>
      <c r="K391" s="295"/>
      <c r="L391" s="295"/>
      <c r="M391" s="295"/>
      <c r="N391" s="295"/>
      <c r="O391" s="295"/>
      <c r="P391" s="295"/>
      <c r="Q391" s="295"/>
      <c r="R391" s="295"/>
      <c r="S391" s="295"/>
      <c r="T391" s="295"/>
      <c r="U391" s="295"/>
      <c r="V391" s="295"/>
      <c r="W391" s="295"/>
      <c r="X391" s="295"/>
      <c r="Y391" s="295"/>
    </row>
    <row r="392" spans="3:25" x14ac:dyDescent="0.25">
      <c r="C392" s="292"/>
      <c r="D392" s="295"/>
      <c r="E392" s="295"/>
      <c r="F392" s="295"/>
      <c r="G392" s="295"/>
      <c r="H392" s="295"/>
      <c r="I392" s="295"/>
      <c r="J392" s="295"/>
      <c r="K392" s="295"/>
      <c r="L392" s="295"/>
      <c r="M392" s="295"/>
      <c r="N392" s="295"/>
      <c r="O392" s="295"/>
      <c r="P392" s="295"/>
      <c r="Q392" s="295"/>
      <c r="R392" s="295"/>
      <c r="S392" s="295"/>
      <c r="T392" s="295"/>
      <c r="U392" s="295"/>
      <c r="V392" s="295"/>
      <c r="W392" s="295"/>
      <c r="X392" s="295"/>
      <c r="Y392" s="295"/>
    </row>
    <row r="393" spans="3:25" x14ac:dyDescent="0.25">
      <c r="C393" s="292"/>
      <c r="D393" s="295"/>
      <c r="E393" s="295"/>
      <c r="F393" s="295"/>
      <c r="G393" s="295"/>
      <c r="H393" s="295"/>
      <c r="I393" s="295"/>
      <c r="J393" s="295"/>
      <c r="K393" s="295"/>
      <c r="L393" s="295"/>
      <c r="M393" s="295"/>
      <c r="N393" s="295"/>
      <c r="O393" s="295"/>
      <c r="P393" s="295"/>
      <c r="Q393" s="295"/>
      <c r="R393" s="295"/>
      <c r="S393" s="295"/>
      <c r="T393" s="295"/>
      <c r="U393" s="295"/>
      <c r="V393" s="295"/>
      <c r="W393" s="295"/>
      <c r="X393" s="295"/>
      <c r="Y393" s="295"/>
    </row>
    <row r="394" spans="3:25" x14ac:dyDescent="0.25">
      <c r="C394" s="292"/>
      <c r="D394" s="295"/>
      <c r="E394" s="295"/>
      <c r="F394" s="295"/>
      <c r="G394" s="295"/>
      <c r="H394" s="295"/>
      <c r="I394" s="295"/>
      <c r="J394" s="295"/>
      <c r="K394" s="295"/>
      <c r="L394" s="295"/>
      <c r="M394" s="295"/>
      <c r="N394" s="295"/>
      <c r="O394" s="295"/>
      <c r="P394" s="295"/>
      <c r="Q394" s="295"/>
      <c r="R394" s="295"/>
      <c r="S394" s="295"/>
      <c r="T394" s="295"/>
      <c r="U394" s="295"/>
      <c r="V394" s="295"/>
      <c r="W394" s="295"/>
      <c r="X394" s="295"/>
      <c r="Y394" s="295"/>
    </row>
    <row r="395" spans="3:25" x14ac:dyDescent="0.25">
      <c r="C395" s="292"/>
      <c r="D395" s="295"/>
      <c r="E395" s="295"/>
      <c r="F395" s="295"/>
      <c r="G395" s="295"/>
      <c r="H395" s="295"/>
      <c r="I395" s="295"/>
      <c r="J395" s="295"/>
      <c r="K395" s="295"/>
      <c r="L395" s="295"/>
      <c r="M395" s="295"/>
      <c r="N395" s="295"/>
      <c r="O395" s="295"/>
      <c r="P395" s="295"/>
      <c r="Q395" s="295"/>
      <c r="R395" s="295"/>
      <c r="S395" s="295"/>
      <c r="T395" s="295"/>
      <c r="U395" s="295"/>
      <c r="V395" s="295"/>
      <c r="W395" s="295"/>
      <c r="X395" s="295"/>
      <c r="Y395" s="295"/>
    </row>
    <row r="396" spans="3:25" x14ac:dyDescent="0.25">
      <c r="C396" s="292"/>
      <c r="D396" s="295"/>
      <c r="E396" s="295"/>
      <c r="F396" s="295"/>
      <c r="G396" s="295"/>
      <c r="H396" s="295"/>
      <c r="I396" s="295"/>
      <c r="J396" s="295"/>
      <c r="K396" s="295"/>
      <c r="L396" s="295"/>
      <c r="M396" s="295"/>
      <c r="N396" s="295"/>
      <c r="O396" s="295"/>
      <c r="P396" s="295"/>
      <c r="Q396" s="295"/>
      <c r="R396" s="295"/>
      <c r="S396" s="295"/>
      <c r="T396" s="295"/>
      <c r="U396" s="295"/>
      <c r="V396" s="295"/>
      <c r="W396" s="295"/>
      <c r="X396" s="295"/>
      <c r="Y396" s="295"/>
    </row>
    <row r="397" spans="3:25" x14ac:dyDescent="0.25">
      <c r="C397" s="292"/>
      <c r="D397" s="295"/>
      <c r="E397" s="295"/>
      <c r="F397" s="295"/>
      <c r="G397" s="295"/>
      <c r="H397" s="295"/>
      <c r="I397" s="295"/>
      <c r="J397" s="295"/>
      <c r="K397" s="295"/>
      <c r="L397" s="295"/>
      <c r="M397" s="295"/>
      <c r="N397" s="295"/>
      <c r="O397" s="295"/>
      <c r="P397" s="295"/>
      <c r="Q397" s="295"/>
      <c r="R397" s="295"/>
      <c r="S397" s="295"/>
      <c r="T397" s="295"/>
      <c r="U397" s="295"/>
      <c r="V397" s="295"/>
      <c r="W397" s="295"/>
      <c r="X397" s="295"/>
      <c r="Y397" s="295"/>
    </row>
    <row r="398" spans="3:25" x14ac:dyDescent="0.25">
      <c r="C398" s="292"/>
      <c r="D398" s="295"/>
      <c r="E398" s="295"/>
      <c r="F398" s="295"/>
      <c r="G398" s="295"/>
      <c r="H398" s="295"/>
      <c r="I398" s="295"/>
      <c r="J398" s="295"/>
      <c r="K398" s="295"/>
      <c r="L398" s="295"/>
      <c r="M398" s="295"/>
      <c r="N398" s="295"/>
      <c r="O398" s="295"/>
      <c r="P398" s="295"/>
      <c r="Q398" s="295"/>
      <c r="R398" s="295"/>
      <c r="S398" s="295"/>
      <c r="T398" s="295"/>
      <c r="U398" s="295"/>
      <c r="V398" s="295"/>
      <c r="W398" s="295"/>
      <c r="X398" s="295"/>
      <c r="Y398" s="295"/>
    </row>
    <row r="399" spans="3:25" x14ac:dyDescent="0.25">
      <c r="C399" s="292"/>
      <c r="D399" s="295"/>
      <c r="E399" s="295"/>
      <c r="F399" s="295"/>
      <c r="G399" s="295"/>
      <c r="H399" s="295"/>
      <c r="I399" s="295"/>
      <c r="J399" s="295"/>
      <c r="K399" s="295"/>
      <c r="L399" s="295"/>
      <c r="M399" s="295"/>
      <c r="N399" s="295"/>
      <c r="O399" s="295"/>
      <c r="P399" s="295"/>
      <c r="Q399" s="295"/>
      <c r="R399" s="295"/>
      <c r="S399" s="295"/>
      <c r="T399" s="295"/>
      <c r="U399" s="295"/>
      <c r="V399" s="295"/>
      <c r="W399" s="295"/>
      <c r="X399" s="295"/>
      <c r="Y399" s="295"/>
    </row>
    <row r="400" spans="3:25" x14ac:dyDescent="0.25">
      <c r="C400" s="292"/>
      <c r="D400" s="295"/>
      <c r="E400" s="295"/>
      <c r="F400" s="295"/>
      <c r="G400" s="295"/>
      <c r="H400" s="295"/>
      <c r="I400" s="295"/>
      <c r="J400" s="295"/>
      <c r="K400" s="295"/>
      <c r="L400" s="295"/>
      <c r="M400" s="295"/>
      <c r="N400" s="295"/>
      <c r="O400" s="295"/>
      <c r="P400" s="295"/>
      <c r="Q400" s="295"/>
      <c r="R400" s="295"/>
      <c r="S400" s="295"/>
      <c r="T400" s="295"/>
      <c r="U400" s="295"/>
      <c r="V400" s="295"/>
      <c r="W400" s="295"/>
      <c r="X400" s="295"/>
      <c r="Y400" s="295"/>
    </row>
    <row r="401" spans="3:25" x14ac:dyDescent="0.25">
      <c r="C401" s="292"/>
      <c r="D401" s="295"/>
      <c r="E401" s="295"/>
      <c r="F401" s="295"/>
      <c r="G401" s="295"/>
      <c r="H401" s="295"/>
      <c r="I401" s="295"/>
      <c r="J401" s="295"/>
      <c r="K401" s="295"/>
      <c r="L401" s="295"/>
      <c r="M401" s="295"/>
      <c r="N401" s="295"/>
      <c r="O401" s="295"/>
      <c r="P401" s="295"/>
      <c r="Q401" s="295"/>
      <c r="R401" s="295"/>
      <c r="S401" s="295"/>
      <c r="T401" s="295"/>
      <c r="U401" s="295"/>
      <c r="V401" s="295"/>
      <c r="W401" s="295"/>
      <c r="X401" s="295"/>
      <c r="Y401" s="295"/>
    </row>
    <row r="402" spans="3:25" x14ac:dyDescent="0.25">
      <c r="C402" s="292"/>
      <c r="D402" s="295"/>
      <c r="E402" s="295"/>
      <c r="F402" s="295"/>
      <c r="G402" s="295"/>
      <c r="H402" s="295"/>
      <c r="I402" s="295"/>
      <c r="J402" s="295"/>
      <c r="K402" s="295"/>
      <c r="L402" s="295"/>
      <c r="M402" s="295"/>
      <c r="N402" s="295"/>
      <c r="O402" s="295"/>
      <c r="P402" s="295"/>
      <c r="Q402" s="295"/>
      <c r="R402" s="295"/>
      <c r="S402" s="295"/>
      <c r="T402" s="295"/>
      <c r="U402" s="295"/>
      <c r="V402" s="295"/>
      <c r="W402" s="295"/>
      <c r="X402" s="295"/>
      <c r="Y402" s="295"/>
    </row>
    <row r="403" spans="3:25" x14ac:dyDescent="0.25">
      <c r="C403" s="292"/>
      <c r="D403" s="295"/>
      <c r="E403" s="295"/>
      <c r="F403" s="295"/>
      <c r="G403" s="295"/>
      <c r="H403" s="295"/>
      <c r="I403" s="295"/>
      <c r="J403" s="295"/>
      <c r="K403" s="295"/>
      <c r="L403" s="295"/>
      <c r="M403" s="295"/>
      <c r="N403" s="295"/>
      <c r="O403" s="295"/>
      <c r="P403" s="295"/>
      <c r="Q403" s="295"/>
      <c r="R403" s="295"/>
      <c r="S403" s="295"/>
      <c r="T403" s="295"/>
      <c r="U403" s="295"/>
      <c r="V403" s="295"/>
      <c r="W403" s="295"/>
      <c r="X403" s="295"/>
      <c r="Y403" s="295"/>
    </row>
    <row r="404" spans="3:25" x14ac:dyDescent="0.25">
      <c r="C404" s="292"/>
      <c r="D404" s="295"/>
      <c r="E404" s="295"/>
      <c r="F404" s="295"/>
      <c r="G404" s="295"/>
      <c r="H404" s="295"/>
      <c r="I404" s="295"/>
      <c r="J404" s="295"/>
      <c r="K404" s="295"/>
      <c r="L404" s="295"/>
      <c r="M404" s="295"/>
      <c r="N404" s="295"/>
      <c r="O404" s="295"/>
      <c r="P404" s="295"/>
      <c r="Q404" s="295"/>
      <c r="R404" s="295"/>
      <c r="S404" s="295"/>
      <c r="T404" s="295"/>
      <c r="U404" s="295"/>
      <c r="V404" s="295"/>
      <c r="W404" s="295"/>
      <c r="X404" s="295"/>
      <c r="Y404" s="295"/>
    </row>
    <row r="405" spans="3:25" x14ac:dyDescent="0.25">
      <c r="C405" s="292"/>
      <c r="D405" s="295"/>
      <c r="E405" s="295"/>
      <c r="F405" s="295"/>
      <c r="G405" s="295"/>
      <c r="H405" s="295"/>
      <c r="I405" s="295"/>
      <c r="J405" s="295"/>
      <c r="K405" s="295"/>
      <c r="L405" s="295"/>
      <c r="M405" s="295"/>
      <c r="N405" s="295"/>
      <c r="O405" s="295"/>
      <c r="P405" s="295"/>
      <c r="Q405" s="295"/>
      <c r="R405" s="295"/>
      <c r="S405" s="295"/>
      <c r="T405" s="295"/>
      <c r="U405" s="295"/>
      <c r="V405" s="295"/>
      <c r="W405" s="295"/>
      <c r="X405" s="295"/>
      <c r="Y405" s="295"/>
    </row>
    <row r="406" spans="3:25" x14ac:dyDescent="0.25">
      <c r="C406" s="292"/>
      <c r="D406" s="295"/>
      <c r="E406" s="295"/>
      <c r="F406" s="295"/>
      <c r="G406" s="295"/>
      <c r="H406" s="295"/>
      <c r="I406" s="295"/>
      <c r="J406" s="295"/>
      <c r="K406" s="295"/>
      <c r="L406" s="295"/>
      <c r="M406" s="295"/>
      <c r="N406" s="295"/>
      <c r="O406" s="295"/>
      <c r="P406" s="295"/>
      <c r="Q406" s="295"/>
      <c r="R406" s="295"/>
      <c r="S406" s="295"/>
      <c r="T406" s="295"/>
      <c r="U406" s="295"/>
      <c r="V406" s="295"/>
      <c r="W406" s="295"/>
      <c r="X406" s="295"/>
      <c r="Y406" s="295"/>
    </row>
    <row r="407" spans="3:25" x14ac:dyDescent="0.25">
      <c r="C407" s="292"/>
      <c r="D407" s="295"/>
      <c r="E407" s="295"/>
      <c r="F407" s="295"/>
      <c r="G407" s="295"/>
      <c r="H407" s="295"/>
      <c r="I407" s="295"/>
      <c r="J407" s="295"/>
      <c r="K407" s="295"/>
      <c r="L407" s="295"/>
      <c r="M407" s="295"/>
      <c r="N407" s="295"/>
      <c r="O407" s="295"/>
      <c r="P407" s="295"/>
      <c r="Q407" s="295"/>
      <c r="R407" s="295"/>
      <c r="S407" s="295"/>
      <c r="T407" s="295"/>
      <c r="U407" s="295"/>
      <c r="V407" s="295"/>
      <c r="W407" s="295"/>
      <c r="X407" s="295"/>
      <c r="Y407" s="295"/>
    </row>
    <row r="408" spans="3:25" x14ac:dyDescent="0.25">
      <c r="C408" s="292"/>
      <c r="D408" s="295"/>
      <c r="E408" s="295"/>
      <c r="F408" s="295"/>
      <c r="G408" s="295"/>
      <c r="H408" s="295"/>
      <c r="I408" s="295"/>
      <c r="J408" s="295"/>
      <c r="K408" s="295"/>
      <c r="L408" s="295"/>
      <c r="M408" s="295"/>
      <c r="N408" s="295"/>
      <c r="O408" s="295"/>
      <c r="P408" s="295"/>
      <c r="Q408" s="295"/>
      <c r="R408" s="295"/>
      <c r="S408" s="295"/>
      <c r="T408" s="295"/>
      <c r="U408" s="295"/>
      <c r="V408" s="295"/>
      <c r="W408" s="295"/>
      <c r="X408" s="295"/>
      <c r="Y408" s="295"/>
    </row>
    <row r="409" spans="3:25" x14ac:dyDescent="0.25">
      <c r="C409" s="292"/>
      <c r="D409" s="295"/>
      <c r="E409" s="295"/>
      <c r="F409" s="295"/>
      <c r="G409" s="295"/>
      <c r="H409" s="295"/>
      <c r="I409" s="295"/>
      <c r="J409" s="295"/>
      <c r="K409" s="295"/>
      <c r="L409" s="295"/>
      <c r="M409" s="295"/>
      <c r="N409" s="295"/>
      <c r="O409" s="295"/>
      <c r="P409" s="295"/>
      <c r="Q409" s="295"/>
      <c r="R409" s="295"/>
      <c r="S409" s="295"/>
      <c r="T409" s="295"/>
      <c r="U409" s="295"/>
      <c r="V409" s="295"/>
      <c r="W409" s="295"/>
      <c r="X409" s="295"/>
      <c r="Y409" s="295"/>
    </row>
    <row r="410" spans="3:25" x14ac:dyDescent="0.25">
      <c r="C410" s="292"/>
      <c r="D410" s="295"/>
      <c r="E410" s="295"/>
      <c r="F410" s="295"/>
      <c r="G410" s="295"/>
      <c r="H410" s="295"/>
      <c r="I410" s="295"/>
      <c r="J410" s="295"/>
      <c r="K410" s="295"/>
      <c r="L410" s="295"/>
      <c r="M410" s="295"/>
      <c r="N410" s="295"/>
      <c r="O410" s="295"/>
      <c r="P410" s="295"/>
      <c r="Q410" s="295"/>
      <c r="R410" s="295"/>
      <c r="S410" s="295"/>
      <c r="T410" s="295"/>
      <c r="U410" s="295"/>
      <c r="V410" s="295"/>
      <c r="W410" s="295"/>
      <c r="X410" s="295"/>
      <c r="Y410" s="295"/>
    </row>
    <row r="411" spans="3:25" x14ac:dyDescent="0.25">
      <c r="C411" s="292"/>
      <c r="D411" s="295"/>
      <c r="E411" s="295"/>
      <c r="F411" s="295"/>
      <c r="G411" s="295"/>
      <c r="H411" s="295"/>
      <c r="I411" s="295"/>
      <c r="J411" s="295"/>
      <c r="K411" s="295"/>
      <c r="L411" s="295"/>
      <c r="M411" s="295"/>
      <c r="N411" s="295"/>
      <c r="O411" s="295"/>
      <c r="P411" s="295"/>
      <c r="Q411" s="295"/>
      <c r="R411" s="295"/>
      <c r="S411" s="295"/>
      <c r="T411" s="295"/>
      <c r="U411" s="295"/>
      <c r="V411" s="295"/>
      <c r="W411" s="295"/>
      <c r="X411" s="295"/>
      <c r="Y411" s="295"/>
    </row>
    <row r="412" spans="3:25" x14ac:dyDescent="0.25">
      <c r="C412" s="292"/>
      <c r="D412" s="295"/>
      <c r="E412" s="295"/>
      <c r="F412" s="295"/>
      <c r="G412" s="295"/>
      <c r="H412" s="295"/>
      <c r="I412" s="295"/>
      <c r="J412" s="295"/>
      <c r="K412" s="295"/>
      <c r="L412" s="295"/>
      <c r="M412" s="295"/>
      <c r="N412" s="295"/>
      <c r="O412" s="295"/>
      <c r="P412" s="295"/>
      <c r="Q412" s="295"/>
      <c r="R412" s="295"/>
      <c r="S412" s="295"/>
      <c r="T412" s="295"/>
      <c r="U412" s="295"/>
      <c r="V412" s="295"/>
      <c r="W412" s="295"/>
      <c r="X412" s="295"/>
      <c r="Y412" s="295"/>
    </row>
    <row r="413" spans="3:25" x14ac:dyDescent="0.25">
      <c r="C413" s="292"/>
      <c r="D413" s="295"/>
      <c r="E413" s="295"/>
      <c r="F413" s="295"/>
      <c r="G413" s="295"/>
      <c r="H413" s="295"/>
      <c r="I413" s="295"/>
      <c r="J413" s="295"/>
      <c r="K413" s="295"/>
      <c r="L413" s="295"/>
      <c r="M413" s="295"/>
      <c r="N413" s="295"/>
      <c r="O413" s="295"/>
      <c r="P413" s="295"/>
      <c r="Q413" s="295"/>
      <c r="R413" s="295"/>
      <c r="S413" s="295"/>
      <c r="T413" s="295"/>
      <c r="U413" s="295"/>
      <c r="V413" s="295"/>
      <c r="W413" s="295"/>
      <c r="X413" s="295"/>
      <c r="Y413" s="295"/>
    </row>
    <row r="414" spans="3:25" x14ac:dyDescent="0.25">
      <c r="C414" s="292"/>
      <c r="D414" s="295"/>
      <c r="E414" s="295"/>
      <c r="F414" s="295"/>
      <c r="G414" s="295"/>
      <c r="H414" s="295"/>
      <c r="I414" s="295"/>
      <c r="J414" s="295"/>
      <c r="K414" s="295"/>
      <c r="L414" s="295"/>
      <c r="M414" s="295"/>
      <c r="N414" s="295"/>
      <c r="O414" s="295"/>
      <c r="P414" s="295"/>
      <c r="Q414" s="295"/>
      <c r="R414" s="295"/>
      <c r="S414" s="295"/>
      <c r="T414" s="295"/>
      <c r="U414" s="295"/>
      <c r="V414" s="295"/>
      <c r="W414" s="295"/>
      <c r="X414" s="295"/>
      <c r="Y414" s="295"/>
    </row>
    <row r="415" spans="3:25" x14ac:dyDescent="0.25">
      <c r="C415" s="292"/>
      <c r="D415" s="295"/>
      <c r="E415" s="295"/>
      <c r="F415" s="295"/>
      <c r="G415" s="295"/>
      <c r="H415" s="295"/>
      <c r="I415" s="295"/>
      <c r="J415" s="295"/>
      <c r="K415" s="295"/>
      <c r="L415" s="295"/>
      <c r="M415" s="295"/>
      <c r="N415" s="295"/>
      <c r="O415" s="295"/>
      <c r="P415" s="295"/>
      <c r="Q415" s="295"/>
      <c r="R415" s="295"/>
      <c r="S415" s="295"/>
      <c r="T415" s="295"/>
      <c r="U415" s="295"/>
      <c r="V415" s="295"/>
      <c r="W415" s="295"/>
      <c r="X415" s="295"/>
      <c r="Y415" s="295"/>
    </row>
    <row r="416" spans="3:25" x14ac:dyDescent="0.25">
      <c r="C416" s="292"/>
      <c r="D416" s="295"/>
      <c r="E416" s="295"/>
      <c r="F416" s="295"/>
      <c r="G416" s="295"/>
      <c r="H416" s="295"/>
      <c r="I416" s="295"/>
      <c r="J416" s="295"/>
      <c r="K416" s="295"/>
      <c r="L416" s="295"/>
      <c r="M416" s="295"/>
      <c r="N416" s="295"/>
      <c r="O416" s="295"/>
      <c r="P416" s="295"/>
      <c r="Q416" s="295"/>
      <c r="R416" s="295"/>
      <c r="S416" s="295"/>
      <c r="T416" s="295"/>
      <c r="U416" s="295"/>
      <c r="V416" s="295"/>
      <c r="W416" s="295"/>
      <c r="X416" s="295"/>
      <c r="Y416" s="295"/>
    </row>
    <row r="417" spans="3:25" x14ac:dyDescent="0.25">
      <c r="C417" s="292"/>
      <c r="D417" s="295"/>
      <c r="E417" s="295"/>
      <c r="F417" s="295"/>
      <c r="G417" s="295"/>
      <c r="H417" s="295"/>
      <c r="I417" s="295"/>
      <c r="J417" s="295"/>
      <c r="K417" s="295"/>
      <c r="L417" s="295"/>
      <c r="M417" s="295"/>
      <c r="N417" s="295"/>
      <c r="O417" s="295"/>
      <c r="P417" s="295"/>
      <c r="Q417" s="295"/>
      <c r="R417" s="295"/>
      <c r="S417" s="295"/>
      <c r="T417" s="295"/>
      <c r="U417" s="295"/>
      <c r="V417" s="295"/>
      <c r="W417" s="295"/>
      <c r="X417" s="295"/>
      <c r="Y417" s="295"/>
    </row>
    <row r="418" spans="3:25" x14ac:dyDescent="0.25">
      <c r="C418" s="292"/>
      <c r="D418" s="295"/>
      <c r="E418" s="295"/>
      <c r="F418" s="295"/>
      <c r="G418" s="295"/>
      <c r="H418" s="295"/>
      <c r="I418" s="295"/>
      <c r="J418" s="295"/>
      <c r="K418" s="295"/>
      <c r="L418" s="295"/>
      <c r="M418" s="295"/>
      <c r="N418" s="295"/>
      <c r="O418" s="295"/>
      <c r="P418" s="295"/>
      <c r="Q418" s="295"/>
      <c r="R418" s="295"/>
      <c r="S418" s="295"/>
      <c r="T418" s="295"/>
      <c r="U418" s="295"/>
      <c r="V418" s="295"/>
      <c r="W418" s="295"/>
      <c r="X418" s="295"/>
      <c r="Y418" s="295"/>
    </row>
    <row r="419" spans="3:25" x14ac:dyDescent="0.25">
      <c r="C419" s="292"/>
      <c r="D419" s="295"/>
      <c r="E419" s="295"/>
      <c r="F419" s="295"/>
      <c r="G419" s="295"/>
      <c r="H419" s="295"/>
      <c r="I419" s="295"/>
      <c r="J419" s="295"/>
      <c r="K419" s="295"/>
      <c r="L419" s="295"/>
      <c r="M419" s="295"/>
      <c r="N419" s="295"/>
      <c r="O419" s="295"/>
      <c r="P419" s="295"/>
      <c r="Q419" s="295"/>
      <c r="R419" s="295"/>
      <c r="S419" s="295"/>
      <c r="T419" s="295"/>
      <c r="U419" s="295"/>
      <c r="V419" s="295"/>
      <c r="W419" s="295"/>
      <c r="X419" s="295"/>
      <c r="Y419" s="295"/>
    </row>
    <row r="420" spans="3:25" x14ac:dyDescent="0.25">
      <c r="C420" s="292"/>
      <c r="D420" s="295"/>
      <c r="E420" s="295"/>
      <c r="F420" s="295"/>
      <c r="G420" s="295"/>
      <c r="H420" s="295"/>
      <c r="I420" s="295"/>
      <c r="J420" s="295"/>
      <c r="K420" s="295"/>
      <c r="L420" s="295"/>
      <c r="M420" s="295"/>
      <c r="N420" s="295"/>
      <c r="O420" s="295"/>
      <c r="P420" s="295"/>
      <c r="Q420" s="295"/>
      <c r="R420" s="295"/>
      <c r="S420" s="295"/>
      <c r="T420" s="295"/>
      <c r="U420" s="295"/>
      <c r="V420" s="295"/>
      <c r="W420" s="295"/>
      <c r="X420" s="295"/>
      <c r="Y420" s="295"/>
    </row>
    <row r="421" spans="3:25" x14ac:dyDescent="0.25">
      <c r="C421" s="292"/>
      <c r="D421" s="295"/>
      <c r="E421" s="295"/>
      <c r="F421" s="295"/>
      <c r="G421" s="295"/>
      <c r="H421" s="295"/>
      <c r="I421" s="295"/>
      <c r="J421" s="295"/>
      <c r="K421" s="295"/>
      <c r="L421" s="295"/>
      <c r="M421" s="295"/>
      <c r="N421" s="295"/>
      <c r="O421" s="295"/>
      <c r="P421" s="295"/>
      <c r="Q421" s="295"/>
      <c r="R421" s="295"/>
      <c r="S421" s="295"/>
      <c r="T421" s="295"/>
      <c r="U421" s="295"/>
      <c r="V421" s="295"/>
      <c r="W421" s="295"/>
      <c r="X421" s="295"/>
      <c r="Y421" s="295"/>
    </row>
    <row r="422" spans="3:25" x14ac:dyDescent="0.25">
      <c r="C422" s="292"/>
      <c r="D422" s="295"/>
      <c r="E422" s="295"/>
      <c r="F422" s="295"/>
      <c r="G422" s="295"/>
      <c r="H422" s="295"/>
      <c r="I422" s="295"/>
      <c r="J422" s="295"/>
      <c r="K422" s="295"/>
      <c r="L422" s="295"/>
      <c r="M422" s="295"/>
      <c r="N422" s="295"/>
      <c r="O422" s="295"/>
      <c r="P422" s="295"/>
      <c r="Q422" s="295"/>
      <c r="R422" s="295"/>
      <c r="S422" s="295"/>
      <c r="T422" s="295"/>
      <c r="U422" s="295"/>
      <c r="V422" s="295"/>
      <c r="W422" s="295"/>
      <c r="X422" s="295"/>
      <c r="Y422" s="295"/>
    </row>
    <row r="423" spans="3:25" x14ac:dyDescent="0.25">
      <c r="C423" s="292"/>
      <c r="D423" s="295"/>
      <c r="E423" s="295"/>
      <c r="F423" s="295"/>
      <c r="G423" s="295"/>
      <c r="H423" s="295"/>
      <c r="I423" s="295"/>
      <c r="J423" s="295"/>
      <c r="K423" s="295"/>
      <c r="L423" s="295"/>
      <c r="M423" s="295"/>
      <c r="N423" s="295"/>
      <c r="O423" s="295"/>
      <c r="P423" s="295"/>
      <c r="Q423" s="295"/>
      <c r="R423" s="295"/>
      <c r="S423" s="295"/>
      <c r="T423" s="295"/>
      <c r="U423" s="295"/>
      <c r="V423" s="295"/>
      <c r="W423" s="295"/>
      <c r="X423" s="295"/>
      <c r="Y423" s="295"/>
    </row>
    <row r="424" spans="3:25" x14ac:dyDescent="0.25">
      <c r="C424" s="292"/>
      <c r="D424" s="295"/>
      <c r="E424" s="295"/>
      <c r="F424" s="295"/>
      <c r="G424" s="295"/>
      <c r="H424" s="295"/>
      <c r="I424" s="295"/>
      <c r="J424" s="295"/>
      <c r="K424" s="295"/>
      <c r="L424" s="295"/>
      <c r="M424" s="295"/>
      <c r="N424" s="295"/>
      <c r="O424" s="295"/>
      <c r="P424" s="295"/>
      <c r="Q424" s="295"/>
      <c r="R424" s="295"/>
      <c r="S424" s="295"/>
      <c r="T424" s="295"/>
      <c r="U424" s="295"/>
      <c r="V424" s="295"/>
      <c r="W424" s="295"/>
      <c r="X424" s="295"/>
      <c r="Y424" s="295"/>
    </row>
    <row r="425" spans="3:25" x14ac:dyDescent="0.25">
      <c r="C425" s="292"/>
      <c r="D425" s="295"/>
      <c r="E425" s="295"/>
      <c r="F425" s="295"/>
      <c r="G425" s="295"/>
      <c r="H425" s="295"/>
      <c r="I425" s="295"/>
      <c r="J425" s="295"/>
      <c r="K425" s="295"/>
      <c r="L425" s="295"/>
      <c r="M425" s="295"/>
      <c r="N425" s="295"/>
      <c r="O425" s="295"/>
      <c r="P425" s="295"/>
      <c r="Q425" s="295"/>
      <c r="R425" s="295"/>
      <c r="S425" s="295"/>
      <c r="T425" s="295"/>
      <c r="U425" s="295"/>
      <c r="V425" s="295"/>
      <c r="W425" s="295"/>
      <c r="X425" s="295"/>
      <c r="Y425" s="295"/>
    </row>
    <row r="426" spans="3:25" x14ac:dyDescent="0.25">
      <c r="C426" s="292"/>
      <c r="D426" s="295"/>
      <c r="E426" s="295"/>
      <c r="F426" s="295"/>
      <c r="G426" s="295"/>
      <c r="H426" s="295"/>
      <c r="I426" s="295"/>
      <c r="J426" s="295"/>
      <c r="K426" s="295"/>
      <c r="L426" s="295"/>
      <c r="M426" s="295"/>
      <c r="N426" s="295"/>
      <c r="O426" s="295"/>
      <c r="P426" s="295"/>
      <c r="Q426" s="295"/>
      <c r="R426" s="295"/>
      <c r="S426" s="295"/>
      <c r="T426" s="295"/>
      <c r="U426" s="295"/>
      <c r="V426" s="295"/>
      <c r="W426" s="295"/>
      <c r="X426" s="295"/>
      <c r="Y426" s="295"/>
    </row>
    <row r="427" spans="3:25" x14ac:dyDescent="0.25">
      <c r="C427" s="292"/>
      <c r="D427" s="295"/>
      <c r="E427" s="295"/>
      <c r="F427" s="295"/>
      <c r="G427" s="295"/>
      <c r="H427" s="295"/>
      <c r="I427" s="295"/>
      <c r="J427" s="295"/>
      <c r="K427" s="295"/>
      <c r="L427" s="295"/>
      <c r="M427" s="295"/>
      <c r="N427" s="295"/>
      <c r="O427" s="295"/>
      <c r="P427" s="295"/>
      <c r="Q427" s="295"/>
      <c r="R427" s="295"/>
      <c r="S427" s="295"/>
      <c r="T427" s="295"/>
      <c r="U427" s="295"/>
      <c r="V427" s="295"/>
      <c r="W427" s="295"/>
      <c r="X427" s="295"/>
      <c r="Y427" s="295"/>
    </row>
    <row r="428" spans="3:25" x14ac:dyDescent="0.25">
      <c r="C428" s="292"/>
      <c r="D428" s="295"/>
      <c r="E428" s="295"/>
      <c r="F428" s="295"/>
      <c r="G428" s="295"/>
      <c r="H428" s="295"/>
      <c r="I428" s="295"/>
      <c r="J428" s="295"/>
      <c r="K428" s="295"/>
      <c r="L428" s="295"/>
      <c r="M428" s="295"/>
      <c r="N428" s="295"/>
      <c r="O428" s="295"/>
      <c r="P428" s="295"/>
      <c r="Q428" s="295"/>
      <c r="R428" s="295"/>
      <c r="S428" s="295"/>
      <c r="T428" s="295"/>
      <c r="U428" s="295"/>
      <c r="V428" s="295"/>
      <c r="W428" s="295"/>
      <c r="X428" s="295"/>
      <c r="Y428" s="295"/>
    </row>
    <row r="429" spans="3:25" x14ac:dyDescent="0.25">
      <c r="C429" s="292"/>
      <c r="D429" s="295"/>
      <c r="E429" s="295"/>
      <c r="F429" s="295"/>
      <c r="G429" s="295"/>
      <c r="H429" s="295"/>
      <c r="I429" s="295"/>
      <c r="J429" s="295"/>
      <c r="K429" s="295"/>
      <c r="L429" s="295"/>
      <c r="M429" s="295"/>
      <c r="N429" s="295"/>
      <c r="O429" s="295"/>
      <c r="P429" s="295"/>
      <c r="Q429" s="295"/>
      <c r="R429" s="295"/>
      <c r="S429" s="295"/>
      <c r="T429" s="295"/>
      <c r="U429" s="295"/>
      <c r="V429" s="295"/>
      <c r="W429" s="295"/>
      <c r="X429" s="295"/>
      <c r="Y429" s="295"/>
    </row>
    <row r="430" spans="3:25" x14ac:dyDescent="0.25">
      <c r="C430" s="292"/>
      <c r="D430" s="295"/>
      <c r="E430" s="295"/>
      <c r="F430" s="295"/>
      <c r="G430" s="295"/>
      <c r="H430" s="295"/>
      <c r="I430" s="295"/>
      <c r="J430" s="295"/>
      <c r="K430" s="295"/>
      <c r="L430" s="295"/>
      <c r="M430" s="295"/>
      <c r="N430" s="295"/>
      <c r="O430" s="295"/>
      <c r="P430" s="295"/>
      <c r="Q430" s="295"/>
      <c r="R430" s="295"/>
      <c r="S430" s="295"/>
      <c r="T430" s="295"/>
      <c r="U430" s="295"/>
      <c r="V430" s="295"/>
      <c r="W430" s="295"/>
      <c r="X430" s="295"/>
      <c r="Y430" s="295"/>
    </row>
    <row r="431" spans="3:25" x14ac:dyDescent="0.25">
      <c r="C431" s="292"/>
      <c r="D431" s="295"/>
      <c r="E431" s="295"/>
      <c r="F431" s="295"/>
      <c r="G431" s="295"/>
      <c r="H431" s="295"/>
      <c r="I431" s="295"/>
      <c r="J431" s="295"/>
      <c r="K431" s="295"/>
      <c r="L431" s="295"/>
      <c r="M431" s="295"/>
      <c r="N431" s="295"/>
      <c r="O431" s="295"/>
      <c r="P431" s="295"/>
      <c r="Q431" s="295"/>
      <c r="R431" s="295"/>
      <c r="S431" s="295"/>
      <c r="T431" s="295"/>
      <c r="U431" s="295"/>
      <c r="V431" s="295"/>
      <c r="W431" s="295"/>
      <c r="X431" s="295"/>
      <c r="Y431" s="295"/>
    </row>
    <row r="432" spans="3:25" x14ac:dyDescent="0.25">
      <c r="C432" s="292"/>
      <c r="D432" s="295"/>
      <c r="E432" s="295"/>
      <c r="F432" s="295"/>
      <c r="G432" s="295"/>
      <c r="H432" s="295"/>
      <c r="I432" s="295"/>
      <c r="J432" s="295"/>
      <c r="K432" s="295"/>
      <c r="L432" s="295"/>
      <c r="M432" s="295"/>
      <c r="N432" s="295"/>
      <c r="O432" s="295"/>
      <c r="P432" s="295"/>
      <c r="Q432" s="295"/>
      <c r="R432" s="295"/>
      <c r="S432" s="295"/>
      <c r="T432" s="295"/>
      <c r="U432" s="295"/>
      <c r="V432" s="295"/>
      <c r="W432" s="295"/>
      <c r="X432" s="295"/>
      <c r="Y432" s="295"/>
    </row>
    <row r="433" spans="3:25" x14ac:dyDescent="0.25">
      <c r="C433" s="292"/>
      <c r="D433" s="295"/>
      <c r="E433" s="295"/>
      <c r="F433" s="295"/>
      <c r="G433" s="295"/>
      <c r="H433" s="295"/>
      <c r="I433" s="295"/>
      <c r="J433" s="295"/>
      <c r="K433" s="295"/>
      <c r="L433" s="295"/>
      <c r="M433" s="295"/>
      <c r="N433" s="295"/>
      <c r="O433" s="295"/>
      <c r="P433" s="295"/>
      <c r="Q433" s="295"/>
      <c r="R433" s="295"/>
      <c r="S433" s="295"/>
      <c r="T433" s="295"/>
      <c r="U433" s="295"/>
      <c r="V433" s="295"/>
      <c r="W433" s="295"/>
      <c r="X433" s="295"/>
      <c r="Y433" s="295"/>
    </row>
    <row r="434" spans="3:25" x14ac:dyDescent="0.25">
      <c r="C434" s="292"/>
      <c r="D434" s="295"/>
      <c r="E434" s="295"/>
      <c r="F434" s="295"/>
      <c r="G434" s="295"/>
      <c r="H434" s="295"/>
      <c r="I434" s="295"/>
      <c r="J434" s="295"/>
      <c r="K434" s="295"/>
      <c r="L434" s="295"/>
      <c r="M434" s="295"/>
      <c r="N434" s="295"/>
      <c r="O434" s="295"/>
      <c r="P434" s="295"/>
      <c r="Q434" s="295"/>
      <c r="R434" s="295"/>
      <c r="S434" s="295"/>
      <c r="T434" s="295"/>
      <c r="U434" s="295"/>
      <c r="V434" s="295"/>
      <c r="W434" s="295"/>
      <c r="X434" s="295"/>
      <c r="Y434" s="295"/>
    </row>
    <row r="435" spans="3:25" x14ac:dyDescent="0.25">
      <c r="C435" s="292"/>
      <c r="D435" s="295"/>
      <c r="E435" s="295"/>
      <c r="F435" s="295"/>
      <c r="G435" s="295"/>
      <c r="H435" s="295"/>
      <c r="I435" s="295"/>
      <c r="J435" s="295"/>
      <c r="K435" s="295"/>
      <c r="L435" s="295"/>
      <c r="M435" s="295"/>
      <c r="N435" s="295"/>
      <c r="O435" s="295"/>
      <c r="P435" s="295"/>
      <c r="Q435" s="295"/>
      <c r="R435" s="295"/>
      <c r="S435" s="295"/>
      <c r="T435" s="295"/>
      <c r="U435" s="295"/>
      <c r="V435" s="295"/>
      <c r="W435" s="295"/>
      <c r="X435" s="295"/>
      <c r="Y435" s="295"/>
    </row>
    <row r="436" spans="3:25" x14ac:dyDescent="0.25">
      <c r="C436" s="292"/>
      <c r="D436" s="295"/>
      <c r="E436" s="295"/>
      <c r="F436" s="295"/>
      <c r="G436" s="295"/>
      <c r="H436" s="295"/>
      <c r="I436" s="295"/>
      <c r="J436" s="295"/>
      <c r="K436" s="295"/>
      <c r="L436" s="295"/>
      <c r="M436" s="295"/>
      <c r="N436" s="295"/>
      <c r="O436" s="295"/>
      <c r="P436" s="295"/>
      <c r="Q436" s="295"/>
      <c r="R436" s="295"/>
      <c r="S436" s="295"/>
      <c r="T436" s="295"/>
      <c r="U436" s="295"/>
      <c r="V436" s="295"/>
      <c r="W436" s="295"/>
      <c r="X436" s="295"/>
      <c r="Y436" s="295"/>
    </row>
    <row r="437" spans="3:25" x14ac:dyDescent="0.25">
      <c r="C437" s="292"/>
      <c r="D437" s="295"/>
      <c r="E437" s="295"/>
      <c r="F437" s="295"/>
      <c r="G437" s="295"/>
      <c r="H437" s="295"/>
      <c r="I437" s="295"/>
      <c r="J437" s="295"/>
      <c r="K437" s="295"/>
      <c r="L437" s="295"/>
      <c r="M437" s="295"/>
      <c r="N437" s="295"/>
      <c r="O437" s="295"/>
      <c r="P437" s="295"/>
      <c r="Q437" s="295"/>
      <c r="R437" s="295"/>
      <c r="S437" s="295"/>
      <c r="T437" s="295"/>
      <c r="U437" s="295"/>
      <c r="V437" s="295"/>
      <c r="W437" s="295"/>
      <c r="X437" s="295"/>
      <c r="Y437" s="295"/>
    </row>
    <row r="438" spans="3:25" x14ac:dyDescent="0.25">
      <c r="C438" s="292"/>
      <c r="D438" s="295"/>
      <c r="E438" s="295"/>
      <c r="F438" s="295"/>
      <c r="G438" s="295"/>
      <c r="H438" s="295"/>
      <c r="I438" s="295"/>
      <c r="J438" s="295"/>
      <c r="K438" s="295"/>
      <c r="L438" s="295"/>
      <c r="M438" s="295"/>
      <c r="N438" s="295"/>
      <c r="O438" s="295"/>
      <c r="P438" s="295"/>
      <c r="Q438" s="295"/>
      <c r="R438" s="295"/>
      <c r="S438" s="295"/>
      <c r="T438" s="295"/>
      <c r="U438" s="295"/>
      <c r="V438" s="295"/>
      <c r="W438" s="295"/>
      <c r="X438" s="295"/>
      <c r="Y438" s="295"/>
    </row>
    <row r="439" spans="3:25" x14ac:dyDescent="0.25">
      <c r="C439" s="292"/>
      <c r="D439" s="295"/>
      <c r="E439" s="295"/>
      <c r="F439" s="295"/>
      <c r="G439" s="295"/>
      <c r="H439" s="295"/>
      <c r="I439" s="295"/>
      <c r="J439" s="295"/>
      <c r="K439" s="295"/>
      <c r="L439" s="295"/>
      <c r="M439" s="295"/>
      <c r="N439" s="295"/>
      <c r="O439" s="295"/>
      <c r="P439" s="295"/>
      <c r="Q439" s="295"/>
      <c r="R439" s="295"/>
      <c r="S439" s="295"/>
      <c r="T439" s="295"/>
      <c r="U439" s="295"/>
      <c r="V439" s="295"/>
      <c r="W439" s="295"/>
      <c r="X439" s="295"/>
      <c r="Y439" s="295"/>
    </row>
    <row r="440" spans="3:25" x14ac:dyDescent="0.25">
      <c r="C440" s="292"/>
      <c r="D440" s="295"/>
      <c r="E440" s="295"/>
      <c r="F440" s="295"/>
      <c r="G440" s="295"/>
      <c r="H440" s="295"/>
      <c r="I440" s="295"/>
      <c r="J440" s="295"/>
      <c r="K440" s="295"/>
      <c r="L440" s="295"/>
      <c r="M440" s="295"/>
      <c r="N440" s="295"/>
      <c r="O440" s="295"/>
      <c r="P440" s="295"/>
      <c r="Q440" s="295"/>
      <c r="R440" s="295"/>
      <c r="S440" s="295"/>
      <c r="T440" s="295"/>
      <c r="U440" s="295"/>
      <c r="V440" s="295"/>
      <c r="W440" s="295"/>
      <c r="X440" s="295"/>
      <c r="Y440" s="295"/>
    </row>
    <row r="441" spans="3:25" x14ac:dyDescent="0.25">
      <c r="C441" s="292"/>
      <c r="D441" s="295"/>
      <c r="E441" s="295"/>
      <c r="F441" s="295"/>
      <c r="G441" s="295"/>
      <c r="H441" s="295"/>
      <c r="I441" s="295"/>
      <c r="J441" s="295"/>
      <c r="K441" s="295"/>
      <c r="L441" s="295"/>
      <c r="M441" s="295"/>
      <c r="N441" s="295"/>
      <c r="O441" s="295"/>
      <c r="P441" s="295"/>
      <c r="Q441" s="295"/>
      <c r="R441" s="295"/>
      <c r="S441" s="295"/>
      <c r="T441" s="295"/>
      <c r="U441" s="295"/>
      <c r="V441" s="295"/>
      <c r="W441" s="295"/>
      <c r="X441" s="295"/>
      <c r="Y441" s="295"/>
    </row>
    <row r="442" spans="3:25" x14ac:dyDescent="0.25">
      <c r="C442" s="292"/>
      <c r="D442" s="295"/>
      <c r="E442" s="295"/>
      <c r="F442" s="295"/>
      <c r="G442" s="295"/>
      <c r="H442" s="295"/>
      <c r="I442" s="295"/>
      <c r="J442" s="295"/>
      <c r="K442" s="295"/>
      <c r="L442" s="295"/>
      <c r="M442" s="295"/>
      <c r="N442" s="295"/>
      <c r="O442" s="295"/>
      <c r="P442" s="295"/>
      <c r="Q442" s="295"/>
      <c r="R442" s="295"/>
      <c r="S442" s="295"/>
      <c r="T442" s="295"/>
      <c r="U442" s="295"/>
      <c r="V442" s="295"/>
      <c r="W442" s="295"/>
      <c r="X442" s="295"/>
      <c r="Y442" s="295"/>
    </row>
    <row r="443" spans="3:25" x14ac:dyDescent="0.25">
      <c r="C443" s="292"/>
      <c r="D443" s="295"/>
      <c r="E443" s="295"/>
      <c r="F443" s="295"/>
      <c r="G443" s="295"/>
      <c r="H443" s="295"/>
      <c r="I443" s="295"/>
      <c r="J443" s="295"/>
      <c r="K443" s="295"/>
      <c r="L443" s="295"/>
      <c r="M443" s="295"/>
      <c r="N443" s="295"/>
      <c r="O443" s="295"/>
      <c r="P443" s="295"/>
      <c r="Q443" s="295"/>
      <c r="R443" s="295"/>
      <c r="S443" s="295"/>
      <c r="T443" s="295"/>
      <c r="U443" s="295"/>
      <c r="V443" s="295"/>
      <c r="W443" s="295"/>
      <c r="X443" s="295"/>
      <c r="Y443" s="295"/>
    </row>
    <row r="444" spans="3:25" x14ac:dyDescent="0.25">
      <c r="C444" s="292"/>
      <c r="D444" s="295"/>
      <c r="E444" s="295"/>
      <c r="F444" s="295"/>
      <c r="G444" s="295"/>
      <c r="H444" s="295"/>
      <c r="I444" s="295"/>
      <c r="J444" s="295"/>
      <c r="K444" s="295"/>
      <c r="L444" s="295"/>
      <c r="M444" s="295"/>
      <c r="N444" s="295"/>
      <c r="O444" s="295"/>
      <c r="P444" s="295"/>
      <c r="Q444" s="295"/>
      <c r="R444" s="295"/>
      <c r="S444" s="295"/>
      <c r="T444" s="295"/>
      <c r="U444" s="295"/>
      <c r="V444" s="295"/>
      <c r="W444" s="295"/>
      <c r="X444" s="295"/>
      <c r="Y444" s="295"/>
    </row>
    <row r="445" spans="3:25" x14ac:dyDescent="0.25">
      <c r="C445" s="292"/>
      <c r="D445" s="295"/>
      <c r="E445" s="295"/>
      <c r="F445" s="295"/>
      <c r="G445" s="295"/>
      <c r="H445" s="295"/>
      <c r="I445" s="295"/>
      <c r="J445" s="295"/>
      <c r="K445" s="295"/>
      <c r="L445" s="295"/>
      <c r="M445" s="295"/>
      <c r="N445" s="295"/>
      <c r="O445" s="295"/>
      <c r="P445" s="295"/>
      <c r="Q445" s="295"/>
      <c r="R445" s="295"/>
      <c r="S445" s="295"/>
      <c r="T445" s="295"/>
      <c r="U445" s="295"/>
      <c r="V445" s="295"/>
      <c r="W445" s="295"/>
      <c r="X445" s="295"/>
      <c r="Y445" s="295"/>
    </row>
    <row r="446" spans="3:25" x14ac:dyDescent="0.25">
      <c r="C446" s="292"/>
      <c r="D446" s="295"/>
      <c r="E446" s="295"/>
      <c r="F446" s="295"/>
      <c r="G446" s="295"/>
      <c r="H446" s="295"/>
      <c r="I446" s="295"/>
      <c r="J446" s="295"/>
      <c r="K446" s="295"/>
      <c r="L446" s="295"/>
      <c r="M446" s="295"/>
      <c r="N446" s="295"/>
      <c r="O446" s="295"/>
      <c r="P446" s="295"/>
      <c r="Q446" s="295"/>
      <c r="R446" s="295"/>
      <c r="S446" s="295"/>
      <c r="T446" s="295"/>
      <c r="U446" s="295"/>
      <c r="V446" s="295"/>
      <c r="W446" s="295"/>
      <c r="X446" s="295"/>
      <c r="Y446" s="295"/>
    </row>
    <row r="447" spans="3:25" x14ac:dyDescent="0.25">
      <c r="C447" s="292"/>
      <c r="D447" s="295"/>
      <c r="E447" s="295"/>
      <c r="F447" s="295"/>
      <c r="G447" s="295"/>
      <c r="H447" s="295"/>
      <c r="I447" s="295"/>
      <c r="J447" s="295"/>
      <c r="K447" s="295"/>
      <c r="L447" s="295"/>
      <c r="M447" s="295"/>
      <c r="N447" s="295"/>
      <c r="O447" s="295"/>
      <c r="P447" s="295"/>
      <c r="Q447" s="295"/>
      <c r="R447" s="295"/>
      <c r="S447" s="295"/>
      <c r="T447" s="295"/>
      <c r="U447" s="295"/>
      <c r="V447" s="295"/>
      <c r="W447" s="295"/>
      <c r="X447" s="295"/>
      <c r="Y447" s="295"/>
    </row>
    <row r="448" spans="3:25" x14ac:dyDescent="0.25">
      <c r="C448" s="292"/>
      <c r="D448" s="295"/>
      <c r="E448" s="295"/>
      <c r="F448" s="295"/>
      <c r="G448" s="295"/>
      <c r="H448" s="295"/>
      <c r="I448" s="295"/>
      <c r="J448" s="295"/>
      <c r="K448" s="295"/>
      <c r="L448" s="295"/>
      <c r="M448" s="295"/>
      <c r="N448" s="295"/>
      <c r="O448" s="295"/>
      <c r="P448" s="295"/>
      <c r="Q448" s="295"/>
      <c r="R448" s="295"/>
      <c r="S448" s="295"/>
      <c r="T448" s="295"/>
      <c r="U448" s="295"/>
      <c r="V448" s="295"/>
      <c r="W448" s="295"/>
      <c r="X448" s="295"/>
      <c r="Y448" s="295"/>
    </row>
    <row r="449" spans="3:25" x14ac:dyDescent="0.25">
      <c r="C449" s="292"/>
      <c r="D449" s="295"/>
      <c r="E449" s="295"/>
      <c r="F449" s="295"/>
      <c r="G449" s="295"/>
      <c r="H449" s="295"/>
      <c r="I449" s="295"/>
      <c r="J449" s="295"/>
      <c r="K449" s="295"/>
      <c r="L449" s="295"/>
      <c r="M449" s="295"/>
      <c r="N449" s="295"/>
      <c r="O449" s="295"/>
      <c r="P449" s="295"/>
      <c r="Q449" s="295"/>
      <c r="R449" s="295"/>
      <c r="S449" s="295"/>
      <c r="T449" s="295"/>
      <c r="U449" s="295"/>
      <c r="V449" s="295"/>
      <c r="W449" s="295"/>
      <c r="X449" s="295"/>
      <c r="Y449" s="295"/>
    </row>
    <row r="450" spans="3:25" x14ac:dyDescent="0.25">
      <c r="C450" s="292"/>
      <c r="D450" s="295"/>
      <c r="E450" s="295"/>
      <c r="F450" s="295"/>
      <c r="G450" s="295"/>
      <c r="H450" s="295"/>
      <c r="I450" s="295"/>
      <c r="J450" s="295"/>
      <c r="K450" s="295"/>
      <c r="L450" s="295"/>
      <c r="M450" s="295"/>
      <c r="N450" s="295"/>
      <c r="O450" s="295"/>
      <c r="P450" s="295"/>
      <c r="Q450" s="295"/>
      <c r="R450" s="295"/>
      <c r="S450" s="295"/>
      <c r="T450" s="295"/>
      <c r="U450" s="295"/>
      <c r="V450" s="295"/>
      <c r="W450" s="295"/>
      <c r="X450" s="295"/>
      <c r="Y450" s="295"/>
    </row>
    <row r="451" spans="3:25" x14ac:dyDescent="0.25">
      <c r="C451" s="292"/>
      <c r="D451" s="295"/>
      <c r="E451" s="295"/>
      <c r="F451" s="295"/>
      <c r="G451" s="295"/>
      <c r="H451" s="295"/>
      <c r="I451" s="295"/>
      <c r="J451" s="295"/>
      <c r="K451" s="295"/>
      <c r="L451" s="295"/>
      <c r="M451" s="295"/>
      <c r="N451" s="295"/>
      <c r="O451" s="295"/>
      <c r="P451" s="295"/>
      <c r="Q451" s="295"/>
      <c r="R451" s="295"/>
      <c r="S451" s="295"/>
      <c r="T451" s="295"/>
      <c r="U451" s="295"/>
      <c r="V451" s="295"/>
      <c r="W451" s="295"/>
      <c r="X451" s="295"/>
      <c r="Y451" s="295"/>
    </row>
    <row r="452" spans="3:25" x14ac:dyDescent="0.25">
      <c r="C452" s="292"/>
      <c r="D452" s="295"/>
      <c r="E452" s="295"/>
      <c r="F452" s="295"/>
      <c r="G452" s="295"/>
      <c r="H452" s="295"/>
      <c r="I452" s="295"/>
      <c r="J452" s="295"/>
      <c r="K452" s="295"/>
      <c r="L452" s="295"/>
      <c r="M452" s="295"/>
      <c r="N452" s="295"/>
      <c r="O452" s="295"/>
      <c r="P452" s="295"/>
      <c r="Q452" s="295"/>
      <c r="R452" s="295"/>
      <c r="S452" s="295"/>
      <c r="T452" s="295"/>
      <c r="U452" s="295"/>
      <c r="V452" s="295"/>
      <c r="W452" s="295"/>
      <c r="X452" s="295"/>
      <c r="Y452" s="295"/>
    </row>
    <row r="453" spans="3:25" x14ac:dyDescent="0.25">
      <c r="C453" s="292"/>
      <c r="D453" s="295"/>
      <c r="E453" s="295"/>
      <c r="F453" s="295"/>
      <c r="G453" s="295"/>
      <c r="H453" s="295"/>
      <c r="I453" s="295"/>
      <c r="J453" s="295"/>
      <c r="K453" s="295"/>
      <c r="L453" s="295"/>
      <c r="M453" s="295"/>
      <c r="N453" s="295"/>
      <c r="O453" s="295"/>
      <c r="P453" s="295"/>
      <c r="Q453" s="295"/>
      <c r="R453" s="295"/>
      <c r="S453" s="295"/>
      <c r="T453" s="295"/>
      <c r="U453" s="295"/>
      <c r="V453" s="295"/>
      <c r="W453" s="295"/>
      <c r="X453" s="295"/>
      <c r="Y453" s="295"/>
    </row>
    <row r="454" spans="3:25" x14ac:dyDescent="0.25">
      <c r="C454" s="292"/>
      <c r="D454" s="295"/>
      <c r="E454" s="295"/>
      <c r="F454" s="295"/>
      <c r="G454" s="295"/>
      <c r="H454" s="295"/>
      <c r="I454" s="295"/>
      <c r="J454" s="295"/>
      <c r="K454" s="295"/>
      <c r="L454" s="295"/>
      <c r="M454" s="295"/>
      <c r="N454" s="295"/>
      <c r="O454" s="295"/>
      <c r="P454" s="295"/>
      <c r="Q454" s="295"/>
      <c r="R454" s="295"/>
      <c r="S454" s="295"/>
      <c r="T454" s="295"/>
      <c r="U454" s="295"/>
      <c r="V454" s="295"/>
      <c r="W454" s="295"/>
      <c r="X454" s="295"/>
      <c r="Y454" s="295"/>
    </row>
    <row r="455" spans="3:25" x14ac:dyDescent="0.25">
      <c r="C455" s="292"/>
      <c r="D455" s="295"/>
      <c r="E455" s="295"/>
      <c r="F455" s="295"/>
      <c r="G455" s="295"/>
      <c r="H455" s="295"/>
      <c r="I455" s="295"/>
      <c r="J455" s="295"/>
      <c r="K455" s="295"/>
      <c r="L455" s="295"/>
      <c r="M455" s="295"/>
      <c r="N455" s="295"/>
      <c r="O455" s="295"/>
      <c r="P455" s="295"/>
      <c r="Q455" s="295"/>
      <c r="R455" s="295"/>
      <c r="S455" s="295"/>
      <c r="T455" s="295"/>
      <c r="U455" s="295"/>
      <c r="V455" s="295"/>
      <c r="W455" s="295"/>
      <c r="X455" s="295"/>
      <c r="Y455" s="295"/>
    </row>
    <row r="456" spans="3:25" x14ac:dyDescent="0.25">
      <c r="C456" s="292"/>
      <c r="D456" s="295"/>
      <c r="E456" s="295"/>
      <c r="F456" s="295"/>
      <c r="G456" s="295"/>
      <c r="H456" s="295"/>
      <c r="I456" s="295"/>
      <c r="J456" s="295"/>
      <c r="K456" s="295"/>
      <c r="L456" s="295"/>
      <c r="M456" s="295"/>
      <c r="N456" s="295"/>
      <c r="O456" s="295"/>
      <c r="P456" s="295"/>
      <c r="Q456" s="295"/>
      <c r="R456" s="295"/>
      <c r="S456" s="295"/>
      <c r="T456" s="295"/>
      <c r="U456" s="295"/>
      <c r="V456" s="295"/>
      <c r="W456" s="295"/>
      <c r="X456" s="295"/>
      <c r="Y456" s="295"/>
    </row>
    <row r="457" spans="3:25" x14ac:dyDescent="0.25">
      <c r="C457" s="292"/>
      <c r="D457" s="295"/>
      <c r="E457" s="295"/>
      <c r="F457" s="295"/>
      <c r="G457" s="295"/>
      <c r="H457" s="295"/>
      <c r="I457" s="295"/>
      <c r="J457" s="295"/>
      <c r="K457" s="295"/>
      <c r="L457" s="295"/>
      <c r="M457" s="295"/>
      <c r="N457" s="295"/>
      <c r="O457" s="295"/>
      <c r="P457" s="295"/>
      <c r="Q457" s="295"/>
      <c r="R457" s="295"/>
      <c r="S457" s="295"/>
      <c r="T457" s="295"/>
      <c r="U457" s="295"/>
      <c r="V457" s="295"/>
      <c r="W457" s="295"/>
      <c r="X457" s="295"/>
      <c r="Y457" s="295"/>
    </row>
    <row r="458" spans="3:25" x14ac:dyDescent="0.25">
      <c r="C458" s="292"/>
      <c r="D458" s="295"/>
      <c r="E458" s="295"/>
      <c r="F458" s="295"/>
      <c r="G458" s="295"/>
      <c r="H458" s="295"/>
      <c r="I458" s="295"/>
      <c r="J458" s="295"/>
      <c r="K458" s="295"/>
      <c r="L458" s="295"/>
      <c r="M458" s="295"/>
      <c r="N458" s="295"/>
      <c r="O458" s="295"/>
      <c r="P458" s="295"/>
      <c r="Q458" s="295"/>
      <c r="R458" s="295"/>
      <c r="S458" s="295"/>
      <c r="T458" s="295"/>
      <c r="U458" s="295"/>
      <c r="V458" s="295"/>
      <c r="W458" s="295"/>
      <c r="X458" s="295"/>
      <c r="Y458" s="295"/>
    </row>
    <row r="459" spans="3:25" x14ac:dyDescent="0.25">
      <c r="C459" s="292"/>
      <c r="D459" s="295"/>
      <c r="E459" s="295"/>
      <c r="F459" s="295"/>
      <c r="G459" s="295"/>
      <c r="H459" s="295"/>
      <c r="I459" s="295"/>
      <c r="J459" s="295"/>
      <c r="K459" s="295"/>
      <c r="L459" s="295"/>
      <c r="M459" s="295"/>
      <c r="N459" s="295"/>
      <c r="O459" s="295"/>
      <c r="P459" s="295"/>
      <c r="Q459" s="295"/>
      <c r="R459" s="295"/>
      <c r="S459" s="295"/>
      <c r="T459" s="295"/>
      <c r="U459" s="295"/>
      <c r="V459" s="295"/>
      <c r="W459" s="295"/>
      <c r="X459" s="295"/>
      <c r="Y459" s="295"/>
    </row>
    <row r="460" spans="3:25" x14ac:dyDescent="0.25">
      <c r="C460" s="292"/>
      <c r="D460" s="295"/>
      <c r="E460" s="295"/>
      <c r="F460" s="295"/>
      <c r="G460" s="295"/>
      <c r="H460" s="295"/>
      <c r="I460" s="295"/>
      <c r="J460" s="295"/>
      <c r="K460" s="295"/>
      <c r="L460" s="295"/>
      <c r="M460" s="295"/>
      <c r="N460" s="295"/>
      <c r="O460" s="295"/>
      <c r="P460" s="295"/>
      <c r="Q460" s="295"/>
      <c r="R460" s="295"/>
      <c r="S460" s="295"/>
      <c r="T460" s="295"/>
      <c r="U460" s="295"/>
      <c r="V460" s="295"/>
      <c r="W460" s="295"/>
      <c r="X460" s="295"/>
      <c r="Y460" s="295"/>
    </row>
    <row r="461" spans="3:25" x14ac:dyDescent="0.25">
      <c r="C461" s="292"/>
      <c r="D461" s="295"/>
      <c r="E461" s="295"/>
      <c r="F461" s="295"/>
      <c r="G461" s="295"/>
      <c r="H461" s="295"/>
      <c r="I461" s="295"/>
      <c r="J461" s="295"/>
      <c r="K461" s="295"/>
      <c r="L461" s="295"/>
      <c r="M461" s="295"/>
      <c r="N461" s="295"/>
      <c r="O461" s="295"/>
      <c r="P461" s="295"/>
      <c r="Q461" s="295"/>
      <c r="R461" s="295"/>
      <c r="S461" s="295"/>
      <c r="T461" s="295"/>
      <c r="U461" s="295"/>
      <c r="V461" s="295"/>
      <c r="W461" s="295"/>
      <c r="X461" s="295"/>
      <c r="Y461" s="295"/>
    </row>
    <row r="462" spans="3:25" x14ac:dyDescent="0.25">
      <c r="C462" s="292"/>
      <c r="D462" s="295"/>
      <c r="E462" s="295"/>
      <c r="F462" s="295"/>
      <c r="G462" s="295"/>
      <c r="H462" s="295"/>
      <c r="I462" s="295"/>
      <c r="J462" s="295"/>
      <c r="K462" s="295"/>
      <c r="L462" s="295"/>
      <c r="M462" s="295"/>
      <c r="N462" s="295"/>
      <c r="O462" s="295"/>
      <c r="P462" s="295"/>
      <c r="Q462" s="295"/>
      <c r="R462" s="295"/>
      <c r="S462" s="295"/>
      <c r="T462" s="295"/>
      <c r="U462" s="295"/>
      <c r="V462" s="295"/>
      <c r="W462" s="295"/>
      <c r="X462" s="295"/>
      <c r="Y462" s="295"/>
    </row>
    <row r="463" spans="3:25" x14ac:dyDescent="0.25">
      <c r="C463" s="292"/>
      <c r="D463" s="295"/>
      <c r="E463" s="295"/>
      <c r="F463" s="295"/>
      <c r="G463" s="295"/>
      <c r="H463" s="295"/>
      <c r="I463" s="295"/>
      <c r="J463" s="295"/>
      <c r="K463" s="295"/>
      <c r="L463" s="295"/>
      <c r="M463" s="295"/>
      <c r="N463" s="295"/>
      <c r="O463" s="295"/>
      <c r="P463" s="295"/>
      <c r="Q463" s="295"/>
      <c r="R463" s="295"/>
      <c r="S463" s="295"/>
      <c r="T463" s="295"/>
      <c r="U463" s="295"/>
      <c r="V463" s="295"/>
      <c r="W463" s="295"/>
      <c r="X463" s="295"/>
      <c r="Y463" s="295"/>
    </row>
    <row r="464" spans="3:25" x14ac:dyDescent="0.25">
      <c r="C464" s="292"/>
      <c r="D464" s="295"/>
      <c r="E464" s="295"/>
      <c r="F464" s="295"/>
      <c r="G464" s="295"/>
      <c r="H464" s="295"/>
      <c r="I464" s="295"/>
      <c r="J464" s="295"/>
      <c r="K464" s="295"/>
      <c r="L464" s="295"/>
      <c r="M464" s="295"/>
      <c r="N464" s="295"/>
      <c r="O464" s="295"/>
      <c r="P464" s="295"/>
      <c r="Q464" s="295"/>
      <c r="R464" s="295"/>
      <c r="S464" s="295"/>
      <c r="T464" s="295"/>
      <c r="U464" s="295"/>
      <c r="V464" s="295"/>
      <c r="W464" s="295"/>
      <c r="X464" s="295"/>
      <c r="Y464" s="295"/>
    </row>
    <row r="465" spans="3:25" x14ac:dyDescent="0.25">
      <c r="C465" s="292"/>
      <c r="D465" s="295"/>
      <c r="E465" s="295"/>
      <c r="F465" s="295"/>
      <c r="G465" s="295"/>
      <c r="H465" s="295"/>
      <c r="I465" s="295"/>
      <c r="J465" s="295"/>
      <c r="K465" s="295"/>
      <c r="L465" s="295"/>
      <c r="M465" s="295"/>
      <c r="N465" s="295"/>
      <c r="O465" s="295"/>
      <c r="P465" s="295"/>
      <c r="Q465" s="295"/>
      <c r="R465" s="295"/>
      <c r="S465" s="295"/>
      <c r="T465" s="295"/>
      <c r="U465" s="295"/>
      <c r="V465" s="295"/>
      <c r="W465" s="295"/>
      <c r="X465" s="295"/>
      <c r="Y465" s="295"/>
    </row>
    <row r="466" spans="3:25" x14ac:dyDescent="0.25">
      <c r="C466" s="292"/>
      <c r="D466" s="295"/>
      <c r="E466" s="295"/>
      <c r="F466" s="295"/>
      <c r="G466" s="295"/>
      <c r="H466" s="295"/>
      <c r="I466" s="295"/>
      <c r="J466" s="295"/>
      <c r="K466" s="295"/>
      <c r="L466" s="295"/>
      <c r="M466" s="295"/>
      <c r="N466" s="295"/>
      <c r="O466" s="295"/>
      <c r="P466" s="295"/>
      <c r="Q466" s="295"/>
      <c r="R466" s="295"/>
      <c r="S466" s="295"/>
      <c r="T466" s="295"/>
      <c r="U466" s="295"/>
      <c r="V466" s="295"/>
      <c r="W466" s="295"/>
      <c r="X466" s="295"/>
      <c r="Y466" s="295"/>
    </row>
    <row r="467" spans="3:25" x14ac:dyDescent="0.25">
      <c r="C467" s="292"/>
      <c r="D467" s="295"/>
      <c r="E467" s="295"/>
      <c r="F467" s="295"/>
      <c r="G467" s="295"/>
      <c r="H467" s="295"/>
      <c r="I467" s="295"/>
      <c r="J467" s="295"/>
      <c r="K467" s="295"/>
      <c r="L467" s="295"/>
      <c r="M467" s="295"/>
      <c r="N467" s="295"/>
      <c r="O467" s="295"/>
      <c r="P467" s="295"/>
      <c r="Q467" s="295"/>
      <c r="R467" s="295"/>
      <c r="S467" s="295"/>
      <c r="T467" s="295"/>
      <c r="U467" s="295"/>
      <c r="V467" s="295"/>
      <c r="W467" s="295"/>
      <c r="X467" s="295"/>
      <c r="Y467" s="295"/>
    </row>
    <row r="468" spans="3:25" x14ac:dyDescent="0.25">
      <c r="C468" s="292"/>
      <c r="D468" s="295"/>
      <c r="E468" s="295"/>
      <c r="F468" s="295"/>
      <c r="G468" s="295"/>
      <c r="H468" s="295"/>
      <c r="I468" s="295"/>
      <c r="J468" s="295"/>
      <c r="K468" s="295"/>
      <c r="L468" s="295"/>
      <c r="M468" s="295"/>
      <c r="N468" s="295"/>
      <c r="O468" s="295"/>
      <c r="P468" s="295"/>
      <c r="Q468" s="295"/>
      <c r="R468" s="295"/>
      <c r="S468" s="295"/>
      <c r="T468" s="295"/>
      <c r="U468" s="295"/>
      <c r="V468" s="295"/>
      <c r="W468" s="295"/>
      <c r="X468" s="295"/>
      <c r="Y468" s="295"/>
    </row>
    <row r="469" spans="3:25" x14ac:dyDescent="0.25">
      <c r="C469" s="292"/>
      <c r="D469" s="295"/>
      <c r="E469" s="295"/>
      <c r="F469" s="295"/>
      <c r="G469" s="295"/>
      <c r="H469" s="295"/>
      <c r="I469" s="295"/>
      <c r="J469" s="295"/>
      <c r="K469" s="295"/>
      <c r="L469" s="295"/>
      <c r="M469" s="295"/>
      <c r="N469" s="295"/>
      <c r="O469" s="295"/>
      <c r="P469" s="295"/>
      <c r="Q469" s="295"/>
      <c r="R469" s="295"/>
      <c r="S469" s="295"/>
      <c r="T469" s="295"/>
      <c r="U469" s="295"/>
      <c r="V469" s="295"/>
      <c r="W469" s="295"/>
      <c r="X469" s="295"/>
      <c r="Y469" s="295"/>
    </row>
    <row r="470" spans="3:25" x14ac:dyDescent="0.25">
      <c r="C470" s="292"/>
      <c r="D470" s="295"/>
      <c r="E470" s="295"/>
      <c r="F470" s="295"/>
      <c r="G470" s="295"/>
      <c r="H470" s="295"/>
      <c r="I470" s="295"/>
      <c r="J470" s="295"/>
      <c r="K470" s="295"/>
      <c r="L470" s="295"/>
      <c r="M470" s="295"/>
      <c r="N470" s="295"/>
      <c r="O470" s="295"/>
      <c r="P470" s="295"/>
      <c r="Q470" s="295"/>
      <c r="R470" s="295"/>
      <c r="S470" s="295"/>
      <c r="T470" s="295"/>
      <c r="U470" s="295"/>
      <c r="V470" s="295"/>
      <c r="W470" s="295"/>
      <c r="X470" s="295"/>
      <c r="Y470" s="295"/>
    </row>
    <row r="471" spans="3:25" x14ac:dyDescent="0.25">
      <c r="C471" s="292"/>
      <c r="D471" s="295"/>
      <c r="E471" s="295"/>
      <c r="F471" s="295"/>
      <c r="G471" s="295"/>
      <c r="H471" s="295"/>
      <c r="I471" s="295"/>
      <c r="J471" s="295"/>
      <c r="K471" s="295"/>
      <c r="L471" s="295"/>
      <c r="M471" s="295"/>
      <c r="N471" s="295"/>
      <c r="O471" s="295"/>
      <c r="P471" s="295"/>
      <c r="Q471" s="295"/>
      <c r="R471" s="295"/>
      <c r="S471" s="295"/>
      <c r="T471" s="295"/>
      <c r="U471" s="295"/>
      <c r="V471" s="295"/>
      <c r="W471" s="295"/>
      <c r="X471" s="295"/>
      <c r="Y471" s="295"/>
    </row>
    <row r="472" spans="3:25" x14ac:dyDescent="0.25">
      <c r="C472" s="292"/>
      <c r="D472" s="295"/>
      <c r="E472" s="295"/>
      <c r="F472" s="295"/>
      <c r="G472" s="295"/>
      <c r="H472" s="295"/>
      <c r="I472" s="295"/>
      <c r="J472" s="295"/>
      <c r="K472" s="295"/>
      <c r="L472" s="295"/>
      <c r="M472" s="295"/>
      <c r="N472" s="295"/>
      <c r="O472" s="295"/>
      <c r="P472" s="295"/>
      <c r="Q472" s="295"/>
      <c r="R472" s="295"/>
      <c r="S472" s="295"/>
      <c r="T472" s="295"/>
      <c r="U472" s="295"/>
      <c r="V472" s="295"/>
      <c r="W472" s="295"/>
      <c r="X472" s="295"/>
      <c r="Y472" s="295"/>
    </row>
    <row r="473" spans="3:25" x14ac:dyDescent="0.25">
      <c r="C473" s="292"/>
      <c r="D473" s="295"/>
      <c r="E473" s="295"/>
      <c r="F473" s="295"/>
      <c r="G473" s="295"/>
      <c r="H473" s="295"/>
      <c r="I473" s="295"/>
      <c r="J473" s="295"/>
      <c r="K473" s="295"/>
      <c r="L473" s="295"/>
      <c r="M473" s="295"/>
      <c r="N473" s="295"/>
      <c r="O473" s="295"/>
      <c r="P473" s="295"/>
      <c r="Q473" s="295"/>
      <c r="R473" s="295"/>
      <c r="S473" s="295"/>
      <c r="T473" s="295"/>
      <c r="U473" s="295"/>
      <c r="V473" s="295"/>
      <c r="W473" s="295"/>
      <c r="X473" s="295"/>
      <c r="Y473" s="295"/>
    </row>
    <row r="474" spans="3:25" x14ac:dyDescent="0.25">
      <c r="C474" s="292"/>
      <c r="D474" s="295"/>
      <c r="E474" s="295"/>
      <c r="F474" s="295"/>
      <c r="G474" s="295"/>
      <c r="H474" s="295"/>
      <c r="I474" s="295"/>
      <c r="J474" s="295"/>
      <c r="K474" s="295"/>
      <c r="L474" s="295"/>
      <c r="M474" s="295"/>
      <c r="N474" s="295"/>
      <c r="O474" s="295"/>
      <c r="P474" s="295"/>
      <c r="Q474" s="295"/>
      <c r="R474" s="295"/>
      <c r="S474" s="295"/>
      <c r="T474" s="295"/>
      <c r="U474" s="295"/>
      <c r="V474" s="295"/>
      <c r="W474" s="295"/>
      <c r="X474" s="295"/>
      <c r="Y474" s="295"/>
    </row>
    <row r="475" spans="3:25" x14ac:dyDescent="0.25">
      <c r="C475" s="292"/>
      <c r="D475" s="295"/>
      <c r="E475" s="295"/>
      <c r="F475" s="295"/>
      <c r="G475" s="295"/>
      <c r="H475" s="295"/>
      <c r="I475" s="295"/>
      <c r="J475" s="295"/>
      <c r="K475" s="295"/>
      <c r="L475" s="295"/>
      <c r="M475" s="295"/>
      <c r="N475" s="295"/>
      <c r="O475" s="295"/>
      <c r="P475" s="295"/>
      <c r="Q475" s="295"/>
      <c r="R475" s="295"/>
      <c r="S475" s="295"/>
      <c r="T475" s="295"/>
      <c r="U475" s="295"/>
      <c r="V475" s="295"/>
      <c r="W475" s="295"/>
      <c r="X475" s="295"/>
      <c r="Y475" s="295"/>
    </row>
    <row r="476" spans="3:25" x14ac:dyDescent="0.25">
      <c r="C476" s="292"/>
      <c r="D476" s="295"/>
      <c r="E476" s="295"/>
      <c r="F476" s="295"/>
      <c r="G476" s="295"/>
      <c r="H476" s="295"/>
      <c r="I476" s="295"/>
      <c r="J476" s="295"/>
      <c r="K476" s="295"/>
      <c r="L476" s="295"/>
      <c r="M476" s="295"/>
      <c r="N476" s="295"/>
      <c r="O476" s="295"/>
      <c r="P476" s="295"/>
      <c r="Q476" s="295"/>
      <c r="R476" s="295"/>
      <c r="S476" s="295"/>
      <c r="T476" s="295"/>
      <c r="U476" s="295"/>
      <c r="V476" s="295"/>
      <c r="W476" s="295"/>
      <c r="X476" s="295"/>
      <c r="Y476" s="295"/>
    </row>
    <row r="477" spans="3:25" x14ac:dyDescent="0.25">
      <c r="C477" s="292"/>
      <c r="D477" s="295"/>
      <c r="E477" s="295"/>
      <c r="F477" s="295"/>
      <c r="G477" s="295"/>
      <c r="H477" s="295"/>
      <c r="I477" s="295"/>
      <c r="J477" s="295"/>
      <c r="K477" s="295"/>
      <c r="L477" s="295"/>
      <c r="M477" s="295"/>
      <c r="N477" s="295"/>
      <c r="O477" s="295"/>
      <c r="P477" s="295"/>
      <c r="Q477" s="295"/>
      <c r="R477" s="295"/>
      <c r="S477" s="295"/>
      <c r="T477" s="295"/>
      <c r="U477" s="295"/>
      <c r="V477" s="295"/>
      <c r="W477" s="295"/>
      <c r="X477" s="295"/>
      <c r="Y477" s="295"/>
    </row>
    <row r="478" spans="3:25" x14ac:dyDescent="0.25">
      <c r="C478" s="292"/>
      <c r="D478" s="295"/>
      <c r="E478" s="295"/>
      <c r="F478" s="295"/>
      <c r="G478" s="295"/>
      <c r="H478" s="295"/>
      <c r="I478" s="295"/>
      <c r="J478" s="295"/>
      <c r="K478" s="295"/>
      <c r="L478" s="295"/>
      <c r="M478" s="295"/>
      <c r="N478" s="295"/>
      <c r="O478" s="295"/>
      <c r="P478" s="295"/>
      <c r="Q478" s="295"/>
      <c r="R478" s="295"/>
      <c r="S478" s="295"/>
      <c r="T478" s="295"/>
      <c r="U478" s="295"/>
      <c r="V478" s="295"/>
      <c r="W478" s="295"/>
      <c r="X478" s="295"/>
      <c r="Y478" s="295"/>
    </row>
    <row r="479" spans="3:25" x14ac:dyDescent="0.25">
      <c r="C479" s="292"/>
      <c r="D479" s="295"/>
      <c r="E479" s="295"/>
      <c r="F479" s="295"/>
      <c r="G479" s="295"/>
      <c r="H479" s="295"/>
      <c r="I479" s="295"/>
      <c r="J479" s="295"/>
      <c r="K479" s="295"/>
      <c r="L479" s="295"/>
      <c r="M479" s="295"/>
      <c r="N479" s="295"/>
      <c r="O479" s="295"/>
      <c r="P479" s="295"/>
      <c r="Q479" s="295"/>
      <c r="R479" s="295"/>
      <c r="S479" s="295"/>
      <c r="T479" s="295"/>
      <c r="U479" s="295"/>
      <c r="V479" s="295"/>
      <c r="W479" s="295"/>
      <c r="X479" s="295"/>
      <c r="Y479" s="295"/>
    </row>
    <row r="480" spans="3:25" x14ac:dyDescent="0.25">
      <c r="C480" s="292"/>
      <c r="D480" s="295"/>
      <c r="E480" s="295"/>
      <c r="F480" s="295"/>
      <c r="G480" s="295"/>
      <c r="H480" s="295"/>
      <c r="I480" s="295"/>
      <c r="J480" s="295"/>
      <c r="K480" s="295"/>
      <c r="L480" s="295"/>
      <c r="M480" s="295"/>
      <c r="N480" s="295"/>
      <c r="O480" s="295"/>
      <c r="P480" s="295"/>
      <c r="Q480" s="295"/>
      <c r="R480" s="295"/>
      <c r="S480" s="295"/>
      <c r="T480" s="295"/>
      <c r="U480" s="295"/>
      <c r="V480" s="295"/>
      <c r="W480" s="295"/>
      <c r="X480" s="295"/>
      <c r="Y480" s="295"/>
    </row>
    <row r="481" spans="3:25" x14ac:dyDescent="0.25">
      <c r="C481" s="292"/>
      <c r="D481" s="295"/>
      <c r="E481" s="295"/>
      <c r="F481" s="295"/>
      <c r="G481" s="295"/>
      <c r="H481" s="295"/>
      <c r="I481" s="295"/>
      <c r="J481" s="295"/>
      <c r="K481" s="295"/>
      <c r="L481" s="295"/>
      <c r="M481" s="295"/>
      <c r="N481" s="295"/>
      <c r="O481" s="295"/>
      <c r="P481" s="295"/>
      <c r="Q481" s="295"/>
      <c r="R481" s="295"/>
      <c r="S481" s="295"/>
      <c r="T481" s="295"/>
      <c r="U481" s="295"/>
      <c r="V481" s="295"/>
      <c r="W481" s="295"/>
      <c r="X481" s="295"/>
      <c r="Y481" s="295"/>
    </row>
    <row r="482" spans="3:25" x14ac:dyDescent="0.25">
      <c r="C482" s="292"/>
      <c r="D482" s="295"/>
      <c r="E482" s="295"/>
      <c r="F482" s="295"/>
      <c r="G482" s="295"/>
      <c r="H482" s="295"/>
      <c r="I482" s="295"/>
      <c r="J482" s="295"/>
      <c r="K482" s="295"/>
      <c r="L482" s="295"/>
      <c r="M482" s="295"/>
      <c r="N482" s="295"/>
      <c r="O482" s="295"/>
      <c r="P482" s="295"/>
      <c r="Q482" s="295"/>
      <c r="R482" s="295"/>
      <c r="S482" s="295"/>
      <c r="T482" s="295"/>
      <c r="U482" s="295"/>
      <c r="V482" s="295"/>
      <c r="W482" s="295"/>
      <c r="X482" s="295"/>
      <c r="Y482" s="295"/>
    </row>
    <row r="483" spans="3:25" x14ac:dyDescent="0.25">
      <c r="C483" s="292"/>
      <c r="D483" s="295"/>
      <c r="E483" s="295"/>
      <c r="F483" s="295"/>
      <c r="G483" s="295"/>
      <c r="H483" s="295"/>
      <c r="I483" s="295"/>
      <c r="J483" s="295"/>
      <c r="K483" s="295"/>
      <c r="L483" s="295"/>
      <c r="M483" s="295"/>
      <c r="N483" s="295"/>
      <c r="O483" s="295"/>
      <c r="P483" s="295"/>
      <c r="Q483" s="295"/>
      <c r="R483" s="295"/>
      <c r="S483" s="295"/>
      <c r="T483" s="295"/>
      <c r="U483" s="295"/>
      <c r="V483" s="295"/>
      <c r="W483" s="295"/>
      <c r="X483" s="295"/>
      <c r="Y483" s="295"/>
    </row>
    <row r="484" spans="3:25" x14ac:dyDescent="0.25">
      <c r="C484" s="292"/>
      <c r="D484" s="295"/>
      <c r="E484" s="295"/>
      <c r="F484" s="295"/>
      <c r="G484" s="295"/>
      <c r="H484" s="295"/>
      <c r="I484" s="295"/>
      <c r="J484" s="295"/>
      <c r="K484" s="295"/>
      <c r="L484" s="295"/>
      <c r="M484" s="295"/>
      <c r="N484" s="295"/>
      <c r="O484" s="295"/>
      <c r="P484" s="295"/>
      <c r="Q484" s="295"/>
      <c r="R484" s="295"/>
      <c r="S484" s="295"/>
      <c r="T484" s="295"/>
      <c r="U484" s="295"/>
      <c r="V484" s="295"/>
      <c r="W484" s="295"/>
      <c r="X484" s="295"/>
      <c r="Y484" s="295"/>
    </row>
    <row r="485" spans="3:25" x14ac:dyDescent="0.25">
      <c r="C485" s="292"/>
      <c r="D485" s="295"/>
      <c r="E485" s="295"/>
      <c r="F485" s="295"/>
      <c r="G485" s="295"/>
      <c r="H485" s="295"/>
      <c r="I485" s="295"/>
      <c r="J485" s="295"/>
      <c r="K485" s="295"/>
      <c r="L485" s="295"/>
      <c r="M485" s="295"/>
      <c r="N485" s="295"/>
      <c r="O485" s="295"/>
      <c r="P485" s="295"/>
      <c r="Q485" s="295"/>
      <c r="R485" s="295"/>
      <c r="S485" s="295"/>
      <c r="T485" s="295"/>
      <c r="U485" s="295"/>
      <c r="V485" s="295"/>
      <c r="W485" s="295"/>
      <c r="X485" s="295"/>
      <c r="Y485" s="295"/>
    </row>
    <row r="486" spans="3:25" x14ac:dyDescent="0.25">
      <c r="C486" s="292"/>
      <c r="D486" s="295"/>
      <c r="E486" s="295"/>
      <c r="F486" s="295"/>
      <c r="G486" s="295"/>
      <c r="H486" s="295"/>
      <c r="I486" s="295"/>
      <c r="J486" s="295"/>
      <c r="K486" s="295"/>
      <c r="L486" s="295"/>
      <c r="M486" s="295"/>
      <c r="N486" s="295"/>
      <c r="O486" s="295"/>
      <c r="P486" s="295"/>
      <c r="Q486" s="295"/>
      <c r="R486" s="295"/>
      <c r="S486" s="295"/>
      <c r="T486" s="295"/>
      <c r="U486" s="295"/>
      <c r="V486" s="295"/>
      <c r="W486" s="295"/>
      <c r="X486" s="295"/>
      <c r="Y486" s="295"/>
    </row>
    <row r="487" spans="3:25" x14ac:dyDescent="0.25">
      <c r="C487" s="292"/>
      <c r="D487" s="295"/>
      <c r="E487" s="295"/>
      <c r="F487" s="295"/>
      <c r="G487" s="295"/>
      <c r="H487" s="295"/>
      <c r="I487" s="295"/>
      <c r="J487" s="295"/>
      <c r="K487" s="295"/>
      <c r="L487" s="295"/>
      <c r="M487" s="295"/>
      <c r="N487" s="295"/>
      <c r="O487" s="295"/>
      <c r="P487" s="295"/>
      <c r="Q487" s="295"/>
      <c r="R487" s="295"/>
      <c r="S487" s="295"/>
      <c r="T487" s="295"/>
      <c r="U487" s="295"/>
      <c r="V487" s="295"/>
      <c r="W487" s="295"/>
      <c r="X487" s="295"/>
      <c r="Y487" s="295"/>
    </row>
    <row r="488" spans="3:25" x14ac:dyDescent="0.25">
      <c r="C488" s="292"/>
      <c r="D488" s="295"/>
      <c r="E488" s="295"/>
      <c r="F488" s="295"/>
      <c r="G488" s="295"/>
      <c r="H488" s="295"/>
      <c r="I488" s="295"/>
      <c r="J488" s="295"/>
      <c r="K488" s="295"/>
      <c r="L488" s="295"/>
      <c r="M488" s="295"/>
      <c r="N488" s="295"/>
      <c r="O488" s="295"/>
      <c r="P488" s="295"/>
      <c r="Q488" s="295"/>
      <c r="R488" s="295"/>
      <c r="S488" s="295"/>
      <c r="T488" s="295"/>
      <c r="U488" s="295"/>
      <c r="V488" s="295"/>
      <c r="W488" s="295"/>
      <c r="X488" s="295"/>
      <c r="Y488" s="295"/>
    </row>
    <row r="489" spans="3:25" x14ac:dyDescent="0.25">
      <c r="C489" s="292"/>
      <c r="D489" s="295"/>
      <c r="E489" s="295"/>
      <c r="F489" s="295"/>
      <c r="G489" s="295"/>
      <c r="H489" s="295"/>
      <c r="I489" s="295"/>
      <c r="J489" s="295"/>
      <c r="K489" s="295"/>
      <c r="L489" s="295"/>
      <c r="M489" s="295"/>
      <c r="N489" s="295"/>
      <c r="O489" s="295"/>
      <c r="P489" s="295"/>
      <c r="Q489" s="295"/>
      <c r="R489" s="295"/>
      <c r="S489" s="295"/>
      <c r="T489" s="295"/>
      <c r="U489" s="295"/>
      <c r="V489" s="295"/>
      <c r="W489" s="295"/>
      <c r="X489" s="295"/>
      <c r="Y489" s="295"/>
    </row>
    <row r="490" spans="3:25" x14ac:dyDescent="0.25">
      <c r="C490" s="292"/>
      <c r="D490" s="295"/>
      <c r="E490" s="295"/>
      <c r="F490" s="295"/>
      <c r="G490" s="295"/>
      <c r="H490" s="295"/>
      <c r="I490" s="295"/>
      <c r="J490" s="295"/>
      <c r="K490" s="295"/>
      <c r="L490" s="295"/>
      <c r="M490" s="295"/>
      <c r="N490" s="295"/>
      <c r="O490" s="295"/>
      <c r="P490" s="295"/>
      <c r="Q490" s="295"/>
      <c r="R490" s="295"/>
      <c r="S490" s="295"/>
      <c r="T490" s="295"/>
      <c r="U490" s="295"/>
      <c r="V490" s="295"/>
      <c r="W490" s="295"/>
      <c r="X490" s="295"/>
      <c r="Y490" s="295"/>
    </row>
    <row r="491" spans="3:25" x14ac:dyDescent="0.25">
      <c r="C491" s="292"/>
      <c r="D491" s="295"/>
      <c r="E491" s="295"/>
      <c r="F491" s="295"/>
      <c r="G491" s="295"/>
      <c r="H491" s="295"/>
      <c r="I491" s="295"/>
      <c r="J491" s="295"/>
      <c r="K491" s="295"/>
      <c r="L491" s="295"/>
      <c r="M491" s="295"/>
      <c r="N491" s="295"/>
      <c r="O491" s="295"/>
      <c r="P491" s="295"/>
      <c r="Q491" s="295"/>
      <c r="R491" s="295"/>
      <c r="S491" s="295"/>
      <c r="T491" s="295"/>
      <c r="U491" s="295"/>
      <c r="V491" s="295"/>
      <c r="W491" s="295"/>
      <c r="X491" s="295"/>
      <c r="Y491" s="295"/>
    </row>
    <row r="492" spans="3:25" x14ac:dyDescent="0.25">
      <c r="C492" s="292"/>
      <c r="D492" s="295"/>
      <c r="E492" s="295"/>
      <c r="F492" s="295"/>
      <c r="G492" s="295"/>
      <c r="H492" s="295"/>
      <c r="I492" s="295"/>
      <c r="J492" s="295"/>
      <c r="K492" s="295"/>
      <c r="L492" s="295"/>
      <c r="M492" s="295"/>
      <c r="N492" s="295"/>
      <c r="O492" s="295"/>
      <c r="P492" s="295"/>
      <c r="Q492" s="295"/>
      <c r="R492" s="295"/>
      <c r="S492" s="295"/>
      <c r="T492" s="295"/>
      <c r="U492" s="295"/>
      <c r="V492" s="295"/>
      <c r="W492" s="295"/>
      <c r="X492" s="295"/>
      <c r="Y492" s="295"/>
    </row>
    <row r="493" spans="3:25" x14ac:dyDescent="0.25">
      <c r="C493" s="292"/>
      <c r="D493" s="295"/>
      <c r="E493" s="295"/>
      <c r="F493" s="295"/>
      <c r="G493" s="295"/>
      <c r="H493" s="295"/>
      <c r="I493" s="295"/>
      <c r="J493" s="295"/>
      <c r="K493" s="295"/>
      <c r="L493" s="295"/>
      <c r="M493" s="295"/>
      <c r="N493" s="295"/>
      <c r="O493" s="295"/>
      <c r="P493" s="295"/>
      <c r="Q493" s="295"/>
      <c r="R493" s="295"/>
      <c r="S493" s="295"/>
      <c r="T493" s="295"/>
      <c r="U493" s="295"/>
      <c r="V493" s="295"/>
      <c r="W493" s="295"/>
      <c r="X493" s="295"/>
      <c r="Y493" s="295"/>
    </row>
    <row r="494" spans="3:25" x14ac:dyDescent="0.25">
      <c r="C494" s="292"/>
      <c r="D494" s="295"/>
      <c r="E494" s="295"/>
      <c r="F494" s="295"/>
      <c r="G494" s="295"/>
      <c r="H494" s="295"/>
      <c r="I494" s="295"/>
      <c r="J494" s="295"/>
      <c r="K494" s="295"/>
      <c r="L494" s="295"/>
      <c r="M494" s="295"/>
      <c r="N494" s="295"/>
      <c r="O494" s="295"/>
      <c r="P494" s="295"/>
      <c r="Q494" s="295"/>
      <c r="R494" s="295"/>
      <c r="S494" s="295"/>
      <c r="T494" s="295"/>
      <c r="U494" s="295"/>
      <c r="V494" s="295"/>
      <c r="W494" s="295"/>
      <c r="X494" s="295"/>
      <c r="Y494" s="295"/>
    </row>
    <row r="495" spans="3:25" x14ac:dyDescent="0.25">
      <c r="C495" s="292"/>
      <c r="D495" s="295"/>
      <c r="E495" s="295"/>
      <c r="F495" s="295"/>
      <c r="G495" s="295"/>
      <c r="H495" s="295"/>
      <c r="I495" s="295"/>
      <c r="J495" s="295"/>
      <c r="K495" s="295"/>
      <c r="L495" s="295"/>
      <c r="M495" s="295"/>
      <c r="N495" s="295"/>
      <c r="O495" s="295"/>
      <c r="P495" s="295"/>
      <c r="Q495" s="295"/>
      <c r="R495" s="295"/>
      <c r="S495" s="295"/>
      <c r="T495" s="295"/>
      <c r="U495" s="295"/>
      <c r="V495" s="295"/>
      <c r="W495" s="295"/>
      <c r="X495" s="295"/>
      <c r="Y495" s="295"/>
    </row>
    <row r="496" spans="3:25" x14ac:dyDescent="0.25">
      <c r="C496" s="292"/>
      <c r="D496" s="295"/>
      <c r="E496" s="295"/>
      <c r="F496" s="295"/>
      <c r="G496" s="295"/>
      <c r="H496" s="295"/>
      <c r="I496" s="295"/>
      <c r="J496" s="295"/>
      <c r="K496" s="295"/>
      <c r="L496" s="295"/>
      <c r="M496" s="295"/>
      <c r="N496" s="295"/>
      <c r="O496" s="295"/>
      <c r="P496" s="295"/>
      <c r="Q496" s="295"/>
      <c r="R496" s="295"/>
      <c r="S496" s="295"/>
      <c r="T496" s="295"/>
      <c r="U496" s="295"/>
      <c r="V496" s="295"/>
      <c r="W496" s="295"/>
      <c r="X496" s="295"/>
      <c r="Y496" s="295"/>
    </row>
    <row r="497" spans="3:25" x14ac:dyDescent="0.25">
      <c r="C497" s="292"/>
      <c r="D497" s="295"/>
      <c r="E497" s="295"/>
      <c r="F497" s="295"/>
      <c r="G497" s="295"/>
      <c r="H497" s="295"/>
      <c r="I497" s="295"/>
      <c r="J497" s="295"/>
      <c r="K497" s="295"/>
      <c r="L497" s="295"/>
      <c r="M497" s="295"/>
      <c r="N497" s="295"/>
      <c r="O497" s="295"/>
      <c r="P497" s="295"/>
      <c r="Q497" s="295"/>
      <c r="R497" s="295"/>
      <c r="S497" s="295"/>
      <c r="T497" s="295"/>
      <c r="U497" s="295"/>
      <c r="V497" s="295"/>
      <c r="W497" s="295"/>
      <c r="X497" s="295"/>
      <c r="Y497" s="295"/>
    </row>
    <row r="498" spans="3:25" x14ac:dyDescent="0.25">
      <c r="C498" s="292"/>
      <c r="D498" s="295"/>
      <c r="E498" s="295"/>
      <c r="F498" s="295"/>
      <c r="G498" s="295"/>
      <c r="H498" s="295"/>
      <c r="I498" s="295"/>
      <c r="J498" s="295"/>
      <c r="K498" s="295"/>
      <c r="L498" s="295"/>
      <c r="M498" s="295"/>
      <c r="N498" s="295"/>
      <c r="O498" s="295"/>
      <c r="P498" s="295"/>
      <c r="Q498" s="295"/>
      <c r="R498" s="295"/>
      <c r="S498" s="295"/>
      <c r="T498" s="295"/>
      <c r="U498" s="295"/>
      <c r="V498" s="295"/>
      <c r="W498" s="295"/>
      <c r="X498" s="295"/>
      <c r="Y498" s="295"/>
    </row>
    <row r="499" spans="3:25" x14ac:dyDescent="0.25">
      <c r="C499" s="292"/>
      <c r="D499" s="295"/>
      <c r="E499" s="295"/>
      <c r="F499" s="295"/>
      <c r="G499" s="295"/>
      <c r="H499" s="295"/>
      <c r="I499" s="295"/>
      <c r="J499" s="295"/>
      <c r="K499" s="295"/>
      <c r="L499" s="295"/>
      <c r="M499" s="295"/>
      <c r="N499" s="295"/>
      <c r="O499" s="295"/>
      <c r="P499" s="295"/>
      <c r="Q499" s="295"/>
      <c r="R499" s="295"/>
      <c r="S499" s="295"/>
      <c r="T499" s="295"/>
      <c r="U499" s="295"/>
      <c r="V499" s="295"/>
      <c r="W499" s="295"/>
      <c r="X499" s="295"/>
      <c r="Y499" s="295"/>
    </row>
    <row r="500" spans="3:25" x14ac:dyDescent="0.25">
      <c r="C500" s="292"/>
      <c r="D500" s="295"/>
      <c r="E500" s="295"/>
      <c r="F500" s="295"/>
      <c r="G500" s="295"/>
      <c r="H500" s="295"/>
      <c r="I500" s="295"/>
      <c r="J500" s="295"/>
      <c r="K500" s="295"/>
      <c r="L500" s="295"/>
      <c r="M500" s="295"/>
      <c r="N500" s="295"/>
      <c r="O500" s="295"/>
      <c r="P500" s="295"/>
      <c r="Q500" s="295"/>
      <c r="R500" s="295"/>
      <c r="S500" s="295"/>
      <c r="T500" s="295"/>
      <c r="U500" s="295"/>
      <c r="V500" s="295"/>
      <c r="W500" s="295"/>
      <c r="X500" s="295"/>
      <c r="Y500" s="295"/>
    </row>
    <row r="501" spans="3:25" x14ac:dyDescent="0.25">
      <c r="C501" s="292"/>
      <c r="D501" s="295"/>
      <c r="E501" s="295"/>
      <c r="F501" s="295"/>
      <c r="G501" s="295"/>
      <c r="H501" s="295"/>
      <c r="I501" s="295"/>
      <c r="J501" s="295"/>
      <c r="K501" s="295"/>
      <c r="L501" s="295"/>
      <c r="M501" s="295"/>
      <c r="N501" s="295"/>
      <c r="O501" s="295"/>
      <c r="P501" s="295"/>
      <c r="Q501" s="295"/>
      <c r="R501" s="295"/>
      <c r="S501" s="295"/>
      <c r="T501" s="295"/>
      <c r="U501" s="295"/>
      <c r="V501" s="295"/>
      <c r="W501" s="295"/>
      <c r="X501" s="295"/>
      <c r="Y501" s="295"/>
    </row>
    <row r="502" spans="3:25" x14ac:dyDescent="0.25">
      <c r="C502" s="292"/>
      <c r="D502" s="295"/>
      <c r="E502" s="295"/>
      <c r="F502" s="295"/>
      <c r="G502" s="295"/>
      <c r="H502" s="295"/>
      <c r="I502" s="295"/>
      <c r="J502" s="295"/>
      <c r="K502" s="295"/>
      <c r="L502" s="295"/>
      <c r="M502" s="295"/>
      <c r="N502" s="295"/>
      <c r="O502" s="295"/>
      <c r="P502" s="295"/>
      <c r="Q502" s="295"/>
      <c r="R502" s="295"/>
      <c r="S502" s="295"/>
      <c r="T502" s="295"/>
      <c r="U502" s="295"/>
      <c r="V502" s="295"/>
      <c r="W502" s="295"/>
      <c r="X502" s="295"/>
      <c r="Y502" s="295"/>
    </row>
    <row r="503" spans="3:25" x14ac:dyDescent="0.25">
      <c r="C503" s="292"/>
      <c r="D503" s="295"/>
      <c r="E503" s="295"/>
      <c r="F503" s="295"/>
      <c r="G503" s="295"/>
      <c r="H503" s="295"/>
      <c r="I503" s="295"/>
      <c r="J503" s="295"/>
      <c r="K503" s="295"/>
      <c r="L503" s="295"/>
      <c r="M503" s="295"/>
      <c r="N503" s="295"/>
      <c r="O503" s="295"/>
      <c r="P503" s="295"/>
      <c r="Q503" s="295"/>
      <c r="R503" s="295"/>
      <c r="S503" s="295"/>
      <c r="T503" s="295"/>
      <c r="U503" s="295"/>
      <c r="V503" s="295"/>
      <c r="W503" s="295"/>
      <c r="X503" s="295"/>
      <c r="Y503" s="295"/>
    </row>
    <row r="504" spans="3:25" x14ac:dyDescent="0.25">
      <c r="C504" s="292"/>
      <c r="D504" s="295"/>
      <c r="E504" s="295"/>
      <c r="F504" s="295"/>
      <c r="G504" s="295"/>
      <c r="H504" s="295"/>
      <c r="I504" s="295"/>
      <c r="J504" s="295"/>
      <c r="K504" s="295"/>
      <c r="L504" s="295"/>
      <c r="M504" s="295"/>
      <c r="N504" s="295"/>
      <c r="O504" s="295"/>
      <c r="P504" s="295"/>
      <c r="Q504" s="295"/>
      <c r="R504" s="295"/>
      <c r="S504" s="295"/>
      <c r="T504" s="295"/>
      <c r="U504" s="295"/>
      <c r="V504" s="295"/>
      <c r="W504" s="295"/>
      <c r="X504" s="295"/>
      <c r="Y504" s="295"/>
    </row>
    <row r="505" spans="3:25" x14ac:dyDescent="0.25">
      <c r="C505" s="292"/>
      <c r="D505" s="295"/>
      <c r="E505" s="295"/>
      <c r="F505" s="295"/>
      <c r="G505" s="295"/>
      <c r="H505" s="295"/>
      <c r="I505" s="295"/>
      <c r="J505" s="295"/>
      <c r="K505" s="295"/>
      <c r="L505" s="295"/>
      <c r="M505" s="295"/>
      <c r="N505" s="295"/>
      <c r="O505" s="295"/>
      <c r="P505" s="295"/>
      <c r="Q505" s="295"/>
      <c r="R505" s="295"/>
      <c r="S505" s="295"/>
      <c r="T505" s="295"/>
      <c r="U505" s="295"/>
      <c r="V505" s="295"/>
      <c r="W505" s="295"/>
      <c r="X505" s="295"/>
      <c r="Y505" s="295"/>
    </row>
    <row r="506" spans="3:25" x14ac:dyDescent="0.25">
      <c r="C506" s="292"/>
      <c r="D506" s="295"/>
      <c r="E506" s="295"/>
      <c r="F506" s="295"/>
      <c r="G506" s="295"/>
      <c r="H506" s="295"/>
      <c r="I506" s="295"/>
      <c r="J506" s="295"/>
      <c r="K506" s="295"/>
      <c r="L506" s="295"/>
      <c r="M506" s="295"/>
      <c r="N506" s="295"/>
      <c r="O506" s="295"/>
      <c r="P506" s="295"/>
      <c r="Q506" s="295"/>
      <c r="R506" s="295"/>
      <c r="S506" s="295"/>
      <c r="T506" s="295"/>
      <c r="U506" s="295"/>
      <c r="V506" s="295"/>
      <c r="W506" s="295"/>
      <c r="X506" s="295"/>
      <c r="Y506" s="295"/>
    </row>
    <row r="507" spans="3:25" x14ac:dyDescent="0.25">
      <c r="C507" s="292"/>
      <c r="D507" s="295"/>
      <c r="E507" s="295"/>
      <c r="F507" s="295"/>
      <c r="G507" s="295"/>
      <c r="H507" s="295"/>
      <c r="I507" s="295"/>
      <c r="J507" s="295"/>
      <c r="K507" s="295"/>
      <c r="L507" s="295"/>
      <c r="M507" s="295"/>
      <c r="N507" s="295"/>
      <c r="O507" s="295"/>
      <c r="P507" s="295"/>
      <c r="Q507" s="295"/>
      <c r="R507" s="295"/>
      <c r="S507" s="295"/>
      <c r="T507" s="295"/>
      <c r="U507" s="295"/>
      <c r="V507" s="295"/>
      <c r="W507" s="295"/>
      <c r="X507" s="295"/>
      <c r="Y507" s="295"/>
    </row>
    <row r="508" spans="3:25" x14ac:dyDescent="0.25">
      <c r="C508" s="292"/>
      <c r="D508" s="295"/>
      <c r="E508" s="295"/>
      <c r="F508" s="295"/>
      <c r="G508" s="295"/>
      <c r="H508" s="295"/>
      <c r="I508" s="295"/>
      <c r="J508" s="295"/>
      <c r="K508" s="295"/>
      <c r="L508" s="295"/>
      <c r="M508" s="295"/>
      <c r="N508" s="295"/>
      <c r="O508" s="295"/>
      <c r="P508" s="295"/>
      <c r="Q508" s="295"/>
      <c r="R508" s="295"/>
      <c r="S508" s="295"/>
      <c r="T508" s="295"/>
      <c r="U508" s="295"/>
      <c r="V508" s="295"/>
      <c r="W508" s="295"/>
      <c r="X508" s="295"/>
      <c r="Y508" s="295"/>
    </row>
    <row r="509" spans="3:25" x14ac:dyDescent="0.25">
      <c r="C509" s="292"/>
      <c r="D509" s="295"/>
      <c r="E509" s="295"/>
      <c r="F509" s="295"/>
      <c r="G509" s="295"/>
      <c r="H509" s="295"/>
      <c r="I509" s="295"/>
      <c r="J509" s="295"/>
      <c r="K509" s="295"/>
      <c r="L509" s="295"/>
      <c r="M509" s="295"/>
      <c r="N509" s="295"/>
      <c r="O509" s="295"/>
      <c r="P509" s="295"/>
      <c r="Q509" s="295"/>
      <c r="R509" s="295"/>
      <c r="S509" s="295"/>
      <c r="T509" s="295"/>
      <c r="U509" s="295"/>
      <c r="V509" s="295"/>
      <c r="W509" s="295"/>
      <c r="X509" s="295"/>
    </row>
    <row r="510" spans="3:25" x14ac:dyDescent="0.25">
      <c r="C510" s="292"/>
    </row>
    <row r="511" spans="3:25" x14ac:dyDescent="0.25">
      <c r="C511" s="292"/>
    </row>
    <row r="512" spans="3:25" x14ac:dyDescent="0.25">
      <c r="C512" s="292"/>
    </row>
    <row r="513" spans="3:3" x14ac:dyDescent="0.25">
      <c r="C513" s="292"/>
    </row>
    <row r="514" spans="3:3" x14ac:dyDescent="0.25">
      <c r="C514" s="292"/>
    </row>
    <row r="515" spans="3:3" x14ac:dyDescent="0.25">
      <c r="C515" s="292"/>
    </row>
    <row r="516" spans="3:3" x14ac:dyDescent="0.25">
      <c r="C516" s="292"/>
    </row>
    <row r="517" spans="3:3" x14ac:dyDescent="0.25">
      <c r="C517" s="292"/>
    </row>
    <row r="518" spans="3:3" x14ac:dyDescent="0.25">
      <c r="C518" s="292"/>
    </row>
    <row r="519" spans="3:3" x14ac:dyDescent="0.25">
      <c r="C519" s="292"/>
    </row>
    <row r="520" spans="3:3" x14ac:dyDescent="0.25">
      <c r="C520" s="292"/>
    </row>
    <row r="521" spans="3:3" x14ac:dyDescent="0.25">
      <c r="C521" s="292"/>
    </row>
  </sheetData>
  <sheetProtection password="8930" sheet="1" objects="1" scenarios="1"/>
  <pageMargins left="0" right="0" top="0" bottom="0" header="0" footer="0"/>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N89"/>
  <sheetViews>
    <sheetView showGridLines="0" zoomScaleNormal="100" workbookViewId="0">
      <selection sqref="A1:XFD1048576"/>
    </sheetView>
  </sheetViews>
  <sheetFormatPr defaultColWidth="3.7109375" defaultRowHeight="15" x14ac:dyDescent="0.25"/>
  <cols>
    <col min="1" max="4" width="7" style="1" customWidth="1"/>
    <col min="5" max="416" width="4.42578125" style="1" customWidth="1"/>
    <col min="417" max="16384" width="3.7109375" style="1"/>
  </cols>
  <sheetData>
    <row r="2" spans="2:404" s="11" customFormat="1" x14ac:dyDescent="0.25">
      <c r="B2" s="47"/>
      <c r="C2" s="243" t="s">
        <v>86</v>
      </c>
      <c r="D2" s="250"/>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46"/>
      <c r="CX2" s="46"/>
      <c r="CY2" s="46"/>
      <c r="CZ2" s="46"/>
      <c r="DA2" s="46"/>
      <c r="DB2" s="46"/>
      <c r="DC2" s="46"/>
      <c r="DD2" s="46"/>
      <c r="DE2" s="46"/>
      <c r="DF2" s="46"/>
      <c r="DG2" s="46"/>
      <c r="DH2" s="46"/>
      <c r="DI2" s="46"/>
      <c r="DJ2" s="46"/>
      <c r="DK2" s="46"/>
      <c r="DL2" s="46"/>
      <c r="DM2" s="46"/>
      <c r="DN2" s="46"/>
      <c r="DO2" s="46"/>
      <c r="DP2" s="46"/>
      <c r="DQ2" s="46"/>
      <c r="DR2" s="46"/>
      <c r="DS2" s="46"/>
      <c r="DT2" s="46"/>
      <c r="DU2" s="46"/>
      <c r="DV2" s="46"/>
      <c r="DW2" s="46"/>
      <c r="DX2" s="46"/>
      <c r="DY2" s="46"/>
      <c r="DZ2" s="46"/>
      <c r="EA2" s="46"/>
      <c r="EB2" s="46"/>
      <c r="EC2" s="46"/>
      <c r="ED2" s="46"/>
      <c r="EE2" s="46"/>
      <c r="EF2" s="46"/>
      <c r="EG2" s="46"/>
      <c r="EH2" s="46"/>
      <c r="EI2" s="46"/>
      <c r="EJ2" s="46"/>
      <c r="EK2" s="46"/>
      <c r="EL2" s="46"/>
      <c r="EM2" s="46"/>
      <c r="EN2" s="46"/>
      <c r="EO2" s="46"/>
      <c r="EP2" s="46"/>
      <c r="EQ2" s="46"/>
      <c r="ER2" s="46"/>
      <c r="ES2" s="46"/>
      <c r="ET2" s="46"/>
      <c r="EU2" s="46"/>
      <c r="EV2" s="46"/>
      <c r="EW2" s="46"/>
      <c r="EX2" s="46"/>
      <c r="EY2" s="46"/>
      <c r="EZ2" s="46"/>
      <c r="FA2" s="46"/>
      <c r="FB2" s="46"/>
      <c r="FC2" s="46"/>
      <c r="FD2" s="46"/>
      <c r="FE2" s="46"/>
      <c r="FF2" s="46"/>
      <c r="FG2" s="46"/>
      <c r="FH2" s="46"/>
      <c r="FI2" s="46"/>
      <c r="FJ2" s="46"/>
      <c r="FK2" s="46"/>
      <c r="FL2" s="46"/>
      <c r="FM2" s="46"/>
      <c r="FN2" s="46"/>
      <c r="FO2" s="46"/>
      <c r="FP2" s="46"/>
      <c r="FQ2" s="46"/>
      <c r="FR2" s="46"/>
      <c r="FS2" s="46"/>
      <c r="FT2" s="46"/>
      <c r="FU2" s="46"/>
      <c r="FV2" s="46"/>
      <c r="FW2" s="46"/>
      <c r="FX2" s="46"/>
      <c r="FY2" s="46"/>
      <c r="FZ2" s="46"/>
      <c r="GA2" s="46"/>
      <c r="GB2" s="46"/>
      <c r="GC2" s="46"/>
      <c r="GD2" s="46"/>
      <c r="GE2" s="46"/>
      <c r="GF2" s="46"/>
      <c r="GG2" s="46"/>
      <c r="GH2" s="46"/>
      <c r="GI2" s="46"/>
      <c r="GJ2" s="46"/>
      <c r="GK2" s="46"/>
      <c r="GL2" s="46"/>
      <c r="GM2" s="46"/>
      <c r="GN2" s="46"/>
      <c r="GO2" s="46"/>
      <c r="GP2" s="46"/>
      <c r="GQ2" s="46"/>
      <c r="GR2" s="46"/>
      <c r="GS2" s="46"/>
      <c r="GT2" s="46"/>
      <c r="GU2" s="46"/>
      <c r="GV2" s="46"/>
      <c r="GW2" s="46"/>
      <c r="GX2" s="46"/>
      <c r="GY2" s="46"/>
      <c r="GZ2" s="46"/>
      <c r="HA2" s="46"/>
      <c r="HB2" s="46"/>
      <c r="HC2" s="46"/>
      <c r="HD2" s="46"/>
      <c r="HE2" s="46"/>
      <c r="HF2" s="46"/>
      <c r="HG2" s="46"/>
      <c r="HH2" s="46"/>
      <c r="HI2" s="46"/>
      <c r="HJ2" s="46"/>
      <c r="HK2" s="46"/>
      <c r="HL2" s="46"/>
      <c r="HM2" s="46"/>
      <c r="HN2" s="46"/>
      <c r="HO2" s="46"/>
      <c r="HP2" s="46"/>
      <c r="HQ2" s="46"/>
      <c r="HR2" s="46"/>
      <c r="HS2" s="46"/>
      <c r="HT2" s="46"/>
      <c r="HU2" s="46"/>
      <c r="HV2" s="46"/>
      <c r="HW2" s="46"/>
      <c r="HX2" s="46"/>
      <c r="HY2" s="46"/>
      <c r="HZ2" s="46"/>
      <c r="IA2" s="46"/>
      <c r="IB2" s="46"/>
      <c r="IC2" s="46"/>
      <c r="ID2" s="46"/>
      <c r="IE2" s="46"/>
      <c r="IF2" s="46"/>
      <c r="IG2" s="46"/>
      <c r="IH2" s="46"/>
      <c r="II2" s="46"/>
      <c r="IJ2" s="46"/>
      <c r="IK2" s="46"/>
      <c r="IL2" s="46"/>
      <c r="IM2" s="46"/>
      <c r="IN2" s="46"/>
      <c r="IO2" s="46"/>
      <c r="IP2" s="46"/>
      <c r="IQ2" s="46"/>
      <c r="IR2" s="46"/>
      <c r="IS2" s="46"/>
      <c r="IT2" s="46"/>
      <c r="IU2" s="46"/>
      <c r="IV2" s="46"/>
      <c r="IW2" s="46"/>
      <c r="IX2" s="46"/>
      <c r="IY2" s="46"/>
      <c r="IZ2" s="46"/>
      <c r="JA2" s="46"/>
      <c r="JB2" s="46"/>
      <c r="JC2" s="46"/>
      <c r="JD2" s="46"/>
      <c r="JE2" s="46"/>
      <c r="JF2" s="46"/>
      <c r="JG2" s="46"/>
      <c r="JH2" s="46"/>
      <c r="JI2" s="46"/>
      <c r="JJ2" s="46"/>
      <c r="JK2" s="46"/>
      <c r="JL2" s="46"/>
      <c r="JM2" s="46"/>
      <c r="JN2" s="46"/>
      <c r="JO2" s="46"/>
      <c r="JP2" s="46"/>
      <c r="JQ2" s="46"/>
      <c r="JR2" s="46"/>
      <c r="JS2" s="46"/>
      <c r="JT2" s="46"/>
      <c r="JU2" s="46"/>
      <c r="JV2" s="46"/>
      <c r="JW2" s="46"/>
      <c r="JX2" s="46"/>
      <c r="JY2" s="46"/>
      <c r="JZ2" s="46"/>
      <c r="KA2" s="46"/>
      <c r="KB2" s="46"/>
      <c r="KC2" s="46"/>
      <c r="KD2" s="46"/>
      <c r="KE2" s="46"/>
      <c r="KF2" s="46"/>
      <c r="KG2" s="46"/>
      <c r="KH2" s="46"/>
      <c r="KI2" s="46"/>
      <c r="KJ2" s="46"/>
      <c r="KK2" s="46"/>
      <c r="KL2" s="46"/>
      <c r="KM2" s="46"/>
      <c r="KN2" s="46"/>
      <c r="KO2" s="46"/>
      <c r="KP2" s="46"/>
      <c r="KQ2" s="46"/>
      <c r="KR2" s="46"/>
      <c r="KS2" s="46"/>
    </row>
    <row r="3" spans="2:404" x14ac:dyDescent="0.25">
      <c r="B3" s="48"/>
      <c r="C3" s="244" t="s">
        <v>134</v>
      </c>
      <c r="D3" s="252"/>
      <c r="E3" s="250"/>
      <c r="F3" s="250"/>
      <c r="G3" s="250"/>
      <c r="H3" s="250"/>
      <c r="I3" s="250"/>
      <c r="J3" s="250"/>
      <c r="K3" s="250"/>
      <c r="L3" s="250"/>
      <c r="M3" s="250"/>
      <c r="N3" s="250"/>
      <c r="O3" s="250"/>
      <c r="P3" s="250"/>
      <c r="Q3" s="250"/>
      <c r="R3" s="250"/>
      <c r="S3" s="250"/>
      <c r="T3" s="250"/>
      <c r="U3" s="250"/>
      <c r="V3" s="250"/>
      <c r="W3" s="250"/>
      <c r="X3" s="250"/>
      <c r="Y3" s="250"/>
      <c r="Z3" s="250"/>
      <c r="AA3" s="250"/>
      <c r="AB3" s="250"/>
      <c r="AC3" s="250"/>
      <c r="AD3" s="250"/>
      <c r="AE3" s="250"/>
      <c r="AF3" s="250"/>
      <c r="AG3" s="250"/>
      <c r="AH3" s="250"/>
      <c r="AI3" s="250"/>
      <c r="AJ3" s="250"/>
      <c r="AK3" s="250"/>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47"/>
      <c r="DT3" s="47"/>
      <c r="DU3" s="47"/>
      <c r="DV3" s="47"/>
      <c r="DW3" s="47"/>
      <c r="DX3" s="47"/>
      <c r="DY3" s="47"/>
      <c r="DZ3" s="47"/>
      <c r="EA3" s="47"/>
      <c r="EB3" s="47"/>
      <c r="EC3" s="47"/>
      <c r="ED3" s="47"/>
      <c r="EE3" s="47"/>
      <c r="EF3" s="47"/>
      <c r="EG3" s="47"/>
      <c r="EH3" s="47"/>
      <c r="EI3" s="47"/>
      <c r="EJ3" s="47"/>
      <c r="EK3" s="47"/>
      <c r="EL3" s="47"/>
      <c r="EM3" s="47"/>
      <c r="EN3" s="47"/>
      <c r="EO3" s="47"/>
      <c r="EP3" s="47"/>
      <c r="EQ3" s="47"/>
      <c r="ER3" s="47"/>
      <c r="ES3" s="47"/>
      <c r="ET3" s="47"/>
      <c r="EU3" s="47"/>
      <c r="EV3" s="47"/>
      <c r="EW3" s="47"/>
      <c r="EX3" s="47"/>
      <c r="EY3" s="47"/>
      <c r="EZ3" s="47"/>
      <c r="FA3" s="47"/>
      <c r="FB3" s="47"/>
      <c r="FC3" s="47"/>
      <c r="FD3" s="47"/>
      <c r="FE3" s="47"/>
      <c r="FF3" s="47"/>
      <c r="FG3" s="47"/>
      <c r="FH3" s="47"/>
      <c r="FI3" s="47"/>
      <c r="FJ3" s="47"/>
      <c r="FK3" s="47"/>
      <c r="FL3" s="47"/>
      <c r="FM3" s="47"/>
      <c r="FN3" s="47"/>
      <c r="FO3" s="47"/>
      <c r="FP3" s="47"/>
      <c r="FQ3" s="47"/>
      <c r="FR3" s="47"/>
      <c r="FS3" s="47"/>
      <c r="FT3" s="47"/>
      <c r="FU3" s="47"/>
      <c r="FV3" s="47"/>
      <c r="FW3" s="47"/>
      <c r="FX3" s="47"/>
      <c r="FY3" s="47"/>
      <c r="FZ3" s="47"/>
      <c r="GA3" s="47"/>
      <c r="GB3" s="47"/>
      <c r="GC3" s="47"/>
      <c r="GD3" s="47"/>
      <c r="GE3" s="47"/>
      <c r="GF3" s="47"/>
      <c r="GG3" s="47"/>
      <c r="GH3" s="47"/>
      <c r="GI3" s="47"/>
      <c r="GJ3" s="47"/>
      <c r="GK3" s="47"/>
      <c r="GL3" s="47"/>
      <c r="GM3" s="47"/>
      <c r="GN3" s="47"/>
      <c r="GO3" s="47"/>
      <c r="GP3" s="47"/>
      <c r="GQ3" s="47"/>
      <c r="GR3" s="47"/>
      <c r="GS3" s="47"/>
      <c r="GT3" s="47"/>
      <c r="GU3" s="47"/>
      <c r="GV3" s="47"/>
      <c r="GW3" s="47"/>
      <c r="GX3" s="47"/>
      <c r="GY3" s="47"/>
      <c r="GZ3" s="47"/>
      <c r="HA3" s="47"/>
      <c r="HB3" s="47"/>
      <c r="HC3" s="47"/>
      <c r="HD3" s="47"/>
      <c r="HE3" s="47"/>
      <c r="HF3" s="47"/>
      <c r="HG3" s="47"/>
      <c r="HH3" s="47"/>
      <c r="HI3" s="47"/>
      <c r="HJ3" s="47"/>
      <c r="HK3" s="47"/>
      <c r="HL3" s="47"/>
      <c r="HM3" s="47"/>
      <c r="HN3" s="47"/>
      <c r="HO3" s="47"/>
      <c r="HP3" s="47"/>
      <c r="HQ3" s="47"/>
      <c r="HR3" s="47"/>
      <c r="HS3" s="47"/>
      <c r="HT3" s="47"/>
      <c r="HU3" s="47"/>
      <c r="HV3" s="47"/>
      <c r="HW3" s="47"/>
      <c r="HX3" s="47"/>
      <c r="HY3" s="47"/>
      <c r="HZ3" s="47"/>
      <c r="IA3" s="47"/>
      <c r="IB3" s="47"/>
      <c r="IC3" s="47"/>
      <c r="ID3" s="47"/>
      <c r="IE3" s="47"/>
      <c r="IF3" s="47"/>
      <c r="IG3" s="47"/>
      <c r="IH3" s="47"/>
      <c r="II3" s="47"/>
      <c r="IJ3" s="47"/>
      <c r="IK3" s="47"/>
      <c r="IL3" s="47"/>
      <c r="IM3" s="47"/>
      <c r="IN3" s="47"/>
      <c r="IO3" s="47"/>
      <c r="IP3" s="47"/>
      <c r="IQ3" s="47"/>
      <c r="IR3" s="47"/>
      <c r="IS3" s="47"/>
      <c r="IT3" s="47"/>
      <c r="IU3" s="47"/>
      <c r="IV3" s="47"/>
      <c r="IW3" s="47"/>
      <c r="IX3" s="47"/>
      <c r="IY3" s="47"/>
      <c r="IZ3" s="47"/>
      <c r="JA3" s="47"/>
      <c r="JB3" s="47"/>
      <c r="JC3" s="47"/>
      <c r="JD3" s="47"/>
      <c r="JE3" s="47"/>
      <c r="JF3" s="47"/>
      <c r="JG3" s="47"/>
      <c r="JH3" s="47"/>
      <c r="JI3" s="47"/>
      <c r="JJ3" s="47"/>
      <c r="JK3" s="47"/>
      <c r="JL3" s="47"/>
      <c r="JM3" s="47"/>
      <c r="JN3" s="47"/>
      <c r="JO3" s="47"/>
      <c r="JP3" s="47"/>
      <c r="JQ3" s="47"/>
      <c r="JR3" s="47"/>
      <c r="JS3" s="47"/>
      <c r="JT3" s="47"/>
      <c r="JU3" s="47"/>
      <c r="JV3" s="47"/>
      <c r="JW3" s="47"/>
      <c r="JX3" s="47"/>
      <c r="JY3" s="47"/>
      <c r="JZ3" s="47"/>
      <c r="KA3" s="47"/>
      <c r="KB3" s="47"/>
      <c r="KC3" s="47"/>
      <c r="KD3" s="47"/>
      <c r="KE3" s="47"/>
      <c r="KF3" s="47"/>
      <c r="KG3" s="47"/>
      <c r="KH3" s="47"/>
      <c r="KI3" s="47"/>
      <c r="KJ3" s="47"/>
      <c r="KK3" s="47"/>
      <c r="KL3" s="47"/>
      <c r="KM3" s="47"/>
      <c r="KN3" s="47"/>
      <c r="KO3" s="47"/>
      <c r="KP3" s="47"/>
      <c r="KQ3" s="47"/>
      <c r="KR3" s="47"/>
      <c r="KS3" s="47"/>
    </row>
    <row r="4" spans="2:404" x14ac:dyDescent="0.25">
      <c r="B4" s="48"/>
      <c r="C4" s="105"/>
      <c r="D4" s="105"/>
      <c r="E4" s="250"/>
      <c r="F4" s="250"/>
      <c r="G4" s="250"/>
      <c r="H4" s="250"/>
      <c r="I4" s="250"/>
      <c r="J4" s="250"/>
      <c r="K4" s="250"/>
      <c r="L4" s="250"/>
      <c r="M4" s="250"/>
      <c r="N4" s="250"/>
      <c r="O4" s="250"/>
      <c r="P4" s="250"/>
      <c r="Q4" s="250"/>
      <c r="R4" s="250"/>
      <c r="S4" s="250"/>
      <c r="T4" s="250"/>
      <c r="U4" s="250"/>
      <c r="V4" s="250"/>
      <c r="W4" s="250"/>
      <c r="X4" s="250"/>
      <c r="Y4" s="250"/>
      <c r="Z4" s="250"/>
      <c r="AA4" s="250"/>
      <c r="AB4" s="250"/>
      <c r="AC4" s="250"/>
      <c r="AD4" s="250"/>
      <c r="AE4" s="250"/>
      <c r="AF4" s="250"/>
      <c r="AG4" s="250"/>
      <c r="AH4" s="250"/>
      <c r="AI4" s="250"/>
      <c r="AJ4" s="250"/>
      <c r="AK4" s="250"/>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c r="DB4" s="47"/>
      <c r="DC4" s="47"/>
      <c r="DD4" s="47"/>
      <c r="DE4" s="47"/>
      <c r="DF4" s="47"/>
      <c r="DG4" s="47"/>
      <c r="DH4" s="47"/>
      <c r="DI4" s="47"/>
      <c r="DJ4" s="47"/>
      <c r="DK4" s="47"/>
      <c r="DL4" s="47"/>
      <c r="DM4" s="47"/>
      <c r="DN4" s="47"/>
      <c r="DO4" s="47"/>
      <c r="DP4" s="47"/>
      <c r="DQ4" s="47"/>
      <c r="DR4" s="47"/>
      <c r="DS4" s="47"/>
      <c r="DT4" s="47"/>
      <c r="DU4" s="47"/>
      <c r="DV4" s="47"/>
      <c r="DW4" s="47"/>
      <c r="DX4" s="47"/>
      <c r="DY4" s="47"/>
      <c r="DZ4" s="47"/>
      <c r="EA4" s="47"/>
      <c r="EB4" s="47"/>
      <c r="EC4" s="47"/>
      <c r="ED4" s="47"/>
      <c r="EE4" s="47"/>
      <c r="EF4" s="47"/>
      <c r="EG4" s="47"/>
      <c r="EH4" s="47"/>
      <c r="EI4" s="47"/>
      <c r="EJ4" s="47"/>
      <c r="EK4" s="47"/>
      <c r="EL4" s="47"/>
      <c r="EM4" s="47"/>
      <c r="EN4" s="47"/>
      <c r="EO4" s="47"/>
      <c r="EP4" s="47"/>
      <c r="EQ4" s="47"/>
      <c r="ER4" s="47"/>
      <c r="ES4" s="47"/>
      <c r="ET4" s="47"/>
      <c r="EU4" s="47"/>
      <c r="EV4" s="47"/>
      <c r="EW4" s="47"/>
      <c r="EX4" s="47"/>
      <c r="EY4" s="47"/>
      <c r="EZ4" s="47"/>
      <c r="FA4" s="47"/>
      <c r="FB4" s="47"/>
      <c r="FC4" s="47"/>
      <c r="FD4" s="47"/>
      <c r="FE4" s="47"/>
      <c r="FF4" s="47"/>
      <c r="FG4" s="47"/>
      <c r="FH4" s="47"/>
      <c r="FI4" s="47"/>
      <c r="FJ4" s="47"/>
      <c r="FK4" s="47"/>
      <c r="FL4" s="47"/>
      <c r="FM4" s="47"/>
      <c r="FN4" s="47"/>
      <c r="FO4" s="47"/>
      <c r="FP4" s="47"/>
      <c r="FQ4" s="47"/>
      <c r="FR4" s="47"/>
      <c r="FS4" s="47"/>
      <c r="FT4" s="47"/>
      <c r="FU4" s="47"/>
      <c r="FV4" s="47"/>
      <c r="FW4" s="47"/>
      <c r="FX4" s="47"/>
      <c r="FY4" s="47"/>
      <c r="FZ4" s="47"/>
      <c r="GA4" s="47"/>
      <c r="GB4" s="47"/>
      <c r="GC4" s="47"/>
      <c r="GD4" s="47"/>
      <c r="GE4" s="47"/>
      <c r="GF4" s="47"/>
      <c r="GG4" s="47"/>
      <c r="GH4" s="47"/>
      <c r="GI4" s="47"/>
      <c r="GJ4" s="47"/>
      <c r="GK4" s="47"/>
      <c r="GL4" s="47"/>
      <c r="GM4" s="47"/>
      <c r="GN4" s="47"/>
      <c r="GO4" s="47"/>
      <c r="GP4" s="47"/>
      <c r="GQ4" s="47"/>
      <c r="GR4" s="47"/>
      <c r="GS4" s="47"/>
      <c r="GT4" s="47"/>
      <c r="GU4" s="47"/>
      <c r="GV4" s="47"/>
      <c r="GW4" s="47"/>
      <c r="GX4" s="47"/>
      <c r="GY4" s="47"/>
      <c r="GZ4" s="47"/>
      <c r="HA4" s="47"/>
      <c r="HB4" s="47"/>
      <c r="HC4" s="47"/>
      <c r="HD4" s="47"/>
      <c r="HE4" s="47"/>
      <c r="HF4" s="47"/>
      <c r="HG4" s="47"/>
      <c r="HH4" s="47"/>
      <c r="HI4" s="47"/>
      <c r="HJ4" s="47"/>
      <c r="HK4" s="47"/>
      <c r="HL4" s="47"/>
      <c r="HM4" s="47"/>
      <c r="HN4" s="47"/>
      <c r="HO4" s="47"/>
      <c r="HP4" s="47"/>
      <c r="HQ4" s="47"/>
      <c r="HR4" s="47"/>
      <c r="HS4" s="47"/>
      <c r="HT4" s="47"/>
      <c r="HU4" s="47"/>
      <c r="HV4" s="47"/>
      <c r="HW4" s="47"/>
      <c r="HX4" s="47"/>
      <c r="HY4" s="47"/>
      <c r="HZ4" s="47"/>
      <c r="IA4" s="47"/>
      <c r="IB4" s="47"/>
      <c r="IC4" s="47"/>
      <c r="ID4" s="47"/>
      <c r="IE4" s="47"/>
      <c r="IF4" s="47"/>
      <c r="IG4" s="47"/>
      <c r="IH4" s="47"/>
      <c r="II4" s="47"/>
      <c r="IJ4" s="47"/>
      <c r="IK4" s="47"/>
      <c r="IL4" s="47"/>
      <c r="IM4" s="47"/>
      <c r="IN4" s="47"/>
      <c r="IO4" s="47"/>
      <c r="IP4" s="47"/>
      <c r="IQ4" s="47"/>
      <c r="IR4" s="47"/>
      <c r="IS4" s="47"/>
      <c r="IT4" s="47"/>
      <c r="IU4" s="47"/>
      <c r="IV4" s="47"/>
      <c r="IW4" s="47"/>
      <c r="IX4" s="47"/>
      <c r="IY4" s="47"/>
      <c r="IZ4" s="47"/>
      <c r="JA4" s="47"/>
      <c r="JB4" s="47"/>
      <c r="JC4" s="47"/>
      <c r="JD4" s="47"/>
      <c r="JE4" s="47"/>
      <c r="JF4" s="47"/>
      <c r="JG4" s="47"/>
      <c r="JH4" s="47"/>
      <c r="JI4" s="47"/>
      <c r="JJ4" s="47"/>
      <c r="JK4" s="47"/>
      <c r="JL4" s="47"/>
      <c r="JM4" s="47"/>
      <c r="JN4" s="47"/>
      <c r="JO4" s="47"/>
      <c r="JP4" s="47"/>
      <c r="JQ4" s="47"/>
      <c r="JR4" s="47"/>
      <c r="JS4" s="47"/>
      <c r="JT4" s="47"/>
      <c r="JU4" s="47"/>
      <c r="JV4" s="47"/>
      <c r="JW4" s="47"/>
      <c r="JX4" s="47"/>
      <c r="JY4" s="47"/>
      <c r="JZ4" s="47"/>
      <c r="KA4" s="47"/>
      <c r="KB4" s="47"/>
      <c r="KC4" s="47"/>
      <c r="KD4" s="47"/>
      <c r="KE4" s="47"/>
      <c r="KF4" s="47"/>
      <c r="KG4" s="47"/>
      <c r="KH4" s="47"/>
      <c r="KI4" s="47"/>
      <c r="KJ4" s="47"/>
      <c r="KK4" s="47"/>
      <c r="KL4" s="47"/>
      <c r="KM4" s="47"/>
      <c r="KN4" s="47"/>
      <c r="KO4" s="47"/>
      <c r="KP4" s="47"/>
      <c r="KQ4" s="47"/>
      <c r="KR4" s="47"/>
      <c r="KS4" s="47"/>
    </row>
    <row r="5" spans="2:404" x14ac:dyDescent="0.25">
      <c r="C5" s="244" t="s">
        <v>139</v>
      </c>
      <c r="D5" s="252"/>
      <c r="E5" s="105"/>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AK5" s="105"/>
    </row>
    <row r="6" spans="2:404" x14ac:dyDescent="0.25">
      <c r="C6" s="105" t="s">
        <v>140</v>
      </c>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row>
    <row r="7" spans="2:404" x14ac:dyDescent="0.25">
      <c r="C7" s="105"/>
      <c r="D7" s="105"/>
      <c r="E7" s="105"/>
      <c r="F7" s="105"/>
      <c r="G7" s="105"/>
      <c r="H7" s="105"/>
      <c r="I7" s="105"/>
      <c r="J7" s="105"/>
      <c r="K7" s="105"/>
      <c r="L7" s="105"/>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row>
    <row r="8" spans="2:404" x14ac:dyDescent="0.25">
      <c r="C8" s="105" t="s">
        <v>141</v>
      </c>
      <c r="D8" s="105"/>
      <c r="E8" s="105"/>
      <c r="F8" s="105"/>
      <c r="G8" s="105"/>
      <c r="H8" s="105"/>
      <c r="I8" s="105"/>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row>
    <row r="9" spans="2:404" x14ac:dyDescent="0.25">
      <c r="C9" s="105" t="s">
        <v>145</v>
      </c>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row>
    <row r="10" spans="2:404" x14ac:dyDescent="0.25">
      <c r="C10" s="105" t="s">
        <v>149</v>
      </c>
      <c r="D10" s="105"/>
      <c r="E10" s="105"/>
      <c r="F10" s="105"/>
      <c r="G10" s="105"/>
      <c r="H10" s="105"/>
      <c r="I10" s="105"/>
      <c r="J10" s="105"/>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c r="AI10" s="105"/>
      <c r="AJ10" s="105"/>
      <c r="AK10" s="105"/>
    </row>
    <row r="11" spans="2:404" x14ac:dyDescent="0.25">
      <c r="C11" s="105" t="s">
        <v>142</v>
      </c>
      <c r="D11" s="105"/>
      <c r="E11" s="105"/>
      <c r="F11" s="105"/>
      <c r="G11" s="105"/>
      <c r="H11" s="105"/>
      <c r="I11" s="105"/>
      <c r="J11" s="105"/>
      <c r="K11" s="105"/>
      <c r="L11" s="105"/>
      <c r="M11" s="105"/>
      <c r="N11" s="105"/>
      <c r="O11" s="105"/>
      <c r="P11" s="105"/>
      <c r="Q11" s="105"/>
      <c r="R11" s="105"/>
      <c r="S11" s="105"/>
      <c r="T11" s="105"/>
      <c r="U11" s="105"/>
      <c r="V11" s="105"/>
      <c r="W11" s="105"/>
      <c r="X11" s="105"/>
      <c r="Y11" s="105"/>
      <c r="Z11" s="105"/>
      <c r="AA11" s="105"/>
      <c r="AB11" s="105"/>
      <c r="AC11" s="105"/>
      <c r="AD11" s="105"/>
      <c r="AE11" s="105"/>
      <c r="AF11" s="105"/>
      <c r="AG11" s="105"/>
      <c r="AH11" s="105"/>
      <c r="AI11" s="105"/>
      <c r="AJ11" s="105"/>
      <c r="AK11" s="105"/>
    </row>
    <row r="12" spans="2:404" x14ac:dyDescent="0.25">
      <c r="C12" s="105" t="s">
        <v>143</v>
      </c>
      <c r="D12" s="105"/>
      <c r="E12" s="105"/>
      <c r="F12" s="105"/>
      <c r="G12" s="105"/>
      <c r="H12" s="105"/>
      <c r="I12" s="105"/>
      <c r="J12" s="105"/>
      <c r="K12" s="105"/>
      <c r="L12" s="105"/>
      <c r="M12" s="105"/>
      <c r="N12" s="105"/>
      <c r="O12" s="105"/>
      <c r="P12" s="105"/>
      <c r="Q12" s="105"/>
      <c r="R12" s="105"/>
      <c r="S12" s="105"/>
      <c r="T12" s="105"/>
      <c r="U12" s="105"/>
      <c r="V12" s="105"/>
      <c r="W12" s="105"/>
      <c r="X12" s="105"/>
      <c r="Y12" s="105"/>
      <c r="Z12" s="105"/>
      <c r="AA12" s="105"/>
      <c r="AB12" s="105"/>
      <c r="AC12" s="105"/>
      <c r="AD12" s="105"/>
      <c r="AE12" s="105"/>
      <c r="AF12" s="105"/>
      <c r="AG12" s="105"/>
      <c r="AH12" s="105"/>
      <c r="AI12" s="105"/>
      <c r="AJ12" s="105"/>
      <c r="AK12" s="105"/>
    </row>
    <row r="13" spans="2:404" x14ac:dyDescent="0.25">
      <c r="C13" s="105" t="s">
        <v>144</v>
      </c>
      <c r="D13" s="105"/>
      <c r="E13" s="105"/>
      <c r="F13" s="105"/>
      <c r="G13" s="105"/>
      <c r="H13" s="105"/>
      <c r="I13" s="105"/>
      <c r="J13" s="105"/>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5"/>
      <c r="AI13" s="105"/>
      <c r="AJ13" s="105"/>
      <c r="AK13" s="105"/>
    </row>
    <row r="14" spans="2:404" x14ac:dyDescent="0.25">
      <c r="C14" s="105" t="s">
        <v>150</v>
      </c>
      <c r="D14" s="105"/>
      <c r="E14" s="105"/>
      <c r="F14" s="105"/>
      <c r="G14" s="105"/>
      <c r="H14" s="105"/>
      <c r="I14" s="105"/>
      <c r="J14" s="105"/>
      <c r="K14" s="105"/>
      <c r="L14" s="105"/>
      <c r="M14" s="105"/>
      <c r="N14" s="105"/>
      <c r="O14" s="105"/>
      <c r="P14" s="105"/>
      <c r="Q14" s="105"/>
      <c r="R14" s="105"/>
      <c r="S14" s="105"/>
      <c r="T14" s="105"/>
      <c r="U14" s="105"/>
      <c r="V14" s="105"/>
      <c r="W14" s="105"/>
      <c r="X14" s="105"/>
      <c r="Y14" s="105"/>
      <c r="Z14" s="105"/>
      <c r="AA14" s="105"/>
      <c r="AB14" s="105"/>
      <c r="AC14" s="105"/>
      <c r="AD14" s="105"/>
      <c r="AE14" s="105"/>
      <c r="AF14" s="105"/>
      <c r="AG14" s="105"/>
      <c r="AH14" s="105"/>
      <c r="AI14" s="105"/>
      <c r="AJ14" s="105"/>
      <c r="AK14" s="105"/>
    </row>
    <row r="16" spans="2:404" s="43" customFormat="1" ht="11.25" x14ac:dyDescent="0.2">
      <c r="C16" s="253"/>
      <c r="D16" s="253"/>
      <c r="E16" s="253">
        <v>400</v>
      </c>
      <c r="F16" s="253">
        <v>399</v>
      </c>
      <c r="G16" s="253">
        <v>398</v>
      </c>
      <c r="H16" s="253">
        <v>397</v>
      </c>
      <c r="I16" s="253">
        <v>396</v>
      </c>
      <c r="J16" s="253">
        <v>395</v>
      </c>
      <c r="K16" s="253">
        <v>394</v>
      </c>
      <c r="L16" s="253">
        <v>393</v>
      </c>
      <c r="M16" s="253">
        <v>392</v>
      </c>
      <c r="N16" s="253">
        <v>391</v>
      </c>
      <c r="O16" s="253">
        <v>390</v>
      </c>
      <c r="P16" s="253">
        <v>389</v>
      </c>
      <c r="Q16" s="253">
        <v>388</v>
      </c>
      <c r="R16" s="253">
        <v>387</v>
      </c>
      <c r="S16" s="253">
        <v>386</v>
      </c>
      <c r="T16" s="253">
        <v>385</v>
      </c>
      <c r="U16" s="253">
        <v>384</v>
      </c>
      <c r="V16" s="253">
        <v>383</v>
      </c>
      <c r="W16" s="253">
        <v>382</v>
      </c>
      <c r="X16" s="253">
        <v>381</v>
      </c>
      <c r="Y16" s="253">
        <v>380</v>
      </c>
      <c r="Z16" s="253">
        <v>379</v>
      </c>
      <c r="AA16" s="253">
        <v>378</v>
      </c>
      <c r="AB16" s="253">
        <v>377</v>
      </c>
      <c r="AC16" s="253">
        <v>376</v>
      </c>
      <c r="AD16" s="253">
        <v>375</v>
      </c>
      <c r="AE16" s="253">
        <v>374</v>
      </c>
      <c r="AF16" s="253">
        <v>373</v>
      </c>
      <c r="AG16" s="253">
        <v>372</v>
      </c>
      <c r="AH16" s="253">
        <v>371</v>
      </c>
      <c r="AI16" s="253">
        <v>370</v>
      </c>
      <c r="AJ16" s="253">
        <v>369</v>
      </c>
      <c r="AK16" s="253">
        <v>368</v>
      </c>
      <c r="AL16" s="253">
        <v>367</v>
      </c>
      <c r="AM16" s="253">
        <v>366</v>
      </c>
      <c r="AN16" s="253">
        <v>365</v>
      </c>
      <c r="AO16" s="253">
        <v>364</v>
      </c>
      <c r="AP16" s="253">
        <v>363</v>
      </c>
      <c r="AQ16" s="253">
        <v>362</v>
      </c>
      <c r="AR16" s="253">
        <v>361</v>
      </c>
      <c r="AS16" s="253">
        <v>360</v>
      </c>
      <c r="AT16" s="253">
        <v>359</v>
      </c>
      <c r="AU16" s="253">
        <v>358</v>
      </c>
      <c r="AV16" s="253">
        <v>357</v>
      </c>
      <c r="AW16" s="253">
        <v>356</v>
      </c>
      <c r="AX16" s="253">
        <v>355</v>
      </c>
      <c r="AY16" s="253">
        <v>354</v>
      </c>
      <c r="AZ16" s="253">
        <v>353</v>
      </c>
      <c r="BA16" s="253">
        <v>352</v>
      </c>
      <c r="BB16" s="253">
        <v>351</v>
      </c>
      <c r="BC16" s="253">
        <v>350</v>
      </c>
      <c r="BD16" s="253">
        <v>349</v>
      </c>
      <c r="BE16" s="253">
        <v>348</v>
      </c>
      <c r="BF16" s="253">
        <v>347</v>
      </c>
      <c r="BG16" s="253">
        <v>346</v>
      </c>
      <c r="BH16" s="253">
        <v>345</v>
      </c>
      <c r="BI16" s="253">
        <v>344</v>
      </c>
      <c r="BJ16" s="253">
        <v>343</v>
      </c>
      <c r="BK16" s="253">
        <v>342</v>
      </c>
      <c r="BL16" s="253">
        <v>341</v>
      </c>
      <c r="BM16" s="253">
        <v>340</v>
      </c>
      <c r="BN16" s="253">
        <v>339</v>
      </c>
      <c r="BO16" s="253">
        <v>338</v>
      </c>
      <c r="BP16" s="253">
        <v>337</v>
      </c>
      <c r="BQ16" s="253">
        <v>336</v>
      </c>
      <c r="BR16" s="253">
        <v>335</v>
      </c>
      <c r="BS16" s="253">
        <v>334</v>
      </c>
      <c r="BT16" s="253">
        <v>333</v>
      </c>
      <c r="BU16" s="253">
        <v>332</v>
      </c>
      <c r="BV16" s="253">
        <v>331</v>
      </c>
      <c r="BW16" s="253">
        <v>330</v>
      </c>
      <c r="BX16" s="253">
        <v>329</v>
      </c>
      <c r="BY16" s="253">
        <v>328</v>
      </c>
      <c r="BZ16" s="253">
        <v>327</v>
      </c>
      <c r="CA16" s="253">
        <v>326</v>
      </c>
      <c r="CB16" s="253">
        <v>325</v>
      </c>
      <c r="CC16" s="253">
        <v>324</v>
      </c>
      <c r="CD16" s="253">
        <v>323</v>
      </c>
      <c r="CE16" s="253">
        <v>322</v>
      </c>
      <c r="CF16" s="253">
        <v>321</v>
      </c>
      <c r="CG16" s="253">
        <v>320</v>
      </c>
      <c r="CH16" s="253">
        <v>319</v>
      </c>
      <c r="CI16" s="253">
        <v>318</v>
      </c>
      <c r="CJ16" s="253">
        <v>317</v>
      </c>
      <c r="CK16" s="253">
        <v>316</v>
      </c>
      <c r="CL16" s="253">
        <v>315</v>
      </c>
      <c r="CM16" s="253">
        <v>314</v>
      </c>
      <c r="CN16" s="253">
        <v>313</v>
      </c>
      <c r="CO16" s="253">
        <v>312</v>
      </c>
      <c r="CP16" s="253">
        <v>311</v>
      </c>
      <c r="CQ16" s="253">
        <v>310</v>
      </c>
      <c r="CR16" s="253">
        <v>309</v>
      </c>
      <c r="CS16" s="253">
        <v>308</v>
      </c>
      <c r="CT16" s="253">
        <v>307</v>
      </c>
      <c r="CU16" s="253">
        <v>306</v>
      </c>
      <c r="CV16" s="253">
        <v>305</v>
      </c>
      <c r="CW16" s="253">
        <v>304</v>
      </c>
      <c r="CX16" s="253">
        <v>303</v>
      </c>
      <c r="CY16" s="253">
        <v>302</v>
      </c>
      <c r="CZ16" s="253">
        <v>301</v>
      </c>
      <c r="DA16" s="253">
        <v>300</v>
      </c>
      <c r="DB16" s="253">
        <v>299</v>
      </c>
      <c r="DC16" s="253">
        <v>298</v>
      </c>
      <c r="DD16" s="253">
        <v>297</v>
      </c>
      <c r="DE16" s="253">
        <v>296</v>
      </c>
      <c r="DF16" s="253">
        <v>295</v>
      </c>
      <c r="DG16" s="253">
        <v>294</v>
      </c>
      <c r="DH16" s="253">
        <v>293</v>
      </c>
      <c r="DI16" s="253">
        <v>292</v>
      </c>
      <c r="DJ16" s="253">
        <v>291</v>
      </c>
      <c r="DK16" s="253">
        <v>290</v>
      </c>
      <c r="DL16" s="253">
        <v>289</v>
      </c>
      <c r="DM16" s="253">
        <v>288</v>
      </c>
      <c r="DN16" s="253">
        <v>287</v>
      </c>
      <c r="DO16" s="253">
        <v>286</v>
      </c>
      <c r="DP16" s="253">
        <v>285</v>
      </c>
      <c r="DQ16" s="253">
        <v>284</v>
      </c>
      <c r="DR16" s="253">
        <v>283</v>
      </c>
      <c r="DS16" s="253">
        <v>282</v>
      </c>
      <c r="DT16" s="253">
        <v>281</v>
      </c>
      <c r="DU16" s="253">
        <v>280</v>
      </c>
      <c r="DV16" s="253">
        <v>279</v>
      </c>
      <c r="DW16" s="253">
        <v>278</v>
      </c>
      <c r="DX16" s="253">
        <v>277</v>
      </c>
      <c r="DY16" s="253">
        <v>276</v>
      </c>
      <c r="DZ16" s="253">
        <v>275</v>
      </c>
      <c r="EA16" s="253">
        <v>274</v>
      </c>
      <c r="EB16" s="253">
        <v>273</v>
      </c>
      <c r="EC16" s="253">
        <v>272</v>
      </c>
      <c r="ED16" s="253">
        <v>271</v>
      </c>
      <c r="EE16" s="253">
        <v>270</v>
      </c>
      <c r="EF16" s="253">
        <v>269</v>
      </c>
      <c r="EG16" s="253">
        <v>268</v>
      </c>
      <c r="EH16" s="253">
        <v>267</v>
      </c>
      <c r="EI16" s="253">
        <v>266</v>
      </c>
      <c r="EJ16" s="253">
        <v>265</v>
      </c>
      <c r="EK16" s="253">
        <v>264</v>
      </c>
      <c r="EL16" s="253">
        <v>263</v>
      </c>
      <c r="EM16" s="253">
        <v>262</v>
      </c>
      <c r="EN16" s="253">
        <v>261</v>
      </c>
      <c r="EO16" s="253">
        <v>260</v>
      </c>
      <c r="EP16" s="253">
        <v>259</v>
      </c>
      <c r="EQ16" s="253">
        <v>258</v>
      </c>
      <c r="ER16" s="253">
        <v>257</v>
      </c>
      <c r="ES16" s="253">
        <v>256</v>
      </c>
      <c r="ET16" s="253">
        <v>255</v>
      </c>
      <c r="EU16" s="253">
        <v>254</v>
      </c>
      <c r="EV16" s="253">
        <v>253</v>
      </c>
      <c r="EW16" s="253">
        <v>252</v>
      </c>
      <c r="EX16" s="253">
        <v>251</v>
      </c>
      <c r="EY16" s="253">
        <v>250</v>
      </c>
      <c r="EZ16" s="253">
        <v>249</v>
      </c>
      <c r="FA16" s="253">
        <v>248</v>
      </c>
      <c r="FB16" s="253">
        <v>247</v>
      </c>
      <c r="FC16" s="253">
        <v>246</v>
      </c>
      <c r="FD16" s="253">
        <v>245</v>
      </c>
      <c r="FE16" s="253">
        <v>244</v>
      </c>
      <c r="FF16" s="253">
        <v>243</v>
      </c>
      <c r="FG16" s="253">
        <v>242</v>
      </c>
      <c r="FH16" s="253">
        <v>241</v>
      </c>
      <c r="FI16" s="253">
        <v>240</v>
      </c>
      <c r="FJ16" s="253">
        <v>239</v>
      </c>
      <c r="FK16" s="253">
        <v>238</v>
      </c>
      <c r="FL16" s="253">
        <v>237</v>
      </c>
      <c r="FM16" s="253">
        <v>236</v>
      </c>
      <c r="FN16" s="253">
        <v>235</v>
      </c>
      <c r="FO16" s="253">
        <v>234</v>
      </c>
      <c r="FP16" s="253">
        <v>233</v>
      </c>
      <c r="FQ16" s="253">
        <v>232</v>
      </c>
      <c r="FR16" s="253">
        <v>231</v>
      </c>
      <c r="FS16" s="253">
        <v>230</v>
      </c>
      <c r="FT16" s="253">
        <v>229</v>
      </c>
      <c r="FU16" s="253">
        <v>228</v>
      </c>
      <c r="FV16" s="253">
        <v>227</v>
      </c>
      <c r="FW16" s="253">
        <v>226</v>
      </c>
      <c r="FX16" s="253">
        <v>225</v>
      </c>
      <c r="FY16" s="253">
        <v>224</v>
      </c>
      <c r="FZ16" s="253">
        <v>223</v>
      </c>
      <c r="GA16" s="253">
        <v>222</v>
      </c>
      <c r="GB16" s="253">
        <v>221</v>
      </c>
      <c r="GC16" s="253">
        <v>220</v>
      </c>
      <c r="GD16" s="253">
        <v>219</v>
      </c>
      <c r="GE16" s="253">
        <v>218</v>
      </c>
      <c r="GF16" s="253">
        <v>217</v>
      </c>
      <c r="GG16" s="253">
        <v>216</v>
      </c>
      <c r="GH16" s="253">
        <v>215</v>
      </c>
      <c r="GI16" s="253">
        <v>214</v>
      </c>
      <c r="GJ16" s="253">
        <v>213</v>
      </c>
      <c r="GK16" s="253">
        <v>212</v>
      </c>
      <c r="GL16" s="253">
        <v>211</v>
      </c>
      <c r="GM16" s="253">
        <v>210</v>
      </c>
      <c r="GN16" s="253">
        <v>209</v>
      </c>
      <c r="GO16" s="253">
        <v>208</v>
      </c>
      <c r="GP16" s="253">
        <v>207</v>
      </c>
      <c r="GQ16" s="253">
        <v>206</v>
      </c>
      <c r="GR16" s="253">
        <v>205</v>
      </c>
      <c r="GS16" s="253">
        <v>204</v>
      </c>
      <c r="GT16" s="253">
        <v>203</v>
      </c>
      <c r="GU16" s="253">
        <v>202</v>
      </c>
      <c r="GV16" s="254">
        <v>201</v>
      </c>
      <c r="GW16" s="255">
        <v>200</v>
      </c>
      <c r="GX16" s="253">
        <v>199</v>
      </c>
      <c r="GY16" s="253">
        <v>198</v>
      </c>
      <c r="GZ16" s="253">
        <v>197</v>
      </c>
      <c r="HA16" s="253">
        <v>196</v>
      </c>
      <c r="HB16" s="253">
        <v>195</v>
      </c>
      <c r="HC16" s="253">
        <v>194</v>
      </c>
      <c r="HD16" s="253">
        <v>193</v>
      </c>
      <c r="HE16" s="253">
        <v>192</v>
      </c>
      <c r="HF16" s="253">
        <v>191</v>
      </c>
      <c r="HG16" s="253">
        <v>190</v>
      </c>
      <c r="HH16" s="253">
        <v>189</v>
      </c>
      <c r="HI16" s="253">
        <v>188</v>
      </c>
      <c r="HJ16" s="253">
        <v>187</v>
      </c>
      <c r="HK16" s="253">
        <v>186</v>
      </c>
      <c r="HL16" s="253">
        <v>185</v>
      </c>
      <c r="HM16" s="253">
        <v>184</v>
      </c>
      <c r="HN16" s="253">
        <v>183</v>
      </c>
      <c r="HO16" s="253">
        <v>182</v>
      </c>
      <c r="HP16" s="253">
        <v>181</v>
      </c>
      <c r="HQ16" s="253">
        <v>180</v>
      </c>
      <c r="HR16" s="253">
        <v>179</v>
      </c>
      <c r="HS16" s="253">
        <v>178</v>
      </c>
      <c r="HT16" s="253">
        <v>177</v>
      </c>
      <c r="HU16" s="253">
        <v>176</v>
      </c>
      <c r="HV16" s="253">
        <v>175</v>
      </c>
      <c r="HW16" s="253">
        <v>174</v>
      </c>
      <c r="HX16" s="253">
        <v>173</v>
      </c>
      <c r="HY16" s="253">
        <v>172</v>
      </c>
      <c r="HZ16" s="253">
        <v>171</v>
      </c>
      <c r="IA16" s="253">
        <v>170</v>
      </c>
      <c r="IB16" s="253">
        <v>169</v>
      </c>
      <c r="IC16" s="253">
        <v>168</v>
      </c>
      <c r="ID16" s="253">
        <v>167</v>
      </c>
      <c r="IE16" s="253">
        <v>166</v>
      </c>
      <c r="IF16" s="253">
        <v>165</v>
      </c>
      <c r="IG16" s="253">
        <v>164</v>
      </c>
      <c r="IH16" s="253">
        <v>163</v>
      </c>
      <c r="II16" s="253">
        <v>162</v>
      </c>
      <c r="IJ16" s="253">
        <v>161</v>
      </c>
      <c r="IK16" s="253">
        <v>160</v>
      </c>
      <c r="IL16" s="253">
        <v>159</v>
      </c>
      <c r="IM16" s="253">
        <v>158</v>
      </c>
      <c r="IN16" s="253">
        <v>157</v>
      </c>
      <c r="IO16" s="253">
        <v>156</v>
      </c>
      <c r="IP16" s="253">
        <v>155</v>
      </c>
      <c r="IQ16" s="253">
        <v>154</v>
      </c>
      <c r="IR16" s="253">
        <v>153</v>
      </c>
      <c r="IS16" s="253">
        <v>152</v>
      </c>
      <c r="IT16" s="253">
        <v>151</v>
      </c>
      <c r="IU16" s="253">
        <v>150</v>
      </c>
      <c r="IV16" s="253">
        <v>149</v>
      </c>
      <c r="IW16" s="253">
        <v>148</v>
      </c>
      <c r="IX16" s="253">
        <v>147</v>
      </c>
      <c r="IY16" s="253">
        <v>146</v>
      </c>
      <c r="IZ16" s="253">
        <v>145</v>
      </c>
      <c r="JA16" s="253">
        <v>144</v>
      </c>
      <c r="JB16" s="253">
        <v>143</v>
      </c>
      <c r="JC16" s="253">
        <v>142</v>
      </c>
      <c r="JD16" s="253">
        <v>141</v>
      </c>
      <c r="JE16" s="253">
        <v>140</v>
      </c>
      <c r="JF16" s="253">
        <v>139</v>
      </c>
      <c r="JG16" s="253">
        <v>138</v>
      </c>
      <c r="JH16" s="253">
        <v>137</v>
      </c>
      <c r="JI16" s="253">
        <v>136</v>
      </c>
      <c r="JJ16" s="253">
        <v>135</v>
      </c>
      <c r="JK16" s="253">
        <v>134</v>
      </c>
      <c r="JL16" s="253">
        <v>133</v>
      </c>
      <c r="JM16" s="253">
        <v>132</v>
      </c>
      <c r="JN16" s="253">
        <v>131</v>
      </c>
      <c r="JO16" s="253">
        <v>130</v>
      </c>
      <c r="JP16" s="253">
        <v>129</v>
      </c>
      <c r="JQ16" s="253">
        <v>128</v>
      </c>
      <c r="JR16" s="253">
        <v>127</v>
      </c>
      <c r="JS16" s="253">
        <v>126</v>
      </c>
      <c r="JT16" s="253">
        <v>125</v>
      </c>
      <c r="JU16" s="253">
        <v>124</v>
      </c>
      <c r="JV16" s="253">
        <v>123</v>
      </c>
      <c r="JW16" s="253">
        <v>122</v>
      </c>
      <c r="JX16" s="253">
        <v>121</v>
      </c>
      <c r="JY16" s="253">
        <v>120</v>
      </c>
      <c r="JZ16" s="253">
        <v>119</v>
      </c>
      <c r="KA16" s="253">
        <v>118</v>
      </c>
      <c r="KB16" s="253">
        <v>117</v>
      </c>
      <c r="KC16" s="253">
        <v>116</v>
      </c>
      <c r="KD16" s="253">
        <v>115</v>
      </c>
      <c r="KE16" s="253">
        <v>114</v>
      </c>
      <c r="KF16" s="253">
        <v>113</v>
      </c>
      <c r="KG16" s="253">
        <v>112</v>
      </c>
      <c r="KH16" s="253">
        <v>111</v>
      </c>
      <c r="KI16" s="253">
        <v>110</v>
      </c>
      <c r="KJ16" s="253">
        <v>109</v>
      </c>
      <c r="KK16" s="253">
        <v>108</v>
      </c>
      <c r="KL16" s="253">
        <v>107</v>
      </c>
      <c r="KM16" s="253">
        <v>106</v>
      </c>
      <c r="KN16" s="253">
        <v>105</v>
      </c>
      <c r="KO16" s="253">
        <v>104</v>
      </c>
      <c r="KP16" s="253">
        <v>103</v>
      </c>
      <c r="KQ16" s="253">
        <v>102</v>
      </c>
      <c r="KR16" s="253">
        <v>101</v>
      </c>
      <c r="KS16" s="253">
        <v>100</v>
      </c>
      <c r="KT16" s="253">
        <v>99</v>
      </c>
      <c r="KU16" s="253">
        <v>98</v>
      </c>
      <c r="KV16" s="253">
        <v>97</v>
      </c>
      <c r="KW16" s="253">
        <v>96</v>
      </c>
      <c r="KX16" s="253">
        <v>95</v>
      </c>
      <c r="KY16" s="253">
        <v>94</v>
      </c>
      <c r="KZ16" s="253">
        <v>93</v>
      </c>
      <c r="LA16" s="253">
        <v>92</v>
      </c>
      <c r="LB16" s="253">
        <v>91</v>
      </c>
      <c r="LC16" s="253">
        <v>90</v>
      </c>
      <c r="LD16" s="253">
        <v>89</v>
      </c>
      <c r="LE16" s="253">
        <v>88</v>
      </c>
      <c r="LF16" s="253">
        <v>87</v>
      </c>
      <c r="LG16" s="253">
        <v>86</v>
      </c>
      <c r="LH16" s="253">
        <v>85</v>
      </c>
      <c r="LI16" s="253">
        <v>84</v>
      </c>
      <c r="LJ16" s="253">
        <v>83</v>
      </c>
      <c r="LK16" s="253">
        <v>82</v>
      </c>
      <c r="LL16" s="253">
        <v>81</v>
      </c>
      <c r="LM16" s="253">
        <v>80</v>
      </c>
      <c r="LN16" s="253">
        <v>79</v>
      </c>
      <c r="LO16" s="253">
        <v>78</v>
      </c>
      <c r="LP16" s="253">
        <v>77</v>
      </c>
      <c r="LQ16" s="253">
        <v>76</v>
      </c>
      <c r="LR16" s="253">
        <v>75</v>
      </c>
      <c r="LS16" s="253">
        <v>74</v>
      </c>
      <c r="LT16" s="253">
        <v>73</v>
      </c>
      <c r="LU16" s="253">
        <v>72</v>
      </c>
      <c r="LV16" s="253">
        <v>71</v>
      </c>
      <c r="LW16" s="253">
        <v>70</v>
      </c>
      <c r="LX16" s="253">
        <v>69</v>
      </c>
      <c r="LY16" s="253">
        <v>68</v>
      </c>
      <c r="LZ16" s="253">
        <v>67</v>
      </c>
      <c r="MA16" s="253">
        <v>66</v>
      </c>
      <c r="MB16" s="253">
        <v>65</v>
      </c>
      <c r="MC16" s="253">
        <v>64</v>
      </c>
      <c r="MD16" s="253">
        <v>63</v>
      </c>
      <c r="ME16" s="253">
        <v>62</v>
      </c>
      <c r="MF16" s="253">
        <v>61</v>
      </c>
      <c r="MG16" s="253">
        <v>60</v>
      </c>
      <c r="MH16" s="253">
        <v>59</v>
      </c>
      <c r="MI16" s="253">
        <v>58</v>
      </c>
      <c r="MJ16" s="253">
        <v>57</v>
      </c>
      <c r="MK16" s="253">
        <v>56</v>
      </c>
      <c r="ML16" s="253">
        <v>55</v>
      </c>
      <c r="MM16" s="253">
        <v>54</v>
      </c>
      <c r="MN16" s="253">
        <v>53</v>
      </c>
      <c r="MO16" s="253">
        <v>52</v>
      </c>
      <c r="MP16" s="253">
        <v>51</v>
      </c>
      <c r="MQ16" s="253">
        <v>50</v>
      </c>
      <c r="MR16" s="253">
        <v>49</v>
      </c>
      <c r="MS16" s="253">
        <v>48</v>
      </c>
      <c r="MT16" s="253">
        <v>47</v>
      </c>
      <c r="MU16" s="253">
        <v>46</v>
      </c>
      <c r="MV16" s="253">
        <v>45</v>
      </c>
      <c r="MW16" s="253">
        <v>44</v>
      </c>
      <c r="MX16" s="253">
        <v>43</v>
      </c>
      <c r="MY16" s="253">
        <v>42</v>
      </c>
      <c r="MZ16" s="253">
        <v>41</v>
      </c>
      <c r="NA16" s="253">
        <v>40</v>
      </c>
      <c r="NB16" s="253">
        <v>39</v>
      </c>
      <c r="NC16" s="253">
        <v>38</v>
      </c>
      <c r="ND16" s="253">
        <v>37</v>
      </c>
      <c r="NE16" s="253">
        <v>36</v>
      </c>
      <c r="NF16" s="253">
        <v>35</v>
      </c>
      <c r="NG16" s="253">
        <v>34</v>
      </c>
      <c r="NH16" s="253">
        <v>33</v>
      </c>
      <c r="NI16" s="253">
        <v>32</v>
      </c>
      <c r="NJ16" s="253">
        <v>31</v>
      </c>
      <c r="NK16" s="253">
        <v>30</v>
      </c>
      <c r="NL16" s="253">
        <v>29</v>
      </c>
      <c r="NM16" s="253">
        <v>28</v>
      </c>
      <c r="NN16" s="253">
        <v>27</v>
      </c>
      <c r="NO16" s="253">
        <v>26</v>
      </c>
      <c r="NP16" s="253">
        <v>25</v>
      </c>
      <c r="NQ16" s="253">
        <v>24</v>
      </c>
      <c r="NR16" s="253">
        <v>23</v>
      </c>
      <c r="NS16" s="253">
        <v>22</v>
      </c>
      <c r="NT16" s="253">
        <v>21</v>
      </c>
      <c r="NU16" s="253">
        <v>20</v>
      </c>
      <c r="NV16" s="253">
        <v>19</v>
      </c>
      <c r="NW16" s="253">
        <v>18</v>
      </c>
      <c r="NX16" s="253">
        <v>17</v>
      </c>
      <c r="NY16" s="253">
        <v>16</v>
      </c>
      <c r="NZ16" s="253">
        <v>15</v>
      </c>
      <c r="OA16" s="253">
        <v>14</v>
      </c>
      <c r="OB16" s="253">
        <v>13</v>
      </c>
      <c r="OC16" s="253">
        <v>12</v>
      </c>
      <c r="OD16" s="253">
        <v>11</v>
      </c>
      <c r="OE16" s="253">
        <v>10</v>
      </c>
      <c r="OF16" s="253">
        <v>9</v>
      </c>
      <c r="OG16" s="253">
        <v>8</v>
      </c>
      <c r="OH16" s="253">
        <v>7</v>
      </c>
      <c r="OI16" s="253">
        <v>6</v>
      </c>
      <c r="OJ16" s="253">
        <v>5</v>
      </c>
      <c r="OK16" s="253">
        <v>4</v>
      </c>
      <c r="OL16" s="253">
        <v>3</v>
      </c>
      <c r="OM16" s="253">
        <v>2</v>
      </c>
      <c r="ON16" s="253">
        <v>1</v>
      </c>
    </row>
    <row r="17" spans="1:404" x14ac:dyDescent="0.25">
      <c r="C17" s="105"/>
      <c r="D17" s="195" t="s">
        <v>62</v>
      </c>
      <c r="E17" s="683"/>
      <c r="F17" s="684"/>
      <c r="G17" s="684"/>
      <c r="H17" s="684"/>
      <c r="I17" s="684"/>
      <c r="J17" s="684"/>
      <c r="K17" s="684"/>
      <c r="L17" s="684"/>
      <c r="M17" s="684"/>
      <c r="N17" s="684"/>
      <c r="O17" s="684"/>
      <c r="P17" s="684"/>
      <c r="Q17" s="684"/>
      <c r="R17" s="684"/>
      <c r="S17" s="684"/>
      <c r="T17" s="684"/>
      <c r="U17" s="684"/>
      <c r="V17" s="684"/>
      <c r="W17" s="684"/>
      <c r="X17" s="684"/>
      <c r="Y17" s="684"/>
      <c r="Z17" s="684"/>
      <c r="AA17" s="684"/>
      <c r="AB17" s="684"/>
      <c r="AC17" s="684"/>
      <c r="AD17" s="684"/>
      <c r="AE17" s="684"/>
      <c r="AF17" s="684"/>
      <c r="AG17" s="684"/>
      <c r="AH17" s="684"/>
      <c r="AI17" s="684"/>
      <c r="AJ17" s="684"/>
      <c r="AK17" s="684"/>
      <c r="AL17" s="684"/>
      <c r="AM17" s="684"/>
      <c r="AN17" s="684"/>
      <c r="AO17" s="684"/>
      <c r="AP17" s="684"/>
      <c r="AQ17" s="684"/>
      <c r="AR17" s="684"/>
      <c r="AS17" s="684"/>
      <c r="AT17" s="684"/>
      <c r="AU17" s="684"/>
      <c r="AV17" s="684"/>
      <c r="AW17" s="684"/>
      <c r="AX17" s="684"/>
      <c r="AY17" s="684"/>
      <c r="AZ17" s="684"/>
      <c r="BA17" s="684"/>
      <c r="BB17" s="684"/>
      <c r="BC17" s="684"/>
      <c r="BD17" s="684"/>
      <c r="BE17" s="684"/>
      <c r="BF17" s="684"/>
      <c r="BG17" s="684"/>
      <c r="BH17" s="684"/>
      <c r="BI17" s="684"/>
      <c r="BJ17" s="684"/>
      <c r="BK17" s="684"/>
      <c r="BL17" s="684"/>
      <c r="BM17" s="684"/>
      <c r="BN17" s="684"/>
      <c r="BO17" s="684"/>
      <c r="BP17" s="684"/>
      <c r="BQ17" s="684"/>
      <c r="BR17" s="684"/>
      <c r="BS17" s="684"/>
      <c r="BT17" s="684"/>
      <c r="BU17" s="684"/>
      <c r="BV17" s="684"/>
      <c r="BW17" s="684"/>
      <c r="BX17" s="684"/>
      <c r="BY17" s="684"/>
      <c r="BZ17" s="684"/>
      <c r="CA17" s="684"/>
      <c r="CB17" s="684"/>
      <c r="CC17" s="684"/>
      <c r="CD17" s="684"/>
      <c r="CE17" s="684"/>
      <c r="CF17" s="684"/>
      <c r="CG17" s="684"/>
      <c r="CH17" s="684"/>
      <c r="CI17" s="684"/>
      <c r="CJ17" s="684"/>
      <c r="CK17" s="684"/>
      <c r="CL17" s="684"/>
      <c r="CM17" s="684"/>
      <c r="CN17" s="684"/>
      <c r="CO17" s="684"/>
      <c r="CP17" s="684"/>
      <c r="CQ17" s="684"/>
      <c r="CR17" s="684"/>
      <c r="CS17" s="684"/>
      <c r="CT17" s="684"/>
      <c r="CU17" s="684"/>
      <c r="CV17" s="684"/>
      <c r="CW17" s="684"/>
      <c r="CX17" s="684"/>
      <c r="CY17" s="684"/>
      <c r="CZ17" s="684"/>
      <c r="DA17" s="684"/>
      <c r="DB17" s="684"/>
      <c r="DC17" s="684"/>
      <c r="DD17" s="684"/>
      <c r="DE17" s="684"/>
      <c r="DF17" s="684"/>
      <c r="DG17" s="684"/>
      <c r="DH17" s="684"/>
      <c r="DI17" s="684"/>
      <c r="DJ17" s="684"/>
      <c r="DK17" s="684"/>
      <c r="DL17" s="684"/>
      <c r="DM17" s="684"/>
      <c r="DN17" s="684"/>
      <c r="DO17" s="684"/>
      <c r="DP17" s="684"/>
      <c r="DQ17" s="684"/>
      <c r="DR17" s="684"/>
      <c r="DS17" s="684"/>
      <c r="DT17" s="684"/>
      <c r="DU17" s="684"/>
      <c r="DV17" s="684"/>
      <c r="DW17" s="684" t="s">
        <v>53</v>
      </c>
      <c r="DX17" s="684" t="s">
        <v>36</v>
      </c>
      <c r="DY17" s="684" t="s">
        <v>34</v>
      </c>
      <c r="DZ17" s="684" t="s">
        <v>32</v>
      </c>
      <c r="EA17" s="684" t="s">
        <v>31</v>
      </c>
      <c r="EB17" s="684" t="s">
        <v>34</v>
      </c>
      <c r="EC17" s="684" t="s">
        <v>30</v>
      </c>
      <c r="ED17" s="684" t="s">
        <v>38</v>
      </c>
      <c r="EE17" s="684" t="s">
        <v>37</v>
      </c>
      <c r="EF17" s="684" t="s">
        <v>32</v>
      </c>
      <c r="EG17" s="684" t="s">
        <v>34</v>
      </c>
      <c r="EH17" s="684" t="s">
        <v>35</v>
      </c>
      <c r="EI17" s="684" t="s">
        <v>31</v>
      </c>
      <c r="EJ17" s="684" t="s">
        <v>41</v>
      </c>
      <c r="EK17" s="684" t="s">
        <v>49</v>
      </c>
      <c r="EL17" s="684" t="s">
        <v>33</v>
      </c>
      <c r="EM17" s="684" t="s">
        <v>35</v>
      </c>
      <c r="EN17" s="684" t="s">
        <v>31</v>
      </c>
      <c r="EO17" s="684" t="s">
        <v>40</v>
      </c>
      <c r="EP17" s="684" t="s">
        <v>39</v>
      </c>
      <c r="EQ17" s="684" t="s">
        <v>40</v>
      </c>
      <c r="ER17" s="684" t="s">
        <v>52</v>
      </c>
      <c r="ES17" s="684" t="s">
        <v>53</v>
      </c>
      <c r="ET17" s="684" t="s">
        <v>37</v>
      </c>
      <c r="EU17" s="684" t="s">
        <v>34</v>
      </c>
      <c r="EV17" s="684" t="s">
        <v>30</v>
      </c>
      <c r="EW17" s="684" t="s">
        <v>36</v>
      </c>
      <c r="EX17" s="684" t="s">
        <v>40</v>
      </c>
      <c r="EY17" s="684" t="s">
        <v>36</v>
      </c>
      <c r="EZ17" s="684" t="s">
        <v>41</v>
      </c>
      <c r="FA17" s="684" t="s">
        <v>34</v>
      </c>
      <c r="FB17" s="684" t="s">
        <v>33</v>
      </c>
      <c r="FC17" s="684" t="s">
        <v>30</v>
      </c>
      <c r="FD17" s="684" t="s">
        <v>32</v>
      </c>
      <c r="FE17" s="684" t="s">
        <v>35</v>
      </c>
      <c r="FF17" s="684" t="s">
        <v>53</v>
      </c>
      <c r="FG17" s="684" t="s">
        <v>29</v>
      </c>
      <c r="FH17" s="684" t="s">
        <v>38</v>
      </c>
      <c r="FI17" s="684" t="s">
        <v>52</v>
      </c>
      <c r="FJ17" s="684" t="s">
        <v>37</v>
      </c>
      <c r="FK17" s="684" t="s">
        <v>38</v>
      </c>
      <c r="FL17" s="684" t="s">
        <v>38</v>
      </c>
      <c r="FM17" s="684" t="s">
        <v>37</v>
      </c>
      <c r="FN17" s="684" t="s">
        <v>38</v>
      </c>
      <c r="FO17" s="684" t="s">
        <v>38</v>
      </c>
      <c r="FP17" s="684" t="s">
        <v>30</v>
      </c>
      <c r="FQ17" s="684" t="s">
        <v>31</v>
      </c>
      <c r="FR17" s="684" t="s">
        <v>34</v>
      </c>
      <c r="FS17" s="684" t="s">
        <v>37</v>
      </c>
      <c r="FT17" s="684" t="s">
        <v>30</v>
      </c>
      <c r="FU17" s="684" t="s">
        <v>31</v>
      </c>
      <c r="FV17" s="684" t="s">
        <v>37</v>
      </c>
      <c r="FW17" s="684" t="s">
        <v>54</v>
      </c>
      <c r="FX17" s="684" t="s">
        <v>32</v>
      </c>
      <c r="FY17" s="684" t="s">
        <v>46</v>
      </c>
      <c r="FZ17" s="684" t="s">
        <v>43</v>
      </c>
      <c r="GA17" s="684" t="s">
        <v>54</v>
      </c>
      <c r="GB17" s="684" t="s">
        <v>30</v>
      </c>
      <c r="GC17" s="684" t="s">
        <v>35</v>
      </c>
      <c r="GD17" s="684" t="s">
        <v>33</v>
      </c>
      <c r="GE17" s="684" t="s">
        <v>49</v>
      </c>
      <c r="GF17" s="684" t="s">
        <v>32</v>
      </c>
      <c r="GG17" s="684" t="s">
        <v>30</v>
      </c>
      <c r="GH17" s="684" t="s">
        <v>44</v>
      </c>
      <c r="GI17" s="684" t="s">
        <v>36</v>
      </c>
      <c r="GJ17" s="684" t="s">
        <v>33</v>
      </c>
      <c r="GK17" s="684" t="s">
        <v>40</v>
      </c>
      <c r="GL17" s="684" t="s">
        <v>34</v>
      </c>
      <c r="GM17" s="684" t="s">
        <v>30</v>
      </c>
      <c r="GN17" s="684" t="s">
        <v>32</v>
      </c>
      <c r="GO17" s="684" t="s">
        <v>36</v>
      </c>
      <c r="GP17" s="684" t="s">
        <v>32</v>
      </c>
      <c r="GQ17" s="684" t="s">
        <v>49</v>
      </c>
      <c r="GR17" s="684" t="s">
        <v>35</v>
      </c>
      <c r="GS17" s="684" t="s">
        <v>37</v>
      </c>
      <c r="GT17" s="684" t="s">
        <v>38</v>
      </c>
      <c r="GU17" s="684" t="s">
        <v>30</v>
      </c>
      <c r="GV17" s="685" t="s">
        <v>30</v>
      </c>
      <c r="GW17" s="686" t="s">
        <v>35</v>
      </c>
      <c r="GX17" s="684" t="s">
        <v>38</v>
      </c>
      <c r="GY17" s="684" t="s">
        <v>35</v>
      </c>
      <c r="GZ17" s="684" t="s">
        <v>39</v>
      </c>
      <c r="HA17" s="684" t="s">
        <v>38</v>
      </c>
      <c r="HB17" s="684" t="s">
        <v>49</v>
      </c>
      <c r="HC17" s="684" t="s">
        <v>40</v>
      </c>
      <c r="HD17" s="684" t="s">
        <v>40</v>
      </c>
      <c r="HE17" s="684" t="s">
        <v>36</v>
      </c>
      <c r="HF17" s="684" t="s">
        <v>41</v>
      </c>
      <c r="HG17" s="684" t="s">
        <v>36</v>
      </c>
      <c r="HH17" s="684" t="s">
        <v>35</v>
      </c>
      <c r="HI17" s="684" t="s">
        <v>46</v>
      </c>
      <c r="HJ17" s="684" t="s">
        <v>54</v>
      </c>
      <c r="HK17" s="684" t="s">
        <v>33</v>
      </c>
      <c r="HL17" s="684" t="s">
        <v>46</v>
      </c>
      <c r="HM17" s="684" t="s">
        <v>30</v>
      </c>
      <c r="HN17" s="684" t="s">
        <v>52</v>
      </c>
      <c r="HO17" s="684" t="s">
        <v>40</v>
      </c>
      <c r="HP17" s="684" t="s">
        <v>33</v>
      </c>
      <c r="HQ17" s="684" t="s">
        <v>35</v>
      </c>
      <c r="HR17" s="684" t="s">
        <v>35</v>
      </c>
      <c r="HS17" s="684" t="s">
        <v>30</v>
      </c>
      <c r="HT17" s="684" t="s">
        <v>32</v>
      </c>
      <c r="HU17" s="684" t="s">
        <v>36</v>
      </c>
      <c r="HV17" s="684" t="s">
        <v>34</v>
      </c>
      <c r="HW17" s="684" t="s">
        <v>41</v>
      </c>
      <c r="HX17" s="684" t="s">
        <v>33</v>
      </c>
      <c r="HY17" s="684" t="s">
        <v>35</v>
      </c>
      <c r="HZ17" s="684" t="s">
        <v>30</v>
      </c>
      <c r="IA17" s="684" t="s">
        <v>35</v>
      </c>
      <c r="IB17" s="684" t="s">
        <v>29</v>
      </c>
      <c r="IC17" s="684" t="s">
        <v>52</v>
      </c>
      <c r="ID17" s="684" t="s">
        <v>32</v>
      </c>
      <c r="IE17" s="684" t="s">
        <v>35</v>
      </c>
      <c r="IF17" s="684" t="s">
        <v>33</v>
      </c>
      <c r="IG17" s="684" t="s">
        <v>30</v>
      </c>
      <c r="IH17" s="684" t="s">
        <v>34</v>
      </c>
      <c r="II17" s="684" t="s">
        <v>36</v>
      </c>
      <c r="IJ17" s="684" t="s">
        <v>35</v>
      </c>
      <c r="IK17" s="684" t="s">
        <v>31</v>
      </c>
      <c r="IL17" s="684" t="s">
        <v>35</v>
      </c>
      <c r="IM17" s="684" t="s">
        <v>33</v>
      </c>
      <c r="IN17" s="684" t="s">
        <v>45</v>
      </c>
      <c r="IO17" s="684" t="s">
        <v>31</v>
      </c>
      <c r="IP17" s="684" t="s">
        <v>38</v>
      </c>
      <c r="IQ17" s="684" t="s">
        <v>37</v>
      </c>
      <c r="IR17" s="684" t="s">
        <v>35</v>
      </c>
      <c r="IS17" s="684" t="s">
        <v>52</v>
      </c>
      <c r="IT17" s="684" t="s">
        <v>33</v>
      </c>
      <c r="IU17" s="684" t="s">
        <v>40</v>
      </c>
      <c r="IV17" s="684" t="s">
        <v>46</v>
      </c>
      <c r="IW17" s="684" t="s">
        <v>35</v>
      </c>
      <c r="IX17" s="684" t="s">
        <v>30</v>
      </c>
      <c r="IY17" s="684" t="s">
        <v>34</v>
      </c>
      <c r="IZ17" s="684" t="s">
        <v>36</v>
      </c>
      <c r="JA17" s="684" t="s">
        <v>35</v>
      </c>
      <c r="JB17" s="684" t="s">
        <v>40</v>
      </c>
      <c r="JC17" s="684" t="s">
        <v>31</v>
      </c>
      <c r="JD17" s="684" t="s">
        <v>53</v>
      </c>
      <c r="JE17" s="684" t="s">
        <v>33</v>
      </c>
      <c r="JF17" s="684" t="s">
        <v>35</v>
      </c>
      <c r="JG17" s="684" t="s">
        <v>53</v>
      </c>
      <c r="JH17" s="684" t="s">
        <v>48</v>
      </c>
      <c r="JI17" s="684" t="s">
        <v>34</v>
      </c>
      <c r="JJ17" s="684" t="s">
        <v>35</v>
      </c>
      <c r="JK17" s="684" t="s">
        <v>35</v>
      </c>
      <c r="JL17" s="684" t="s">
        <v>30</v>
      </c>
      <c r="JM17" s="684" t="s">
        <v>41</v>
      </c>
      <c r="JN17" s="684" t="s">
        <v>33</v>
      </c>
      <c r="JO17" s="684" t="s">
        <v>36</v>
      </c>
      <c r="JP17" s="684" t="s">
        <v>53</v>
      </c>
      <c r="JQ17" s="684" t="s">
        <v>41</v>
      </c>
      <c r="JR17" s="684" t="s">
        <v>32</v>
      </c>
      <c r="JS17" s="684" t="s">
        <v>35</v>
      </c>
      <c r="JT17" s="684" t="s">
        <v>40</v>
      </c>
      <c r="JU17" s="684" t="s">
        <v>45</v>
      </c>
      <c r="JV17" s="687" t="s">
        <v>33</v>
      </c>
      <c r="JW17" s="684" t="s">
        <v>39</v>
      </c>
      <c r="JX17" s="687" t="s">
        <v>32</v>
      </c>
      <c r="JY17" s="684" t="s">
        <v>37</v>
      </c>
      <c r="JZ17" s="684" t="s">
        <v>49</v>
      </c>
      <c r="KA17" s="684" t="s">
        <v>36</v>
      </c>
      <c r="KB17" s="684" t="s">
        <v>54</v>
      </c>
      <c r="KC17" s="684" t="s">
        <v>34</v>
      </c>
      <c r="KD17" s="684" t="s">
        <v>34</v>
      </c>
      <c r="KE17" s="684" t="s">
        <v>35</v>
      </c>
      <c r="KF17" s="684" t="s">
        <v>46</v>
      </c>
      <c r="KG17" s="684" t="s">
        <v>35</v>
      </c>
      <c r="KH17" s="684" t="s">
        <v>30</v>
      </c>
      <c r="KI17" s="684" t="s">
        <v>36</v>
      </c>
      <c r="KJ17" s="684" t="s">
        <v>33</v>
      </c>
      <c r="KK17" s="684" t="s">
        <v>36</v>
      </c>
      <c r="KL17" s="684" t="s">
        <v>54</v>
      </c>
      <c r="KM17" s="684" t="s">
        <v>36</v>
      </c>
      <c r="KN17" s="684" t="s">
        <v>33</v>
      </c>
      <c r="KO17" s="684" t="s">
        <v>35</v>
      </c>
      <c r="KP17" s="684" t="s">
        <v>44</v>
      </c>
      <c r="KQ17" s="684" t="s">
        <v>53</v>
      </c>
      <c r="KR17" s="684" t="s">
        <v>35</v>
      </c>
      <c r="KS17" s="684" t="s">
        <v>35</v>
      </c>
      <c r="KT17" s="684" t="s">
        <v>32</v>
      </c>
      <c r="KU17" s="684" t="s">
        <v>38</v>
      </c>
      <c r="KV17" s="684" t="s">
        <v>39</v>
      </c>
      <c r="KW17" s="684" t="s">
        <v>33</v>
      </c>
      <c r="KX17" s="684" t="s">
        <v>35</v>
      </c>
      <c r="KY17" s="684" t="s">
        <v>35</v>
      </c>
      <c r="KZ17" s="684" t="s">
        <v>45</v>
      </c>
      <c r="LA17" s="684" t="s">
        <v>31</v>
      </c>
      <c r="LB17" s="684" t="s">
        <v>36</v>
      </c>
      <c r="LC17" s="684" t="s">
        <v>37</v>
      </c>
      <c r="LD17" s="684" t="s">
        <v>45</v>
      </c>
      <c r="LE17" s="684" t="s">
        <v>40</v>
      </c>
      <c r="LF17" s="684" t="s">
        <v>31</v>
      </c>
      <c r="LG17" s="684" t="s">
        <v>33</v>
      </c>
      <c r="LH17" s="684" t="s">
        <v>29</v>
      </c>
      <c r="LI17" s="684" t="s">
        <v>35</v>
      </c>
      <c r="LJ17" s="684" t="s">
        <v>33</v>
      </c>
      <c r="LK17" s="684" t="s">
        <v>29</v>
      </c>
      <c r="LL17" s="684" t="s">
        <v>36</v>
      </c>
      <c r="LM17" s="684" t="s">
        <v>35</v>
      </c>
      <c r="LN17" s="684" t="s">
        <v>31</v>
      </c>
      <c r="LO17" s="684" t="s">
        <v>33</v>
      </c>
      <c r="LP17" s="684" t="s">
        <v>31</v>
      </c>
      <c r="LQ17" s="684" t="s">
        <v>36</v>
      </c>
      <c r="LR17" s="684" t="s">
        <v>32</v>
      </c>
      <c r="LS17" s="684" t="s">
        <v>54</v>
      </c>
      <c r="LT17" s="684" t="s">
        <v>36</v>
      </c>
      <c r="LU17" s="684" t="s">
        <v>35</v>
      </c>
      <c r="LV17" s="684" t="s">
        <v>35</v>
      </c>
      <c r="LW17" s="684" t="s">
        <v>32</v>
      </c>
      <c r="LX17" s="684" t="s">
        <v>33</v>
      </c>
      <c r="LY17" s="684" t="s">
        <v>30</v>
      </c>
      <c r="LZ17" s="684" t="s">
        <v>32</v>
      </c>
      <c r="MA17" s="684" t="s">
        <v>33</v>
      </c>
      <c r="MB17" s="684" t="s">
        <v>40</v>
      </c>
      <c r="MC17" s="684" t="s">
        <v>39</v>
      </c>
      <c r="MD17" s="684" t="s">
        <v>37</v>
      </c>
      <c r="ME17" s="684" t="s">
        <v>35</v>
      </c>
      <c r="MF17" s="684" t="s">
        <v>52</v>
      </c>
      <c r="MG17" s="684" t="s">
        <v>52</v>
      </c>
      <c r="MH17" s="684" t="s">
        <v>30</v>
      </c>
      <c r="MI17" s="684" t="s">
        <v>40</v>
      </c>
      <c r="MJ17" s="684" t="s">
        <v>36</v>
      </c>
      <c r="MK17" s="684" t="s">
        <v>36</v>
      </c>
      <c r="ML17" s="684" t="s">
        <v>34</v>
      </c>
      <c r="MM17" s="684" t="s">
        <v>33</v>
      </c>
      <c r="MN17" s="684" t="s">
        <v>33</v>
      </c>
      <c r="MO17" s="684" t="s">
        <v>54</v>
      </c>
      <c r="MP17" s="684" t="s">
        <v>37</v>
      </c>
      <c r="MQ17" s="684" t="s">
        <v>33</v>
      </c>
      <c r="MR17" s="684" t="s">
        <v>35</v>
      </c>
      <c r="MS17" s="684" t="s">
        <v>46</v>
      </c>
      <c r="MT17" s="684" t="s">
        <v>49</v>
      </c>
      <c r="MU17" s="684" t="s">
        <v>40</v>
      </c>
      <c r="MV17" s="684" t="s">
        <v>35</v>
      </c>
      <c r="MW17" s="684" t="s">
        <v>32</v>
      </c>
      <c r="MX17" s="684" t="s">
        <v>31</v>
      </c>
      <c r="MY17" s="684" t="s">
        <v>36</v>
      </c>
      <c r="MZ17" s="684" t="s">
        <v>44</v>
      </c>
      <c r="NA17" s="684" t="s">
        <v>32</v>
      </c>
      <c r="NB17" s="684" t="s">
        <v>40</v>
      </c>
      <c r="NC17" s="684" t="s">
        <v>35</v>
      </c>
      <c r="ND17" s="684" t="s">
        <v>46</v>
      </c>
      <c r="NE17" s="684" t="s">
        <v>45</v>
      </c>
      <c r="NF17" s="684" t="s">
        <v>35</v>
      </c>
      <c r="NG17" s="684" t="s">
        <v>39</v>
      </c>
      <c r="NH17" s="684" t="s">
        <v>36</v>
      </c>
      <c r="NI17" s="684" t="s">
        <v>35</v>
      </c>
      <c r="NJ17" s="684" t="s">
        <v>41</v>
      </c>
      <c r="NK17" s="684" t="s">
        <v>33</v>
      </c>
      <c r="NL17" s="684" t="s">
        <v>52</v>
      </c>
      <c r="NM17" s="684" t="s">
        <v>52</v>
      </c>
      <c r="NN17" s="684" t="s">
        <v>34</v>
      </c>
      <c r="NO17" s="684" t="s">
        <v>40</v>
      </c>
      <c r="NP17" s="684" t="s">
        <v>38</v>
      </c>
      <c r="NQ17" s="684" t="s">
        <v>41</v>
      </c>
      <c r="NR17" s="684" t="s">
        <v>35</v>
      </c>
      <c r="NS17" s="684" t="s">
        <v>40</v>
      </c>
      <c r="NT17" s="687" t="s">
        <v>34</v>
      </c>
      <c r="NU17" s="684" t="s">
        <v>37</v>
      </c>
      <c r="NV17" s="684" t="s">
        <v>40</v>
      </c>
      <c r="NW17" s="684" t="s">
        <v>33</v>
      </c>
      <c r="NX17" s="684" t="s">
        <v>35</v>
      </c>
      <c r="NY17" s="684" t="s">
        <v>44</v>
      </c>
      <c r="NZ17" s="684" t="s">
        <v>31</v>
      </c>
      <c r="OA17" s="684" t="s">
        <v>35</v>
      </c>
      <c r="OB17" s="684" t="s">
        <v>36</v>
      </c>
      <c r="OC17" s="684" t="s">
        <v>31</v>
      </c>
      <c r="OD17" s="684" t="s">
        <v>37</v>
      </c>
      <c r="OE17" s="684" t="s">
        <v>52</v>
      </c>
      <c r="OF17" s="684" t="s">
        <v>52</v>
      </c>
      <c r="OG17" s="684" t="s">
        <v>32</v>
      </c>
      <c r="OH17" s="684" t="s">
        <v>53</v>
      </c>
      <c r="OI17" s="684" t="s">
        <v>52</v>
      </c>
      <c r="OJ17" s="684" t="s">
        <v>38</v>
      </c>
      <c r="OK17" s="684" t="s">
        <v>31</v>
      </c>
      <c r="OL17" s="684" t="s">
        <v>32</v>
      </c>
      <c r="OM17" s="684" t="s">
        <v>40</v>
      </c>
      <c r="ON17" s="688" t="s">
        <v>33</v>
      </c>
    </row>
    <row r="18" spans="1:404" x14ac:dyDescent="0.25">
      <c r="C18" s="105"/>
      <c r="D18" s="195" t="s">
        <v>63</v>
      </c>
      <c r="E18" s="49" t="str">
        <f>ON17</f>
        <v>T</v>
      </c>
      <c r="F18" s="50" t="str">
        <f>OM17</f>
        <v>I</v>
      </c>
      <c r="G18" s="50" t="str">
        <f>OL17</f>
        <v>R</v>
      </c>
      <c r="H18" s="50" t="str">
        <f>OK17</f>
        <v>O</v>
      </c>
      <c r="I18" s="50" t="str">
        <f>OJ17</f>
        <v>L</v>
      </c>
      <c r="J18" s="50" t="str">
        <f>OI17</f>
        <v>D</v>
      </c>
      <c r="K18" s="50" t="str">
        <f>OH17</f>
        <v>Y</v>
      </c>
      <c r="L18" s="50" t="str">
        <f>OG17</f>
        <v>R</v>
      </c>
      <c r="M18" s="50" t="str">
        <f>OF17</f>
        <v>D</v>
      </c>
      <c r="N18" s="50" t="str">
        <f>OE17</f>
        <v>D</v>
      </c>
      <c r="O18" s="50" t="str">
        <f>OD17</f>
        <v>S</v>
      </c>
      <c r="P18" s="50" t="str">
        <f>OC17</f>
        <v>O</v>
      </c>
      <c r="Q18" s="50" t="str">
        <f>OB17</f>
        <v>A</v>
      </c>
      <c r="R18" s="50" t="str">
        <f>OA17</f>
        <v>E</v>
      </c>
      <c r="S18" s="50" t="str">
        <f>NZ17</f>
        <v>O</v>
      </c>
      <c r="T18" s="50" t="str">
        <f>NY17</f>
        <v>G</v>
      </c>
      <c r="U18" s="50" t="str">
        <f>NX17</f>
        <v>E</v>
      </c>
      <c r="V18" s="50" t="str">
        <f>NW17</f>
        <v>T</v>
      </c>
      <c r="W18" s="50" t="str">
        <f>NV17</f>
        <v>I</v>
      </c>
      <c r="X18" s="50" t="str">
        <f>NU17</f>
        <v>S</v>
      </c>
      <c r="Y18" s="50" t="str">
        <f>NT17</f>
        <v>H</v>
      </c>
      <c r="Z18" s="50" t="str">
        <f>NS17</f>
        <v>I</v>
      </c>
      <c r="AA18" s="50" t="str">
        <f>NR17</f>
        <v>E</v>
      </c>
      <c r="AB18" s="50" t="str">
        <f>NQ17</f>
        <v>C</v>
      </c>
      <c r="AC18" s="50" t="str">
        <f>NP17</f>
        <v>L</v>
      </c>
      <c r="AD18" s="50" t="str">
        <f>NO17</f>
        <v>I</v>
      </c>
      <c r="AE18" s="50" t="str">
        <f>NN17</f>
        <v>H</v>
      </c>
      <c r="AF18" s="50" t="str">
        <f>NM17</f>
        <v>D</v>
      </c>
      <c r="AG18" s="50" t="str">
        <f>NL17</f>
        <v>D</v>
      </c>
      <c r="AH18" s="50" t="str">
        <f>NK17</f>
        <v>T</v>
      </c>
      <c r="AI18" s="50" t="str">
        <f>NJ17</f>
        <v>C</v>
      </c>
      <c r="AJ18" s="50" t="str">
        <f>NI17</f>
        <v>E</v>
      </c>
      <c r="AK18" s="50" t="str">
        <f>NH17</f>
        <v>A</v>
      </c>
      <c r="AL18" s="50" t="str">
        <f>NG17</f>
        <v>B</v>
      </c>
      <c r="AM18" s="50" t="str">
        <f>NF17</f>
        <v>E</v>
      </c>
      <c r="AN18" s="50" t="str">
        <f>NE17</f>
        <v>F</v>
      </c>
      <c r="AO18" s="50" t="str">
        <f>ND17</f>
        <v>W</v>
      </c>
      <c r="AP18" s="50" t="str">
        <f>NC17</f>
        <v>E</v>
      </c>
      <c r="AQ18" s="50" t="str">
        <f>NB17</f>
        <v>I</v>
      </c>
      <c r="AR18" s="50" t="str">
        <f>NA17</f>
        <v>R</v>
      </c>
      <c r="AS18" s="50" t="str">
        <f>MZ17</f>
        <v>G</v>
      </c>
      <c r="AT18" s="50" t="str">
        <f>MY17</f>
        <v>A</v>
      </c>
      <c r="AU18" s="50" t="str">
        <f>MX17</f>
        <v>O</v>
      </c>
      <c r="AV18" s="50" t="str">
        <f>MW17</f>
        <v>R</v>
      </c>
      <c r="AW18" s="50" t="str">
        <f>MV17</f>
        <v>E</v>
      </c>
      <c r="AX18" s="50" t="str">
        <f>MU17</f>
        <v>I</v>
      </c>
      <c r="AY18" s="50" t="str">
        <f>MT17</f>
        <v>P</v>
      </c>
      <c r="AZ18" s="50" t="str">
        <f>MS17</f>
        <v>W</v>
      </c>
      <c r="BA18" s="50" t="str">
        <f>MR17</f>
        <v>E</v>
      </c>
      <c r="BB18" s="50" t="str">
        <f>MQ17</f>
        <v>T</v>
      </c>
      <c r="BC18" s="50" t="str">
        <f>MP17</f>
        <v>S</v>
      </c>
      <c r="BD18" s="50" t="str">
        <f>MO17</f>
        <v>M</v>
      </c>
      <c r="BE18" s="50" t="str">
        <f>MN17</f>
        <v>T</v>
      </c>
      <c r="BF18" s="50" t="str">
        <f>MM17</f>
        <v>T</v>
      </c>
      <c r="BG18" s="50" t="str">
        <f>ML17</f>
        <v>H</v>
      </c>
      <c r="BH18" s="50" t="str">
        <f>MK17</f>
        <v>A</v>
      </c>
      <c r="BI18" s="50" t="str">
        <f>MJ17</f>
        <v>A</v>
      </c>
      <c r="BJ18" s="50" t="str">
        <f>MI17</f>
        <v>I</v>
      </c>
      <c r="BK18" s="50" t="str">
        <f>MH17</f>
        <v>N</v>
      </c>
      <c r="BL18" s="50" t="str">
        <f>MG17</f>
        <v>D</v>
      </c>
      <c r="BM18" s="50" t="str">
        <f>MF17</f>
        <v>D</v>
      </c>
      <c r="BN18" s="50" t="str">
        <f>ME17</f>
        <v>E</v>
      </c>
      <c r="BO18" s="50" t="str">
        <f>MD17</f>
        <v>S</v>
      </c>
      <c r="BP18" s="50" t="str">
        <f>MC17</f>
        <v>B</v>
      </c>
      <c r="BQ18" s="50" t="str">
        <f>MB17</f>
        <v>I</v>
      </c>
      <c r="BR18" s="50" t="str">
        <f>MA17</f>
        <v>T</v>
      </c>
      <c r="BS18" s="50" t="str">
        <f>LZ17</f>
        <v>R</v>
      </c>
      <c r="BT18" s="50" t="str">
        <f>LY17</f>
        <v>N</v>
      </c>
      <c r="BU18" s="50" t="str">
        <f>LX17</f>
        <v>T</v>
      </c>
      <c r="BV18" s="50" t="str">
        <f>LW17</f>
        <v>R</v>
      </c>
      <c r="BW18" s="50" t="str">
        <f>LV17</f>
        <v>E</v>
      </c>
      <c r="BX18" s="50" t="str">
        <f>LU17</f>
        <v>E</v>
      </c>
      <c r="BY18" s="50" t="str">
        <f>LT17</f>
        <v>A</v>
      </c>
      <c r="BZ18" s="50" t="str">
        <f>LS17</f>
        <v>M</v>
      </c>
      <c r="CA18" s="50" t="str">
        <f>LR17</f>
        <v>R</v>
      </c>
      <c r="CB18" s="50" t="str">
        <f>LQ17</f>
        <v>A</v>
      </c>
      <c r="CC18" s="50" t="str">
        <f>LP17</f>
        <v>O</v>
      </c>
      <c r="CD18" s="50" t="str">
        <f>LO17</f>
        <v>T</v>
      </c>
      <c r="CE18" s="50" t="str">
        <f>LN17</f>
        <v>O</v>
      </c>
      <c r="CF18" s="50" t="str">
        <f>LM17</f>
        <v>E</v>
      </c>
      <c r="CG18" s="50" t="str">
        <f>LL17</f>
        <v>A</v>
      </c>
      <c r="CH18" s="50" t="str">
        <f>LK17</f>
        <v>U</v>
      </c>
      <c r="CI18" s="50" t="str">
        <f>LJ17</f>
        <v>T</v>
      </c>
      <c r="CJ18" s="50" t="str">
        <f>LI17</f>
        <v>E</v>
      </c>
      <c r="CK18" s="50" t="str">
        <f>LH17</f>
        <v>U</v>
      </c>
      <c r="CL18" s="50" t="str">
        <f>LG17</f>
        <v>T</v>
      </c>
      <c r="CM18" s="50" t="str">
        <f>LF17</f>
        <v>O</v>
      </c>
      <c r="CN18" s="50" t="str">
        <f>LE17</f>
        <v>I</v>
      </c>
      <c r="CO18" s="50" t="str">
        <f>LD17</f>
        <v>F</v>
      </c>
      <c r="CP18" s="50" t="str">
        <f>LC17</f>
        <v>S</v>
      </c>
      <c r="CQ18" s="50" t="str">
        <f>LB17</f>
        <v>A</v>
      </c>
      <c r="CR18" s="50" t="str">
        <f>LA17</f>
        <v>O</v>
      </c>
      <c r="CS18" s="50" t="str">
        <f>KZ17</f>
        <v>F</v>
      </c>
      <c r="CT18" s="50" t="str">
        <f>KY17</f>
        <v>E</v>
      </c>
      <c r="CU18" s="50" t="str">
        <f>KX17</f>
        <v>E</v>
      </c>
      <c r="CV18" s="50" t="str">
        <f>KW17</f>
        <v>T</v>
      </c>
      <c r="CW18" s="50" t="str">
        <f>KV17</f>
        <v>B</v>
      </c>
      <c r="CX18" s="50" t="str">
        <f>KU17</f>
        <v>L</v>
      </c>
      <c r="CY18" s="50" t="str">
        <f>KT17</f>
        <v>R</v>
      </c>
      <c r="CZ18" s="50" t="str">
        <f>KS17</f>
        <v>E</v>
      </c>
      <c r="DA18" s="50" t="str">
        <f>KR17</f>
        <v>E</v>
      </c>
      <c r="DB18" s="50" t="str">
        <f>KQ17</f>
        <v>Y</v>
      </c>
      <c r="DC18" s="50" t="str">
        <f>KP17</f>
        <v>G</v>
      </c>
      <c r="DD18" s="50" t="str">
        <f>KO17</f>
        <v>E</v>
      </c>
      <c r="DE18" s="50" t="str">
        <f>KN17</f>
        <v>T</v>
      </c>
      <c r="DF18" s="50" t="str">
        <f>KM17</f>
        <v>A</v>
      </c>
      <c r="DG18" s="50" t="str">
        <f>KL17</f>
        <v>M</v>
      </c>
      <c r="DH18" s="50" t="str">
        <f>KK17</f>
        <v>A</v>
      </c>
      <c r="DI18" s="50" t="str">
        <f>KJ17</f>
        <v>T</v>
      </c>
      <c r="DJ18" s="50" t="str">
        <f>KI17</f>
        <v>A</v>
      </c>
      <c r="DK18" s="50" t="str">
        <f>KH17</f>
        <v>N</v>
      </c>
      <c r="DL18" s="50" t="str">
        <f>KG17</f>
        <v>E</v>
      </c>
      <c r="DM18" s="50" t="str">
        <f>KF17</f>
        <v>W</v>
      </c>
      <c r="DN18" s="50" t="str">
        <f>KE17</f>
        <v>E</v>
      </c>
      <c r="DO18" s="50" t="str">
        <f>KD17</f>
        <v>H</v>
      </c>
      <c r="DP18" s="50" t="str">
        <f>KC17</f>
        <v>H</v>
      </c>
      <c r="DQ18" s="50" t="str">
        <f>KB17</f>
        <v>M</v>
      </c>
      <c r="DR18" s="50" t="str">
        <f>KA17</f>
        <v>A</v>
      </c>
      <c r="DS18" s="50" t="str">
        <f>JZ17</f>
        <v>P</v>
      </c>
      <c r="DT18" s="50" t="str">
        <f>JY17</f>
        <v>S</v>
      </c>
      <c r="DU18" s="50" t="str">
        <f>JX17</f>
        <v>R</v>
      </c>
      <c r="DV18" s="50" t="str">
        <f>JW17</f>
        <v>B</v>
      </c>
      <c r="DW18" s="50" t="str">
        <f>JV17</f>
        <v>T</v>
      </c>
      <c r="DX18" s="50" t="str">
        <f>JU17</f>
        <v>F</v>
      </c>
      <c r="DY18" s="50" t="str">
        <f>JT17</f>
        <v>I</v>
      </c>
      <c r="DZ18" s="50" t="str">
        <f>JS17</f>
        <v>E</v>
      </c>
      <c r="EA18" s="50" t="str">
        <f>JR17</f>
        <v>R</v>
      </c>
      <c r="EB18" s="50" t="str">
        <f>JQ17</f>
        <v>C</v>
      </c>
      <c r="EC18" s="50" t="str">
        <f>JP17</f>
        <v>Y</v>
      </c>
      <c r="ED18" s="50" t="str">
        <f>JO17</f>
        <v>A</v>
      </c>
      <c r="EE18" s="50" t="str">
        <f>JN17</f>
        <v>T</v>
      </c>
      <c r="EF18" s="50" t="str">
        <f>JM17</f>
        <v>C</v>
      </c>
      <c r="EG18" s="50" t="str">
        <f>JL17</f>
        <v>N</v>
      </c>
      <c r="EH18" s="50" t="str">
        <f>JK17</f>
        <v>E</v>
      </c>
      <c r="EI18" s="50" t="str">
        <f>JJ17</f>
        <v>E</v>
      </c>
      <c r="EJ18" s="50" t="str">
        <f>JI17</f>
        <v>H</v>
      </c>
      <c r="EK18" s="50" t="str">
        <f>JH17</f>
        <v>Q</v>
      </c>
      <c r="EL18" s="50" t="str">
        <f>JG17</f>
        <v>Y</v>
      </c>
      <c r="EM18" s="50" t="str">
        <f>JF17</f>
        <v>E</v>
      </c>
      <c r="EN18" s="50" t="str">
        <f>JE17</f>
        <v>T</v>
      </c>
      <c r="EO18" s="50" t="str">
        <f>JD17</f>
        <v>Y</v>
      </c>
      <c r="EP18" s="50" t="str">
        <f>JC17</f>
        <v>O</v>
      </c>
      <c r="EQ18" s="50" t="str">
        <f>JB17</f>
        <v>I</v>
      </c>
      <c r="ER18" s="50" t="str">
        <f>JA17</f>
        <v>E</v>
      </c>
      <c r="ES18" s="50" t="str">
        <f>IZ17</f>
        <v>A</v>
      </c>
      <c r="ET18" s="50" t="str">
        <f>IY17</f>
        <v>H</v>
      </c>
      <c r="EU18" s="50" t="str">
        <f>IX17</f>
        <v>N</v>
      </c>
      <c r="EV18" s="50" t="str">
        <f>IW17</f>
        <v>E</v>
      </c>
      <c r="EW18" s="50" t="str">
        <f>IV17</f>
        <v>W</v>
      </c>
      <c r="EX18" s="50" t="str">
        <f>IU17</f>
        <v>I</v>
      </c>
      <c r="EY18" s="50" t="str">
        <f>IT17</f>
        <v>T</v>
      </c>
      <c r="EZ18" s="50" t="str">
        <f>IS17</f>
        <v>D</v>
      </c>
      <c r="FA18" s="50" t="str">
        <f>IR17</f>
        <v>E</v>
      </c>
      <c r="FB18" s="50" t="str">
        <f>IQ17</f>
        <v>S</v>
      </c>
      <c r="FC18" s="50" t="str">
        <f>IP17</f>
        <v>L</v>
      </c>
      <c r="FD18" s="50" t="str">
        <f>IO17</f>
        <v>O</v>
      </c>
      <c r="FE18" s="50" t="str">
        <f>IN17</f>
        <v>F</v>
      </c>
      <c r="FF18" s="50" t="str">
        <f>IM17</f>
        <v>T</v>
      </c>
      <c r="FG18" s="50" t="str">
        <f>IL17</f>
        <v>E</v>
      </c>
      <c r="FH18" s="50" t="str">
        <f>IK17</f>
        <v>O</v>
      </c>
      <c r="FI18" s="50" t="str">
        <f>IJ17</f>
        <v>E</v>
      </c>
      <c r="FJ18" s="50" t="str">
        <f>II17</f>
        <v>A</v>
      </c>
      <c r="FK18" s="50" t="str">
        <f>IH17</f>
        <v>H</v>
      </c>
      <c r="FL18" s="50" t="str">
        <f>IG17</f>
        <v>N</v>
      </c>
      <c r="FM18" s="50" t="str">
        <f>IF17</f>
        <v>T</v>
      </c>
      <c r="FN18" s="50" t="str">
        <f>IE17</f>
        <v>E</v>
      </c>
      <c r="FO18" s="50" t="str">
        <f>ID17</f>
        <v>R</v>
      </c>
      <c r="FP18" s="50" t="str">
        <f>IC17</f>
        <v>D</v>
      </c>
      <c r="FQ18" s="50" t="str">
        <f>IB17</f>
        <v>U</v>
      </c>
      <c r="FR18" s="50" t="str">
        <f>IA17</f>
        <v>E</v>
      </c>
      <c r="FS18" s="50" t="str">
        <f>HZ17</f>
        <v>N</v>
      </c>
      <c r="FT18" s="50" t="str">
        <f>HY17</f>
        <v>E</v>
      </c>
      <c r="FU18" s="50" t="str">
        <f>HX17</f>
        <v>T</v>
      </c>
      <c r="FV18" s="50" t="str">
        <f>HW17</f>
        <v>C</v>
      </c>
      <c r="FW18" s="50" t="str">
        <f>HV17</f>
        <v>H</v>
      </c>
      <c r="FX18" s="50" t="str">
        <f>HU17</f>
        <v>A</v>
      </c>
      <c r="FY18" s="50" t="str">
        <f>HT17</f>
        <v>R</v>
      </c>
      <c r="FZ18" s="50" t="str">
        <f>HS17</f>
        <v>N</v>
      </c>
      <c r="GA18" s="50" t="str">
        <f>HR17</f>
        <v>E</v>
      </c>
      <c r="GB18" s="50" t="str">
        <f>HQ17</f>
        <v>E</v>
      </c>
      <c r="GC18" s="50" t="str">
        <f>HP17</f>
        <v>T</v>
      </c>
      <c r="GD18" s="50" t="str">
        <f>HO17</f>
        <v>I</v>
      </c>
      <c r="GE18" s="50" t="str">
        <f>HN17</f>
        <v>D</v>
      </c>
      <c r="GF18" s="50" t="str">
        <f>HM17</f>
        <v>N</v>
      </c>
      <c r="GG18" s="50" t="str">
        <f>HL17</f>
        <v>W</v>
      </c>
      <c r="GH18" s="50" t="str">
        <f>HK17</f>
        <v>T</v>
      </c>
      <c r="GI18" s="50" t="str">
        <f>HJ17</f>
        <v>M</v>
      </c>
      <c r="GJ18" s="50" t="str">
        <f>HI17</f>
        <v>W</v>
      </c>
      <c r="GK18" s="50" t="str">
        <f>HH17</f>
        <v>E</v>
      </c>
      <c r="GL18" s="50" t="str">
        <f>HG17</f>
        <v>A</v>
      </c>
      <c r="GM18" s="50" t="str">
        <f>HF17</f>
        <v>C</v>
      </c>
      <c r="GN18" s="50" t="str">
        <f>HE17</f>
        <v>A</v>
      </c>
      <c r="GO18" s="50" t="str">
        <f>HD17</f>
        <v>I</v>
      </c>
      <c r="GP18" s="50" t="str">
        <f>HC17</f>
        <v>I</v>
      </c>
      <c r="GQ18" s="50" t="str">
        <f>HB17</f>
        <v>P</v>
      </c>
      <c r="GR18" s="50" t="str">
        <f>HA17</f>
        <v>L</v>
      </c>
      <c r="GS18" s="50" t="str">
        <f>GZ17</f>
        <v>B</v>
      </c>
      <c r="GT18" s="50" t="str">
        <f>GY17</f>
        <v>E</v>
      </c>
      <c r="GU18" s="50" t="str">
        <f>GX17</f>
        <v>L</v>
      </c>
      <c r="GV18" s="53" t="str">
        <f>GW17</f>
        <v>E</v>
      </c>
      <c r="GW18" s="54" t="str">
        <f>GV17</f>
        <v>N</v>
      </c>
      <c r="GX18" s="50" t="str">
        <f>GU17</f>
        <v>N</v>
      </c>
      <c r="GY18" s="50" t="str">
        <f>GT17</f>
        <v>L</v>
      </c>
      <c r="GZ18" s="50" t="str">
        <f>GS17</f>
        <v>S</v>
      </c>
      <c r="HA18" s="50" t="str">
        <f>GR17</f>
        <v>E</v>
      </c>
      <c r="HB18" s="50" t="str">
        <f>GQ17</f>
        <v>P</v>
      </c>
      <c r="HC18" s="50" t="str">
        <f>GP17</f>
        <v>R</v>
      </c>
      <c r="HD18" s="50" t="str">
        <f>GO17</f>
        <v>A</v>
      </c>
      <c r="HE18" s="50" t="str">
        <f>GN17</f>
        <v>R</v>
      </c>
      <c r="HF18" s="50" t="str">
        <f>GM17</f>
        <v>N</v>
      </c>
      <c r="HG18" s="50" t="str">
        <f>GL17</f>
        <v>H</v>
      </c>
      <c r="HH18" s="50" t="str">
        <f>GK17</f>
        <v>I</v>
      </c>
      <c r="HI18" s="50" t="str">
        <f>GJ17</f>
        <v>T</v>
      </c>
      <c r="HJ18" s="50" t="str">
        <f>GI17</f>
        <v>A</v>
      </c>
      <c r="HK18" s="50" t="str">
        <f>GH17</f>
        <v>G</v>
      </c>
      <c r="HL18" s="50" t="str">
        <f>GG17</f>
        <v>N</v>
      </c>
      <c r="HM18" s="50" t="str">
        <f>GF17</f>
        <v>R</v>
      </c>
      <c r="HN18" s="50" t="str">
        <f>GE17</f>
        <v>P</v>
      </c>
      <c r="HO18" s="50" t="str">
        <f>GD17</f>
        <v>T</v>
      </c>
      <c r="HP18" s="50" t="str">
        <f>GC17</f>
        <v>E</v>
      </c>
      <c r="HQ18" s="50" t="str">
        <f>GB17</f>
        <v>N</v>
      </c>
      <c r="HR18" s="50" t="str">
        <f>GA17</f>
        <v>M</v>
      </c>
      <c r="HS18" s="50" t="str">
        <f>FZ17</f>
        <v>X</v>
      </c>
      <c r="HT18" s="50" t="str">
        <f>FY17</f>
        <v>W</v>
      </c>
      <c r="HU18" s="50" t="str">
        <f>FX17</f>
        <v>R</v>
      </c>
      <c r="HV18" s="50" t="str">
        <f>FW17</f>
        <v>M</v>
      </c>
      <c r="HW18" s="50" t="str">
        <f>FV17</f>
        <v>S</v>
      </c>
      <c r="HX18" s="50" t="str">
        <f>FU17</f>
        <v>O</v>
      </c>
      <c r="HY18" s="50" t="str">
        <f>FT17</f>
        <v>N</v>
      </c>
      <c r="HZ18" s="50" t="str">
        <f>FS17</f>
        <v>S</v>
      </c>
      <c r="IA18" s="50" t="str">
        <f>FR17</f>
        <v>H</v>
      </c>
      <c r="IB18" s="50" t="str">
        <f>FQ17</f>
        <v>O</v>
      </c>
      <c r="IC18" s="50" t="str">
        <f>FP17</f>
        <v>N</v>
      </c>
      <c r="ID18" s="50" t="str">
        <f>FO17</f>
        <v>L</v>
      </c>
      <c r="IE18" s="50" t="str">
        <f>FN17</f>
        <v>L</v>
      </c>
      <c r="IF18" s="50" t="str">
        <f>FM17</f>
        <v>S</v>
      </c>
      <c r="IG18" s="50" t="str">
        <f>FL17</f>
        <v>L</v>
      </c>
      <c r="IH18" s="50" t="str">
        <f>FK17</f>
        <v>L</v>
      </c>
      <c r="II18" s="50" t="str">
        <f>FJ17</f>
        <v>S</v>
      </c>
      <c r="IJ18" s="50" t="str">
        <f>FI17</f>
        <v>D</v>
      </c>
      <c r="IK18" s="50" t="str">
        <f>FH17</f>
        <v>L</v>
      </c>
      <c r="IL18" s="50" t="str">
        <f>FG17</f>
        <v>U</v>
      </c>
      <c r="IM18" s="50" t="str">
        <f>FF17</f>
        <v>Y</v>
      </c>
      <c r="IN18" s="50" t="str">
        <f>FE17</f>
        <v>E</v>
      </c>
      <c r="IO18" s="50" t="str">
        <f>FD17</f>
        <v>R</v>
      </c>
      <c r="IP18" s="50" t="str">
        <f>FC17</f>
        <v>N</v>
      </c>
      <c r="IQ18" s="50" t="str">
        <f>FB17</f>
        <v>T</v>
      </c>
      <c r="IR18" s="50" t="str">
        <f>FA17</f>
        <v>H</v>
      </c>
      <c r="IS18" s="50" t="str">
        <f>EZ17</f>
        <v>C</v>
      </c>
      <c r="IT18" s="50" t="str">
        <f>EY17</f>
        <v>A</v>
      </c>
      <c r="IU18" s="50" t="str">
        <f>EX17</f>
        <v>I</v>
      </c>
      <c r="IV18" s="50" t="str">
        <f>EW17</f>
        <v>A</v>
      </c>
      <c r="IW18" s="50" t="str">
        <f>EV17</f>
        <v>N</v>
      </c>
      <c r="IX18" s="50" t="str">
        <f>EU17</f>
        <v>H</v>
      </c>
      <c r="IY18" s="50" t="str">
        <f>ET17</f>
        <v>S</v>
      </c>
      <c r="IZ18" s="50" t="str">
        <f>ES17</f>
        <v>Y</v>
      </c>
      <c r="JA18" s="50" t="str">
        <f>ER17</f>
        <v>D</v>
      </c>
      <c r="JB18" s="50" t="str">
        <f>EQ17</f>
        <v>I</v>
      </c>
      <c r="JC18" s="50" t="str">
        <f>EP17</f>
        <v>B</v>
      </c>
      <c r="JD18" s="50" t="str">
        <f>EO17</f>
        <v>I</v>
      </c>
      <c r="JE18" s="50" t="str">
        <f>EN17</f>
        <v>O</v>
      </c>
      <c r="JF18" s="50" t="str">
        <f>EM17</f>
        <v>E</v>
      </c>
      <c r="JG18" s="50" t="str">
        <f>EL17</f>
        <v>T</v>
      </c>
      <c r="JH18" s="50" t="str">
        <f>EK17</f>
        <v>P</v>
      </c>
      <c r="JI18" s="50" t="str">
        <f>EJ17</f>
        <v>C</v>
      </c>
      <c r="JJ18" s="50" t="str">
        <f>EI17</f>
        <v>O</v>
      </c>
      <c r="JK18" s="50" t="str">
        <f>EH17</f>
        <v>E</v>
      </c>
      <c r="JL18" s="50" t="str">
        <f>EG17</f>
        <v>H</v>
      </c>
      <c r="JM18" s="50" t="str">
        <f>EF17</f>
        <v>R</v>
      </c>
      <c r="JN18" s="50" t="str">
        <f>EE17</f>
        <v>S</v>
      </c>
      <c r="JO18" s="50" t="str">
        <f>ED17</f>
        <v>L</v>
      </c>
      <c r="JP18" s="50" t="str">
        <f>EC17</f>
        <v>N</v>
      </c>
      <c r="JQ18" s="50" t="str">
        <f>EB17</f>
        <v>H</v>
      </c>
      <c r="JR18" s="50" t="str">
        <f>EA17</f>
        <v>O</v>
      </c>
      <c r="JS18" s="50" t="str">
        <f>DZ17</f>
        <v>R</v>
      </c>
      <c r="JT18" s="50" t="str">
        <f>DY17</f>
        <v>H</v>
      </c>
      <c r="JU18" s="50" t="str">
        <f>DX17</f>
        <v>A</v>
      </c>
      <c r="JV18" s="52" t="str">
        <f>DW17</f>
        <v>Y</v>
      </c>
      <c r="JW18" s="50">
        <f>DV17</f>
        <v>0</v>
      </c>
      <c r="JX18" s="52">
        <f>DU17</f>
        <v>0</v>
      </c>
      <c r="JY18" s="50">
        <f>DT17</f>
        <v>0</v>
      </c>
      <c r="JZ18" s="50">
        <f>DS17</f>
        <v>0</v>
      </c>
      <c r="KA18" s="50">
        <f>DR17</f>
        <v>0</v>
      </c>
      <c r="KB18" s="50">
        <f>DQ17</f>
        <v>0</v>
      </c>
      <c r="KC18" s="50">
        <f>DP17</f>
        <v>0</v>
      </c>
      <c r="KD18" s="50">
        <f>DO17</f>
        <v>0</v>
      </c>
      <c r="KE18" s="50">
        <f>DN17</f>
        <v>0</v>
      </c>
      <c r="KF18" s="50">
        <f>DM17</f>
        <v>0</v>
      </c>
      <c r="KG18" s="50">
        <f>DL17</f>
        <v>0</v>
      </c>
      <c r="KH18" s="50">
        <f>DK17</f>
        <v>0</v>
      </c>
      <c r="KI18" s="50">
        <f>DJ17</f>
        <v>0</v>
      </c>
      <c r="KJ18" s="50">
        <f>DI17</f>
        <v>0</v>
      </c>
      <c r="KK18" s="50">
        <f>DH17</f>
        <v>0</v>
      </c>
      <c r="KL18" s="50">
        <f>DG17</f>
        <v>0</v>
      </c>
      <c r="KM18" s="50">
        <f>DF17</f>
        <v>0</v>
      </c>
      <c r="KN18" s="50">
        <f>DE17</f>
        <v>0</v>
      </c>
      <c r="KO18" s="50">
        <f>DD17</f>
        <v>0</v>
      </c>
      <c r="KP18" s="50">
        <f>DC17</f>
        <v>0</v>
      </c>
      <c r="KQ18" s="50">
        <f>DB17</f>
        <v>0</v>
      </c>
      <c r="KR18" s="50">
        <f>DA17</f>
        <v>0</v>
      </c>
      <c r="KS18" s="50">
        <f>CZ17</f>
        <v>0</v>
      </c>
      <c r="KT18" s="50">
        <f>CY17</f>
        <v>0</v>
      </c>
      <c r="KU18" s="50">
        <f>CX17</f>
        <v>0</v>
      </c>
      <c r="KV18" s="50">
        <f>CW17</f>
        <v>0</v>
      </c>
      <c r="KW18" s="50">
        <f>CV17</f>
        <v>0</v>
      </c>
      <c r="KX18" s="50">
        <f>CU17</f>
        <v>0</v>
      </c>
      <c r="KY18" s="50">
        <f>CT17</f>
        <v>0</v>
      </c>
      <c r="KZ18" s="50">
        <f>CS17</f>
        <v>0</v>
      </c>
      <c r="LA18" s="50">
        <f>CR17</f>
        <v>0</v>
      </c>
      <c r="LB18" s="50">
        <f>CQ17</f>
        <v>0</v>
      </c>
      <c r="LC18" s="50">
        <f>CP17</f>
        <v>0</v>
      </c>
      <c r="LD18" s="50">
        <f>CO17</f>
        <v>0</v>
      </c>
      <c r="LE18" s="50">
        <f>CN17</f>
        <v>0</v>
      </c>
      <c r="LF18" s="50">
        <f>CM17</f>
        <v>0</v>
      </c>
      <c r="LG18" s="50">
        <f>CL17</f>
        <v>0</v>
      </c>
      <c r="LH18" s="50">
        <f>CK17</f>
        <v>0</v>
      </c>
      <c r="LI18" s="50">
        <f>CJ17</f>
        <v>0</v>
      </c>
      <c r="LJ18" s="50">
        <f>CI17</f>
        <v>0</v>
      </c>
      <c r="LK18" s="50">
        <f>CH17</f>
        <v>0</v>
      </c>
      <c r="LL18" s="50">
        <f>CG17</f>
        <v>0</v>
      </c>
      <c r="LM18" s="50">
        <f>CF17</f>
        <v>0</v>
      </c>
      <c r="LN18" s="50">
        <f>CE17</f>
        <v>0</v>
      </c>
      <c r="LO18" s="50">
        <f>CD17</f>
        <v>0</v>
      </c>
      <c r="LP18" s="50">
        <f>CC17</f>
        <v>0</v>
      </c>
      <c r="LQ18" s="50">
        <f>CB17</f>
        <v>0</v>
      </c>
      <c r="LR18" s="50">
        <f>CA17</f>
        <v>0</v>
      </c>
      <c r="LS18" s="50">
        <f>BZ17</f>
        <v>0</v>
      </c>
      <c r="LT18" s="50">
        <f>BY17</f>
        <v>0</v>
      </c>
      <c r="LU18" s="50">
        <f>BX17</f>
        <v>0</v>
      </c>
      <c r="LV18" s="50">
        <f>BW17</f>
        <v>0</v>
      </c>
      <c r="LW18" s="50">
        <f>BV17</f>
        <v>0</v>
      </c>
      <c r="LX18" s="50">
        <f>BU17</f>
        <v>0</v>
      </c>
      <c r="LY18" s="50">
        <f>BT17</f>
        <v>0</v>
      </c>
      <c r="LZ18" s="50">
        <f>BS17</f>
        <v>0</v>
      </c>
      <c r="MA18" s="50">
        <f>BR17</f>
        <v>0</v>
      </c>
      <c r="MB18" s="50">
        <f>BQ17</f>
        <v>0</v>
      </c>
      <c r="MC18" s="50">
        <f>BP17</f>
        <v>0</v>
      </c>
      <c r="MD18" s="50">
        <f>BO17</f>
        <v>0</v>
      </c>
      <c r="ME18" s="50">
        <f>BN17</f>
        <v>0</v>
      </c>
      <c r="MF18" s="50">
        <f>BM17</f>
        <v>0</v>
      </c>
      <c r="MG18" s="50">
        <f>BL17</f>
        <v>0</v>
      </c>
      <c r="MH18" s="50">
        <f>BK17</f>
        <v>0</v>
      </c>
      <c r="MI18" s="50">
        <f>BJ17</f>
        <v>0</v>
      </c>
      <c r="MJ18" s="50">
        <f>BI17</f>
        <v>0</v>
      </c>
      <c r="MK18" s="50">
        <f>BH17</f>
        <v>0</v>
      </c>
      <c r="ML18" s="50">
        <f>BG17</f>
        <v>0</v>
      </c>
      <c r="MM18" s="50">
        <f>BF17</f>
        <v>0</v>
      </c>
      <c r="MN18" s="50">
        <f>BE17</f>
        <v>0</v>
      </c>
      <c r="MO18" s="50">
        <f>BD17</f>
        <v>0</v>
      </c>
      <c r="MP18" s="50">
        <f>BC17</f>
        <v>0</v>
      </c>
      <c r="MQ18" s="50">
        <f>BB17</f>
        <v>0</v>
      </c>
      <c r="MR18" s="50">
        <f>BA17</f>
        <v>0</v>
      </c>
      <c r="MS18" s="50">
        <f>AZ17</f>
        <v>0</v>
      </c>
      <c r="MT18" s="50">
        <f>AY17</f>
        <v>0</v>
      </c>
      <c r="MU18" s="50">
        <f>AX17</f>
        <v>0</v>
      </c>
      <c r="MV18" s="50">
        <f>AW17</f>
        <v>0</v>
      </c>
      <c r="MW18" s="50">
        <f>AV17</f>
        <v>0</v>
      </c>
      <c r="MX18" s="50">
        <f>AU17</f>
        <v>0</v>
      </c>
      <c r="MY18" s="50">
        <f>AT17</f>
        <v>0</v>
      </c>
      <c r="MZ18" s="50">
        <f>AS17</f>
        <v>0</v>
      </c>
      <c r="NA18" s="50">
        <f>AR17</f>
        <v>0</v>
      </c>
      <c r="NB18" s="50">
        <f>AQ17</f>
        <v>0</v>
      </c>
      <c r="NC18" s="50">
        <f>AP17</f>
        <v>0</v>
      </c>
      <c r="ND18" s="50">
        <f>AO17</f>
        <v>0</v>
      </c>
      <c r="NE18" s="50">
        <f>AN17</f>
        <v>0</v>
      </c>
      <c r="NF18" s="50">
        <f>AM17</f>
        <v>0</v>
      </c>
      <c r="NG18" s="50">
        <f>AL17</f>
        <v>0</v>
      </c>
      <c r="NH18" s="50">
        <f>AK17</f>
        <v>0</v>
      </c>
      <c r="NI18" s="50">
        <f>AJ17</f>
        <v>0</v>
      </c>
      <c r="NJ18" s="50">
        <f>AI17</f>
        <v>0</v>
      </c>
      <c r="NK18" s="50">
        <f>AH17</f>
        <v>0</v>
      </c>
      <c r="NL18" s="50">
        <f>AG17</f>
        <v>0</v>
      </c>
      <c r="NM18" s="50">
        <f>AF17</f>
        <v>0</v>
      </c>
      <c r="NN18" s="50">
        <f>AE17</f>
        <v>0</v>
      </c>
      <c r="NO18" s="50">
        <f>AD17</f>
        <v>0</v>
      </c>
      <c r="NP18" s="50">
        <f>AC17</f>
        <v>0</v>
      </c>
      <c r="NQ18" s="50">
        <f>AB17</f>
        <v>0</v>
      </c>
      <c r="NR18" s="50">
        <f>AA17</f>
        <v>0</v>
      </c>
      <c r="NS18" s="50">
        <f>Z17</f>
        <v>0</v>
      </c>
      <c r="NT18" s="52">
        <f>Y17</f>
        <v>0</v>
      </c>
      <c r="NU18" s="50">
        <f>X17</f>
        <v>0</v>
      </c>
      <c r="NV18" s="50">
        <f>W17</f>
        <v>0</v>
      </c>
      <c r="NW18" s="50">
        <f>V17</f>
        <v>0</v>
      </c>
      <c r="NX18" s="50">
        <f>U17</f>
        <v>0</v>
      </c>
      <c r="NY18" s="50">
        <f>T17</f>
        <v>0</v>
      </c>
      <c r="NZ18" s="50">
        <f>S17</f>
        <v>0</v>
      </c>
      <c r="OA18" s="50">
        <f>R17</f>
        <v>0</v>
      </c>
      <c r="OB18" s="50">
        <f>Q17</f>
        <v>0</v>
      </c>
      <c r="OC18" s="50">
        <f>P17</f>
        <v>0</v>
      </c>
      <c r="OD18" s="50">
        <f>O17</f>
        <v>0</v>
      </c>
      <c r="OE18" s="50">
        <f>N17</f>
        <v>0</v>
      </c>
      <c r="OF18" s="50">
        <f>M17</f>
        <v>0</v>
      </c>
      <c r="OG18" s="50">
        <f>L17</f>
        <v>0</v>
      </c>
      <c r="OH18" s="50">
        <f>K17</f>
        <v>0</v>
      </c>
      <c r="OI18" s="50">
        <f>J17</f>
        <v>0</v>
      </c>
      <c r="OJ18" s="50">
        <f>I17</f>
        <v>0</v>
      </c>
      <c r="OK18" s="50">
        <f>H17</f>
        <v>0</v>
      </c>
      <c r="OL18" s="50">
        <f>G17</f>
        <v>0</v>
      </c>
      <c r="OM18" s="50">
        <f>F17</f>
        <v>0</v>
      </c>
      <c r="ON18" s="51">
        <f>E17</f>
        <v>0</v>
      </c>
    </row>
    <row r="19" spans="1:404" x14ac:dyDescent="0.25">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c r="AA19" s="105"/>
      <c r="AB19" s="105"/>
      <c r="AC19" s="105"/>
      <c r="AD19" s="105"/>
      <c r="AE19" s="105"/>
      <c r="AF19" s="105"/>
      <c r="AG19" s="105"/>
      <c r="AH19" s="105"/>
      <c r="AI19" s="105"/>
      <c r="AJ19" s="105"/>
      <c r="AK19" s="105"/>
      <c r="AL19" s="105"/>
      <c r="AM19" s="105"/>
      <c r="AN19" s="105"/>
      <c r="AO19" s="105"/>
      <c r="AP19" s="105"/>
      <c r="AQ19" s="105"/>
      <c r="AR19" s="105"/>
      <c r="AS19" s="105"/>
      <c r="AT19" s="105"/>
      <c r="AU19" s="105"/>
      <c r="AV19" s="105"/>
      <c r="AW19" s="105"/>
      <c r="AX19" s="105"/>
      <c r="AY19" s="105"/>
      <c r="AZ19" s="105"/>
      <c r="BA19" s="105"/>
      <c r="BB19" s="105"/>
      <c r="BC19" s="105"/>
      <c r="BD19" s="105"/>
      <c r="BE19" s="105"/>
      <c r="BF19" s="105"/>
      <c r="BG19" s="105"/>
      <c r="BH19" s="105"/>
      <c r="BI19" s="105"/>
      <c r="BJ19" s="105"/>
      <c r="BK19" s="105"/>
      <c r="BL19" s="105"/>
      <c r="BM19" s="105"/>
      <c r="BN19" s="105"/>
      <c r="BO19" s="105"/>
      <c r="BP19" s="105"/>
      <c r="BQ19" s="105"/>
      <c r="BR19" s="105"/>
      <c r="BS19" s="105"/>
      <c r="BT19" s="105"/>
      <c r="BU19" s="105"/>
      <c r="BV19" s="105"/>
      <c r="BW19" s="105"/>
      <c r="BX19" s="105"/>
      <c r="BY19" s="105"/>
      <c r="BZ19" s="105"/>
      <c r="CA19" s="105"/>
      <c r="CB19" s="105"/>
      <c r="CC19" s="105"/>
      <c r="CD19" s="105"/>
      <c r="CE19" s="105"/>
      <c r="CF19" s="105"/>
      <c r="CG19" s="105"/>
      <c r="CH19" s="105"/>
      <c r="CI19" s="105"/>
      <c r="CJ19" s="105"/>
      <c r="CK19" s="105"/>
      <c r="CL19" s="105"/>
      <c r="CM19" s="105"/>
      <c r="CN19" s="105"/>
      <c r="CO19" s="105"/>
      <c r="CP19" s="105"/>
      <c r="CQ19" s="105"/>
      <c r="CR19" s="105"/>
      <c r="CS19" s="105"/>
      <c r="CT19" s="105"/>
      <c r="CU19" s="105"/>
      <c r="CV19" s="105"/>
      <c r="CW19" s="105"/>
      <c r="CX19" s="105"/>
      <c r="CY19" s="105"/>
      <c r="CZ19" s="105"/>
      <c r="DA19" s="105"/>
      <c r="DB19" s="105"/>
      <c r="DC19" s="105"/>
      <c r="DD19" s="105"/>
      <c r="DE19" s="105"/>
      <c r="DF19" s="105"/>
      <c r="DG19" s="105"/>
      <c r="DH19" s="105"/>
      <c r="DI19" s="105"/>
      <c r="DJ19" s="105"/>
      <c r="DK19" s="105"/>
      <c r="DL19" s="105"/>
      <c r="DM19" s="105"/>
      <c r="DN19" s="105"/>
      <c r="DO19" s="105"/>
      <c r="DP19" s="105"/>
      <c r="DQ19" s="105"/>
      <c r="DR19" s="105"/>
      <c r="DS19" s="105"/>
      <c r="DT19" s="105"/>
      <c r="DU19" s="105"/>
      <c r="DV19" s="105"/>
      <c r="DW19" s="105"/>
      <c r="DX19" s="105"/>
      <c r="DY19" s="105"/>
      <c r="DZ19" s="105"/>
      <c r="EA19" s="105"/>
      <c r="EB19" s="105"/>
      <c r="EC19" s="105"/>
      <c r="ED19" s="105"/>
      <c r="EE19" s="105"/>
      <c r="EF19" s="105"/>
      <c r="EG19" s="105"/>
      <c r="EH19" s="105"/>
      <c r="EI19" s="105"/>
      <c r="EJ19" s="105"/>
      <c r="EK19" s="105"/>
      <c r="EL19" s="105"/>
      <c r="EM19" s="105"/>
      <c r="EN19" s="105"/>
      <c r="EO19" s="105"/>
      <c r="EP19" s="105"/>
      <c r="EQ19" s="105"/>
      <c r="ER19" s="105"/>
      <c r="ES19" s="105"/>
      <c r="ET19" s="105"/>
      <c r="EU19" s="105"/>
      <c r="EV19" s="105"/>
      <c r="EW19" s="105"/>
      <c r="EX19" s="105"/>
      <c r="EY19" s="105"/>
      <c r="EZ19" s="105"/>
      <c r="FA19" s="105"/>
      <c r="FB19" s="105"/>
      <c r="FC19" s="105"/>
      <c r="FD19" s="105"/>
      <c r="FE19" s="105"/>
      <c r="FF19" s="105"/>
      <c r="FG19" s="105"/>
      <c r="FH19" s="105"/>
      <c r="FI19" s="105"/>
      <c r="FJ19" s="105"/>
      <c r="FK19" s="105"/>
      <c r="FL19" s="105"/>
      <c r="FM19" s="105"/>
      <c r="FN19" s="105"/>
      <c r="FO19" s="105"/>
      <c r="FP19" s="105"/>
      <c r="FQ19" s="105"/>
      <c r="FR19" s="105"/>
      <c r="FS19" s="105"/>
      <c r="FT19" s="105"/>
      <c r="FU19" s="105"/>
      <c r="FV19" s="105"/>
      <c r="FW19" s="105"/>
      <c r="FX19" s="105"/>
      <c r="FY19" s="105"/>
      <c r="FZ19" s="105"/>
      <c r="GA19" s="105"/>
      <c r="GB19" s="105"/>
      <c r="GC19" s="105"/>
      <c r="GD19" s="105"/>
      <c r="GE19" s="105"/>
      <c r="GF19" s="105"/>
      <c r="GG19" s="105"/>
      <c r="GH19" s="105"/>
      <c r="GI19" s="105"/>
      <c r="GJ19" s="105"/>
      <c r="GK19" s="105"/>
      <c r="GL19" s="105"/>
      <c r="GM19" s="105"/>
      <c r="GN19" s="105"/>
      <c r="GO19" s="105"/>
      <c r="GP19" s="105"/>
      <c r="GQ19" s="105"/>
      <c r="GR19" s="105"/>
      <c r="GS19" s="105"/>
      <c r="GT19" s="105"/>
      <c r="GU19" s="105"/>
      <c r="GV19" s="105"/>
      <c r="GW19" s="105"/>
      <c r="GX19" s="105"/>
      <c r="GY19" s="105"/>
      <c r="GZ19" s="105"/>
      <c r="HA19" s="105"/>
      <c r="HB19" s="105"/>
      <c r="HC19" s="105"/>
      <c r="HD19" s="105"/>
      <c r="HE19" s="105"/>
      <c r="HF19" s="105"/>
      <c r="HG19" s="105"/>
      <c r="HH19" s="105"/>
      <c r="HI19" s="105"/>
      <c r="HJ19" s="105"/>
      <c r="HK19" s="105"/>
      <c r="HL19" s="105"/>
      <c r="HM19" s="105"/>
      <c r="HN19" s="105"/>
      <c r="HO19" s="105"/>
      <c r="HP19" s="105"/>
      <c r="HQ19" s="105"/>
      <c r="HR19" s="105"/>
      <c r="HS19" s="105"/>
      <c r="HT19" s="105"/>
      <c r="HU19" s="105"/>
      <c r="HV19" s="105"/>
      <c r="HW19" s="105"/>
      <c r="HX19" s="105"/>
      <c r="HY19" s="105"/>
      <c r="HZ19" s="105"/>
      <c r="IA19" s="105"/>
      <c r="IB19" s="105"/>
      <c r="IC19" s="105"/>
      <c r="ID19" s="105"/>
      <c r="IE19" s="105"/>
      <c r="IF19" s="105"/>
      <c r="IG19" s="105"/>
      <c r="IH19" s="105"/>
      <c r="II19" s="105"/>
      <c r="IJ19" s="105"/>
      <c r="IK19" s="105"/>
      <c r="IL19" s="105"/>
      <c r="IM19" s="105"/>
      <c r="IN19" s="105"/>
      <c r="IO19" s="105"/>
      <c r="IP19" s="105"/>
      <c r="IQ19" s="105"/>
      <c r="IR19" s="105"/>
      <c r="IS19" s="105"/>
      <c r="IT19" s="105"/>
      <c r="IU19" s="105"/>
      <c r="IV19" s="105"/>
      <c r="IW19" s="105"/>
      <c r="IX19" s="105"/>
      <c r="IY19" s="105"/>
      <c r="IZ19" s="105"/>
      <c r="JA19" s="105"/>
      <c r="JB19" s="105"/>
      <c r="JC19" s="105"/>
      <c r="JD19" s="105"/>
      <c r="JE19" s="105"/>
      <c r="JF19" s="105"/>
      <c r="JG19" s="105"/>
      <c r="JH19" s="105"/>
      <c r="JI19" s="105"/>
      <c r="JJ19" s="105"/>
      <c r="JK19" s="105"/>
      <c r="JL19" s="105"/>
      <c r="JM19" s="105"/>
      <c r="JN19" s="105"/>
      <c r="JO19" s="105"/>
      <c r="JP19" s="105"/>
      <c r="JQ19" s="105"/>
      <c r="JR19" s="105"/>
      <c r="JS19" s="105"/>
      <c r="JT19" s="105"/>
      <c r="JU19" s="105"/>
      <c r="JV19" s="105"/>
      <c r="JW19" s="105"/>
      <c r="JX19" s="105"/>
      <c r="JY19" s="105"/>
      <c r="JZ19" s="105"/>
      <c r="KA19" s="105"/>
      <c r="KB19" s="105"/>
      <c r="KC19" s="105"/>
      <c r="KD19" s="105"/>
      <c r="KE19" s="105"/>
      <c r="KF19" s="105"/>
      <c r="KG19" s="105"/>
      <c r="KH19" s="105"/>
      <c r="KI19" s="105"/>
      <c r="KJ19" s="105"/>
      <c r="KK19" s="105"/>
      <c r="KL19" s="105"/>
      <c r="KM19" s="105"/>
      <c r="KN19" s="105"/>
      <c r="KO19" s="105"/>
      <c r="KP19" s="105"/>
      <c r="KQ19" s="105"/>
      <c r="KR19" s="105"/>
      <c r="KS19" s="105"/>
      <c r="KT19" s="105"/>
      <c r="KU19" s="105"/>
      <c r="KV19" s="105"/>
      <c r="KW19" s="105"/>
      <c r="KX19" s="105"/>
      <c r="KY19" s="105"/>
      <c r="KZ19" s="105"/>
      <c r="LA19" s="105"/>
      <c r="LB19" s="105"/>
      <c r="LC19" s="105"/>
      <c r="LD19" s="105"/>
      <c r="LE19" s="105"/>
      <c r="LF19" s="105"/>
      <c r="LG19" s="105"/>
      <c r="LH19" s="105"/>
      <c r="LI19" s="105"/>
      <c r="LJ19" s="105"/>
      <c r="LK19" s="105"/>
      <c r="LL19" s="105"/>
      <c r="LM19" s="105"/>
      <c r="LN19" s="105"/>
      <c r="LO19" s="105"/>
      <c r="LP19" s="105"/>
      <c r="LQ19" s="105"/>
      <c r="LR19" s="105"/>
      <c r="LS19" s="105"/>
      <c r="LT19" s="105"/>
      <c r="LU19" s="105"/>
      <c r="LV19" s="105"/>
      <c r="LW19" s="105"/>
      <c r="LX19" s="105"/>
      <c r="LY19" s="105"/>
      <c r="LZ19" s="105"/>
      <c r="MA19" s="105"/>
      <c r="MB19" s="105"/>
      <c r="MC19" s="105"/>
      <c r="MD19" s="105"/>
      <c r="ME19" s="105"/>
      <c r="MF19" s="105"/>
      <c r="MG19" s="105"/>
      <c r="MH19" s="105"/>
      <c r="MI19" s="105"/>
      <c r="MJ19" s="105"/>
      <c r="MK19" s="105"/>
      <c r="ML19" s="105"/>
      <c r="MM19" s="105"/>
      <c r="MN19" s="105"/>
      <c r="MO19" s="105"/>
      <c r="MP19" s="105"/>
      <c r="MQ19" s="105"/>
      <c r="MR19" s="105"/>
      <c r="MS19" s="105"/>
      <c r="MT19" s="105"/>
      <c r="MU19" s="105"/>
      <c r="MV19" s="105"/>
      <c r="MW19" s="105"/>
      <c r="MX19" s="105"/>
      <c r="MY19" s="105"/>
      <c r="MZ19" s="105"/>
      <c r="NA19" s="105"/>
      <c r="NB19" s="105"/>
      <c r="NC19" s="105"/>
      <c r="ND19" s="105"/>
      <c r="NE19" s="105"/>
      <c r="NF19" s="105"/>
      <c r="NG19" s="105"/>
      <c r="NH19" s="105"/>
      <c r="NI19" s="105"/>
      <c r="NJ19" s="105"/>
      <c r="NK19" s="105"/>
      <c r="NL19" s="105"/>
      <c r="NM19" s="105"/>
      <c r="NN19" s="105"/>
      <c r="NO19" s="105"/>
      <c r="NP19" s="105"/>
      <c r="NQ19" s="105"/>
      <c r="NR19" s="105"/>
      <c r="NS19" s="105"/>
      <c r="NT19" s="105"/>
      <c r="NU19" s="105"/>
      <c r="NV19" s="105"/>
      <c r="NW19" s="105"/>
      <c r="NX19" s="105"/>
      <c r="NY19" s="105"/>
      <c r="NZ19" s="105"/>
      <c r="OA19" s="105"/>
      <c r="OB19" s="105"/>
      <c r="OC19" s="105"/>
      <c r="OD19" s="105"/>
      <c r="OE19" s="105"/>
      <c r="OF19" s="105"/>
      <c r="OG19" s="105"/>
      <c r="OH19" s="105"/>
      <c r="OI19" s="105"/>
      <c r="OJ19" s="105"/>
      <c r="OK19" s="105"/>
      <c r="OL19" s="105"/>
      <c r="OM19" s="105"/>
      <c r="ON19" s="105"/>
    </row>
    <row r="20" spans="1:404" s="11" customFormat="1" x14ac:dyDescent="0.25">
      <c r="C20" s="256"/>
      <c r="D20" s="195" t="s">
        <v>83</v>
      </c>
      <c r="E20" s="230"/>
      <c r="F20" s="231"/>
      <c r="G20" s="231"/>
      <c r="H20" s="231"/>
      <c r="I20" s="231"/>
      <c r="J20" s="231"/>
      <c r="K20" s="231"/>
      <c r="L20" s="231"/>
      <c r="M20" s="231"/>
      <c r="N20" s="231"/>
      <c r="O20" s="231"/>
      <c r="P20" s="231"/>
      <c r="Q20" s="231"/>
      <c r="R20" s="231"/>
      <c r="S20" s="231"/>
      <c r="T20" s="231"/>
      <c r="U20" s="231"/>
      <c r="V20" s="231"/>
      <c r="W20" s="231"/>
      <c r="X20" s="231"/>
      <c r="Y20" s="231"/>
      <c r="Z20" s="231"/>
      <c r="AA20" s="231"/>
      <c r="AB20" s="231"/>
      <c r="AC20" s="231"/>
      <c r="AD20" s="231"/>
      <c r="AE20" s="231"/>
      <c r="AF20" s="231"/>
      <c r="AG20" s="231"/>
      <c r="AH20" s="231"/>
      <c r="AI20" s="231"/>
      <c r="AJ20" s="231"/>
      <c r="AK20" s="231"/>
      <c r="AL20" s="231"/>
      <c r="AM20" s="231"/>
      <c r="AN20" s="231"/>
      <c r="AO20" s="231"/>
      <c r="AP20" s="231"/>
      <c r="AQ20" s="231"/>
      <c r="AR20" s="231"/>
      <c r="AS20" s="231"/>
      <c r="AT20" s="231"/>
      <c r="AU20" s="231"/>
      <c r="AV20" s="231"/>
      <c r="AW20" s="231"/>
      <c r="AX20" s="231"/>
      <c r="AY20" s="231"/>
      <c r="AZ20" s="231"/>
      <c r="BA20" s="231"/>
      <c r="BB20" s="231"/>
      <c r="BC20" s="231"/>
      <c r="BD20" s="231"/>
      <c r="BE20" s="231"/>
      <c r="BF20" s="231"/>
      <c r="BG20" s="231"/>
      <c r="BH20" s="231"/>
      <c r="BI20" s="231"/>
      <c r="BJ20" s="231"/>
      <c r="BK20" s="231"/>
      <c r="BL20" s="231"/>
      <c r="BM20" s="231"/>
      <c r="BN20" s="231"/>
      <c r="BO20" s="231"/>
      <c r="BP20" s="231"/>
      <c r="BQ20" s="231"/>
      <c r="BR20" s="231"/>
      <c r="BS20" s="231"/>
      <c r="BT20" s="231"/>
      <c r="BU20" s="231"/>
      <c r="BV20" s="231"/>
      <c r="BW20" s="231"/>
      <c r="BX20" s="231"/>
      <c r="BY20" s="231"/>
      <c r="BZ20" s="231"/>
      <c r="CA20" s="231"/>
      <c r="CB20" s="231"/>
      <c r="CC20" s="231"/>
      <c r="CD20" s="231"/>
      <c r="CE20" s="231"/>
      <c r="CF20" s="231"/>
      <c r="CG20" s="231"/>
      <c r="CH20" s="231"/>
      <c r="CI20" s="231"/>
      <c r="CJ20" s="231"/>
      <c r="CK20" s="231"/>
      <c r="CL20" s="231"/>
      <c r="CM20" s="231"/>
      <c r="CN20" s="231"/>
      <c r="CO20" s="231"/>
      <c r="CP20" s="231"/>
      <c r="CQ20" s="231"/>
      <c r="CR20" s="231"/>
      <c r="CS20" s="231"/>
      <c r="CT20" s="231"/>
      <c r="CU20" s="231"/>
      <c r="CV20" s="231"/>
      <c r="CW20" s="231"/>
      <c r="CX20" s="231"/>
      <c r="CY20" s="231"/>
      <c r="CZ20" s="231"/>
      <c r="DA20" s="231"/>
      <c r="DB20" s="231"/>
      <c r="DC20" s="231"/>
      <c r="DD20" s="231"/>
      <c r="DE20" s="231"/>
      <c r="DF20" s="231"/>
      <c r="DG20" s="231"/>
      <c r="DH20" s="231"/>
      <c r="DI20" s="231"/>
      <c r="DJ20" s="231"/>
      <c r="DK20" s="231"/>
      <c r="DL20" s="231"/>
      <c r="DM20" s="231"/>
      <c r="DN20" s="231"/>
      <c r="DO20" s="231"/>
      <c r="DP20" s="231"/>
      <c r="DQ20" s="231"/>
      <c r="DR20" s="231"/>
      <c r="DS20" s="231"/>
      <c r="DT20" s="231"/>
      <c r="DU20" s="231"/>
      <c r="DV20" s="231"/>
      <c r="DW20" s="231"/>
      <c r="DX20" s="231"/>
      <c r="DY20" s="231"/>
      <c r="DZ20" s="231"/>
      <c r="EA20" s="231"/>
      <c r="EB20" s="231"/>
      <c r="EC20" s="231"/>
      <c r="ED20" s="231"/>
      <c r="EE20" s="231"/>
      <c r="EF20" s="231"/>
      <c r="EG20" s="231"/>
      <c r="EH20" s="231"/>
      <c r="EI20" s="231"/>
      <c r="EJ20" s="231"/>
      <c r="EK20" s="231"/>
      <c r="EL20" s="231"/>
      <c r="EM20" s="231"/>
      <c r="EN20" s="231"/>
      <c r="EO20" s="231"/>
      <c r="EP20" s="231"/>
      <c r="EQ20" s="231"/>
      <c r="ER20" s="231"/>
      <c r="ES20" s="231"/>
      <c r="ET20" s="231"/>
      <c r="EU20" s="231"/>
      <c r="EV20" s="231"/>
      <c r="EW20" s="231"/>
      <c r="EX20" s="231"/>
      <c r="EY20" s="231"/>
      <c r="EZ20" s="231"/>
      <c r="FA20" s="231"/>
      <c r="FB20" s="231"/>
      <c r="FC20" s="231"/>
      <c r="FD20" s="231"/>
      <c r="FE20" s="231"/>
      <c r="FF20" s="231"/>
      <c r="FG20" s="231"/>
      <c r="FH20" s="231"/>
      <c r="FI20" s="231"/>
      <c r="FJ20" s="231"/>
      <c r="FK20" s="231"/>
      <c r="FL20" s="231"/>
      <c r="FM20" s="231"/>
      <c r="FN20" s="231"/>
      <c r="FO20" s="231"/>
      <c r="FP20" s="231"/>
      <c r="FQ20" s="231"/>
      <c r="FR20" s="231"/>
      <c r="FS20" s="231"/>
      <c r="FT20" s="231"/>
      <c r="FU20" s="231"/>
      <c r="FV20" s="231"/>
      <c r="FW20" s="231"/>
      <c r="FX20" s="231"/>
      <c r="FY20" s="231"/>
      <c r="FZ20" s="231"/>
      <c r="GA20" s="231"/>
      <c r="GB20" s="231"/>
      <c r="GC20" s="231"/>
      <c r="GD20" s="231"/>
      <c r="GE20" s="231"/>
      <c r="GF20" s="231"/>
      <c r="GG20" s="231"/>
      <c r="GH20" s="231"/>
      <c r="GI20" s="231"/>
      <c r="GJ20" s="231"/>
      <c r="GK20" s="231"/>
      <c r="GL20" s="231"/>
      <c r="GM20" s="231"/>
      <c r="GN20" s="231"/>
      <c r="GO20" s="231"/>
      <c r="GP20" s="231"/>
      <c r="GQ20" s="231"/>
      <c r="GR20" s="231"/>
      <c r="GS20" s="231"/>
      <c r="GT20" s="231"/>
      <c r="GU20" s="231"/>
      <c r="GV20" s="231"/>
      <c r="GW20" s="231"/>
      <c r="GX20" s="231"/>
      <c r="GY20" s="231"/>
      <c r="GZ20" s="231"/>
      <c r="HA20" s="231"/>
      <c r="HB20" s="231"/>
      <c r="HC20" s="231"/>
      <c r="HD20" s="231"/>
      <c r="HE20" s="231"/>
      <c r="HF20" s="231"/>
      <c r="HG20" s="231"/>
      <c r="HH20" s="231"/>
      <c r="HI20" s="231"/>
      <c r="HJ20" s="231"/>
      <c r="HK20" s="231"/>
      <c r="HL20" s="231"/>
      <c r="HM20" s="231"/>
      <c r="HN20" s="231"/>
      <c r="HO20" s="231"/>
      <c r="HP20" s="231"/>
      <c r="HQ20" s="231"/>
      <c r="HR20" s="231"/>
      <c r="HS20" s="231"/>
      <c r="HT20" s="231"/>
      <c r="HU20" s="231"/>
      <c r="HV20" s="231"/>
      <c r="HW20" s="231"/>
      <c r="HX20" s="231"/>
      <c r="HY20" s="231"/>
      <c r="HZ20" s="231"/>
      <c r="IA20" s="231"/>
      <c r="IB20" s="231"/>
      <c r="IC20" s="231"/>
      <c r="ID20" s="231"/>
      <c r="IE20" s="231"/>
      <c r="IF20" s="231"/>
      <c r="IG20" s="231"/>
      <c r="IH20" s="231"/>
      <c r="II20" s="231"/>
      <c r="IJ20" s="231"/>
      <c r="IK20" s="231"/>
      <c r="IL20" s="231"/>
      <c r="IM20" s="231"/>
      <c r="IN20" s="231"/>
      <c r="IO20" s="231"/>
      <c r="IP20" s="231"/>
      <c r="IQ20" s="231"/>
      <c r="IR20" s="231"/>
      <c r="IS20" s="231"/>
      <c r="IT20" s="231"/>
      <c r="IU20" s="231"/>
      <c r="IV20" s="231"/>
      <c r="IW20" s="231"/>
      <c r="IX20" s="231"/>
      <c r="IY20" s="231"/>
      <c r="IZ20" s="231"/>
      <c r="JA20" s="231"/>
      <c r="JB20" s="231"/>
      <c r="JC20" s="231"/>
      <c r="JD20" s="231"/>
      <c r="JE20" s="231"/>
      <c r="JF20" s="231"/>
      <c r="JG20" s="231"/>
      <c r="JH20" s="231"/>
      <c r="JI20" s="231"/>
      <c r="JJ20" s="231"/>
      <c r="JK20" s="231"/>
      <c r="JL20" s="231"/>
      <c r="JM20" s="231"/>
      <c r="JN20" s="231"/>
      <c r="JO20" s="231"/>
      <c r="JP20" s="231"/>
      <c r="JQ20" s="231"/>
      <c r="JR20" s="231"/>
      <c r="JS20" s="231"/>
      <c r="JT20" s="231"/>
      <c r="JU20" s="231"/>
      <c r="JV20" s="231"/>
      <c r="JW20" s="231"/>
      <c r="JX20" s="231"/>
      <c r="JY20" s="231"/>
      <c r="JZ20" s="231"/>
      <c r="KA20" s="231"/>
      <c r="KB20" s="231"/>
      <c r="KC20" s="231"/>
      <c r="KD20" s="231"/>
      <c r="KE20" s="231"/>
      <c r="KF20" s="231"/>
      <c r="KG20" s="231"/>
      <c r="KH20" s="231"/>
      <c r="KI20" s="231"/>
      <c r="KJ20" s="231"/>
      <c r="KK20" s="231"/>
      <c r="KL20" s="231"/>
      <c r="KM20" s="231"/>
      <c r="KN20" s="231"/>
      <c r="KO20" s="231"/>
      <c r="KP20" s="231"/>
      <c r="KQ20" s="231"/>
      <c r="KR20" s="231"/>
      <c r="KS20" s="231"/>
      <c r="KT20" s="231"/>
      <c r="KU20" s="231"/>
      <c r="KV20" s="231"/>
      <c r="KW20" s="231"/>
      <c r="KX20" s="231"/>
      <c r="KY20" s="231"/>
      <c r="KZ20" s="231"/>
      <c r="LA20" s="231"/>
      <c r="LB20" s="231"/>
      <c r="LC20" s="231"/>
      <c r="LD20" s="231"/>
      <c r="LE20" s="231"/>
      <c r="LF20" s="231"/>
      <c r="LG20" s="231"/>
      <c r="LH20" s="231"/>
      <c r="LI20" s="231"/>
      <c r="LJ20" s="231"/>
      <c r="LK20" s="231"/>
      <c r="LL20" s="231"/>
      <c r="LM20" s="231"/>
      <c r="LN20" s="231"/>
      <c r="LO20" s="231"/>
      <c r="LP20" s="231"/>
      <c r="LQ20" s="231"/>
      <c r="LR20" s="231"/>
      <c r="LS20" s="231"/>
      <c r="LT20" s="231"/>
      <c r="LU20" s="231"/>
      <c r="LV20" s="231"/>
      <c r="LW20" s="231"/>
      <c r="LX20" s="231"/>
      <c r="LY20" s="231"/>
      <c r="LZ20" s="231"/>
      <c r="MA20" s="231"/>
      <c r="MB20" s="231"/>
      <c r="MC20" s="231"/>
      <c r="MD20" s="231"/>
      <c r="ME20" s="231"/>
      <c r="MF20" s="231"/>
      <c r="MG20" s="231"/>
      <c r="MH20" s="231"/>
      <c r="MI20" s="231"/>
      <c r="MJ20" s="231"/>
      <c r="MK20" s="231"/>
      <c r="ML20" s="231"/>
      <c r="MM20" s="231"/>
      <c r="MN20" s="231"/>
      <c r="MO20" s="231"/>
      <c r="MP20" s="231"/>
      <c r="MQ20" s="231"/>
      <c r="MR20" s="231"/>
      <c r="MS20" s="231"/>
      <c r="MT20" s="231"/>
      <c r="MU20" s="231"/>
      <c r="MV20" s="231"/>
      <c r="MW20" s="231"/>
      <c r="MX20" s="231"/>
      <c r="MY20" s="231"/>
      <c r="MZ20" s="231"/>
      <c r="NA20" s="231"/>
      <c r="NB20" s="231"/>
      <c r="NC20" s="231"/>
      <c r="ND20" s="231"/>
      <c r="NE20" s="231"/>
      <c r="NF20" s="231"/>
      <c r="NG20" s="231"/>
      <c r="NH20" s="231"/>
      <c r="NI20" s="231"/>
      <c r="NJ20" s="231"/>
      <c r="NK20" s="231"/>
      <c r="NL20" s="231"/>
      <c r="NM20" s="231"/>
      <c r="NN20" s="231"/>
      <c r="NO20" s="231"/>
      <c r="NP20" s="231"/>
      <c r="NQ20" s="231"/>
      <c r="NR20" s="231"/>
      <c r="NS20" s="231"/>
      <c r="NT20" s="231"/>
      <c r="NU20" s="231"/>
      <c r="NV20" s="231"/>
      <c r="NW20" s="231"/>
      <c r="NX20" s="231"/>
      <c r="NY20" s="231"/>
      <c r="NZ20" s="231"/>
      <c r="OA20" s="231"/>
      <c r="OB20" s="231"/>
      <c r="OC20" s="231"/>
      <c r="OD20" s="231"/>
      <c r="OE20" s="231"/>
      <c r="OF20" s="231"/>
      <c r="OG20" s="231"/>
      <c r="OH20" s="231"/>
      <c r="OI20" s="231"/>
      <c r="OJ20" s="231"/>
      <c r="OK20" s="231"/>
      <c r="OL20" s="231"/>
      <c r="OM20" s="231"/>
      <c r="ON20" s="232"/>
    </row>
    <row r="22" spans="1:404" ht="15.75" x14ac:dyDescent="0.25">
      <c r="C22" s="105"/>
      <c r="D22" s="105"/>
      <c r="E22" s="105"/>
      <c r="F22" s="105"/>
      <c r="G22" s="105"/>
      <c r="H22" s="257"/>
      <c r="I22" s="105"/>
      <c r="J22" s="105"/>
      <c r="K22" s="105"/>
      <c r="L22" s="105"/>
      <c r="M22" s="105"/>
      <c r="N22" s="105"/>
      <c r="O22" s="258" t="s">
        <v>29</v>
      </c>
      <c r="P22" s="105"/>
      <c r="Q22" s="105"/>
      <c r="R22" s="105"/>
      <c r="S22" s="105"/>
      <c r="T22" s="105"/>
      <c r="U22" s="105"/>
      <c r="V22" s="105"/>
      <c r="W22" s="105"/>
      <c r="X22" s="105"/>
      <c r="Y22" s="105"/>
      <c r="Z22" s="105"/>
      <c r="AA22" s="105"/>
      <c r="AB22" s="105"/>
      <c r="AC22" s="105"/>
      <c r="AD22" s="259" t="s">
        <v>30</v>
      </c>
      <c r="AE22" s="259" t="s">
        <v>31</v>
      </c>
      <c r="AF22" s="259" t="s">
        <v>32</v>
      </c>
      <c r="AG22" s="259" t="s">
        <v>33</v>
      </c>
      <c r="AH22" s="259" t="s">
        <v>34</v>
      </c>
      <c r="AI22" s="259" t="s">
        <v>35</v>
      </c>
      <c r="AJ22" s="259" t="s">
        <v>36</v>
      </c>
      <c r="AK22" s="259" t="s">
        <v>37</v>
      </c>
      <c r="AL22" s="259" t="s">
        <v>33</v>
      </c>
      <c r="AM22" s="105"/>
      <c r="AN22" s="105"/>
      <c r="AO22" s="105"/>
      <c r="AP22" s="105"/>
      <c r="AQ22" s="105"/>
      <c r="AR22" s="105"/>
      <c r="AS22" s="105"/>
      <c r="AT22" s="105"/>
      <c r="AU22" s="105"/>
      <c r="AV22" s="105"/>
      <c r="AW22" s="105"/>
      <c r="AX22" s="105"/>
      <c r="AY22" s="105"/>
      <c r="AZ22" s="105"/>
      <c r="BA22" s="105"/>
      <c r="BB22" s="105"/>
      <c r="BC22" s="105"/>
      <c r="BD22" s="105"/>
      <c r="BE22" s="105"/>
      <c r="BF22" s="258" t="s">
        <v>38</v>
      </c>
      <c r="BG22" s="105"/>
      <c r="BH22" s="105"/>
      <c r="BI22" s="105"/>
      <c r="BJ22" s="105"/>
      <c r="BK22" s="105"/>
      <c r="BL22" s="105"/>
      <c r="BM22" s="105"/>
      <c r="BN22" s="105"/>
      <c r="BO22" s="105"/>
      <c r="BP22" s="259" t="s">
        <v>39</v>
      </c>
      <c r="BQ22" s="259" t="s">
        <v>35</v>
      </c>
      <c r="BR22" s="259" t="s">
        <v>32</v>
      </c>
      <c r="BS22" s="259" t="s">
        <v>38</v>
      </c>
      <c r="BT22" s="259" t="s">
        <v>40</v>
      </c>
      <c r="BU22" s="259" t="s">
        <v>30</v>
      </c>
      <c r="BV22" s="259" t="s">
        <v>41</v>
      </c>
      <c r="BW22" s="259" t="s">
        <v>38</v>
      </c>
      <c r="BX22" s="259" t="s">
        <v>31</v>
      </c>
      <c r="BY22" s="259" t="s">
        <v>41</v>
      </c>
      <c r="BZ22" s="259" t="s">
        <v>42</v>
      </c>
      <c r="CA22" s="105"/>
      <c r="CB22" s="105"/>
      <c r="CC22" s="105"/>
      <c r="CD22" s="105"/>
      <c r="CE22" s="105"/>
      <c r="CF22" s="105"/>
      <c r="CG22" s="105"/>
      <c r="CH22" s="105"/>
      <c r="CI22" s="105"/>
      <c r="CJ22" s="105"/>
      <c r="CK22" s="105"/>
      <c r="CL22" s="105"/>
      <c r="CM22" s="105"/>
      <c r="CN22" s="105"/>
      <c r="CO22" s="105"/>
      <c r="CP22" s="105"/>
      <c r="CQ22" s="105"/>
      <c r="CR22" s="105"/>
      <c r="CS22" s="105"/>
      <c r="CT22" s="105"/>
      <c r="CU22" s="105"/>
      <c r="CV22" s="105"/>
      <c r="CW22" s="105"/>
      <c r="EA22" s="3"/>
      <c r="KB22" s="4"/>
    </row>
    <row r="23" spans="1:404" ht="15.75" x14ac:dyDescent="0.25">
      <c r="A23" s="2"/>
      <c r="B23" s="2"/>
      <c r="C23" s="257"/>
      <c r="D23" s="55" t="s">
        <v>59</v>
      </c>
      <c r="E23" s="56" t="s">
        <v>31</v>
      </c>
      <c r="F23" s="57" t="s">
        <v>39</v>
      </c>
      <c r="G23" s="57" t="s">
        <v>42</v>
      </c>
      <c r="H23" s="58" t="s">
        <v>32</v>
      </c>
      <c r="I23" s="59" t="s">
        <v>29</v>
      </c>
      <c r="J23" s="57" t="s">
        <v>31</v>
      </c>
      <c r="K23" s="57" t="s">
        <v>43</v>
      </c>
      <c r="L23" s="57" t="s">
        <v>31</v>
      </c>
      <c r="M23" s="57" t="s">
        <v>44</v>
      </c>
      <c r="N23" s="57" t="s">
        <v>34</v>
      </c>
      <c r="O23" s="57" t="s">
        <v>29</v>
      </c>
      <c r="P23" s="57" t="s">
        <v>38</v>
      </c>
      <c r="Q23" s="57" t="s">
        <v>39</v>
      </c>
      <c r="R23" s="57" t="s">
        <v>37</v>
      </c>
      <c r="S23" s="57" t="s">
        <v>31</v>
      </c>
      <c r="T23" s="57" t="s">
        <v>38</v>
      </c>
      <c r="U23" s="57" t="s">
        <v>40</v>
      </c>
      <c r="V23" s="57" t="s">
        <v>45</v>
      </c>
      <c r="W23" s="57" t="s">
        <v>39</v>
      </c>
      <c r="X23" s="57" t="s">
        <v>39</v>
      </c>
      <c r="Y23" s="57" t="s">
        <v>46</v>
      </c>
      <c r="Z23" s="57" t="s">
        <v>45</v>
      </c>
      <c r="AA23" s="57" t="s">
        <v>38</v>
      </c>
      <c r="AB23" s="57" t="s">
        <v>32</v>
      </c>
      <c r="AC23" s="57" t="s">
        <v>47</v>
      </c>
      <c r="AD23" s="57" t="s">
        <v>48</v>
      </c>
      <c r="AE23" s="57" t="s">
        <v>48</v>
      </c>
      <c r="AF23" s="57" t="s">
        <v>49</v>
      </c>
      <c r="AG23" s="57" t="s">
        <v>32</v>
      </c>
      <c r="AH23" s="57" t="s">
        <v>30</v>
      </c>
      <c r="AI23" s="57" t="s">
        <v>44</v>
      </c>
      <c r="AJ23" s="57" t="s">
        <v>42</v>
      </c>
      <c r="AK23" s="57" t="s">
        <v>37</v>
      </c>
      <c r="AL23" s="57" t="s">
        <v>37</v>
      </c>
      <c r="AM23" s="58" t="s">
        <v>31</v>
      </c>
      <c r="AN23" s="59" t="s">
        <v>33</v>
      </c>
      <c r="AO23" s="57" t="s">
        <v>46</v>
      </c>
      <c r="AP23" s="57" t="s">
        <v>33</v>
      </c>
      <c r="AQ23" s="57" t="s">
        <v>48</v>
      </c>
      <c r="AR23" s="57" t="s">
        <v>37</v>
      </c>
      <c r="AS23" s="57" t="s">
        <v>50</v>
      </c>
      <c r="AT23" s="57" t="s">
        <v>48</v>
      </c>
      <c r="AU23" s="57" t="s">
        <v>37</v>
      </c>
      <c r="AV23" s="57" t="s">
        <v>37</v>
      </c>
      <c r="AW23" s="57" t="s">
        <v>35</v>
      </c>
      <c r="AX23" s="57" t="s">
        <v>42</v>
      </c>
      <c r="AY23" s="57" t="s">
        <v>51</v>
      </c>
      <c r="AZ23" s="57" t="s">
        <v>51</v>
      </c>
      <c r="BA23" s="57" t="s">
        <v>46</v>
      </c>
      <c r="BB23" s="57" t="s">
        <v>36</v>
      </c>
      <c r="BC23" s="57" t="s">
        <v>33</v>
      </c>
      <c r="BD23" s="57" t="s">
        <v>50</v>
      </c>
      <c r="BE23" s="57" t="s">
        <v>42</v>
      </c>
      <c r="BF23" s="57" t="s">
        <v>38</v>
      </c>
      <c r="BG23" s="57" t="s">
        <v>29</v>
      </c>
      <c r="BH23" s="57" t="s">
        <v>52</v>
      </c>
      <c r="BI23" s="57" t="s">
        <v>40</v>
      </c>
      <c r="BJ23" s="57" t="s">
        <v>36</v>
      </c>
      <c r="BK23" s="57" t="s">
        <v>46</v>
      </c>
      <c r="BL23" s="57" t="s">
        <v>40</v>
      </c>
      <c r="BM23" s="57" t="s">
        <v>30</v>
      </c>
      <c r="BN23" s="57" t="s">
        <v>45</v>
      </c>
      <c r="BO23" s="57" t="s">
        <v>39</v>
      </c>
      <c r="BP23" s="57" t="s">
        <v>30</v>
      </c>
      <c r="BQ23" s="57" t="s">
        <v>53</v>
      </c>
      <c r="BR23" s="58" t="s">
        <v>49</v>
      </c>
      <c r="BS23" s="60" t="s">
        <v>47</v>
      </c>
      <c r="BT23" s="57" t="s">
        <v>33</v>
      </c>
      <c r="BU23" s="57" t="s">
        <v>33</v>
      </c>
      <c r="BV23" s="57" t="s">
        <v>54</v>
      </c>
      <c r="BW23" s="57" t="s">
        <v>51</v>
      </c>
      <c r="BX23" s="57" t="s">
        <v>45</v>
      </c>
      <c r="BY23" s="57" t="s">
        <v>49</v>
      </c>
      <c r="BZ23" s="57" t="s">
        <v>42</v>
      </c>
      <c r="CA23" s="57" t="s">
        <v>46</v>
      </c>
      <c r="CB23" s="57" t="s">
        <v>44</v>
      </c>
      <c r="CC23" s="57" t="s">
        <v>52</v>
      </c>
      <c r="CD23" s="57" t="s">
        <v>42</v>
      </c>
      <c r="CE23" s="57" t="s">
        <v>51</v>
      </c>
      <c r="CF23" s="57" t="s">
        <v>43</v>
      </c>
      <c r="CG23" s="57" t="s">
        <v>33</v>
      </c>
      <c r="CH23" s="57" t="s">
        <v>50</v>
      </c>
      <c r="CI23" s="57" t="s">
        <v>41</v>
      </c>
      <c r="CJ23" s="57" t="s">
        <v>52</v>
      </c>
      <c r="CK23" s="57" t="s">
        <v>40</v>
      </c>
      <c r="CL23" s="57" t="s">
        <v>44</v>
      </c>
      <c r="CM23" s="57" t="s">
        <v>42</v>
      </c>
      <c r="CN23" s="57" t="s">
        <v>29</v>
      </c>
      <c r="CO23" s="57" t="s">
        <v>34</v>
      </c>
      <c r="CP23" s="57" t="s">
        <v>29</v>
      </c>
      <c r="CQ23" s="57" t="s">
        <v>36</v>
      </c>
      <c r="CR23" s="57" t="s">
        <v>29</v>
      </c>
      <c r="CS23" s="57" t="s">
        <v>35</v>
      </c>
      <c r="CT23" s="57" t="s">
        <v>42</v>
      </c>
      <c r="CU23" s="57" t="s">
        <v>41</v>
      </c>
      <c r="CV23" s="57" t="s">
        <v>36</v>
      </c>
      <c r="CW23" s="61" t="s">
        <v>32</v>
      </c>
      <c r="CX23" s="5"/>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7"/>
      <c r="EA23" s="8"/>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R23" s="2"/>
      <c r="JS23" s="2"/>
      <c r="JT23" s="2"/>
      <c r="JU23" s="2"/>
      <c r="JV23" s="2"/>
      <c r="JW23" s="2"/>
      <c r="JX23" s="2"/>
      <c r="JY23" s="2"/>
      <c r="JZ23" s="2"/>
      <c r="KA23" s="2"/>
      <c r="KB23" s="4"/>
    </row>
    <row r="24" spans="1:404" ht="15.75" x14ac:dyDescent="0.25">
      <c r="A24" s="2"/>
      <c r="B24" s="2"/>
      <c r="C24" s="257"/>
      <c r="D24" s="55" t="s">
        <v>60</v>
      </c>
      <c r="E24" s="62"/>
      <c r="F24" s="63"/>
      <c r="G24" s="63"/>
      <c r="H24" s="64"/>
      <c r="I24" s="65"/>
      <c r="J24" s="63"/>
      <c r="K24" s="63"/>
      <c r="L24" s="63"/>
      <c r="M24" s="63"/>
      <c r="N24" s="63"/>
      <c r="O24" s="63">
        <v>21</v>
      </c>
      <c r="P24" s="63"/>
      <c r="Q24" s="63"/>
      <c r="R24" s="63"/>
      <c r="S24" s="63"/>
      <c r="T24" s="63"/>
      <c r="U24" s="63"/>
      <c r="V24" s="63"/>
      <c r="W24" s="63"/>
      <c r="X24" s="63"/>
      <c r="Y24" s="63"/>
      <c r="Z24" s="63"/>
      <c r="AA24" s="63"/>
      <c r="AB24" s="63"/>
      <c r="AC24" s="63"/>
      <c r="AD24" s="63">
        <v>14</v>
      </c>
      <c r="AE24" s="63">
        <v>15</v>
      </c>
      <c r="AF24" s="63">
        <v>18</v>
      </c>
      <c r="AG24" s="63">
        <v>20</v>
      </c>
      <c r="AH24" s="63">
        <v>8</v>
      </c>
      <c r="AI24" s="63">
        <v>5</v>
      </c>
      <c r="AJ24" s="63">
        <v>1</v>
      </c>
      <c r="AK24" s="63">
        <v>19</v>
      </c>
      <c r="AL24" s="63">
        <v>20</v>
      </c>
      <c r="AM24" s="64"/>
      <c r="AN24" s="65"/>
      <c r="AO24" s="63"/>
      <c r="AP24" s="63"/>
      <c r="AQ24" s="63"/>
      <c r="AR24" s="63"/>
      <c r="AS24" s="63"/>
      <c r="AT24" s="63"/>
      <c r="AU24" s="63"/>
      <c r="AV24" s="63"/>
      <c r="AW24" s="63"/>
      <c r="AX24" s="63"/>
      <c r="AY24" s="63"/>
      <c r="AZ24" s="63"/>
      <c r="BA24" s="63"/>
      <c r="BB24" s="63"/>
      <c r="BC24" s="63"/>
      <c r="BD24" s="63"/>
      <c r="BE24" s="63"/>
      <c r="BF24" s="63">
        <v>12</v>
      </c>
      <c r="BG24" s="63"/>
      <c r="BH24" s="63"/>
      <c r="BI24" s="63"/>
      <c r="BJ24" s="63"/>
      <c r="BK24" s="63"/>
      <c r="BL24" s="63"/>
      <c r="BM24" s="63"/>
      <c r="BN24" s="63"/>
      <c r="BO24" s="63"/>
      <c r="BP24" s="63">
        <v>2</v>
      </c>
      <c r="BQ24" s="63">
        <v>5</v>
      </c>
      <c r="BR24" s="64">
        <v>18</v>
      </c>
      <c r="BS24" s="66">
        <v>12</v>
      </c>
      <c r="BT24" s="63">
        <v>9</v>
      </c>
      <c r="BU24" s="63">
        <v>14</v>
      </c>
      <c r="BV24" s="63">
        <v>3</v>
      </c>
      <c r="BW24" s="63">
        <v>12</v>
      </c>
      <c r="BX24" s="63">
        <v>15</v>
      </c>
      <c r="BY24" s="63">
        <v>3</v>
      </c>
      <c r="BZ24" s="63">
        <v>11</v>
      </c>
      <c r="CA24" s="63"/>
      <c r="CB24" s="63"/>
      <c r="CC24" s="63"/>
      <c r="CD24" s="63"/>
      <c r="CE24" s="63"/>
      <c r="CF24" s="63"/>
      <c r="CG24" s="63"/>
      <c r="CH24" s="63"/>
      <c r="CI24" s="63"/>
      <c r="CJ24" s="63"/>
      <c r="CK24" s="63"/>
      <c r="CL24" s="63"/>
      <c r="CM24" s="63"/>
      <c r="CN24" s="63"/>
      <c r="CO24" s="63"/>
      <c r="CP24" s="63"/>
      <c r="CQ24" s="63"/>
      <c r="CR24" s="63"/>
      <c r="CS24" s="63"/>
      <c r="CT24" s="63"/>
      <c r="CU24" s="63"/>
      <c r="CV24" s="63"/>
      <c r="CW24" s="67"/>
      <c r="CX24" s="5"/>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7"/>
      <c r="EA24" s="8"/>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R24" s="2"/>
      <c r="JS24" s="2"/>
      <c r="JT24" s="2"/>
      <c r="JU24" s="2"/>
      <c r="JV24" s="2"/>
      <c r="JW24" s="2"/>
      <c r="JX24" s="2"/>
      <c r="JY24" s="2"/>
      <c r="JZ24" s="2"/>
      <c r="KA24" s="2"/>
      <c r="KB24" s="4"/>
    </row>
    <row r="25" spans="1:404" ht="15.75" x14ac:dyDescent="0.25">
      <c r="A25" s="2"/>
      <c r="B25" s="2"/>
      <c r="C25" s="257"/>
      <c r="D25" s="55" t="s">
        <v>61</v>
      </c>
      <c r="E25" s="68">
        <v>15</v>
      </c>
      <c r="F25" s="69">
        <v>2</v>
      </c>
      <c r="G25" s="69">
        <v>11</v>
      </c>
      <c r="H25" s="70">
        <v>18</v>
      </c>
      <c r="I25" s="71">
        <v>21</v>
      </c>
      <c r="J25" s="69">
        <v>15</v>
      </c>
      <c r="K25" s="69">
        <v>24</v>
      </c>
      <c r="L25" s="69">
        <v>15</v>
      </c>
      <c r="M25" s="69">
        <v>7</v>
      </c>
      <c r="N25" s="69">
        <v>8</v>
      </c>
      <c r="O25" s="72">
        <v>21</v>
      </c>
      <c r="P25" s="69">
        <v>12</v>
      </c>
      <c r="Q25" s="69">
        <v>2</v>
      </c>
      <c r="R25" s="69">
        <v>19</v>
      </c>
      <c r="S25" s="69">
        <v>15</v>
      </c>
      <c r="T25" s="69">
        <v>12</v>
      </c>
      <c r="U25" s="69">
        <v>9</v>
      </c>
      <c r="V25" s="69">
        <v>6</v>
      </c>
      <c r="W25" s="69">
        <v>2</v>
      </c>
      <c r="X25" s="69">
        <v>2</v>
      </c>
      <c r="Y25" s="69">
        <v>23</v>
      </c>
      <c r="Z25" s="69">
        <v>6</v>
      </c>
      <c r="AA25" s="69">
        <v>12</v>
      </c>
      <c r="AB25" s="69">
        <v>18</v>
      </c>
      <c r="AC25" s="69">
        <v>22</v>
      </c>
      <c r="AD25" s="72">
        <v>17</v>
      </c>
      <c r="AE25" s="72">
        <v>17</v>
      </c>
      <c r="AF25" s="72">
        <v>16</v>
      </c>
      <c r="AG25" s="72">
        <v>18</v>
      </c>
      <c r="AH25" s="73">
        <v>14</v>
      </c>
      <c r="AI25" s="73">
        <v>7</v>
      </c>
      <c r="AJ25" s="73">
        <v>11</v>
      </c>
      <c r="AK25" s="73">
        <v>19</v>
      </c>
      <c r="AL25" s="73">
        <v>19</v>
      </c>
      <c r="AM25" s="74">
        <v>15</v>
      </c>
      <c r="AN25" s="75">
        <v>20</v>
      </c>
      <c r="AO25" s="76">
        <v>23</v>
      </c>
      <c r="AP25" s="76">
        <v>20</v>
      </c>
      <c r="AQ25" s="76">
        <v>17</v>
      </c>
      <c r="AR25" s="76">
        <v>19</v>
      </c>
      <c r="AS25" s="76">
        <v>10</v>
      </c>
      <c r="AT25" s="76">
        <v>17</v>
      </c>
      <c r="AU25" s="76">
        <v>19</v>
      </c>
      <c r="AV25" s="76">
        <v>19</v>
      </c>
      <c r="AW25" s="76">
        <v>5</v>
      </c>
      <c r="AX25" s="76">
        <v>11</v>
      </c>
      <c r="AY25" s="76">
        <v>0</v>
      </c>
      <c r="AZ25" s="76">
        <v>0</v>
      </c>
      <c r="BA25" s="76">
        <v>23</v>
      </c>
      <c r="BB25" s="76">
        <v>1</v>
      </c>
      <c r="BC25" s="76">
        <v>20</v>
      </c>
      <c r="BD25" s="76">
        <v>10</v>
      </c>
      <c r="BE25" s="76">
        <v>11</v>
      </c>
      <c r="BF25" s="73">
        <v>12</v>
      </c>
      <c r="BG25" s="76">
        <v>21</v>
      </c>
      <c r="BH25" s="76">
        <v>4</v>
      </c>
      <c r="BI25" s="76">
        <v>9</v>
      </c>
      <c r="BJ25" s="76">
        <v>1</v>
      </c>
      <c r="BK25" s="76">
        <v>23</v>
      </c>
      <c r="BL25" s="76">
        <v>9</v>
      </c>
      <c r="BM25" s="76">
        <v>14</v>
      </c>
      <c r="BN25" s="76">
        <v>6</v>
      </c>
      <c r="BO25" s="76">
        <v>2</v>
      </c>
      <c r="BP25" s="73">
        <v>14</v>
      </c>
      <c r="BQ25" s="73">
        <v>25</v>
      </c>
      <c r="BR25" s="77">
        <v>16</v>
      </c>
      <c r="BS25" s="78">
        <v>22</v>
      </c>
      <c r="BT25" s="73">
        <v>20</v>
      </c>
      <c r="BU25" s="73">
        <v>20</v>
      </c>
      <c r="BV25" s="73">
        <v>13</v>
      </c>
      <c r="BW25" s="73">
        <v>0</v>
      </c>
      <c r="BX25" s="73">
        <v>6</v>
      </c>
      <c r="BY25" s="73">
        <v>16</v>
      </c>
      <c r="BZ25" s="73">
        <v>11</v>
      </c>
      <c r="CA25" s="76">
        <v>23</v>
      </c>
      <c r="CB25" s="76">
        <v>7</v>
      </c>
      <c r="CC25" s="76">
        <v>4</v>
      </c>
      <c r="CD25" s="76">
        <v>11</v>
      </c>
      <c r="CE25" s="76">
        <v>0</v>
      </c>
      <c r="CF25" s="76">
        <v>24</v>
      </c>
      <c r="CG25" s="76">
        <v>20</v>
      </c>
      <c r="CH25" s="76">
        <v>10</v>
      </c>
      <c r="CI25" s="76">
        <v>3</v>
      </c>
      <c r="CJ25" s="76">
        <v>4</v>
      </c>
      <c r="CK25" s="76">
        <v>9</v>
      </c>
      <c r="CL25" s="76">
        <v>7</v>
      </c>
      <c r="CM25" s="76">
        <v>11</v>
      </c>
      <c r="CN25" s="76">
        <v>21</v>
      </c>
      <c r="CO25" s="76">
        <v>8</v>
      </c>
      <c r="CP25" s="76">
        <v>21</v>
      </c>
      <c r="CQ25" s="76">
        <v>1</v>
      </c>
      <c r="CR25" s="76">
        <v>21</v>
      </c>
      <c r="CS25" s="76">
        <v>5</v>
      </c>
      <c r="CT25" s="76">
        <v>11</v>
      </c>
      <c r="CU25" s="76">
        <v>3</v>
      </c>
      <c r="CV25" s="76">
        <v>1</v>
      </c>
      <c r="CW25" s="79">
        <v>18</v>
      </c>
      <c r="CX25" s="9"/>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8"/>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Y25" s="2"/>
      <c r="JZ25" s="2"/>
      <c r="KA25" s="2"/>
    </row>
    <row r="26" spans="1:404" ht="15.75" x14ac:dyDescent="0.25">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FN26" s="280"/>
      <c r="FO26" s="280"/>
      <c r="FP26" s="280"/>
      <c r="FQ26" s="38"/>
      <c r="FR26" s="48"/>
      <c r="FS26" s="48"/>
      <c r="FT26" s="48"/>
      <c r="FU26" s="38"/>
      <c r="FV26" s="280"/>
      <c r="FW26" s="48"/>
      <c r="FX26" s="48"/>
      <c r="FY26" s="48"/>
      <c r="FZ26" s="38"/>
    </row>
    <row r="27" spans="1:404" x14ac:dyDescent="0.2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260">
        <v>1</v>
      </c>
      <c r="AK27" s="260">
        <v>2</v>
      </c>
      <c r="AL27" s="260">
        <v>3</v>
      </c>
      <c r="AM27" s="260">
        <v>4</v>
      </c>
      <c r="AN27" s="260">
        <v>5</v>
      </c>
      <c r="AO27" s="260">
        <v>6</v>
      </c>
      <c r="AP27" s="260">
        <v>7</v>
      </c>
      <c r="AQ27" s="260">
        <v>8</v>
      </c>
      <c r="AR27" s="260">
        <v>9</v>
      </c>
      <c r="AS27" s="260">
        <v>10</v>
      </c>
      <c r="AT27" s="260">
        <v>11</v>
      </c>
      <c r="AU27" s="260">
        <v>12</v>
      </c>
      <c r="AV27" s="260">
        <v>13</v>
      </c>
      <c r="AW27" s="260">
        <v>14</v>
      </c>
      <c r="AX27" s="260">
        <v>15</v>
      </c>
      <c r="AY27" s="260">
        <v>16</v>
      </c>
      <c r="AZ27" s="260">
        <v>17</v>
      </c>
      <c r="BA27" s="260">
        <v>18</v>
      </c>
      <c r="BB27" s="260">
        <v>19</v>
      </c>
      <c r="BC27" s="260">
        <v>20</v>
      </c>
      <c r="BD27" s="260">
        <v>21</v>
      </c>
      <c r="BE27" s="260">
        <v>22</v>
      </c>
      <c r="BF27" s="260">
        <v>23</v>
      </c>
      <c r="BG27" s="260">
        <v>24</v>
      </c>
      <c r="BH27" s="260">
        <v>25</v>
      </c>
      <c r="BI27" s="260">
        <v>26</v>
      </c>
      <c r="BJ27" s="260">
        <v>27</v>
      </c>
      <c r="BK27" s="260">
        <v>28</v>
      </c>
      <c r="BL27" s="260">
        <v>29</v>
      </c>
      <c r="BM27" s="260">
        <v>30</v>
      </c>
      <c r="BN27" s="260">
        <v>31</v>
      </c>
      <c r="BO27" s="261">
        <v>32</v>
      </c>
      <c r="BP27" s="262">
        <v>33</v>
      </c>
      <c r="BQ27" s="260">
        <v>34</v>
      </c>
      <c r="BR27" s="260">
        <v>35</v>
      </c>
      <c r="BS27" s="260">
        <v>36</v>
      </c>
      <c r="BT27" s="260">
        <v>37</v>
      </c>
      <c r="BU27" s="260">
        <v>38</v>
      </c>
      <c r="BV27" s="260">
        <v>39</v>
      </c>
      <c r="BW27" s="260">
        <v>40</v>
      </c>
      <c r="BX27" s="260">
        <v>41</v>
      </c>
      <c r="BY27" s="260">
        <v>42</v>
      </c>
      <c r="BZ27" s="260">
        <v>43</v>
      </c>
      <c r="CA27" s="260">
        <v>44</v>
      </c>
      <c r="CB27" s="260">
        <v>45</v>
      </c>
      <c r="CC27" s="260">
        <v>46</v>
      </c>
      <c r="CD27" s="260">
        <v>47</v>
      </c>
      <c r="CE27" s="260">
        <v>48</v>
      </c>
      <c r="CF27" s="260">
        <v>49</v>
      </c>
      <c r="CG27" s="260">
        <v>50</v>
      </c>
      <c r="CH27" s="260">
        <v>51</v>
      </c>
      <c r="CI27" s="260">
        <v>52</v>
      </c>
      <c r="CJ27" s="260">
        <v>53</v>
      </c>
      <c r="CK27" s="260">
        <v>54</v>
      </c>
      <c r="CL27" s="260">
        <v>55</v>
      </c>
      <c r="CM27" s="260">
        <v>56</v>
      </c>
      <c r="CN27" s="260">
        <v>57</v>
      </c>
      <c r="CO27" s="260">
        <v>58</v>
      </c>
      <c r="CP27" s="260">
        <v>59</v>
      </c>
      <c r="CQ27" s="260">
        <v>60</v>
      </c>
      <c r="CR27" s="260">
        <v>61</v>
      </c>
      <c r="CS27" s="260">
        <v>62</v>
      </c>
      <c r="CT27" s="260">
        <v>63</v>
      </c>
      <c r="CU27" s="260">
        <v>64</v>
      </c>
      <c r="CV27" s="260">
        <v>65</v>
      </c>
      <c r="CW27" s="260">
        <v>66</v>
      </c>
      <c r="CX27" s="260">
        <v>67</v>
      </c>
      <c r="CY27" s="260">
        <v>68</v>
      </c>
      <c r="CZ27" s="260">
        <v>69</v>
      </c>
      <c r="DA27" s="260">
        <v>70</v>
      </c>
      <c r="DB27" s="260">
        <v>71</v>
      </c>
      <c r="DC27" s="260">
        <v>72</v>
      </c>
      <c r="DD27" s="260">
        <v>73</v>
      </c>
      <c r="DE27" s="260">
        <v>74</v>
      </c>
      <c r="DF27" s="260">
        <v>75</v>
      </c>
      <c r="DG27" s="260">
        <v>76</v>
      </c>
      <c r="DH27" s="260">
        <v>77</v>
      </c>
      <c r="DI27" s="260">
        <v>78</v>
      </c>
      <c r="DJ27" s="260">
        <v>79</v>
      </c>
      <c r="DK27" s="260">
        <v>80</v>
      </c>
      <c r="DL27" s="260">
        <v>81</v>
      </c>
      <c r="DM27" s="260">
        <v>82</v>
      </c>
      <c r="DN27" s="260">
        <v>83</v>
      </c>
      <c r="DO27" s="260">
        <v>84</v>
      </c>
      <c r="DP27" s="260">
        <v>85</v>
      </c>
      <c r="DQ27" s="260">
        <v>86</v>
      </c>
      <c r="DR27" s="260">
        <v>87</v>
      </c>
      <c r="DS27" s="260">
        <v>88</v>
      </c>
      <c r="DT27" s="260">
        <v>89</v>
      </c>
      <c r="DU27" s="260">
        <v>90</v>
      </c>
      <c r="DV27" s="260">
        <v>91</v>
      </c>
      <c r="DW27" s="260">
        <v>92</v>
      </c>
      <c r="DX27" s="260">
        <v>93</v>
      </c>
      <c r="DY27" s="260">
        <v>94</v>
      </c>
      <c r="DZ27" s="260">
        <v>95</v>
      </c>
      <c r="EA27" s="261">
        <v>96</v>
      </c>
      <c r="EB27" s="262">
        <v>97</v>
      </c>
      <c r="EC27" s="260"/>
      <c r="EG27" s="48"/>
      <c r="EH27" s="48"/>
      <c r="EI27" s="48"/>
      <c r="EJ27" s="38"/>
      <c r="EK27" s="48"/>
      <c r="EL27" s="48"/>
      <c r="EM27" s="48"/>
      <c r="EN27" s="38"/>
      <c r="EO27" s="48"/>
      <c r="EP27" s="48"/>
      <c r="EQ27" s="48"/>
      <c r="ER27" s="48"/>
      <c r="ES27" s="38"/>
    </row>
    <row r="28" spans="1:404" ht="16.5" x14ac:dyDescent="0.3">
      <c r="C28" s="105"/>
      <c r="D28" s="195" t="s">
        <v>147</v>
      </c>
      <c r="E28" s="80" t="s">
        <v>36</v>
      </c>
      <c r="F28" s="81" t="s">
        <v>39</v>
      </c>
      <c r="G28" s="81" t="s">
        <v>41</v>
      </c>
      <c r="H28" s="81" t="s">
        <v>52</v>
      </c>
      <c r="I28" s="81" t="s">
        <v>35</v>
      </c>
      <c r="J28" s="81" t="s">
        <v>45</v>
      </c>
      <c r="K28" s="81" t="s">
        <v>44</v>
      </c>
      <c r="L28" s="81" t="s">
        <v>34</v>
      </c>
      <c r="M28" s="81" t="s">
        <v>40</v>
      </c>
      <c r="N28" s="81" t="s">
        <v>50</v>
      </c>
      <c r="O28" s="81" t="s">
        <v>42</v>
      </c>
      <c r="P28" s="81" t="s">
        <v>38</v>
      </c>
      <c r="Q28" s="81" t="s">
        <v>54</v>
      </c>
      <c r="R28" s="81" t="s">
        <v>30</v>
      </c>
      <c r="S28" s="81" t="s">
        <v>31</v>
      </c>
      <c r="T28" s="81" t="s">
        <v>49</v>
      </c>
      <c r="U28" s="81" t="s">
        <v>48</v>
      </c>
      <c r="V28" s="81" t="s">
        <v>32</v>
      </c>
      <c r="W28" s="81" t="s">
        <v>37</v>
      </c>
      <c r="X28" s="81" t="s">
        <v>33</v>
      </c>
      <c r="Y28" s="81" t="s">
        <v>29</v>
      </c>
      <c r="Z28" s="81" t="s">
        <v>47</v>
      </c>
      <c r="AA28" s="81" t="s">
        <v>46</v>
      </c>
      <c r="AB28" s="81" t="s">
        <v>43</v>
      </c>
      <c r="AC28" s="81" t="s">
        <v>53</v>
      </c>
      <c r="AD28" s="82" t="s">
        <v>51</v>
      </c>
      <c r="AE28" s="105"/>
      <c r="AF28" s="105"/>
      <c r="AG28" s="105"/>
      <c r="AH28" s="105"/>
      <c r="AI28" s="263" t="s">
        <v>55</v>
      </c>
      <c r="AJ28" s="264">
        <v>32</v>
      </c>
      <c r="AK28" s="265">
        <v>33</v>
      </c>
      <c r="AL28" s="265">
        <v>34</v>
      </c>
      <c r="AM28" s="265">
        <v>35</v>
      </c>
      <c r="AN28" s="265">
        <v>36</v>
      </c>
      <c r="AO28" s="265">
        <v>37</v>
      </c>
      <c r="AP28" s="265">
        <v>38</v>
      </c>
      <c r="AQ28" s="265">
        <v>39</v>
      </c>
      <c r="AR28" s="265">
        <v>40</v>
      </c>
      <c r="AS28" s="265">
        <v>41</v>
      </c>
      <c r="AT28" s="265">
        <v>42</v>
      </c>
      <c r="AU28" s="265">
        <v>43</v>
      </c>
      <c r="AV28" s="265">
        <v>44</v>
      </c>
      <c r="AW28" s="265">
        <v>45</v>
      </c>
      <c r="AX28" s="265">
        <v>46</v>
      </c>
      <c r="AY28" s="265">
        <v>47</v>
      </c>
      <c r="AZ28" s="265">
        <v>48</v>
      </c>
      <c r="BA28" s="265">
        <v>49</v>
      </c>
      <c r="BB28" s="265">
        <v>50</v>
      </c>
      <c r="BC28" s="265">
        <v>51</v>
      </c>
      <c r="BD28" s="265">
        <v>52</v>
      </c>
      <c r="BE28" s="265">
        <v>53</v>
      </c>
      <c r="BF28" s="265">
        <v>54</v>
      </c>
      <c r="BG28" s="265">
        <v>55</v>
      </c>
      <c r="BH28" s="265">
        <v>56</v>
      </c>
      <c r="BI28" s="265">
        <v>57</v>
      </c>
      <c r="BJ28" s="265">
        <v>58</v>
      </c>
      <c r="BK28" s="265">
        <v>59</v>
      </c>
      <c r="BL28" s="265">
        <v>60</v>
      </c>
      <c r="BM28" s="265">
        <v>61</v>
      </c>
      <c r="BN28" s="265">
        <v>62</v>
      </c>
      <c r="BO28" s="266">
        <v>63</v>
      </c>
      <c r="BP28" s="264">
        <v>64</v>
      </c>
      <c r="BQ28" s="265">
        <v>65</v>
      </c>
      <c r="BR28" s="265">
        <v>66</v>
      </c>
      <c r="BS28" s="265">
        <v>67</v>
      </c>
      <c r="BT28" s="265">
        <v>68</v>
      </c>
      <c r="BU28" s="265">
        <v>69</v>
      </c>
      <c r="BV28" s="265">
        <v>70</v>
      </c>
      <c r="BW28" s="265">
        <v>71</v>
      </c>
      <c r="BX28" s="265">
        <v>72</v>
      </c>
      <c r="BY28" s="265">
        <v>73</v>
      </c>
      <c r="BZ28" s="265">
        <v>74</v>
      </c>
      <c r="CA28" s="265">
        <v>75</v>
      </c>
      <c r="CB28" s="265">
        <v>76</v>
      </c>
      <c r="CC28" s="265">
        <v>77</v>
      </c>
      <c r="CD28" s="265">
        <v>78</v>
      </c>
      <c r="CE28" s="265">
        <v>79</v>
      </c>
      <c r="CF28" s="265">
        <v>80</v>
      </c>
      <c r="CG28" s="265">
        <v>81</v>
      </c>
      <c r="CH28" s="265">
        <v>82</v>
      </c>
      <c r="CI28" s="265">
        <v>83</v>
      </c>
      <c r="CJ28" s="265">
        <v>84</v>
      </c>
      <c r="CK28" s="265">
        <v>85</v>
      </c>
      <c r="CL28" s="265">
        <v>86</v>
      </c>
      <c r="CM28" s="265">
        <v>87</v>
      </c>
      <c r="CN28" s="265">
        <v>88</v>
      </c>
      <c r="CO28" s="265">
        <v>89</v>
      </c>
      <c r="CP28" s="265">
        <v>90</v>
      </c>
      <c r="CQ28" s="265">
        <v>91</v>
      </c>
      <c r="CR28" s="265">
        <v>92</v>
      </c>
      <c r="CS28" s="265">
        <v>93</v>
      </c>
      <c r="CT28" s="265">
        <v>94</v>
      </c>
      <c r="CU28" s="265">
        <v>95</v>
      </c>
      <c r="CV28" s="265">
        <v>96</v>
      </c>
      <c r="CW28" s="265">
        <v>97</v>
      </c>
      <c r="CX28" s="265">
        <v>98</v>
      </c>
      <c r="CY28" s="265">
        <v>99</v>
      </c>
      <c r="CZ28" s="265">
        <v>100</v>
      </c>
      <c r="DA28" s="265">
        <v>101</v>
      </c>
      <c r="DB28" s="265">
        <v>102</v>
      </c>
      <c r="DC28" s="265">
        <v>103</v>
      </c>
      <c r="DD28" s="265">
        <v>104</v>
      </c>
      <c r="DE28" s="265">
        <v>105</v>
      </c>
      <c r="DF28" s="265">
        <v>106</v>
      </c>
      <c r="DG28" s="265">
        <v>107</v>
      </c>
      <c r="DH28" s="265">
        <v>108</v>
      </c>
      <c r="DI28" s="265">
        <v>109</v>
      </c>
      <c r="DJ28" s="265">
        <v>110</v>
      </c>
      <c r="DK28" s="265">
        <v>111</v>
      </c>
      <c r="DL28" s="265">
        <v>112</v>
      </c>
      <c r="DM28" s="265">
        <v>113</v>
      </c>
      <c r="DN28" s="265">
        <v>114</v>
      </c>
      <c r="DO28" s="265">
        <v>115</v>
      </c>
      <c r="DP28" s="265">
        <v>116</v>
      </c>
      <c r="DQ28" s="265">
        <v>117</v>
      </c>
      <c r="DR28" s="265">
        <v>118</v>
      </c>
      <c r="DS28" s="265">
        <v>119</v>
      </c>
      <c r="DT28" s="265">
        <v>120</v>
      </c>
      <c r="DU28" s="265">
        <v>121</v>
      </c>
      <c r="DV28" s="265">
        <v>122</v>
      </c>
      <c r="DW28" s="265">
        <v>123</v>
      </c>
      <c r="DX28" s="265">
        <v>124</v>
      </c>
      <c r="DY28" s="265">
        <v>125</v>
      </c>
      <c r="DZ28" s="265">
        <v>126</v>
      </c>
      <c r="EA28" s="266">
        <v>127</v>
      </c>
      <c r="EB28" s="267">
        <v>128</v>
      </c>
      <c r="EC28" s="268"/>
      <c r="EG28" s="38"/>
      <c r="EH28" s="48"/>
      <c r="EI28" s="48"/>
      <c r="EJ28" s="48"/>
      <c r="EK28" s="38"/>
      <c r="EL28" s="48"/>
      <c r="EM28" s="48"/>
      <c r="EN28" s="48"/>
      <c r="EO28" s="48"/>
      <c r="EP28" s="38"/>
      <c r="EQ28" s="48"/>
      <c r="ER28" s="48"/>
      <c r="ES28" s="48"/>
    </row>
    <row r="29" spans="1:404" ht="16.5" x14ac:dyDescent="0.3">
      <c r="C29" s="105"/>
      <c r="D29" s="195" t="s">
        <v>146</v>
      </c>
      <c r="E29" s="83">
        <v>1</v>
      </c>
      <c r="F29" s="84">
        <v>2</v>
      </c>
      <c r="G29" s="84">
        <v>3</v>
      </c>
      <c r="H29" s="84">
        <v>4</v>
      </c>
      <c r="I29" s="84">
        <v>5</v>
      </c>
      <c r="J29" s="84">
        <v>6</v>
      </c>
      <c r="K29" s="84">
        <v>7</v>
      </c>
      <c r="L29" s="84">
        <v>8</v>
      </c>
      <c r="M29" s="84">
        <v>9</v>
      </c>
      <c r="N29" s="84">
        <v>10</v>
      </c>
      <c r="O29" s="84">
        <v>11</v>
      </c>
      <c r="P29" s="84">
        <v>12</v>
      </c>
      <c r="Q29" s="84">
        <v>13</v>
      </c>
      <c r="R29" s="84">
        <v>14</v>
      </c>
      <c r="S29" s="84">
        <v>15</v>
      </c>
      <c r="T29" s="84">
        <v>16</v>
      </c>
      <c r="U29" s="84">
        <v>17</v>
      </c>
      <c r="V29" s="84">
        <v>18</v>
      </c>
      <c r="W29" s="84">
        <v>19</v>
      </c>
      <c r="X29" s="84">
        <v>20</v>
      </c>
      <c r="Y29" s="84">
        <v>21</v>
      </c>
      <c r="Z29" s="84">
        <v>22</v>
      </c>
      <c r="AA29" s="84">
        <v>23</v>
      </c>
      <c r="AB29" s="84">
        <v>24</v>
      </c>
      <c r="AC29" s="84">
        <v>25</v>
      </c>
      <c r="AD29" s="85">
        <v>0</v>
      </c>
      <c r="AE29" s="105"/>
      <c r="AF29" s="105"/>
      <c r="AG29" s="105"/>
      <c r="AH29" s="105"/>
      <c r="AI29" s="269" t="s">
        <v>56</v>
      </c>
      <c r="AJ29" s="270">
        <v>4</v>
      </c>
      <c r="AK29" s="271">
        <v>3</v>
      </c>
      <c r="AL29" s="271">
        <v>2</v>
      </c>
      <c r="AM29" s="271">
        <v>3</v>
      </c>
      <c r="AN29" s="271">
        <v>2</v>
      </c>
      <c r="AO29" s="271">
        <v>1</v>
      </c>
      <c r="AP29" s="271">
        <v>2</v>
      </c>
      <c r="AQ29" s="271">
        <v>3</v>
      </c>
      <c r="AR29" s="271">
        <v>2</v>
      </c>
      <c r="AS29" s="271">
        <v>1</v>
      </c>
      <c r="AT29" s="271">
        <v>0</v>
      </c>
      <c r="AU29" s="271">
        <v>1</v>
      </c>
      <c r="AV29" s="271">
        <v>2</v>
      </c>
      <c r="AW29" s="271">
        <v>1</v>
      </c>
      <c r="AX29" s="271">
        <v>2</v>
      </c>
      <c r="AY29" s="271">
        <v>3</v>
      </c>
      <c r="AZ29" s="271">
        <v>4</v>
      </c>
      <c r="BA29" s="271">
        <v>3</v>
      </c>
      <c r="BB29" s="271">
        <v>2</v>
      </c>
      <c r="BC29" s="271">
        <v>3</v>
      </c>
      <c r="BD29" s="271">
        <v>2</v>
      </c>
      <c r="BE29" s="271">
        <v>1</v>
      </c>
      <c r="BF29" s="271">
        <v>2</v>
      </c>
      <c r="BG29" s="271">
        <v>3</v>
      </c>
      <c r="BH29" s="271">
        <v>4</v>
      </c>
      <c r="BI29" s="271">
        <v>3</v>
      </c>
      <c r="BJ29" s="271">
        <v>2</v>
      </c>
      <c r="BK29" s="271">
        <v>3</v>
      </c>
      <c r="BL29" s="271">
        <v>4</v>
      </c>
      <c r="BM29" s="271">
        <v>3</v>
      </c>
      <c r="BN29" s="271">
        <v>4</v>
      </c>
      <c r="BO29" s="272">
        <v>5</v>
      </c>
      <c r="BP29" s="270">
        <v>5</v>
      </c>
      <c r="BQ29" s="271">
        <v>4</v>
      </c>
      <c r="BR29" s="271">
        <v>3</v>
      </c>
      <c r="BS29" s="271">
        <v>4</v>
      </c>
      <c r="BT29" s="271">
        <v>3</v>
      </c>
      <c r="BU29" s="271">
        <v>2</v>
      </c>
      <c r="BV29" s="271">
        <v>3</v>
      </c>
      <c r="BW29" s="271">
        <v>4</v>
      </c>
      <c r="BX29" s="271">
        <v>3</v>
      </c>
      <c r="BY29" s="271">
        <v>2</v>
      </c>
      <c r="BZ29" s="271">
        <v>1</v>
      </c>
      <c r="CA29" s="271">
        <v>2</v>
      </c>
      <c r="CB29" s="271">
        <v>3</v>
      </c>
      <c r="CC29" s="271">
        <v>2</v>
      </c>
      <c r="CD29" s="271">
        <v>3</v>
      </c>
      <c r="CE29" s="271">
        <v>4</v>
      </c>
      <c r="CF29" s="271">
        <v>3</v>
      </c>
      <c r="CG29" s="271">
        <v>2</v>
      </c>
      <c r="CH29" s="271">
        <v>1</v>
      </c>
      <c r="CI29" s="271">
        <v>2</v>
      </c>
      <c r="CJ29" s="271">
        <v>1</v>
      </c>
      <c r="CK29" s="271">
        <v>0</v>
      </c>
      <c r="CL29" s="271">
        <v>1</v>
      </c>
      <c r="CM29" s="271">
        <v>2</v>
      </c>
      <c r="CN29" s="271">
        <v>3</v>
      </c>
      <c r="CO29" s="271">
        <v>2</v>
      </c>
      <c r="CP29" s="271">
        <v>1</v>
      </c>
      <c r="CQ29" s="271">
        <v>2</v>
      </c>
      <c r="CR29" s="271">
        <v>3</v>
      </c>
      <c r="CS29" s="271">
        <v>2</v>
      </c>
      <c r="CT29" s="271">
        <v>3</v>
      </c>
      <c r="CU29" s="271">
        <v>4</v>
      </c>
      <c r="CV29" s="271">
        <v>5</v>
      </c>
      <c r="CW29" s="271">
        <v>4</v>
      </c>
      <c r="CX29" s="271">
        <v>3</v>
      </c>
      <c r="CY29" s="271">
        <v>4</v>
      </c>
      <c r="CZ29" s="271">
        <v>3</v>
      </c>
      <c r="DA29" s="271">
        <v>2</v>
      </c>
      <c r="DB29" s="271">
        <v>3</v>
      </c>
      <c r="DC29" s="271">
        <v>4</v>
      </c>
      <c r="DD29" s="271">
        <v>3</v>
      </c>
      <c r="DE29" s="271">
        <v>2</v>
      </c>
      <c r="DF29" s="271">
        <v>1</v>
      </c>
      <c r="DG29" s="271">
        <v>2</v>
      </c>
      <c r="DH29" s="271">
        <v>3</v>
      </c>
      <c r="DI29" s="271">
        <v>2</v>
      </c>
      <c r="DJ29" s="271">
        <v>3</v>
      </c>
      <c r="DK29" s="271">
        <v>4</v>
      </c>
      <c r="DL29" s="271">
        <v>5</v>
      </c>
      <c r="DM29" s="271">
        <v>4</v>
      </c>
      <c r="DN29" s="271">
        <v>3</v>
      </c>
      <c r="DO29" s="271">
        <v>4</v>
      </c>
      <c r="DP29" s="271">
        <v>3</v>
      </c>
      <c r="DQ29" s="271">
        <v>2</v>
      </c>
      <c r="DR29" s="271">
        <v>3</v>
      </c>
      <c r="DS29" s="271">
        <v>4</v>
      </c>
      <c r="DT29" s="271">
        <v>5</v>
      </c>
      <c r="DU29" s="271">
        <v>4</v>
      </c>
      <c r="DV29" s="271">
        <v>3</v>
      </c>
      <c r="DW29" s="271">
        <v>4</v>
      </c>
      <c r="DX29" s="271">
        <v>5</v>
      </c>
      <c r="DY29" s="271">
        <v>4</v>
      </c>
      <c r="DZ29" s="271">
        <v>5</v>
      </c>
      <c r="EA29" s="272">
        <v>6</v>
      </c>
      <c r="EB29" s="273">
        <v>6</v>
      </c>
      <c r="EC29" s="274">
        <f>SUM(AJ29:EB29)</f>
        <v>278</v>
      </c>
      <c r="EG29" s="38"/>
      <c r="EH29" s="48"/>
      <c r="EI29" s="48"/>
      <c r="EJ29" s="48"/>
      <c r="EK29" s="38"/>
      <c r="EL29" s="48"/>
      <c r="EM29" s="48"/>
      <c r="EN29" s="48"/>
      <c r="EO29" s="48"/>
      <c r="EP29" s="38"/>
      <c r="EQ29" s="48"/>
      <c r="ER29" s="48"/>
      <c r="ES29" s="48"/>
      <c r="IT29" s="4"/>
    </row>
    <row r="30" spans="1:404" ht="16.5" x14ac:dyDescent="0.3">
      <c r="C30" s="105"/>
      <c r="D30" s="195" t="s">
        <v>148</v>
      </c>
      <c r="E30" s="86" t="s">
        <v>36</v>
      </c>
      <c r="F30" s="87" t="s">
        <v>39</v>
      </c>
      <c r="G30" s="87" t="s">
        <v>41</v>
      </c>
      <c r="H30" s="87" t="s">
        <v>52</v>
      </c>
      <c r="I30" s="87" t="s">
        <v>35</v>
      </c>
      <c r="J30" s="87" t="s">
        <v>45</v>
      </c>
      <c r="K30" s="87" t="s">
        <v>44</v>
      </c>
      <c r="L30" s="87" t="s">
        <v>34</v>
      </c>
      <c r="M30" s="87" t="s">
        <v>40</v>
      </c>
      <c r="N30" s="87" t="s">
        <v>50</v>
      </c>
      <c r="O30" s="87" t="s">
        <v>42</v>
      </c>
      <c r="P30" s="87" t="s">
        <v>38</v>
      </c>
      <c r="Q30" s="87" t="s">
        <v>54</v>
      </c>
      <c r="R30" s="87" t="s">
        <v>30</v>
      </c>
      <c r="S30" s="87" t="s">
        <v>31</v>
      </c>
      <c r="T30" s="87" t="s">
        <v>49</v>
      </c>
      <c r="U30" s="87" t="s">
        <v>48</v>
      </c>
      <c r="V30" s="87" t="s">
        <v>32</v>
      </c>
      <c r="W30" s="87" t="s">
        <v>37</v>
      </c>
      <c r="X30" s="87" t="s">
        <v>33</v>
      </c>
      <c r="Y30" s="87" t="s">
        <v>29</v>
      </c>
      <c r="Z30" s="87" t="s">
        <v>47</v>
      </c>
      <c r="AA30" s="87" t="s">
        <v>46</v>
      </c>
      <c r="AB30" s="87" t="s">
        <v>43</v>
      </c>
      <c r="AC30" s="87" t="s">
        <v>53</v>
      </c>
      <c r="AD30" s="88" t="s">
        <v>51</v>
      </c>
      <c r="AE30" s="105"/>
      <c r="AF30" s="105"/>
      <c r="AG30" s="105"/>
      <c r="AH30" s="105"/>
      <c r="AI30" s="263" t="s">
        <v>57</v>
      </c>
      <c r="AJ30" s="275">
        <v>48</v>
      </c>
      <c r="AK30" s="276">
        <v>49</v>
      </c>
      <c r="AL30" s="276">
        <v>51</v>
      </c>
      <c r="AM30" s="276">
        <v>50</v>
      </c>
      <c r="AN30" s="276">
        <v>54</v>
      </c>
      <c r="AO30" s="276">
        <v>55</v>
      </c>
      <c r="AP30" s="276">
        <v>53</v>
      </c>
      <c r="AQ30" s="276">
        <v>52</v>
      </c>
      <c r="AR30" s="276">
        <v>60</v>
      </c>
      <c r="AS30" s="276">
        <v>61</v>
      </c>
      <c r="AT30" s="276">
        <v>63</v>
      </c>
      <c r="AU30" s="276">
        <v>62</v>
      </c>
      <c r="AV30" s="276">
        <v>58</v>
      </c>
      <c r="AW30" s="276">
        <v>59</v>
      </c>
      <c r="AX30" s="276">
        <v>57</v>
      </c>
      <c r="AY30" s="276">
        <v>56</v>
      </c>
      <c r="AZ30" s="276">
        <v>40</v>
      </c>
      <c r="BA30" s="276">
        <v>41</v>
      </c>
      <c r="BB30" s="276">
        <v>43</v>
      </c>
      <c r="BC30" s="276">
        <v>42</v>
      </c>
      <c r="BD30" s="276">
        <v>46</v>
      </c>
      <c r="BE30" s="276">
        <v>47</v>
      </c>
      <c r="BF30" s="276">
        <v>45</v>
      </c>
      <c r="BG30" s="276">
        <v>44</v>
      </c>
      <c r="BH30" s="276">
        <v>36</v>
      </c>
      <c r="BI30" s="276">
        <v>37</v>
      </c>
      <c r="BJ30" s="276">
        <v>39</v>
      </c>
      <c r="BK30" s="276">
        <v>38</v>
      </c>
      <c r="BL30" s="276">
        <v>34</v>
      </c>
      <c r="BM30" s="276">
        <v>35</v>
      </c>
      <c r="BN30" s="276">
        <v>33</v>
      </c>
      <c r="BO30" s="277">
        <v>32</v>
      </c>
      <c r="BP30" s="275">
        <v>96</v>
      </c>
      <c r="BQ30" s="276">
        <v>97</v>
      </c>
      <c r="BR30" s="276">
        <v>99</v>
      </c>
      <c r="BS30" s="276">
        <v>98</v>
      </c>
      <c r="BT30" s="276">
        <v>102</v>
      </c>
      <c r="BU30" s="276">
        <v>103</v>
      </c>
      <c r="BV30" s="276">
        <v>101</v>
      </c>
      <c r="BW30" s="276">
        <v>100</v>
      </c>
      <c r="BX30" s="276">
        <v>108</v>
      </c>
      <c r="BY30" s="276">
        <v>109</v>
      </c>
      <c r="BZ30" s="276">
        <v>111</v>
      </c>
      <c r="CA30" s="276">
        <v>110</v>
      </c>
      <c r="CB30" s="276">
        <v>106</v>
      </c>
      <c r="CC30" s="276">
        <v>107</v>
      </c>
      <c r="CD30" s="276">
        <v>105</v>
      </c>
      <c r="CE30" s="276">
        <v>104</v>
      </c>
      <c r="CF30" s="276">
        <v>120</v>
      </c>
      <c r="CG30" s="276">
        <v>121</v>
      </c>
      <c r="CH30" s="276">
        <v>123</v>
      </c>
      <c r="CI30" s="276">
        <v>122</v>
      </c>
      <c r="CJ30" s="276">
        <v>126</v>
      </c>
      <c r="CK30" s="276">
        <v>127</v>
      </c>
      <c r="CL30" s="276">
        <v>125</v>
      </c>
      <c r="CM30" s="276">
        <v>124</v>
      </c>
      <c r="CN30" s="276">
        <v>116</v>
      </c>
      <c r="CO30" s="276">
        <v>117</v>
      </c>
      <c r="CP30" s="276">
        <v>119</v>
      </c>
      <c r="CQ30" s="276">
        <v>118</v>
      </c>
      <c r="CR30" s="276">
        <v>114</v>
      </c>
      <c r="CS30" s="276">
        <v>115</v>
      </c>
      <c r="CT30" s="276">
        <v>113</v>
      </c>
      <c r="CU30" s="276">
        <v>112</v>
      </c>
      <c r="CV30" s="276">
        <v>80</v>
      </c>
      <c r="CW30" s="276">
        <v>81</v>
      </c>
      <c r="CX30" s="276">
        <v>83</v>
      </c>
      <c r="CY30" s="276">
        <v>82</v>
      </c>
      <c r="CZ30" s="276">
        <v>86</v>
      </c>
      <c r="DA30" s="276">
        <v>87</v>
      </c>
      <c r="DB30" s="276">
        <v>85</v>
      </c>
      <c r="DC30" s="276">
        <v>84</v>
      </c>
      <c r="DD30" s="276">
        <v>92</v>
      </c>
      <c r="DE30" s="276">
        <v>93</v>
      </c>
      <c r="DF30" s="276">
        <v>95</v>
      </c>
      <c r="DG30" s="276">
        <v>94</v>
      </c>
      <c r="DH30" s="276">
        <v>90</v>
      </c>
      <c r="DI30" s="276">
        <v>91</v>
      </c>
      <c r="DJ30" s="276">
        <v>89</v>
      </c>
      <c r="DK30" s="276">
        <v>88</v>
      </c>
      <c r="DL30" s="276">
        <v>72</v>
      </c>
      <c r="DM30" s="276">
        <v>73</v>
      </c>
      <c r="DN30" s="276">
        <v>75</v>
      </c>
      <c r="DO30" s="276">
        <v>74</v>
      </c>
      <c r="DP30" s="276">
        <v>78</v>
      </c>
      <c r="DQ30" s="276">
        <v>79</v>
      </c>
      <c r="DR30" s="276">
        <v>77</v>
      </c>
      <c r="DS30" s="276">
        <v>76</v>
      </c>
      <c r="DT30" s="276">
        <v>68</v>
      </c>
      <c r="DU30" s="276">
        <v>69</v>
      </c>
      <c r="DV30" s="276">
        <v>71</v>
      </c>
      <c r="DW30" s="276">
        <v>70</v>
      </c>
      <c r="DX30" s="276">
        <v>66</v>
      </c>
      <c r="DY30" s="276">
        <v>67</v>
      </c>
      <c r="DZ30" s="276">
        <v>65</v>
      </c>
      <c r="EA30" s="277">
        <v>64</v>
      </c>
      <c r="EB30" s="278">
        <v>192</v>
      </c>
      <c r="EC30" s="268"/>
      <c r="EG30" s="48"/>
      <c r="EH30" s="48"/>
      <c r="EI30" s="48"/>
      <c r="EJ30" s="48"/>
      <c r="EK30" s="48"/>
      <c r="EL30" s="48"/>
      <c r="EM30" s="48"/>
      <c r="EN30" s="48"/>
      <c r="EO30" s="48"/>
      <c r="EP30" s="48"/>
      <c r="EQ30" s="48"/>
      <c r="ER30" s="48"/>
      <c r="ES30" s="48"/>
    </row>
    <row r="31" spans="1:404" ht="16.5" x14ac:dyDescent="0.3">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I31" s="39"/>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c r="CV31" s="44"/>
      <c r="CW31" s="44"/>
      <c r="CX31" s="44"/>
      <c r="CY31" s="44"/>
      <c r="CZ31" s="44"/>
      <c r="DA31" s="44"/>
      <c r="DB31" s="44"/>
      <c r="DC31" s="44"/>
      <c r="DD31" s="44"/>
      <c r="DE31" s="44"/>
      <c r="DF31" s="44"/>
      <c r="DG31" s="44"/>
      <c r="DH31" s="44"/>
      <c r="DI31" s="44"/>
      <c r="DJ31" s="44"/>
      <c r="DK31" s="44"/>
      <c r="DL31" s="44"/>
      <c r="DM31" s="44"/>
      <c r="DN31" s="44"/>
      <c r="DO31" s="44"/>
      <c r="DP31" s="44"/>
      <c r="DQ31" s="44"/>
      <c r="DR31" s="44"/>
      <c r="DS31" s="44"/>
      <c r="DT31" s="44"/>
      <c r="DU31" s="44"/>
      <c r="DV31" s="44"/>
      <c r="DW31" s="44"/>
      <c r="DX31" s="44"/>
      <c r="DY31" s="44"/>
      <c r="DZ31" s="44"/>
      <c r="EA31" s="44"/>
      <c r="EB31" s="44"/>
      <c r="EC31" s="40"/>
    </row>
    <row r="32" spans="1:404" x14ac:dyDescent="0.25">
      <c r="C32" s="105"/>
      <c r="D32" s="105"/>
      <c r="E32" s="132">
        <v>1</v>
      </c>
      <c r="F32" s="132">
        <v>2</v>
      </c>
      <c r="G32" s="132">
        <v>3</v>
      </c>
      <c r="H32" s="132">
        <v>4</v>
      </c>
      <c r="I32" s="132">
        <v>5</v>
      </c>
      <c r="J32" s="132">
        <v>6</v>
      </c>
      <c r="K32" s="132">
        <v>7</v>
      </c>
      <c r="L32" s="132">
        <v>8</v>
      </c>
      <c r="M32" s="132">
        <v>9</v>
      </c>
      <c r="N32" s="132">
        <v>10</v>
      </c>
      <c r="O32" s="132">
        <v>11</v>
      </c>
      <c r="P32" s="132">
        <v>12</v>
      </c>
      <c r="Q32" s="132">
        <v>13</v>
      </c>
      <c r="R32" s="132">
        <v>14</v>
      </c>
      <c r="S32" s="132">
        <v>15</v>
      </c>
      <c r="T32" s="132">
        <v>16</v>
      </c>
      <c r="U32" s="132">
        <v>17</v>
      </c>
      <c r="V32" s="132">
        <v>18</v>
      </c>
      <c r="W32" s="132">
        <v>19</v>
      </c>
      <c r="X32" s="132">
        <v>20</v>
      </c>
      <c r="Y32" s="132">
        <v>21</v>
      </c>
      <c r="Z32" s="132">
        <v>22</v>
      </c>
      <c r="AA32" s="132">
        <v>23</v>
      </c>
      <c r="AB32" s="133">
        <v>1</v>
      </c>
      <c r="AC32" s="133">
        <v>2</v>
      </c>
      <c r="AD32" s="133">
        <v>3</v>
      </c>
      <c r="AE32" s="133">
        <v>4</v>
      </c>
      <c r="AF32" s="133">
        <v>5</v>
      </c>
      <c r="AG32" s="133">
        <v>6</v>
      </c>
      <c r="AH32" s="133">
        <v>7</v>
      </c>
      <c r="AI32" s="133">
        <v>8</v>
      </c>
      <c r="AJ32" s="133">
        <v>9</v>
      </c>
      <c r="AK32" s="133">
        <v>10</v>
      </c>
      <c r="AL32" s="133">
        <v>11</v>
      </c>
      <c r="AM32" s="133">
        <v>12</v>
      </c>
      <c r="AN32" s="133">
        <v>13</v>
      </c>
      <c r="AO32" s="133">
        <v>14</v>
      </c>
      <c r="AP32" s="133">
        <v>15</v>
      </c>
      <c r="AQ32" s="133">
        <v>16</v>
      </c>
      <c r="AR32" s="133">
        <v>17</v>
      </c>
      <c r="AS32" s="133">
        <v>18</v>
      </c>
      <c r="AT32" s="133">
        <v>19</v>
      </c>
      <c r="AU32" s="133">
        <v>20</v>
      </c>
      <c r="AV32" s="133">
        <v>21</v>
      </c>
      <c r="AW32" s="133">
        <v>22</v>
      </c>
      <c r="AX32" s="133">
        <v>23</v>
      </c>
      <c r="AY32" s="133">
        <v>24</v>
      </c>
      <c r="AZ32" s="133">
        <v>25</v>
      </c>
      <c r="BA32" s="133">
        <v>26</v>
      </c>
      <c r="BB32" s="133">
        <v>27</v>
      </c>
      <c r="BC32" s="133">
        <v>28</v>
      </c>
      <c r="BD32" s="133">
        <v>29</v>
      </c>
      <c r="BE32" s="133">
        <v>30</v>
      </c>
      <c r="BF32" s="133">
        <v>31</v>
      </c>
      <c r="BG32" s="133">
        <v>32</v>
      </c>
      <c r="BH32" s="133">
        <v>33</v>
      </c>
      <c r="BI32" s="133">
        <v>34</v>
      </c>
      <c r="BJ32" s="133">
        <v>35</v>
      </c>
      <c r="BK32" s="133">
        <v>36</v>
      </c>
      <c r="BL32" s="133">
        <v>37</v>
      </c>
      <c r="BM32" s="133">
        <v>38</v>
      </c>
      <c r="BN32" s="133">
        <v>39</v>
      </c>
      <c r="BO32" s="133">
        <v>40</v>
      </c>
      <c r="BP32" s="133">
        <v>41</v>
      </c>
      <c r="BQ32" s="133">
        <v>42</v>
      </c>
      <c r="BR32" s="133">
        <v>43</v>
      </c>
      <c r="BS32" s="133">
        <v>44</v>
      </c>
      <c r="BT32" s="133">
        <v>45</v>
      </c>
      <c r="BU32" s="133">
        <v>46</v>
      </c>
      <c r="BV32" s="133">
        <v>47</v>
      </c>
      <c r="BW32" s="133">
        <v>48</v>
      </c>
      <c r="BX32" s="133">
        <v>49</v>
      </c>
      <c r="BY32" s="133">
        <v>50</v>
      </c>
      <c r="BZ32" s="133">
        <v>51</v>
      </c>
      <c r="CA32" s="133">
        <v>52</v>
      </c>
      <c r="CB32" s="133">
        <v>53</v>
      </c>
      <c r="CC32" s="133">
        <v>54</v>
      </c>
      <c r="CD32" s="133">
        <v>55</v>
      </c>
      <c r="CE32" s="133">
        <v>56</v>
      </c>
      <c r="CF32" s="133">
        <v>57</v>
      </c>
      <c r="CG32" s="133">
        <v>58</v>
      </c>
      <c r="CH32" s="133">
        <v>59</v>
      </c>
      <c r="CI32" s="133">
        <v>60</v>
      </c>
      <c r="CJ32" s="133">
        <v>61</v>
      </c>
      <c r="CK32" s="133">
        <v>62</v>
      </c>
      <c r="CL32" s="133">
        <v>63</v>
      </c>
      <c r="CM32" s="133">
        <v>64</v>
      </c>
      <c r="CN32" s="133">
        <v>65</v>
      </c>
      <c r="CO32" s="133">
        <v>66</v>
      </c>
      <c r="CP32" s="133">
        <v>67</v>
      </c>
      <c r="CQ32" s="133">
        <v>68</v>
      </c>
      <c r="CR32" s="133">
        <v>69</v>
      </c>
      <c r="CS32" s="133">
        <v>70</v>
      </c>
      <c r="CT32" s="133">
        <v>71</v>
      </c>
      <c r="CU32" s="133">
        <v>72</v>
      </c>
      <c r="CV32" s="133">
        <v>73</v>
      </c>
      <c r="CW32" s="133">
        <v>74</v>
      </c>
      <c r="CX32" s="133">
        <v>75</v>
      </c>
      <c r="CY32" s="133">
        <v>76</v>
      </c>
      <c r="CZ32" s="133">
        <v>77</v>
      </c>
      <c r="DA32" s="133">
        <v>78</v>
      </c>
      <c r="DB32" s="133">
        <v>79</v>
      </c>
      <c r="DC32" s="133">
        <v>80</v>
      </c>
      <c r="DD32" s="133">
        <v>81</v>
      </c>
      <c r="DE32" s="133">
        <v>82</v>
      </c>
      <c r="DF32" s="133">
        <v>83</v>
      </c>
      <c r="DG32" s="133">
        <v>84</v>
      </c>
      <c r="DH32" s="133">
        <v>85</v>
      </c>
      <c r="DI32" s="133">
        <v>86</v>
      </c>
      <c r="DJ32" s="133">
        <v>87</v>
      </c>
      <c r="DK32" s="133">
        <v>88</v>
      </c>
      <c r="DL32" s="133">
        <v>89</v>
      </c>
      <c r="DM32" s="133">
        <v>90</v>
      </c>
      <c r="DN32" s="133">
        <v>91</v>
      </c>
      <c r="DO32" s="133">
        <v>92</v>
      </c>
      <c r="DP32" s="133">
        <v>93</v>
      </c>
      <c r="DQ32" s="133">
        <v>94</v>
      </c>
      <c r="DR32" s="133">
        <v>95</v>
      </c>
      <c r="DS32" s="133">
        <v>96</v>
      </c>
      <c r="DT32" s="133">
        <v>97</v>
      </c>
      <c r="DU32" s="133">
        <v>98</v>
      </c>
      <c r="DV32" s="133">
        <v>99</v>
      </c>
      <c r="DW32" s="133">
        <v>100</v>
      </c>
      <c r="DX32" s="133">
        <v>101</v>
      </c>
      <c r="DY32" s="133">
        <v>102</v>
      </c>
      <c r="DZ32" s="133">
        <v>103</v>
      </c>
      <c r="EA32" s="133">
        <v>104</v>
      </c>
      <c r="EB32" s="133">
        <v>105</v>
      </c>
      <c r="EC32" s="133">
        <v>106</v>
      </c>
      <c r="ED32" s="133">
        <v>107</v>
      </c>
      <c r="EE32" s="133">
        <v>108</v>
      </c>
      <c r="EF32" s="133">
        <v>109</v>
      </c>
      <c r="EG32" s="133">
        <v>110</v>
      </c>
      <c r="EH32" s="133">
        <v>111</v>
      </c>
      <c r="EI32" s="133">
        <v>112</v>
      </c>
      <c r="EJ32" s="133">
        <v>113</v>
      </c>
      <c r="EK32" s="133">
        <v>114</v>
      </c>
      <c r="EL32" s="134">
        <v>1</v>
      </c>
      <c r="EM32" s="134">
        <v>2</v>
      </c>
      <c r="EN32" s="134">
        <v>3</v>
      </c>
      <c r="EO32" s="134">
        <v>4</v>
      </c>
      <c r="EP32" s="134">
        <v>5</v>
      </c>
      <c r="EQ32" s="134">
        <v>6</v>
      </c>
      <c r="ER32" s="134">
        <v>7</v>
      </c>
      <c r="ES32" s="134">
        <v>8</v>
      </c>
      <c r="ET32" s="134">
        <v>9</v>
      </c>
      <c r="EU32" s="134">
        <v>10</v>
      </c>
      <c r="EV32" s="134">
        <v>11</v>
      </c>
      <c r="EW32" s="134">
        <v>12</v>
      </c>
      <c r="EX32" s="134">
        <v>13</v>
      </c>
      <c r="EY32" s="134">
        <v>14</v>
      </c>
      <c r="EZ32" s="134">
        <v>15</v>
      </c>
      <c r="FA32" s="134">
        <v>16</v>
      </c>
      <c r="FB32" s="134">
        <v>17</v>
      </c>
      <c r="FC32" s="134">
        <v>18</v>
      </c>
      <c r="FD32" s="134">
        <v>19</v>
      </c>
      <c r="FE32" s="134">
        <v>20</v>
      </c>
      <c r="FF32" s="134">
        <v>21</v>
      </c>
      <c r="FG32" s="134">
        <v>22</v>
      </c>
      <c r="FH32" s="134">
        <v>23</v>
      </c>
      <c r="FI32" s="134">
        <v>24</v>
      </c>
      <c r="FJ32" s="134">
        <v>25</v>
      </c>
      <c r="FK32" s="134">
        <v>26</v>
      </c>
      <c r="FL32" s="134">
        <v>27</v>
      </c>
      <c r="FM32" s="134">
        <v>28</v>
      </c>
      <c r="FN32" s="134">
        <v>29</v>
      </c>
      <c r="FO32" s="134">
        <v>30</v>
      </c>
      <c r="FP32" s="134">
        <v>31</v>
      </c>
      <c r="FQ32" s="134">
        <v>32</v>
      </c>
      <c r="FR32" s="134">
        <v>33</v>
      </c>
      <c r="FS32" s="134">
        <v>34</v>
      </c>
      <c r="FT32" s="134">
        <v>35</v>
      </c>
      <c r="FU32" s="134">
        <v>36</v>
      </c>
      <c r="FV32" s="134">
        <v>37</v>
      </c>
      <c r="FW32" s="134">
        <v>38</v>
      </c>
      <c r="FX32" s="134">
        <v>39</v>
      </c>
      <c r="FY32" s="134">
        <v>40</v>
      </c>
      <c r="FZ32" s="134">
        <v>41</v>
      </c>
      <c r="GA32" s="134">
        <v>42</v>
      </c>
      <c r="GB32" s="134">
        <v>43</v>
      </c>
      <c r="GC32" s="134">
        <v>44</v>
      </c>
      <c r="GD32" s="134">
        <v>45</v>
      </c>
      <c r="GE32" s="134">
        <v>46</v>
      </c>
      <c r="GF32" s="134">
        <v>47</v>
      </c>
      <c r="GG32" s="134">
        <v>48</v>
      </c>
      <c r="GH32" s="134">
        <v>49</v>
      </c>
      <c r="GI32" s="134">
        <v>50</v>
      </c>
      <c r="GJ32" s="134">
        <v>51</v>
      </c>
      <c r="GK32" s="134">
        <v>52</v>
      </c>
      <c r="GL32" s="134">
        <v>53</v>
      </c>
      <c r="GM32" s="134">
        <v>54</v>
      </c>
      <c r="GN32" s="134">
        <v>55</v>
      </c>
      <c r="GO32" s="134">
        <v>56</v>
      </c>
      <c r="GP32" s="134">
        <v>57</v>
      </c>
      <c r="GQ32" s="134">
        <v>58</v>
      </c>
      <c r="GR32" s="134">
        <v>59</v>
      </c>
      <c r="GS32" s="134">
        <v>60</v>
      </c>
      <c r="GT32" s="134">
        <v>61</v>
      </c>
      <c r="GU32" s="134">
        <v>62</v>
      </c>
      <c r="GV32" s="134">
        <v>63</v>
      </c>
      <c r="GW32" s="134">
        <v>64</v>
      </c>
      <c r="GX32" s="134">
        <v>65</v>
      </c>
      <c r="GY32" s="134">
        <v>66</v>
      </c>
      <c r="GZ32" s="134">
        <v>67</v>
      </c>
      <c r="HA32" s="134">
        <v>68</v>
      </c>
      <c r="HB32" s="134">
        <v>69</v>
      </c>
      <c r="HC32" s="134">
        <v>70</v>
      </c>
      <c r="HD32" s="134">
        <v>71</v>
      </c>
      <c r="HE32" s="134">
        <v>72</v>
      </c>
      <c r="HF32" s="134">
        <v>73</v>
      </c>
      <c r="HG32" s="134">
        <v>74</v>
      </c>
      <c r="HH32" s="134">
        <v>75</v>
      </c>
      <c r="HI32" s="134">
        <v>76</v>
      </c>
      <c r="HJ32" s="134">
        <v>77</v>
      </c>
      <c r="HK32" s="134">
        <v>78</v>
      </c>
      <c r="HL32" s="134">
        <v>79</v>
      </c>
      <c r="HM32" s="134">
        <v>80</v>
      </c>
      <c r="HN32" s="134">
        <v>81</v>
      </c>
      <c r="HO32" s="134">
        <v>82</v>
      </c>
      <c r="HP32" s="134">
        <v>83</v>
      </c>
      <c r="HQ32" s="134">
        <v>84</v>
      </c>
      <c r="HR32" s="134">
        <v>85</v>
      </c>
      <c r="HS32" s="134">
        <v>86</v>
      </c>
      <c r="HT32" s="134">
        <v>87</v>
      </c>
      <c r="HU32" s="134">
        <v>88</v>
      </c>
      <c r="HV32" s="134">
        <v>89</v>
      </c>
      <c r="HW32" s="134">
        <v>90</v>
      </c>
      <c r="HX32" s="134">
        <v>91</v>
      </c>
      <c r="HY32" s="134">
        <v>92</v>
      </c>
      <c r="HZ32" s="134">
        <v>93</v>
      </c>
      <c r="IA32" s="134">
        <v>94</v>
      </c>
      <c r="IB32" s="134">
        <v>95</v>
      </c>
      <c r="IC32" s="134">
        <v>96</v>
      </c>
      <c r="ID32" s="134">
        <v>97</v>
      </c>
      <c r="IE32" s="134">
        <v>98</v>
      </c>
      <c r="IF32" s="134">
        <v>99</v>
      </c>
      <c r="IG32" s="134">
        <v>100</v>
      </c>
      <c r="IH32" s="134">
        <v>101</v>
      </c>
      <c r="II32" s="134">
        <v>102</v>
      </c>
      <c r="IJ32" s="134">
        <v>103</v>
      </c>
      <c r="IK32" s="134">
        <v>104</v>
      </c>
      <c r="IL32" s="134">
        <v>105</v>
      </c>
      <c r="IM32" s="134">
        <v>106</v>
      </c>
      <c r="IN32" s="134">
        <v>107</v>
      </c>
      <c r="IO32" s="134">
        <v>108</v>
      </c>
      <c r="IP32" s="134">
        <v>109</v>
      </c>
      <c r="IQ32" s="134">
        <v>110</v>
      </c>
      <c r="IR32" s="134">
        <v>111</v>
      </c>
      <c r="IS32" s="134">
        <v>112</v>
      </c>
      <c r="IT32" s="134">
        <v>113</v>
      </c>
      <c r="IU32" s="134">
        <v>114</v>
      </c>
      <c r="IV32" s="134">
        <v>115</v>
      </c>
      <c r="IW32" s="134">
        <v>116</v>
      </c>
      <c r="IX32" s="134">
        <v>117</v>
      </c>
      <c r="IY32" s="134">
        <v>118</v>
      </c>
      <c r="IZ32" s="134">
        <v>119</v>
      </c>
      <c r="JA32" s="134">
        <v>120</v>
      </c>
      <c r="JB32" s="134">
        <v>121</v>
      </c>
      <c r="JC32" s="134">
        <v>122</v>
      </c>
      <c r="JD32" s="134">
        <v>123</v>
      </c>
      <c r="JE32" s="134">
        <v>124</v>
      </c>
      <c r="JF32" s="134">
        <v>125</v>
      </c>
      <c r="JG32" s="134">
        <v>126</v>
      </c>
      <c r="JH32" s="134">
        <v>127</v>
      </c>
      <c r="JI32" s="134">
        <v>128</v>
      </c>
      <c r="JJ32" s="134">
        <v>129</v>
      </c>
      <c r="JK32" s="134">
        <v>130</v>
      </c>
      <c r="JL32" s="134">
        <v>131</v>
      </c>
      <c r="JM32" s="134">
        <v>132</v>
      </c>
      <c r="JN32" s="134">
        <v>133</v>
      </c>
      <c r="JO32" s="134">
        <v>134</v>
      </c>
      <c r="JP32" s="134">
        <v>135</v>
      </c>
      <c r="JQ32" s="134">
        <v>136</v>
      </c>
      <c r="JR32" s="134">
        <v>137</v>
      </c>
      <c r="JS32" s="134">
        <v>138</v>
      </c>
      <c r="JT32" s="134">
        <v>139</v>
      </c>
      <c r="JU32" s="134">
        <v>140</v>
      </c>
      <c r="JV32" s="134">
        <v>141</v>
      </c>
      <c r="JW32" s="105"/>
      <c r="JX32" s="105"/>
      <c r="KB32" s="33"/>
    </row>
    <row r="33" spans="1:290" ht="15.75" x14ac:dyDescent="0.3">
      <c r="C33" s="105"/>
      <c r="D33" s="233" t="s">
        <v>84</v>
      </c>
      <c r="E33" s="223" t="e">
        <f t="shared" ref="E33:BP33" si="0">HLOOKUP(E20,LETTERS_to_NUMBERS,2,FALSE)</f>
        <v>#N/A</v>
      </c>
      <c r="F33" s="224" t="e">
        <f t="shared" si="0"/>
        <v>#N/A</v>
      </c>
      <c r="G33" s="224" t="e">
        <f t="shared" si="0"/>
        <v>#N/A</v>
      </c>
      <c r="H33" s="224" t="e">
        <f t="shared" si="0"/>
        <v>#N/A</v>
      </c>
      <c r="I33" s="224" t="e">
        <f t="shared" si="0"/>
        <v>#N/A</v>
      </c>
      <c r="J33" s="224" t="e">
        <f t="shared" si="0"/>
        <v>#N/A</v>
      </c>
      <c r="K33" s="224" t="e">
        <f t="shared" si="0"/>
        <v>#N/A</v>
      </c>
      <c r="L33" s="224" t="e">
        <f t="shared" si="0"/>
        <v>#N/A</v>
      </c>
      <c r="M33" s="224" t="e">
        <f t="shared" si="0"/>
        <v>#N/A</v>
      </c>
      <c r="N33" s="224" t="e">
        <f t="shared" si="0"/>
        <v>#N/A</v>
      </c>
      <c r="O33" s="224" t="e">
        <f t="shared" si="0"/>
        <v>#N/A</v>
      </c>
      <c r="P33" s="224" t="e">
        <f t="shared" si="0"/>
        <v>#N/A</v>
      </c>
      <c r="Q33" s="224" t="e">
        <f t="shared" si="0"/>
        <v>#N/A</v>
      </c>
      <c r="R33" s="224" t="e">
        <f t="shared" si="0"/>
        <v>#N/A</v>
      </c>
      <c r="S33" s="224" t="e">
        <f t="shared" si="0"/>
        <v>#N/A</v>
      </c>
      <c r="T33" s="224" t="e">
        <f t="shared" si="0"/>
        <v>#N/A</v>
      </c>
      <c r="U33" s="224" t="e">
        <f t="shared" si="0"/>
        <v>#N/A</v>
      </c>
      <c r="V33" s="224" t="e">
        <f t="shared" si="0"/>
        <v>#N/A</v>
      </c>
      <c r="W33" s="224" t="e">
        <f t="shared" si="0"/>
        <v>#N/A</v>
      </c>
      <c r="X33" s="224" t="e">
        <f t="shared" si="0"/>
        <v>#N/A</v>
      </c>
      <c r="Y33" s="224" t="e">
        <f t="shared" si="0"/>
        <v>#N/A</v>
      </c>
      <c r="Z33" s="224" t="e">
        <f t="shared" si="0"/>
        <v>#N/A</v>
      </c>
      <c r="AA33" s="224" t="e">
        <f t="shared" si="0"/>
        <v>#N/A</v>
      </c>
      <c r="AB33" s="225" t="e">
        <f t="shared" si="0"/>
        <v>#N/A</v>
      </c>
      <c r="AC33" s="226" t="e">
        <f t="shared" si="0"/>
        <v>#N/A</v>
      </c>
      <c r="AD33" s="226" t="e">
        <f t="shared" si="0"/>
        <v>#N/A</v>
      </c>
      <c r="AE33" s="226" t="e">
        <f t="shared" si="0"/>
        <v>#N/A</v>
      </c>
      <c r="AF33" s="226" t="e">
        <f t="shared" si="0"/>
        <v>#N/A</v>
      </c>
      <c r="AG33" s="226" t="e">
        <f t="shared" si="0"/>
        <v>#N/A</v>
      </c>
      <c r="AH33" s="226" t="e">
        <f t="shared" si="0"/>
        <v>#N/A</v>
      </c>
      <c r="AI33" s="226" t="e">
        <f t="shared" si="0"/>
        <v>#N/A</v>
      </c>
      <c r="AJ33" s="226" t="e">
        <f t="shared" si="0"/>
        <v>#N/A</v>
      </c>
      <c r="AK33" s="226" t="e">
        <f t="shared" si="0"/>
        <v>#N/A</v>
      </c>
      <c r="AL33" s="226" t="e">
        <f t="shared" si="0"/>
        <v>#N/A</v>
      </c>
      <c r="AM33" s="226" t="e">
        <f t="shared" si="0"/>
        <v>#N/A</v>
      </c>
      <c r="AN33" s="226" t="e">
        <f t="shared" si="0"/>
        <v>#N/A</v>
      </c>
      <c r="AO33" s="226" t="e">
        <f t="shared" si="0"/>
        <v>#N/A</v>
      </c>
      <c r="AP33" s="226" t="e">
        <f t="shared" si="0"/>
        <v>#N/A</v>
      </c>
      <c r="AQ33" s="226" t="e">
        <f t="shared" si="0"/>
        <v>#N/A</v>
      </c>
      <c r="AR33" s="226" t="e">
        <f t="shared" si="0"/>
        <v>#N/A</v>
      </c>
      <c r="AS33" s="226" t="e">
        <f t="shared" si="0"/>
        <v>#N/A</v>
      </c>
      <c r="AT33" s="226" t="e">
        <f t="shared" si="0"/>
        <v>#N/A</v>
      </c>
      <c r="AU33" s="226" t="e">
        <f t="shared" si="0"/>
        <v>#N/A</v>
      </c>
      <c r="AV33" s="226" t="e">
        <f t="shared" si="0"/>
        <v>#N/A</v>
      </c>
      <c r="AW33" s="226" t="e">
        <f t="shared" si="0"/>
        <v>#N/A</v>
      </c>
      <c r="AX33" s="226" t="e">
        <f t="shared" si="0"/>
        <v>#N/A</v>
      </c>
      <c r="AY33" s="226" t="e">
        <f t="shared" si="0"/>
        <v>#N/A</v>
      </c>
      <c r="AZ33" s="226" t="e">
        <f t="shared" si="0"/>
        <v>#N/A</v>
      </c>
      <c r="BA33" s="226" t="e">
        <f t="shared" si="0"/>
        <v>#N/A</v>
      </c>
      <c r="BB33" s="226" t="e">
        <f t="shared" si="0"/>
        <v>#N/A</v>
      </c>
      <c r="BC33" s="226" t="e">
        <f t="shared" si="0"/>
        <v>#N/A</v>
      </c>
      <c r="BD33" s="226" t="e">
        <f t="shared" si="0"/>
        <v>#N/A</v>
      </c>
      <c r="BE33" s="226" t="e">
        <f t="shared" si="0"/>
        <v>#N/A</v>
      </c>
      <c r="BF33" s="226" t="e">
        <f t="shared" si="0"/>
        <v>#N/A</v>
      </c>
      <c r="BG33" s="226" t="e">
        <f t="shared" si="0"/>
        <v>#N/A</v>
      </c>
      <c r="BH33" s="226" t="e">
        <f t="shared" si="0"/>
        <v>#N/A</v>
      </c>
      <c r="BI33" s="226" t="e">
        <f t="shared" si="0"/>
        <v>#N/A</v>
      </c>
      <c r="BJ33" s="226" t="e">
        <f t="shared" si="0"/>
        <v>#N/A</v>
      </c>
      <c r="BK33" s="226" t="e">
        <f t="shared" si="0"/>
        <v>#N/A</v>
      </c>
      <c r="BL33" s="226" t="e">
        <f t="shared" si="0"/>
        <v>#N/A</v>
      </c>
      <c r="BM33" s="226" t="e">
        <f t="shared" si="0"/>
        <v>#N/A</v>
      </c>
      <c r="BN33" s="226" t="e">
        <f t="shared" si="0"/>
        <v>#N/A</v>
      </c>
      <c r="BO33" s="226" t="e">
        <f t="shared" si="0"/>
        <v>#N/A</v>
      </c>
      <c r="BP33" s="226" t="e">
        <f t="shared" si="0"/>
        <v>#N/A</v>
      </c>
      <c r="BQ33" s="226" t="e">
        <f t="shared" ref="BQ33:EB33" si="1">HLOOKUP(BQ20,LETTERS_to_NUMBERS,2,FALSE)</f>
        <v>#N/A</v>
      </c>
      <c r="BR33" s="226" t="e">
        <f t="shared" si="1"/>
        <v>#N/A</v>
      </c>
      <c r="BS33" s="226" t="e">
        <f t="shared" si="1"/>
        <v>#N/A</v>
      </c>
      <c r="BT33" s="226" t="e">
        <f t="shared" si="1"/>
        <v>#N/A</v>
      </c>
      <c r="BU33" s="226" t="e">
        <f t="shared" si="1"/>
        <v>#N/A</v>
      </c>
      <c r="BV33" s="226" t="e">
        <f t="shared" si="1"/>
        <v>#N/A</v>
      </c>
      <c r="BW33" s="226" t="e">
        <f t="shared" si="1"/>
        <v>#N/A</v>
      </c>
      <c r="BX33" s="226" t="e">
        <f t="shared" si="1"/>
        <v>#N/A</v>
      </c>
      <c r="BY33" s="226" t="e">
        <f t="shared" si="1"/>
        <v>#N/A</v>
      </c>
      <c r="BZ33" s="226" t="e">
        <f t="shared" si="1"/>
        <v>#N/A</v>
      </c>
      <c r="CA33" s="226" t="e">
        <f t="shared" si="1"/>
        <v>#N/A</v>
      </c>
      <c r="CB33" s="226" t="e">
        <f t="shared" si="1"/>
        <v>#N/A</v>
      </c>
      <c r="CC33" s="226" t="e">
        <f t="shared" si="1"/>
        <v>#N/A</v>
      </c>
      <c r="CD33" s="226" t="e">
        <f t="shared" si="1"/>
        <v>#N/A</v>
      </c>
      <c r="CE33" s="226" t="e">
        <f t="shared" si="1"/>
        <v>#N/A</v>
      </c>
      <c r="CF33" s="226" t="e">
        <f t="shared" si="1"/>
        <v>#N/A</v>
      </c>
      <c r="CG33" s="226" t="e">
        <f t="shared" si="1"/>
        <v>#N/A</v>
      </c>
      <c r="CH33" s="226" t="e">
        <f t="shared" si="1"/>
        <v>#N/A</v>
      </c>
      <c r="CI33" s="226" t="e">
        <f t="shared" si="1"/>
        <v>#N/A</v>
      </c>
      <c r="CJ33" s="226" t="e">
        <f t="shared" si="1"/>
        <v>#N/A</v>
      </c>
      <c r="CK33" s="226" t="e">
        <f t="shared" si="1"/>
        <v>#N/A</v>
      </c>
      <c r="CL33" s="226" t="e">
        <f t="shared" si="1"/>
        <v>#N/A</v>
      </c>
      <c r="CM33" s="226" t="e">
        <f t="shared" si="1"/>
        <v>#N/A</v>
      </c>
      <c r="CN33" s="226" t="e">
        <f t="shared" si="1"/>
        <v>#N/A</v>
      </c>
      <c r="CO33" s="226" t="e">
        <f t="shared" si="1"/>
        <v>#N/A</v>
      </c>
      <c r="CP33" s="226" t="e">
        <f t="shared" si="1"/>
        <v>#N/A</v>
      </c>
      <c r="CQ33" s="226" t="e">
        <f t="shared" si="1"/>
        <v>#N/A</v>
      </c>
      <c r="CR33" s="226" t="e">
        <f t="shared" si="1"/>
        <v>#N/A</v>
      </c>
      <c r="CS33" s="226" t="e">
        <f t="shared" si="1"/>
        <v>#N/A</v>
      </c>
      <c r="CT33" s="226" t="e">
        <f t="shared" si="1"/>
        <v>#N/A</v>
      </c>
      <c r="CU33" s="226" t="e">
        <f t="shared" si="1"/>
        <v>#N/A</v>
      </c>
      <c r="CV33" s="226" t="e">
        <f t="shared" si="1"/>
        <v>#N/A</v>
      </c>
      <c r="CW33" s="226" t="e">
        <f t="shared" si="1"/>
        <v>#N/A</v>
      </c>
      <c r="CX33" s="226" t="e">
        <f t="shared" si="1"/>
        <v>#N/A</v>
      </c>
      <c r="CY33" s="226" t="e">
        <f t="shared" si="1"/>
        <v>#N/A</v>
      </c>
      <c r="CZ33" s="226" t="e">
        <f t="shared" si="1"/>
        <v>#N/A</v>
      </c>
      <c r="DA33" s="226" t="e">
        <f t="shared" si="1"/>
        <v>#N/A</v>
      </c>
      <c r="DB33" s="226" t="e">
        <f t="shared" si="1"/>
        <v>#N/A</v>
      </c>
      <c r="DC33" s="226" t="e">
        <f t="shared" si="1"/>
        <v>#N/A</v>
      </c>
      <c r="DD33" s="226" t="e">
        <f t="shared" si="1"/>
        <v>#N/A</v>
      </c>
      <c r="DE33" s="226" t="e">
        <f t="shared" si="1"/>
        <v>#N/A</v>
      </c>
      <c r="DF33" s="226" t="e">
        <f t="shared" si="1"/>
        <v>#N/A</v>
      </c>
      <c r="DG33" s="226" t="e">
        <f t="shared" si="1"/>
        <v>#N/A</v>
      </c>
      <c r="DH33" s="226" t="e">
        <f t="shared" si="1"/>
        <v>#N/A</v>
      </c>
      <c r="DI33" s="226" t="e">
        <f t="shared" si="1"/>
        <v>#N/A</v>
      </c>
      <c r="DJ33" s="226" t="e">
        <f t="shared" si="1"/>
        <v>#N/A</v>
      </c>
      <c r="DK33" s="226" t="e">
        <f t="shared" si="1"/>
        <v>#N/A</v>
      </c>
      <c r="DL33" s="226" t="e">
        <f t="shared" si="1"/>
        <v>#N/A</v>
      </c>
      <c r="DM33" s="226" t="e">
        <f t="shared" si="1"/>
        <v>#N/A</v>
      </c>
      <c r="DN33" s="226" t="e">
        <f t="shared" si="1"/>
        <v>#N/A</v>
      </c>
      <c r="DO33" s="226" t="e">
        <f t="shared" si="1"/>
        <v>#N/A</v>
      </c>
      <c r="DP33" s="226" t="e">
        <f t="shared" si="1"/>
        <v>#N/A</v>
      </c>
      <c r="DQ33" s="226" t="e">
        <f t="shared" si="1"/>
        <v>#N/A</v>
      </c>
      <c r="DR33" s="226" t="e">
        <f t="shared" si="1"/>
        <v>#N/A</v>
      </c>
      <c r="DS33" s="226" t="e">
        <f t="shared" si="1"/>
        <v>#N/A</v>
      </c>
      <c r="DT33" s="226" t="e">
        <f t="shared" si="1"/>
        <v>#N/A</v>
      </c>
      <c r="DU33" s="226" t="e">
        <f t="shared" si="1"/>
        <v>#N/A</v>
      </c>
      <c r="DV33" s="226" t="e">
        <f t="shared" si="1"/>
        <v>#N/A</v>
      </c>
      <c r="DW33" s="226" t="e">
        <f t="shared" si="1"/>
        <v>#N/A</v>
      </c>
      <c r="DX33" s="226" t="e">
        <f t="shared" si="1"/>
        <v>#N/A</v>
      </c>
      <c r="DY33" s="226" t="e">
        <f t="shared" si="1"/>
        <v>#N/A</v>
      </c>
      <c r="DZ33" s="226" t="e">
        <f t="shared" si="1"/>
        <v>#N/A</v>
      </c>
      <c r="EA33" s="226" t="e">
        <f t="shared" si="1"/>
        <v>#N/A</v>
      </c>
      <c r="EB33" s="226" t="e">
        <f t="shared" si="1"/>
        <v>#N/A</v>
      </c>
      <c r="EC33" s="226" t="e">
        <f t="shared" ref="EC33:GN33" si="2">HLOOKUP(EC20,LETTERS_to_NUMBERS,2,FALSE)</f>
        <v>#N/A</v>
      </c>
      <c r="ED33" s="226" t="e">
        <f t="shared" si="2"/>
        <v>#N/A</v>
      </c>
      <c r="EE33" s="226" t="e">
        <f t="shared" si="2"/>
        <v>#N/A</v>
      </c>
      <c r="EF33" s="226" t="e">
        <f t="shared" si="2"/>
        <v>#N/A</v>
      </c>
      <c r="EG33" s="226" t="e">
        <f t="shared" si="2"/>
        <v>#N/A</v>
      </c>
      <c r="EH33" s="226" t="e">
        <f t="shared" si="2"/>
        <v>#N/A</v>
      </c>
      <c r="EI33" s="226" t="e">
        <f t="shared" si="2"/>
        <v>#N/A</v>
      </c>
      <c r="EJ33" s="226" t="e">
        <f t="shared" si="2"/>
        <v>#N/A</v>
      </c>
      <c r="EK33" s="226" t="e">
        <f t="shared" si="2"/>
        <v>#N/A</v>
      </c>
      <c r="EL33" s="227" t="e">
        <f t="shared" si="2"/>
        <v>#N/A</v>
      </c>
      <c r="EM33" s="228" t="e">
        <f t="shared" si="2"/>
        <v>#N/A</v>
      </c>
      <c r="EN33" s="228" t="e">
        <f t="shared" si="2"/>
        <v>#N/A</v>
      </c>
      <c r="EO33" s="228" t="e">
        <f t="shared" si="2"/>
        <v>#N/A</v>
      </c>
      <c r="EP33" s="228" t="e">
        <f t="shared" si="2"/>
        <v>#N/A</v>
      </c>
      <c r="EQ33" s="228" t="e">
        <f t="shared" si="2"/>
        <v>#N/A</v>
      </c>
      <c r="ER33" s="228" t="e">
        <f t="shared" si="2"/>
        <v>#N/A</v>
      </c>
      <c r="ES33" s="228" t="e">
        <f t="shared" si="2"/>
        <v>#N/A</v>
      </c>
      <c r="ET33" s="228" t="e">
        <f t="shared" si="2"/>
        <v>#N/A</v>
      </c>
      <c r="EU33" s="228" t="e">
        <f t="shared" si="2"/>
        <v>#N/A</v>
      </c>
      <c r="EV33" s="228" t="e">
        <f t="shared" si="2"/>
        <v>#N/A</v>
      </c>
      <c r="EW33" s="228" t="e">
        <f t="shared" si="2"/>
        <v>#N/A</v>
      </c>
      <c r="EX33" s="228" t="e">
        <f t="shared" si="2"/>
        <v>#N/A</v>
      </c>
      <c r="EY33" s="228" t="e">
        <f t="shared" si="2"/>
        <v>#N/A</v>
      </c>
      <c r="EZ33" s="228" t="e">
        <f t="shared" si="2"/>
        <v>#N/A</v>
      </c>
      <c r="FA33" s="228" t="e">
        <f t="shared" si="2"/>
        <v>#N/A</v>
      </c>
      <c r="FB33" s="228" t="e">
        <f t="shared" si="2"/>
        <v>#N/A</v>
      </c>
      <c r="FC33" s="228" t="e">
        <f t="shared" si="2"/>
        <v>#N/A</v>
      </c>
      <c r="FD33" s="228" t="e">
        <f t="shared" si="2"/>
        <v>#N/A</v>
      </c>
      <c r="FE33" s="228" t="e">
        <f t="shared" si="2"/>
        <v>#N/A</v>
      </c>
      <c r="FF33" s="228" t="e">
        <f t="shared" si="2"/>
        <v>#N/A</v>
      </c>
      <c r="FG33" s="228" t="e">
        <f t="shared" si="2"/>
        <v>#N/A</v>
      </c>
      <c r="FH33" s="228" t="e">
        <f t="shared" si="2"/>
        <v>#N/A</v>
      </c>
      <c r="FI33" s="228" t="e">
        <f t="shared" si="2"/>
        <v>#N/A</v>
      </c>
      <c r="FJ33" s="228" t="e">
        <f t="shared" si="2"/>
        <v>#N/A</v>
      </c>
      <c r="FK33" s="228" t="e">
        <f t="shared" si="2"/>
        <v>#N/A</v>
      </c>
      <c r="FL33" s="228" t="e">
        <f t="shared" si="2"/>
        <v>#N/A</v>
      </c>
      <c r="FM33" s="228" t="e">
        <f t="shared" si="2"/>
        <v>#N/A</v>
      </c>
      <c r="FN33" s="228" t="e">
        <f t="shared" si="2"/>
        <v>#N/A</v>
      </c>
      <c r="FO33" s="228" t="e">
        <f t="shared" si="2"/>
        <v>#N/A</v>
      </c>
      <c r="FP33" s="228" t="e">
        <f t="shared" si="2"/>
        <v>#N/A</v>
      </c>
      <c r="FQ33" s="228" t="e">
        <f t="shared" si="2"/>
        <v>#N/A</v>
      </c>
      <c r="FR33" s="228" t="e">
        <f t="shared" si="2"/>
        <v>#N/A</v>
      </c>
      <c r="FS33" s="228" t="e">
        <f t="shared" si="2"/>
        <v>#N/A</v>
      </c>
      <c r="FT33" s="228" t="e">
        <f t="shared" si="2"/>
        <v>#N/A</v>
      </c>
      <c r="FU33" s="228" t="e">
        <f t="shared" si="2"/>
        <v>#N/A</v>
      </c>
      <c r="FV33" s="228" t="e">
        <f t="shared" si="2"/>
        <v>#N/A</v>
      </c>
      <c r="FW33" s="228" t="e">
        <f t="shared" si="2"/>
        <v>#N/A</v>
      </c>
      <c r="FX33" s="228" t="e">
        <f t="shared" si="2"/>
        <v>#N/A</v>
      </c>
      <c r="FY33" s="228" t="e">
        <f t="shared" si="2"/>
        <v>#N/A</v>
      </c>
      <c r="FZ33" s="228" t="e">
        <f t="shared" si="2"/>
        <v>#N/A</v>
      </c>
      <c r="GA33" s="228" t="e">
        <f t="shared" si="2"/>
        <v>#N/A</v>
      </c>
      <c r="GB33" s="228" t="e">
        <f t="shared" si="2"/>
        <v>#N/A</v>
      </c>
      <c r="GC33" s="228" t="e">
        <f t="shared" si="2"/>
        <v>#N/A</v>
      </c>
      <c r="GD33" s="228" t="e">
        <f t="shared" si="2"/>
        <v>#N/A</v>
      </c>
      <c r="GE33" s="228" t="e">
        <f t="shared" si="2"/>
        <v>#N/A</v>
      </c>
      <c r="GF33" s="228" t="e">
        <f t="shared" si="2"/>
        <v>#N/A</v>
      </c>
      <c r="GG33" s="228" t="e">
        <f t="shared" si="2"/>
        <v>#N/A</v>
      </c>
      <c r="GH33" s="228" t="e">
        <f t="shared" si="2"/>
        <v>#N/A</v>
      </c>
      <c r="GI33" s="228" t="e">
        <f t="shared" si="2"/>
        <v>#N/A</v>
      </c>
      <c r="GJ33" s="228" t="e">
        <f t="shared" si="2"/>
        <v>#N/A</v>
      </c>
      <c r="GK33" s="228" t="e">
        <f t="shared" si="2"/>
        <v>#N/A</v>
      </c>
      <c r="GL33" s="228" t="e">
        <f t="shared" si="2"/>
        <v>#N/A</v>
      </c>
      <c r="GM33" s="228" t="e">
        <f t="shared" si="2"/>
        <v>#N/A</v>
      </c>
      <c r="GN33" s="228" t="e">
        <f t="shared" si="2"/>
        <v>#N/A</v>
      </c>
      <c r="GO33" s="228" t="e">
        <f t="shared" ref="GO33:IZ33" si="3">HLOOKUP(GO20,LETTERS_to_NUMBERS,2,FALSE)</f>
        <v>#N/A</v>
      </c>
      <c r="GP33" s="228" t="e">
        <f t="shared" si="3"/>
        <v>#N/A</v>
      </c>
      <c r="GQ33" s="228" t="e">
        <f t="shared" si="3"/>
        <v>#N/A</v>
      </c>
      <c r="GR33" s="228" t="e">
        <f t="shared" si="3"/>
        <v>#N/A</v>
      </c>
      <c r="GS33" s="228" t="e">
        <f t="shared" si="3"/>
        <v>#N/A</v>
      </c>
      <c r="GT33" s="228" t="e">
        <f t="shared" si="3"/>
        <v>#N/A</v>
      </c>
      <c r="GU33" s="228" t="e">
        <f t="shared" si="3"/>
        <v>#N/A</v>
      </c>
      <c r="GV33" s="228" t="e">
        <f t="shared" si="3"/>
        <v>#N/A</v>
      </c>
      <c r="GW33" s="228" t="e">
        <f t="shared" si="3"/>
        <v>#N/A</v>
      </c>
      <c r="GX33" s="228" t="e">
        <f t="shared" si="3"/>
        <v>#N/A</v>
      </c>
      <c r="GY33" s="228" t="e">
        <f t="shared" si="3"/>
        <v>#N/A</v>
      </c>
      <c r="GZ33" s="228" t="e">
        <f t="shared" si="3"/>
        <v>#N/A</v>
      </c>
      <c r="HA33" s="228" t="e">
        <f t="shared" si="3"/>
        <v>#N/A</v>
      </c>
      <c r="HB33" s="228" t="e">
        <f t="shared" si="3"/>
        <v>#N/A</v>
      </c>
      <c r="HC33" s="228" t="e">
        <f t="shared" si="3"/>
        <v>#N/A</v>
      </c>
      <c r="HD33" s="228" t="e">
        <f t="shared" si="3"/>
        <v>#N/A</v>
      </c>
      <c r="HE33" s="228" t="e">
        <f t="shared" si="3"/>
        <v>#N/A</v>
      </c>
      <c r="HF33" s="228" t="e">
        <f t="shared" si="3"/>
        <v>#N/A</v>
      </c>
      <c r="HG33" s="228" t="e">
        <f t="shared" si="3"/>
        <v>#N/A</v>
      </c>
      <c r="HH33" s="228" t="e">
        <f t="shared" si="3"/>
        <v>#N/A</v>
      </c>
      <c r="HI33" s="228" t="e">
        <f t="shared" si="3"/>
        <v>#N/A</v>
      </c>
      <c r="HJ33" s="228" t="e">
        <f t="shared" si="3"/>
        <v>#N/A</v>
      </c>
      <c r="HK33" s="228" t="e">
        <f t="shared" si="3"/>
        <v>#N/A</v>
      </c>
      <c r="HL33" s="228" t="e">
        <f t="shared" si="3"/>
        <v>#N/A</v>
      </c>
      <c r="HM33" s="228" t="e">
        <f t="shared" si="3"/>
        <v>#N/A</v>
      </c>
      <c r="HN33" s="228" t="e">
        <f t="shared" si="3"/>
        <v>#N/A</v>
      </c>
      <c r="HO33" s="228" t="e">
        <f t="shared" si="3"/>
        <v>#N/A</v>
      </c>
      <c r="HP33" s="228" t="e">
        <f t="shared" si="3"/>
        <v>#N/A</v>
      </c>
      <c r="HQ33" s="228" t="e">
        <f t="shared" si="3"/>
        <v>#N/A</v>
      </c>
      <c r="HR33" s="228" t="e">
        <f t="shared" si="3"/>
        <v>#N/A</v>
      </c>
      <c r="HS33" s="228" t="e">
        <f t="shared" si="3"/>
        <v>#N/A</v>
      </c>
      <c r="HT33" s="228" t="e">
        <f t="shared" si="3"/>
        <v>#N/A</v>
      </c>
      <c r="HU33" s="228" t="e">
        <f t="shared" si="3"/>
        <v>#N/A</v>
      </c>
      <c r="HV33" s="228" t="e">
        <f t="shared" si="3"/>
        <v>#N/A</v>
      </c>
      <c r="HW33" s="228" t="e">
        <f t="shared" si="3"/>
        <v>#N/A</v>
      </c>
      <c r="HX33" s="228" t="e">
        <f t="shared" si="3"/>
        <v>#N/A</v>
      </c>
      <c r="HY33" s="228" t="e">
        <f t="shared" si="3"/>
        <v>#N/A</v>
      </c>
      <c r="HZ33" s="228" t="e">
        <f t="shared" si="3"/>
        <v>#N/A</v>
      </c>
      <c r="IA33" s="228" t="e">
        <f t="shared" si="3"/>
        <v>#N/A</v>
      </c>
      <c r="IB33" s="228" t="e">
        <f t="shared" si="3"/>
        <v>#N/A</v>
      </c>
      <c r="IC33" s="228" t="e">
        <f t="shared" si="3"/>
        <v>#N/A</v>
      </c>
      <c r="ID33" s="228" t="e">
        <f t="shared" si="3"/>
        <v>#N/A</v>
      </c>
      <c r="IE33" s="228" t="e">
        <f t="shared" si="3"/>
        <v>#N/A</v>
      </c>
      <c r="IF33" s="228" t="e">
        <f t="shared" si="3"/>
        <v>#N/A</v>
      </c>
      <c r="IG33" s="228" t="e">
        <f t="shared" si="3"/>
        <v>#N/A</v>
      </c>
      <c r="IH33" s="228" t="e">
        <f t="shared" si="3"/>
        <v>#N/A</v>
      </c>
      <c r="II33" s="228" t="e">
        <f t="shared" si="3"/>
        <v>#N/A</v>
      </c>
      <c r="IJ33" s="228" t="e">
        <f t="shared" si="3"/>
        <v>#N/A</v>
      </c>
      <c r="IK33" s="228" t="e">
        <f t="shared" si="3"/>
        <v>#N/A</v>
      </c>
      <c r="IL33" s="228" t="e">
        <f t="shared" si="3"/>
        <v>#N/A</v>
      </c>
      <c r="IM33" s="228" t="e">
        <f t="shared" si="3"/>
        <v>#N/A</v>
      </c>
      <c r="IN33" s="228" t="e">
        <f t="shared" si="3"/>
        <v>#N/A</v>
      </c>
      <c r="IO33" s="228" t="e">
        <f t="shared" si="3"/>
        <v>#N/A</v>
      </c>
      <c r="IP33" s="228" t="e">
        <f t="shared" si="3"/>
        <v>#N/A</v>
      </c>
      <c r="IQ33" s="228" t="e">
        <f t="shared" si="3"/>
        <v>#N/A</v>
      </c>
      <c r="IR33" s="228" t="e">
        <f t="shared" si="3"/>
        <v>#N/A</v>
      </c>
      <c r="IS33" s="228" t="e">
        <f t="shared" si="3"/>
        <v>#N/A</v>
      </c>
      <c r="IT33" s="228" t="e">
        <f t="shared" si="3"/>
        <v>#N/A</v>
      </c>
      <c r="IU33" s="228" t="e">
        <f t="shared" si="3"/>
        <v>#N/A</v>
      </c>
      <c r="IV33" s="228" t="e">
        <f t="shared" si="3"/>
        <v>#N/A</v>
      </c>
      <c r="IW33" s="228" t="e">
        <f t="shared" si="3"/>
        <v>#N/A</v>
      </c>
      <c r="IX33" s="228" t="e">
        <f t="shared" si="3"/>
        <v>#N/A</v>
      </c>
      <c r="IY33" s="228" t="e">
        <f t="shared" si="3"/>
        <v>#N/A</v>
      </c>
      <c r="IZ33" s="228" t="e">
        <f t="shared" si="3"/>
        <v>#N/A</v>
      </c>
      <c r="JA33" s="228" t="e">
        <f t="shared" ref="JA33:JV33" si="4">HLOOKUP(JA20,LETTERS_to_NUMBERS,2,FALSE)</f>
        <v>#N/A</v>
      </c>
      <c r="JB33" s="228" t="e">
        <f t="shared" si="4"/>
        <v>#N/A</v>
      </c>
      <c r="JC33" s="228" t="e">
        <f t="shared" si="4"/>
        <v>#N/A</v>
      </c>
      <c r="JD33" s="228" t="e">
        <f t="shared" si="4"/>
        <v>#N/A</v>
      </c>
      <c r="JE33" s="228" t="e">
        <f t="shared" si="4"/>
        <v>#N/A</v>
      </c>
      <c r="JF33" s="228" t="e">
        <f t="shared" si="4"/>
        <v>#N/A</v>
      </c>
      <c r="JG33" s="228" t="e">
        <f t="shared" si="4"/>
        <v>#N/A</v>
      </c>
      <c r="JH33" s="228" t="e">
        <f t="shared" si="4"/>
        <v>#N/A</v>
      </c>
      <c r="JI33" s="228" t="e">
        <f t="shared" si="4"/>
        <v>#N/A</v>
      </c>
      <c r="JJ33" s="228" t="e">
        <f t="shared" si="4"/>
        <v>#N/A</v>
      </c>
      <c r="JK33" s="228" t="e">
        <f t="shared" si="4"/>
        <v>#N/A</v>
      </c>
      <c r="JL33" s="228" t="e">
        <f t="shared" si="4"/>
        <v>#N/A</v>
      </c>
      <c r="JM33" s="228" t="e">
        <f t="shared" si="4"/>
        <v>#N/A</v>
      </c>
      <c r="JN33" s="228" t="e">
        <f t="shared" si="4"/>
        <v>#N/A</v>
      </c>
      <c r="JO33" s="228" t="e">
        <f t="shared" si="4"/>
        <v>#N/A</v>
      </c>
      <c r="JP33" s="228" t="e">
        <f t="shared" si="4"/>
        <v>#N/A</v>
      </c>
      <c r="JQ33" s="228" t="e">
        <f t="shared" si="4"/>
        <v>#N/A</v>
      </c>
      <c r="JR33" s="228" t="e">
        <f t="shared" si="4"/>
        <v>#N/A</v>
      </c>
      <c r="JS33" s="228" t="e">
        <f t="shared" si="4"/>
        <v>#N/A</v>
      </c>
      <c r="JT33" s="228" t="e">
        <f t="shared" si="4"/>
        <v>#N/A</v>
      </c>
      <c r="JU33" s="228" t="e">
        <f t="shared" si="4"/>
        <v>#N/A</v>
      </c>
      <c r="JV33" s="229" t="e">
        <f t="shared" si="4"/>
        <v>#N/A</v>
      </c>
      <c r="JW33" s="137"/>
      <c r="JX33" s="138"/>
      <c r="KB33" s="33"/>
    </row>
    <row r="34" spans="1:290" ht="15.75" x14ac:dyDescent="0.3">
      <c r="C34" s="105"/>
      <c r="D34" s="233" t="s">
        <v>85</v>
      </c>
      <c r="E34" s="218">
        <f>HLOOKUP(E18,LETTERS_to_NUMBERS,2,FALSE)</f>
        <v>20</v>
      </c>
      <c r="F34" s="219">
        <f t="shared" ref="F34:BP34" si="5">HLOOKUP(F18,LETTERS_to_NUMBERS,2,FALSE)</f>
        <v>9</v>
      </c>
      <c r="G34" s="219">
        <f t="shared" si="5"/>
        <v>18</v>
      </c>
      <c r="H34" s="219">
        <f t="shared" si="5"/>
        <v>15</v>
      </c>
      <c r="I34" s="219">
        <f t="shared" si="5"/>
        <v>12</v>
      </c>
      <c r="J34" s="219">
        <f t="shared" si="5"/>
        <v>4</v>
      </c>
      <c r="K34" s="219">
        <f t="shared" si="5"/>
        <v>25</v>
      </c>
      <c r="L34" s="219">
        <f t="shared" si="5"/>
        <v>18</v>
      </c>
      <c r="M34" s="219">
        <f t="shared" si="5"/>
        <v>4</v>
      </c>
      <c r="N34" s="219">
        <f t="shared" si="5"/>
        <v>4</v>
      </c>
      <c r="O34" s="219">
        <f t="shared" si="5"/>
        <v>19</v>
      </c>
      <c r="P34" s="219">
        <f t="shared" si="5"/>
        <v>15</v>
      </c>
      <c r="Q34" s="219">
        <f t="shared" si="5"/>
        <v>1</v>
      </c>
      <c r="R34" s="219">
        <f t="shared" si="5"/>
        <v>5</v>
      </c>
      <c r="S34" s="219">
        <f t="shared" si="5"/>
        <v>15</v>
      </c>
      <c r="T34" s="219">
        <f t="shared" si="5"/>
        <v>7</v>
      </c>
      <c r="U34" s="219">
        <f t="shared" si="5"/>
        <v>5</v>
      </c>
      <c r="V34" s="219">
        <f t="shared" si="5"/>
        <v>20</v>
      </c>
      <c r="W34" s="219">
        <f t="shared" si="5"/>
        <v>9</v>
      </c>
      <c r="X34" s="219">
        <f t="shared" si="5"/>
        <v>19</v>
      </c>
      <c r="Y34" s="219">
        <f t="shared" si="5"/>
        <v>8</v>
      </c>
      <c r="Z34" s="219">
        <f t="shared" si="5"/>
        <v>9</v>
      </c>
      <c r="AA34" s="219">
        <f t="shared" si="5"/>
        <v>5</v>
      </c>
      <c r="AB34" s="135">
        <f t="shared" si="5"/>
        <v>3</v>
      </c>
      <c r="AC34" s="136">
        <f t="shared" si="5"/>
        <v>12</v>
      </c>
      <c r="AD34" s="136">
        <f t="shared" si="5"/>
        <v>9</v>
      </c>
      <c r="AE34" s="136">
        <f t="shared" si="5"/>
        <v>8</v>
      </c>
      <c r="AF34" s="136">
        <f t="shared" si="5"/>
        <v>4</v>
      </c>
      <c r="AG34" s="136">
        <f t="shared" si="5"/>
        <v>4</v>
      </c>
      <c r="AH34" s="136">
        <f t="shared" si="5"/>
        <v>20</v>
      </c>
      <c r="AI34" s="136">
        <f t="shared" si="5"/>
        <v>3</v>
      </c>
      <c r="AJ34" s="136">
        <f t="shared" si="5"/>
        <v>5</v>
      </c>
      <c r="AK34" s="136">
        <f t="shared" si="5"/>
        <v>1</v>
      </c>
      <c r="AL34" s="136">
        <f t="shared" si="5"/>
        <v>2</v>
      </c>
      <c r="AM34" s="136">
        <f t="shared" si="5"/>
        <v>5</v>
      </c>
      <c r="AN34" s="136">
        <f t="shared" si="5"/>
        <v>6</v>
      </c>
      <c r="AO34" s="136">
        <f t="shared" si="5"/>
        <v>23</v>
      </c>
      <c r="AP34" s="136">
        <f t="shared" si="5"/>
        <v>5</v>
      </c>
      <c r="AQ34" s="136">
        <f t="shared" si="5"/>
        <v>9</v>
      </c>
      <c r="AR34" s="136">
        <f t="shared" si="5"/>
        <v>18</v>
      </c>
      <c r="AS34" s="136">
        <f t="shared" si="5"/>
        <v>7</v>
      </c>
      <c r="AT34" s="136">
        <f t="shared" si="5"/>
        <v>1</v>
      </c>
      <c r="AU34" s="136">
        <f t="shared" si="5"/>
        <v>15</v>
      </c>
      <c r="AV34" s="136">
        <f t="shared" si="5"/>
        <v>18</v>
      </c>
      <c r="AW34" s="136">
        <f t="shared" si="5"/>
        <v>5</v>
      </c>
      <c r="AX34" s="136">
        <f t="shared" si="5"/>
        <v>9</v>
      </c>
      <c r="AY34" s="136">
        <f t="shared" si="5"/>
        <v>16</v>
      </c>
      <c r="AZ34" s="136">
        <f t="shared" si="5"/>
        <v>23</v>
      </c>
      <c r="BA34" s="136">
        <f t="shared" si="5"/>
        <v>5</v>
      </c>
      <c r="BB34" s="136">
        <f t="shared" si="5"/>
        <v>20</v>
      </c>
      <c r="BC34" s="136">
        <f t="shared" si="5"/>
        <v>19</v>
      </c>
      <c r="BD34" s="136">
        <f t="shared" si="5"/>
        <v>13</v>
      </c>
      <c r="BE34" s="136">
        <f t="shared" si="5"/>
        <v>20</v>
      </c>
      <c r="BF34" s="136">
        <f t="shared" si="5"/>
        <v>20</v>
      </c>
      <c r="BG34" s="136">
        <f t="shared" si="5"/>
        <v>8</v>
      </c>
      <c r="BH34" s="136">
        <f t="shared" si="5"/>
        <v>1</v>
      </c>
      <c r="BI34" s="136">
        <f t="shared" si="5"/>
        <v>1</v>
      </c>
      <c r="BJ34" s="136">
        <f t="shared" si="5"/>
        <v>9</v>
      </c>
      <c r="BK34" s="136">
        <f t="shared" si="5"/>
        <v>14</v>
      </c>
      <c r="BL34" s="136">
        <f t="shared" si="5"/>
        <v>4</v>
      </c>
      <c r="BM34" s="136">
        <f t="shared" si="5"/>
        <v>4</v>
      </c>
      <c r="BN34" s="136">
        <f t="shared" si="5"/>
        <v>5</v>
      </c>
      <c r="BO34" s="136">
        <f t="shared" si="5"/>
        <v>19</v>
      </c>
      <c r="BP34" s="136">
        <f t="shared" si="5"/>
        <v>2</v>
      </c>
      <c r="BQ34" s="136">
        <f t="shared" ref="BQ34:EB34" si="6">HLOOKUP(BQ18,LETTERS_to_NUMBERS,2,FALSE)</f>
        <v>9</v>
      </c>
      <c r="BR34" s="136">
        <f t="shared" si="6"/>
        <v>20</v>
      </c>
      <c r="BS34" s="136">
        <f t="shared" si="6"/>
        <v>18</v>
      </c>
      <c r="BT34" s="136">
        <f t="shared" si="6"/>
        <v>14</v>
      </c>
      <c r="BU34" s="136">
        <f t="shared" si="6"/>
        <v>20</v>
      </c>
      <c r="BV34" s="136">
        <f t="shared" si="6"/>
        <v>18</v>
      </c>
      <c r="BW34" s="136">
        <f t="shared" si="6"/>
        <v>5</v>
      </c>
      <c r="BX34" s="136">
        <f t="shared" si="6"/>
        <v>5</v>
      </c>
      <c r="BY34" s="136">
        <f t="shared" si="6"/>
        <v>1</v>
      </c>
      <c r="BZ34" s="136">
        <f t="shared" si="6"/>
        <v>13</v>
      </c>
      <c r="CA34" s="136">
        <f t="shared" si="6"/>
        <v>18</v>
      </c>
      <c r="CB34" s="136">
        <f t="shared" si="6"/>
        <v>1</v>
      </c>
      <c r="CC34" s="136">
        <f t="shared" si="6"/>
        <v>15</v>
      </c>
      <c r="CD34" s="136">
        <f t="shared" si="6"/>
        <v>20</v>
      </c>
      <c r="CE34" s="136">
        <f t="shared" si="6"/>
        <v>15</v>
      </c>
      <c r="CF34" s="136">
        <f t="shared" si="6"/>
        <v>5</v>
      </c>
      <c r="CG34" s="136">
        <f t="shared" si="6"/>
        <v>1</v>
      </c>
      <c r="CH34" s="136">
        <f t="shared" si="6"/>
        <v>21</v>
      </c>
      <c r="CI34" s="136">
        <f t="shared" si="6"/>
        <v>20</v>
      </c>
      <c r="CJ34" s="136">
        <f t="shared" si="6"/>
        <v>5</v>
      </c>
      <c r="CK34" s="136">
        <f t="shared" si="6"/>
        <v>21</v>
      </c>
      <c r="CL34" s="136">
        <f t="shared" si="6"/>
        <v>20</v>
      </c>
      <c r="CM34" s="136">
        <f t="shared" si="6"/>
        <v>15</v>
      </c>
      <c r="CN34" s="136">
        <f t="shared" si="6"/>
        <v>9</v>
      </c>
      <c r="CO34" s="136">
        <f t="shared" si="6"/>
        <v>6</v>
      </c>
      <c r="CP34" s="136">
        <f t="shared" si="6"/>
        <v>19</v>
      </c>
      <c r="CQ34" s="136">
        <f t="shared" si="6"/>
        <v>1</v>
      </c>
      <c r="CR34" s="136">
        <f t="shared" si="6"/>
        <v>15</v>
      </c>
      <c r="CS34" s="136">
        <f t="shared" si="6"/>
        <v>6</v>
      </c>
      <c r="CT34" s="136">
        <f t="shared" si="6"/>
        <v>5</v>
      </c>
      <c r="CU34" s="136">
        <f t="shared" si="6"/>
        <v>5</v>
      </c>
      <c r="CV34" s="136">
        <f t="shared" si="6"/>
        <v>20</v>
      </c>
      <c r="CW34" s="136">
        <f t="shared" si="6"/>
        <v>2</v>
      </c>
      <c r="CX34" s="136">
        <f t="shared" si="6"/>
        <v>12</v>
      </c>
      <c r="CY34" s="136">
        <f t="shared" si="6"/>
        <v>18</v>
      </c>
      <c r="CZ34" s="136">
        <f t="shared" si="6"/>
        <v>5</v>
      </c>
      <c r="DA34" s="136">
        <f t="shared" si="6"/>
        <v>5</v>
      </c>
      <c r="DB34" s="136">
        <f t="shared" si="6"/>
        <v>25</v>
      </c>
      <c r="DC34" s="136">
        <f t="shared" si="6"/>
        <v>7</v>
      </c>
      <c r="DD34" s="136">
        <f t="shared" si="6"/>
        <v>5</v>
      </c>
      <c r="DE34" s="136">
        <f t="shared" si="6"/>
        <v>20</v>
      </c>
      <c r="DF34" s="136">
        <f t="shared" si="6"/>
        <v>1</v>
      </c>
      <c r="DG34" s="136">
        <f t="shared" si="6"/>
        <v>13</v>
      </c>
      <c r="DH34" s="136">
        <f t="shared" si="6"/>
        <v>1</v>
      </c>
      <c r="DI34" s="136">
        <f t="shared" si="6"/>
        <v>20</v>
      </c>
      <c r="DJ34" s="136">
        <f t="shared" si="6"/>
        <v>1</v>
      </c>
      <c r="DK34" s="136">
        <f t="shared" si="6"/>
        <v>14</v>
      </c>
      <c r="DL34" s="136">
        <f t="shared" si="6"/>
        <v>5</v>
      </c>
      <c r="DM34" s="136">
        <f t="shared" si="6"/>
        <v>23</v>
      </c>
      <c r="DN34" s="136">
        <f t="shared" si="6"/>
        <v>5</v>
      </c>
      <c r="DO34" s="136">
        <f t="shared" si="6"/>
        <v>8</v>
      </c>
      <c r="DP34" s="136">
        <f t="shared" si="6"/>
        <v>8</v>
      </c>
      <c r="DQ34" s="136">
        <f t="shared" si="6"/>
        <v>13</v>
      </c>
      <c r="DR34" s="136">
        <f t="shared" si="6"/>
        <v>1</v>
      </c>
      <c r="DS34" s="136">
        <f t="shared" si="6"/>
        <v>16</v>
      </c>
      <c r="DT34" s="136">
        <f t="shared" si="6"/>
        <v>19</v>
      </c>
      <c r="DU34" s="136">
        <f t="shared" si="6"/>
        <v>18</v>
      </c>
      <c r="DV34" s="136">
        <f t="shared" si="6"/>
        <v>2</v>
      </c>
      <c r="DW34" s="136">
        <f t="shared" si="6"/>
        <v>20</v>
      </c>
      <c r="DX34" s="136">
        <f t="shared" si="6"/>
        <v>6</v>
      </c>
      <c r="DY34" s="136">
        <f t="shared" si="6"/>
        <v>9</v>
      </c>
      <c r="DZ34" s="136">
        <f t="shared" si="6"/>
        <v>5</v>
      </c>
      <c r="EA34" s="136">
        <f t="shared" si="6"/>
        <v>18</v>
      </c>
      <c r="EB34" s="136">
        <f t="shared" si="6"/>
        <v>3</v>
      </c>
      <c r="EC34" s="136">
        <f t="shared" ref="EC34:EX34" si="7">HLOOKUP(EC18,LETTERS_to_NUMBERS,2,FALSE)</f>
        <v>25</v>
      </c>
      <c r="ED34" s="136">
        <f t="shared" si="7"/>
        <v>1</v>
      </c>
      <c r="EE34" s="136">
        <f t="shared" si="7"/>
        <v>20</v>
      </c>
      <c r="EF34" s="136">
        <f t="shared" si="7"/>
        <v>3</v>
      </c>
      <c r="EG34" s="136">
        <f t="shared" si="7"/>
        <v>14</v>
      </c>
      <c r="EH34" s="136">
        <f t="shared" si="7"/>
        <v>5</v>
      </c>
      <c r="EI34" s="136">
        <f t="shared" si="7"/>
        <v>5</v>
      </c>
      <c r="EJ34" s="136">
        <f t="shared" si="7"/>
        <v>8</v>
      </c>
      <c r="EK34" s="136">
        <f t="shared" si="7"/>
        <v>17</v>
      </c>
      <c r="EL34" s="220">
        <f t="shared" si="7"/>
        <v>25</v>
      </c>
      <c r="EM34" s="221">
        <f t="shared" si="7"/>
        <v>5</v>
      </c>
      <c r="EN34" s="221">
        <f t="shared" si="7"/>
        <v>20</v>
      </c>
      <c r="EO34" s="221">
        <f t="shared" si="7"/>
        <v>25</v>
      </c>
      <c r="EP34" s="221">
        <f t="shared" si="7"/>
        <v>15</v>
      </c>
      <c r="EQ34" s="221">
        <f t="shared" si="7"/>
        <v>9</v>
      </c>
      <c r="ER34" s="221">
        <f t="shared" si="7"/>
        <v>5</v>
      </c>
      <c r="ES34" s="221">
        <f t="shared" si="7"/>
        <v>1</v>
      </c>
      <c r="ET34" s="221">
        <f t="shared" si="7"/>
        <v>8</v>
      </c>
      <c r="EU34" s="221">
        <f t="shared" si="7"/>
        <v>14</v>
      </c>
      <c r="EV34" s="221">
        <f t="shared" si="7"/>
        <v>5</v>
      </c>
      <c r="EW34" s="221">
        <f t="shared" si="7"/>
        <v>23</v>
      </c>
      <c r="EX34" s="221">
        <f t="shared" si="7"/>
        <v>9</v>
      </c>
      <c r="EY34" s="221">
        <f t="shared" ref="EY34:GD34" si="8">HLOOKUP(IU18,LETTERS_to_NUMBERS,2,FALSE)</f>
        <v>9</v>
      </c>
      <c r="EZ34" s="221">
        <f t="shared" si="8"/>
        <v>1</v>
      </c>
      <c r="FA34" s="221">
        <f t="shared" si="8"/>
        <v>14</v>
      </c>
      <c r="FB34" s="221">
        <f t="shared" si="8"/>
        <v>8</v>
      </c>
      <c r="FC34" s="221">
        <f t="shared" si="8"/>
        <v>19</v>
      </c>
      <c r="FD34" s="221">
        <f t="shared" si="8"/>
        <v>25</v>
      </c>
      <c r="FE34" s="221">
        <f t="shared" si="8"/>
        <v>4</v>
      </c>
      <c r="FF34" s="221">
        <f t="shared" si="8"/>
        <v>9</v>
      </c>
      <c r="FG34" s="221">
        <f t="shared" si="8"/>
        <v>2</v>
      </c>
      <c r="FH34" s="221">
        <f t="shared" si="8"/>
        <v>9</v>
      </c>
      <c r="FI34" s="221">
        <f t="shared" si="8"/>
        <v>15</v>
      </c>
      <c r="FJ34" s="221">
        <f t="shared" si="8"/>
        <v>5</v>
      </c>
      <c r="FK34" s="221">
        <f t="shared" si="8"/>
        <v>20</v>
      </c>
      <c r="FL34" s="221">
        <f t="shared" si="8"/>
        <v>16</v>
      </c>
      <c r="FM34" s="221">
        <f t="shared" si="8"/>
        <v>3</v>
      </c>
      <c r="FN34" s="221">
        <f t="shared" si="8"/>
        <v>15</v>
      </c>
      <c r="FO34" s="221">
        <f t="shared" si="8"/>
        <v>5</v>
      </c>
      <c r="FP34" s="221">
        <f t="shared" si="8"/>
        <v>8</v>
      </c>
      <c r="FQ34" s="221">
        <f t="shared" si="8"/>
        <v>18</v>
      </c>
      <c r="FR34" s="221">
        <f t="shared" si="8"/>
        <v>19</v>
      </c>
      <c r="FS34" s="221">
        <f t="shared" si="8"/>
        <v>12</v>
      </c>
      <c r="FT34" s="221">
        <f t="shared" si="8"/>
        <v>14</v>
      </c>
      <c r="FU34" s="221">
        <f t="shared" si="8"/>
        <v>8</v>
      </c>
      <c r="FV34" s="221">
        <f t="shared" si="8"/>
        <v>15</v>
      </c>
      <c r="FW34" s="221">
        <f t="shared" si="8"/>
        <v>18</v>
      </c>
      <c r="FX34" s="221">
        <f t="shared" si="8"/>
        <v>8</v>
      </c>
      <c r="FY34" s="221">
        <f t="shared" si="8"/>
        <v>1</v>
      </c>
      <c r="FZ34" s="221">
        <f t="shared" si="8"/>
        <v>25</v>
      </c>
      <c r="GA34" s="221" t="e">
        <f>HLOOKUP(JW18,LETTERS_to_NUMBERS,2,FALSE)</f>
        <v>#N/A</v>
      </c>
      <c r="GB34" s="221" t="e">
        <f t="shared" si="8"/>
        <v>#N/A</v>
      </c>
      <c r="GC34" s="221" t="e">
        <f t="shared" si="8"/>
        <v>#N/A</v>
      </c>
      <c r="GD34" s="221" t="e">
        <f t="shared" si="8"/>
        <v>#N/A</v>
      </c>
      <c r="GE34" s="221" t="e">
        <f t="shared" ref="GE34:HJ34" si="9">HLOOKUP(KA18,LETTERS_to_NUMBERS,2,FALSE)</f>
        <v>#N/A</v>
      </c>
      <c r="GF34" s="221" t="e">
        <f t="shared" si="9"/>
        <v>#N/A</v>
      </c>
      <c r="GG34" s="221" t="e">
        <f t="shared" si="9"/>
        <v>#N/A</v>
      </c>
      <c r="GH34" s="221" t="e">
        <f t="shared" si="9"/>
        <v>#N/A</v>
      </c>
      <c r="GI34" s="221" t="e">
        <f t="shared" si="9"/>
        <v>#N/A</v>
      </c>
      <c r="GJ34" s="221" t="e">
        <f t="shared" si="9"/>
        <v>#N/A</v>
      </c>
      <c r="GK34" s="221" t="e">
        <f t="shared" si="9"/>
        <v>#N/A</v>
      </c>
      <c r="GL34" s="221" t="e">
        <f t="shared" si="9"/>
        <v>#N/A</v>
      </c>
      <c r="GM34" s="221" t="e">
        <f t="shared" si="9"/>
        <v>#N/A</v>
      </c>
      <c r="GN34" s="221" t="e">
        <f t="shared" si="9"/>
        <v>#N/A</v>
      </c>
      <c r="GO34" s="221" t="e">
        <f t="shared" si="9"/>
        <v>#N/A</v>
      </c>
      <c r="GP34" s="221" t="e">
        <f t="shared" si="9"/>
        <v>#N/A</v>
      </c>
      <c r="GQ34" s="221" t="e">
        <f t="shared" si="9"/>
        <v>#N/A</v>
      </c>
      <c r="GR34" s="221" t="e">
        <f t="shared" si="9"/>
        <v>#N/A</v>
      </c>
      <c r="GS34" s="221" t="e">
        <f t="shared" si="9"/>
        <v>#N/A</v>
      </c>
      <c r="GT34" s="221" t="e">
        <f t="shared" si="9"/>
        <v>#N/A</v>
      </c>
      <c r="GU34" s="221" t="e">
        <f t="shared" si="9"/>
        <v>#N/A</v>
      </c>
      <c r="GV34" s="221" t="e">
        <f t="shared" si="9"/>
        <v>#N/A</v>
      </c>
      <c r="GW34" s="221" t="e">
        <f t="shared" si="9"/>
        <v>#N/A</v>
      </c>
      <c r="GX34" s="221" t="e">
        <f t="shared" si="9"/>
        <v>#N/A</v>
      </c>
      <c r="GY34" s="221" t="e">
        <f t="shared" si="9"/>
        <v>#N/A</v>
      </c>
      <c r="GZ34" s="221" t="e">
        <f t="shared" si="9"/>
        <v>#N/A</v>
      </c>
      <c r="HA34" s="221" t="e">
        <f t="shared" si="9"/>
        <v>#N/A</v>
      </c>
      <c r="HB34" s="221" t="e">
        <f t="shared" si="9"/>
        <v>#N/A</v>
      </c>
      <c r="HC34" s="221" t="e">
        <f t="shared" si="9"/>
        <v>#N/A</v>
      </c>
      <c r="HD34" s="221" t="e">
        <f t="shared" si="9"/>
        <v>#N/A</v>
      </c>
      <c r="HE34" s="221" t="e">
        <f t="shared" si="9"/>
        <v>#N/A</v>
      </c>
      <c r="HF34" s="221" t="e">
        <f t="shared" si="9"/>
        <v>#N/A</v>
      </c>
      <c r="HG34" s="221" t="e">
        <f t="shared" si="9"/>
        <v>#N/A</v>
      </c>
      <c r="HH34" s="221" t="e">
        <f t="shared" si="9"/>
        <v>#N/A</v>
      </c>
      <c r="HI34" s="221" t="e">
        <f t="shared" si="9"/>
        <v>#N/A</v>
      </c>
      <c r="HJ34" s="221" t="e">
        <f t="shared" si="9"/>
        <v>#N/A</v>
      </c>
      <c r="HK34" s="221" t="e">
        <f t="shared" ref="HK34:IP34" si="10">HLOOKUP(LG18,LETTERS_to_NUMBERS,2,FALSE)</f>
        <v>#N/A</v>
      </c>
      <c r="HL34" s="221" t="e">
        <f t="shared" si="10"/>
        <v>#N/A</v>
      </c>
      <c r="HM34" s="221" t="e">
        <f t="shared" si="10"/>
        <v>#N/A</v>
      </c>
      <c r="HN34" s="221" t="e">
        <f t="shared" si="10"/>
        <v>#N/A</v>
      </c>
      <c r="HO34" s="221" t="e">
        <f t="shared" si="10"/>
        <v>#N/A</v>
      </c>
      <c r="HP34" s="221" t="e">
        <f t="shared" si="10"/>
        <v>#N/A</v>
      </c>
      <c r="HQ34" s="221" t="e">
        <f t="shared" si="10"/>
        <v>#N/A</v>
      </c>
      <c r="HR34" s="221" t="e">
        <f t="shared" si="10"/>
        <v>#N/A</v>
      </c>
      <c r="HS34" s="221" t="e">
        <f t="shared" si="10"/>
        <v>#N/A</v>
      </c>
      <c r="HT34" s="221" t="e">
        <f t="shared" si="10"/>
        <v>#N/A</v>
      </c>
      <c r="HU34" s="221" t="e">
        <f t="shared" si="10"/>
        <v>#N/A</v>
      </c>
      <c r="HV34" s="221" t="e">
        <f t="shared" si="10"/>
        <v>#N/A</v>
      </c>
      <c r="HW34" s="221" t="e">
        <f t="shared" si="10"/>
        <v>#N/A</v>
      </c>
      <c r="HX34" s="221" t="e">
        <f t="shared" si="10"/>
        <v>#N/A</v>
      </c>
      <c r="HY34" s="221" t="e">
        <f t="shared" si="10"/>
        <v>#N/A</v>
      </c>
      <c r="HZ34" s="221" t="e">
        <f t="shared" si="10"/>
        <v>#N/A</v>
      </c>
      <c r="IA34" s="221" t="e">
        <f t="shared" si="10"/>
        <v>#N/A</v>
      </c>
      <c r="IB34" s="221" t="e">
        <f t="shared" si="10"/>
        <v>#N/A</v>
      </c>
      <c r="IC34" s="221" t="e">
        <f t="shared" si="10"/>
        <v>#N/A</v>
      </c>
      <c r="ID34" s="221" t="e">
        <f t="shared" si="10"/>
        <v>#N/A</v>
      </c>
      <c r="IE34" s="221" t="e">
        <f t="shared" si="10"/>
        <v>#N/A</v>
      </c>
      <c r="IF34" s="221" t="e">
        <f t="shared" si="10"/>
        <v>#N/A</v>
      </c>
      <c r="IG34" s="221" t="e">
        <f t="shared" si="10"/>
        <v>#N/A</v>
      </c>
      <c r="IH34" s="221" t="e">
        <f t="shared" si="10"/>
        <v>#N/A</v>
      </c>
      <c r="II34" s="221" t="e">
        <f t="shared" si="10"/>
        <v>#N/A</v>
      </c>
      <c r="IJ34" s="221" t="e">
        <f t="shared" si="10"/>
        <v>#N/A</v>
      </c>
      <c r="IK34" s="221" t="e">
        <f t="shared" si="10"/>
        <v>#N/A</v>
      </c>
      <c r="IL34" s="221" t="e">
        <f t="shared" si="10"/>
        <v>#N/A</v>
      </c>
      <c r="IM34" s="221" t="e">
        <f t="shared" si="10"/>
        <v>#N/A</v>
      </c>
      <c r="IN34" s="221" t="e">
        <f t="shared" si="10"/>
        <v>#N/A</v>
      </c>
      <c r="IO34" s="221" t="e">
        <f t="shared" si="10"/>
        <v>#N/A</v>
      </c>
      <c r="IP34" s="221" t="e">
        <f t="shared" si="10"/>
        <v>#N/A</v>
      </c>
      <c r="IQ34" s="221" t="e">
        <f t="shared" ref="IQ34:JV34" si="11">HLOOKUP(MM18,LETTERS_to_NUMBERS,2,FALSE)</f>
        <v>#N/A</v>
      </c>
      <c r="IR34" s="221" t="e">
        <f t="shared" si="11"/>
        <v>#N/A</v>
      </c>
      <c r="IS34" s="221" t="e">
        <f t="shared" si="11"/>
        <v>#N/A</v>
      </c>
      <c r="IT34" s="221" t="e">
        <f t="shared" si="11"/>
        <v>#N/A</v>
      </c>
      <c r="IU34" s="221" t="e">
        <f t="shared" si="11"/>
        <v>#N/A</v>
      </c>
      <c r="IV34" s="221" t="e">
        <f t="shared" si="11"/>
        <v>#N/A</v>
      </c>
      <c r="IW34" s="221" t="e">
        <f t="shared" si="11"/>
        <v>#N/A</v>
      </c>
      <c r="IX34" s="221" t="e">
        <f t="shared" si="11"/>
        <v>#N/A</v>
      </c>
      <c r="IY34" s="221" t="e">
        <f t="shared" si="11"/>
        <v>#N/A</v>
      </c>
      <c r="IZ34" s="221" t="e">
        <f t="shared" si="11"/>
        <v>#N/A</v>
      </c>
      <c r="JA34" s="221" t="e">
        <f t="shared" si="11"/>
        <v>#N/A</v>
      </c>
      <c r="JB34" s="221" t="e">
        <f t="shared" si="11"/>
        <v>#N/A</v>
      </c>
      <c r="JC34" s="221" t="e">
        <f t="shared" si="11"/>
        <v>#N/A</v>
      </c>
      <c r="JD34" s="221" t="e">
        <f t="shared" si="11"/>
        <v>#N/A</v>
      </c>
      <c r="JE34" s="221" t="e">
        <f t="shared" si="11"/>
        <v>#N/A</v>
      </c>
      <c r="JF34" s="221" t="e">
        <f t="shared" si="11"/>
        <v>#N/A</v>
      </c>
      <c r="JG34" s="221" t="e">
        <f t="shared" si="11"/>
        <v>#N/A</v>
      </c>
      <c r="JH34" s="221" t="e">
        <f t="shared" si="11"/>
        <v>#N/A</v>
      </c>
      <c r="JI34" s="221" t="e">
        <f t="shared" si="11"/>
        <v>#N/A</v>
      </c>
      <c r="JJ34" s="221" t="e">
        <f t="shared" si="11"/>
        <v>#N/A</v>
      </c>
      <c r="JK34" s="221" t="e">
        <f t="shared" si="11"/>
        <v>#N/A</v>
      </c>
      <c r="JL34" s="221" t="e">
        <f t="shared" si="11"/>
        <v>#N/A</v>
      </c>
      <c r="JM34" s="221" t="e">
        <f t="shared" si="11"/>
        <v>#N/A</v>
      </c>
      <c r="JN34" s="221" t="e">
        <f t="shared" si="11"/>
        <v>#N/A</v>
      </c>
      <c r="JO34" s="221" t="e">
        <f t="shared" si="11"/>
        <v>#N/A</v>
      </c>
      <c r="JP34" s="221" t="e">
        <f t="shared" si="11"/>
        <v>#N/A</v>
      </c>
      <c r="JQ34" s="221" t="e">
        <f t="shared" si="11"/>
        <v>#N/A</v>
      </c>
      <c r="JR34" s="221" t="e">
        <f t="shared" si="11"/>
        <v>#N/A</v>
      </c>
      <c r="JS34" s="221" t="e">
        <f t="shared" si="11"/>
        <v>#N/A</v>
      </c>
      <c r="JT34" s="221" t="e">
        <f t="shared" si="11"/>
        <v>#N/A</v>
      </c>
      <c r="JU34" s="221" t="e">
        <f t="shared" si="11"/>
        <v>#N/A</v>
      </c>
      <c r="JV34" s="222" t="e">
        <f t="shared" si="11"/>
        <v>#N/A</v>
      </c>
      <c r="JW34" s="137"/>
      <c r="JX34" s="138"/>
      <c r="KB34" s="33"/>
    </row>
    <row r="35" spans="1:290" ht="15.75" x14ac:dyDescent="0.3">
      <c r="C35" s="105"/>
      <c r="D35" s="233" t="s">
        <v>135</v>
      </c>
      <c r="E35" s="223" t="e">
        <f>E33</f>
        <v>#N/A</v>
      </c>
      <c r="F35" s="224" t="e">
        <f t="shared" ref="F35:AA35" si="12">F33</f>
        <v>#N/A</v>
      </c>
      <c r="G35" s="224" t="e">
        <f t="shared" si="12"/>
        <v>#N/A</v>
      </c>
      <c r="H35" s="224" t="e">
        <f t="shared" si="12"/>
        <v>#N/A</v>
      </c>
      <c r="I35" s="224" t="e">
        <f t="shared" si="12"/>
        <v>#N/A</v>
      </c>
      <c r="J35" s="224" t="e">
        <f t="shared" si="12"/>
        <v>#N/A</v>
      </c>
      <c r="K35" s="224" t="e">
        <f t="shared" si="12"/>
        <v>#N/A</v>
      </c>
      <c r="L35" s="224" t="e">
        <f t="shared" si="12"/>
        <v>#N/A</v>
      </c>
      <c r="M35" s="224" t="e">
        <f t="shared" si="12"/>
        <v>#N/A</v>
      </c>
      <c r="N35" s="224" t="e">
        <f t="shared" si="12"/>
        <v>#N/A</v>
      </c>
      <c r="O35" s="224" t="e">
        <f t="shared" si="12"/>
        <v>#N/A</v>
      </c>
      <c r="P35" s="224" t="e">
        <f t="shared" si="12"/>
        <v>#N/A</v>
      </c>
      <c r="Q35" s="224" t="e">
        <f t="shared" si="12"/>
        <v>#N/A</v>
      </c>
      <c r="R35" s="224" t="e">
        <f t="shared" si="12"/>
        <v>#N/A</v>
      </c>
      <c r="S35" s="224" t="e">
        <f t="shared" si="12"/>
        <v>#N/A</v>
      </c>
      <c r="T35" s="224" t="e">
        <f t="shared" si="12"/>
        <v>#N/A</v>
      </c>
      <c r="U35" s="224" t="e">
        <f t="shared" si="12"/>
        <v>#N/A</v>
      </c>
      <c r="V35" s="224" t="e">
        <f t="shared" si="12"/>
        <v>#N/A</v>
      </c>
      <c r="W35" s="224" t="e">
        <f t="shared" si="12"/>
        <v>#N/A</v>
      </c>
      <c r="X35" s="224" t="e">
        <f t="shared" si="12"/>
        <v>#N/A</v>
      </c>
      <c r="Y35" s="224" t="e">
        <f t="shared" si="12"/>
        <v>#N/A</v>
      </c>
      <c r="Z35" s="224" t="e">
        <f t="shared" si="12"/>
        <v>#N/A</v>
      </c>
      <c r="AA35" s="224" t="e">
        <f t="shared" si="12"/>
        <v>#N/A</v>
      </c>
      <c r="AB35" s="279"/>
      <c r="AC35" s="225" t="e">
        <f t="shared" ref="AC35:BR35" si="13">AB33</f>
        <v>#N/A</v>
      </c>
      <c r="AD35" s="226" t="e">
        <f t="shared" si="13"/>
        <v>#N/A</v>
      </c>
      <c r="AE35" s="226" t="e">
        <f t="shared" si="13"/>
        <v>#N/A</v>
      </c>
      <c r="AF35" s="226" t="e">
        <f t="shared" si="13"/>
        <v>#N/A</v>
      </c>
      <c r="AG35" s="226" t="e">
        <f t="shared" si="13"/>
        <v>#N/A</v>
      </c>
      <c r="AH35" s="226" t="e">
        <f t="shared" si="13"/>
        <v>#N/A</v>
      </c>
      <c r="AI35" s="226" t="e">
        <f t="shared" si="13"/>
        <v>#N/A</v>
      </c>
      <c r="AJ35" s="226" t="e">
        <f t="shared" si="13"/>
        <v>#N/A</v>
      </c>
      <c r="AK35" s="226" t="e">
        <f t="shared" si="13"/>
        <v>#N/A</v>
      </c>
      <c r="AL35" s="226" t="e">
        <f t="shared" si="13"/>
        <v>#N/A</v>
      </c>
      <c r="AM35" s="226" t="e">
        <f t="shared" si="13"/>
        <v>#N/A</v>
      </c>
      <c r="AN35" s="226" t="e">
        <f t="shared" si="13"/>
        <v>#N/A</v>
      </c>
      <c r="AO35" s="226" t="e">
        <f t="shared" si="13"/>
        <v>#N/A</v>
      </c>
      <c r="AP35" s="226" t="e">
        <f t="shared" si="13"/>
        <v>#N/A</v>
      </c>
      <c r="AQ35" s="226" t="e">
        <f t="shared" si="13"/>
        <v>#N/A</v>
      </c>
      <c r="AR35" s="226" t="e">
        <f t="shared" si="13"/>
        <v>#N/A</v>
      </c>
      <c r="AS35" s="226" t="e">
        <f t="shared" si="13"/>
        <v>#N/A</v>
      </c>
      <c r="AT35" s="226" t="e">
        <f t="shared" si="13"/>
        <v>#N/A</v>
      </c>
      <c r="AU35" s="226" t="e">
        <f t="shared" si="13"/>
        <v>#N/A</v>
      </c>
      <c r="AV35" s="226" t="e">
        <f t="shared" si="13"/>
        <v>#N/A</v>
      </c>
      <c r="AW35" s="226" t="e">
        <f t="shared" si="13"/>
        <v>#N/A</v>
      </c>
      <c r="AX35" s="226" t="e">
        <f t="shared" si="13"/>
        <v>#N/A</v>
      </c>
      <c r="AY35" s="226" t="e">
        <f t="shared" si="13"/>
        <v>#N/A</v>
      </c>
      <c r="AZ35" s="226" t="e">
        <f t="shared" si="13"/>
        <v>#N/A</v>
      </c>
      <c r="BA35" s="226" t="e">
        <f t="shared" si="13"/>
        <v>#N/A</v>
      </c>
      <c r="BB35" s="226" t="e">
        <f t="shared" si="13"/>
        <v>#N/A</v>
      </c>
      <c r="BC35" s="226" t="e">
        <f t="shared" si="13"/>
        <v>#N/A</v>
      </c>
      <c r="BD35" s="226" t="e">
        <f t="shared" si="13"/>
        <v>#N/A</v>
      </c>
      <c r="BE35" s="226" t="e">
        <f t="shared" si="13"/>
        <v>#N/A</v>
      </c>
      <c r="BF35" s="226" t="e">
        <f t="shared" si="13"/>
        <v>#N/A</v>
      </c>
      <c r="BG35" s="226" t="e">
        <f t="shared" si="13"/>
        <v>#N/A</v>
      </c>
      <c r="BH35" s="226" t="e">
        <f t="shared" si="13"/>
        <v>#N/A</v>
      </c>
      <c r="BI35" s="226" t="e">
        <f t="shared" si="13"/>
        <v>#N/A</v>
      </c>
      <c r="BJ35" s="226" t="e">
        <f t="shared" si="13"/>
        <v>#N/A</v>
      </c>
      <c r="BK35" s="226" t="e">
        <f t="shared" si="13"/>
        <v>#N/A</v>
      </c>
      <c r="BL35" s="226" t="e">
        <f t="shared" si="13"/>
        <v>#N/A</v>
      </c>
      <c r="BM35" s="226" t="e">
        <f t="shared" si="13"/>
        <v>#N/A</v>
      </c>
      <c r="BN35" s="226" t="e">
        <f t="shared" si="13"/>
        <v>#N/A</v>
      </c>
      <c r="BO35" s="226" t="e">
        <f t="shared" si="13"/>
        <v>#N/A</v>
      </c>
      <c r="BP35" s="226" t="e">
        <f t="shared" si="13"/>
        <v>#N/A</v>
      </c>
      <c r="BQ35" s="226" t="e">
        <f t="shared" si="13"/>
        <v>#N/A</v>
      </c>
      <c r="BR35" s="226" t="e">
        <f t="shared" si="13"/>
        <v>#N/A</v>
      </c>
      <c r="BS35" s="226" t="e">
        <f t="shared" ref="BS35:ED35" si="14">BR33</f>
        <v>#N/A</v>
      </c>
      <c r="BT35" s="226" t="e">
        <f t="shared" si="14"/>
        <v>#N/A</v>
      </c>
      <c r="BU35" s="226" t="e">
        <f t="shared" si="14"/>
        <v>#N/A</v>
      </c>
      <c r="BV35" s="226" t="e">
        <f t="shared" si="14"/>
        <v>#N/A</v>
      </c>
      <c r="BW35" s="226" t="e">
        <f t="shared" si="14"/>
        <v>#N/A</v>
      </c>
      <c r="BX35" s="226" t="e">
        <f t="shared" si="14"/>
        <v>#N/A</v>
      </c>
      <c r="BY35" s="226" t="e">
        <f t="shared" si="14"/>
        <v>#N/A</v>
      </c>
      <c r="BZ35" s="226" t="e">
        <f t="shared" si="14"/>
        <v>#N/A</v>
      </c>
      <c r="CA35" s="226" t="e">
        <f t="shared" si="14"/>
        <v>#N/A</v>
      </c>
      <c r="CB35" s="226" t="e">
        <f t="shared" si="14"/>
        <v>#N/A</v>
      </c>
      <c r="CC35" s="226" t="e">
        <f t="shared" si="14"/>
        <v>#N/A</v>
      </c>
      <c r="CD35" s="226" t="e">
        <f t="shared" si="14"/>
        <v>#N/A</v>
      </c>
      <c r="CE35" s="226" t="e">
        <f t="shared" si="14"/>
        <v>#N/A</v>
      </c>
      <c r="CF35" s="226" t="e">
        <f t="shared" si="14"/>
        <v>#N/A</v>
      </c>
      <c r="CG35" s="226" t="e">
        <f t="shared" si="14"/>
        <v>#N/A</v>
      </c>
      <c r="CH35" s="226" t="e">
        <f t="shared" si="14"/>
        <v>#N/A</v>
      </c>
      <c r="CI35" s="226" t="e">
        <f t="shared" si="14"/>
        <v>#N/A</v>
      </c>
      <c r="CJ35" s="226" t="e">
        <f t="shared" si="14"/>
        <v>#N/A</v>
      </c>
      <c r="CK35" s="226" t="e">
        <f t="shared" si="14"/>
        <v>#N/A</v>
      </c>
      <c r="CL35" s="226" t="e">
        <f t="shared" si="14"/>
        <v>#N/A</v>
      </c>
      <c r="CM35" s="226" t="e">
        <f t="shared" si="14"/>
        <v>#N/A</v>
      </c>
      <c r="CN35" s="226" t="e">
        <f t="shared" si="14"/>
        <v>#N/A</v>
      </c>
      <c r="CO35" s="226" t="e">
        <f t="shared" si="14"/>
        <v>#N/A</v>
      </c>
      <c r="CP35" s="226" t="e">
        <f t="shared" si="14"/>
        <v>#N/A</v>
      </c>
      <c r="CQ35" s="226" t="e">
        <f t="shared" si="14"/>
        <v>#N/A</v>
      </c>
      <c r="CR35" s="226" t="e">
        <f t="shared" si="14"/>
        <v>#N/A</v>
      </c>
      <c r="CS35" s="226" t="e">
        <f t="shared" si="14"/>
        <v>#N/A</v>
      </c>
      <c r="CT35" s="226" t="e">
        <f t="shared" si="14"/>
        <v>#N/A</v>
      </c>
      <c r="CU35" s="226" t="e">
        <f t="shared" si="14"/>
        <v>#N/A</v>
      </c>
      <c r="CV35" s="226" t="e">
        <f t="shared" si="14"/>
        <v>#N/A</v>
      </c>
      <c r="CW35" s="226" t="e">
        <f t="shared" si="14"/>
        <v>#N/A</v>
      </c>
      <c r="CX35" s="226" t="e">
        <f t="shared" si="14"/>
        <v>#N/A</v>
      </c>
      <c r="CY35" s="226" t="e">
        <f t="shared" si="14"/>
        <v>#N/A</v>
      </c>
      <c r="CZ35" s="226" t="e">
        <f t="shared" si="14"/>
        <v>#N/A</v>
      </c>
      <c r="DA35" s="226" t="e">
        <f t="shared" si="14"/>
        <v>#N/A</v>
      </c>
      <c r="DB35" s="226" t="e">
        <f t="shared" si="14"/>
        <v>#N/A</v>
      </c>
      <c r="DC35" s="226" t="e">
        <f t="shared" si="14"/>
        <v>#N/A</v>
      </c>
      <c r="DD35" s="226" t="e">
        <f t="shared" si="14"/>
        <v>#N/A</v>
      </c>
      <c r="DE35" s="226" t="e">
        <f t="shared" si="14"/>
        <v>#N/A</v>
      </c>
      <c r="DF35" s="226" t="e">
        <f t="shared" si="14"/>
        <v>#N/A</v>
      </c>
      <c r="DG35" s="226" t="e">
        <f t="shared" si="14"/>
        <v>#N/A</v>
      </c>
      <c r="DH35" s="226" t="e">
        <f t="shared" si="14"/>
        <v>#N/A</v>
      </c>
      <c r="DI35" s="226" t="e">
        <f t="shared" si="14"/>
        <v>#N/A</v>
      </c>
      <c r="DJ35" s="226" t="e">
        <f t="shared" si="14"/>
        <v>#N/A</v>
      </c>
      <c r="DK35" s="226" t="e">
        <f t="shared" si="14"/>
        <v>#N/A</v>
      </c>
      <c r="DL35" s="226" t="e">
        <f t="shared" si="14"/>
        <v>#N/A</v>
      </c>
      <c r="DM35" s="226" t="e">
        <f t="shared" si="14"/>
        <v>#N/A</v>
      </c>
      <c r="DN35" s="226" t="e">
        <f t="shared" si="14"/>
        <v>#N/A</v>
      </c>
      <c r="DO35" s="226" t="e">
        <f t="shared" si="14"/>
        <v>#N/A</v>
      </c>
      <c r="DP35" s="226" t="e">
        <f t="shared" si="14"/>
        <v>#N/A</v>
      </c>
      <c r="DQ35" s="226" t="e">
        <f t="shared" si="14"/>
        <v>#N/A</v>
      </c>
      <c r="DR35" s="226" t="e">
        <f t="shared" si="14"/>
        <v>#N/A</v>
      </c>
      <c r="DS35" s="226" t="e">
        <f t="shared" si="14"/>
        <v>#N/A</v>
      </c>
      <c r="DT35" s="226" t="e">
        <f t="shared" si="14"/>
        <v>#N/A</v>
      </c>
      <c r="DU35" s="226" t="e">
        <f t="shared" si="14"/>
        <v>#N/A</v>
      </c>
      <c r="DV35" s="226" t="e">
        <f t="shared" si="14"/>
        <v>#N/A</v>
      </c>
      <c r="DW35" s="226" t="e">
        <f t="shared" si="14"/>
        <v>#N/A</v>
      </c>
      <c r="DX35" s="226" t="e">
        <f t="shared" si="14"/>
        <v>#N/A</v>
      </c>
      <c r="DY35" s="226" t="e">
        <f t="shared" si="14"/>
        <v>#N/A</v>
      </c>
      <c r="DZ35" s="226" t="e">
        <f t="shared" si="14"/>
        <v>#N/A</v>
      </c>
      <c r="EA35" s="226" t="e">
        <f t="shared" si="14"/>
        <v>#N/A</v>
      </c>
      <c r="EB35" s="226" t="e">
        <f t="shared" si="14"/>
        <v>#N/A</v>
      </c>
      <c r="EC35" s="226" t="e">
        <f t="shared" si="14"/>
        <v>#N/A</v>
      </c>
      <c r="ED35" s="226" t="e">
        <f t="shared" si="14"/>
        <v>#N/A</v>
      </c>
      <c r="EE35" s="226" t="e">
        <f t="shared" ref="EE35:EL35" si="15">ED33</f>
        <v>#N/A</v>
      </c>
      <c r="EF35" s="226" t="e">
        <f t="shared" si="15"/>
        <v>#N/A</v>
      </c>
      <c r="EG35" s="226" t="e">
        <f t="shared" si="15"/>
        <v>#N/A</v>
      </c>
      <c r="EH35" s="226" t="e">
        <f t="shared" si="15"/>
        <v>#N/A</v>
      </c>
      <c r="EI35" s="226" t="e">
        <f t="shared" si="15"/>
        <v>#N/A</v>
      </c>
      <c r="EJ35" s="226" t="e">
        <f t="shared" si="15"/>
        <v>#N/A</v>
      </c>
      <c r="EK35" s="226" t="e">
        <f t="shared" si="15"/>
        <v>#N/A</v>
      </c>
      <c r="EL35" s="226" t="e">
        <f t="shared" si="15"/>
        <v>#N/A</v>
      </c>
      <c r="EM35" s="279"/>
      <c r="EN35" s="227" t="e">
        <f t="shared" ref="EN35:EW36" si="16">EL33</f>
        <v>#N/A</v>
      </c>
      <c r="EO35" s="228" t="e">
        <f t="shared" si="16"/>
        <v>#N/A</v>
      </c>
      <c r="EP35" s="228" t="e">
        <f t="shared" si="16"/>
        <v>#N/A</v>
      </c>
      <c r="EQ35" s="228" t="e">
        <f t="shared" si="16"/>
        <v>#N/A</v>
      </c>
      <c r="ER35" s="228" t="e">
        <f t="shared" si="16"/>
        <v>#N/A</v>
      </c>
      <c r="ES35" s="228" t="e">
        <f t="shared" si="16"/>
        <v>#N/A</v>
      </c>
      <c r="ET35" s="228" t="e">
        <f t="shared" si="16"/>
        <v>#N/A</v>
      </c>
      <c r="EU35" s="228" t="e">
        <f t="shared" si="16"/>
        <v>#N/A</v>
      </c>
      <c r="EV35" s="228" t="e">
        <f t="shared" si="16"/>
        <v>#N/A</v>
      </c>
      <c r="EW35" s="228" t="e">
        <f t="shared" si="16"/>
        <v>#N/A</v>
      </c>
      <c r="EX35" s="228" t="e">
        <f t="shared" ref="EX35:FG36" si="17">EV33</f>
        <v>#N/A</v>
      </c>
      <c r="EY35" s="228" t="e">
        <f t="shared" si="17"/>
        <v>#N/A</v>
      </c>
      <c r="EZ35" s="228" t="e">
        <f t="shared" si="17"/>
        <v>#N/A</v>
      </c>
      <c r="FA35" s="228" t="e">
        <f t="shared" si="17"/>
        <v>#N/A</v>
      </c>
      <c r="FB35" s="228" t="e">
        <f t="shared" si="17"/>
        <v>#N/A</v>
      </c>
      <c r="FC35" s="228" t="e">
        <f t="shared" si="17"/>
        <v>#N/A</v>
      </c>
      <c r="FD35" s="228" t="e">
        <f t="shared" si="17"/>
        <v>#N/A</v>
      </c>
      <c r="FE35" s="228" t="e">
        <f t="shared" si="17"/>
        <v>#N/A</v>
      </c>
      <c r="FF35" s="228" t="e">
        <f t="shared" si="17"/>
        <v>#N/A</v>
      </c>
      <c r="FG35" s="228" t="e">
        <f t="shared" si="17"/>
        <v>#N/A</v>
      </c>
      <c r="FH35" s="228" t="e">
        <f t="shared" ref="FH35:FQ36" si="18">FF33</f>
        <v>#N/A</v>
      </c>
      <c r="FI35" s="228" t="e">
        <f t="shared" si="18"/>
        <v>#N/A</v>
      </c>
      <c r="FJ35" s="228" t="e">
        <f t="shared" si="18"/>
        <v>#N/A</v>
      </c>
      <c r="FK35" s="228" t="e">
        <f t="shared" si="18"/>
        <v>#N/A</v>
      </c>
      <c r="FL35" s="228" t="e">
        <f t="shared" si="18"/>
        <v>#N/A</v>
      </c>
      <c r="FM35" s="228" t="e">
        <f t="shared" si="18"/>
        <v>#N/A</v>
      </c>
      <c r="FN35" s="228" t="e">
        <f t="shared" si="18"/>
        <v>#N/A</v>
      </c>
      <c r="FO35" s="228" t="e">
        <f t="shared" si="18"/>
        <v>#N/A</v>
      </c>
      <c r="FP35" s="228" t="e">
        <f t="shared" si="18"/>
        <v>#N/A</v>
      </c>
      <c r="FQ35" s="228" t="e">
        <f t="shared" si="18"/>
        <v>#N/A</v>
      </c>
      <c r="FR35" s="228" t="e">
        <f t="shared" ref="FR35:GA36" si="19">FP33</f>
        <v>#N/A</v>
      </c>
      <c r="FS35" s="228" t="e">
        <f t="shared" si="19"/>
        <v>#N/A</v>
      </c>
      <c r="FT35" s="228" t="e">
        <f t="shared" si="19"/>
        <v>#N/A</v>
      </c>
      <c r="FU35" s="228" t="e">
        <f t="shared" si="19"/>
        <v>#N/A</v>
      </c>
      <c r="FV35" s="228" t="e">
        <f t="shared" si="19"/>
        <v>#N/A</v>
      </c>
      <c r="FW35" s="228" t="e">
        <f t="shared" si="19"/>
        <v>#N/A</v>
      </c>
      <c r="FX35" s="228" t="e">
        <f t="shared" si="19"/>
        <v>#N/A</v>
      </c>
      <c r="FY35" s="228" t="e">
        <f t="shared" si="19"/>
        <v>#N/A</v>
      </c>
      <c r="FZ35" s="228" t="e">
        <f t="shared" si="19"/>
        <v>#N/A</v>
      </c>
      <c r="GA35" s="228" t="e">
        <f t="shared" si="19"/>
        <v>#N/A</v>
      </c>
      <c r="GB35" s="228" t="e">
        <f t="shared" ref="GB35:GK36" si="20">FZ33</f>
        <v>#N/A</v>
      </c>
      <c r="GC35" s="228" t="e">
        <f t="shared" si="20"/>
        <v>#N/A</v>
      </c>
      <c r="GD35" s="228" t="e">
        <f t="shared" si="20"/>
        <v>#N/A</v>
      </c>
      <c r="GE35" s="228" t="e">
        <f t="shared" si="20"/>
        <v>#N/A</v>
      </c>
      <c r="GF35" s="228" t="e">
        <f t="shared" si="20"/>
        <v>#N/A</v>
      </c>
      <c r="GG35" s="228" t="e">
        <f t="shared" si="20"/>
        <v>#N/A</v>
      </c>
      <c r="GH35" s="228" t="e">
        <f t="shared" si="20"/>
        <v>#N/A</v>
      </c>
      <c r="GI35" s="228" t="e">
        <f t="shared" si="20"/>
        <v>#N/A</v>
      </c>
      <c r="GJ35" s="228" t="e">
        <f t="shared" si="20"/>
        <v>#N/A</v>
      </c>
      <c r="GK35" s="228" t="e">
        <f t="shared" si="20"/>
        <v>#N/A</v>
      </c>
      <c r="GL35" s="228" t="e">
        <f t="shared" ref="GL35:GQ36" si="21">GJ33</f>
        <v>#N/A</v>
      </c>
      <c r="GM35" s="228" t="e">
        <f t="shared" si="21"/>
        <v>#N/A</v>
      </c>
      <c r="GN35" s="228" t="e">
        <f t="shared" si="21"/>
        <v>#N/A</v>
      </c>
      <c r="GO35" s="228" t="e">
        <f t="shared" si="21"/>
        <v>#N/A</v>
      </c>
      <c r="GP35" s="228" t="e">
        <f t="shared" si="21"/>
        <v>#N/A</v>
      </c>
      <c r="GQ35" s="228" t="e">
        <f t="shared" si="21"/>
        <v>#N/A</v>
      </c>
      <c r="GR35" s="228" t="e">
        <f t="shared" ref="GR35:JC35" si="22">GP33</f>
        <v>#N/A</v>
      </c>
      <c r="GS35" s="228" t="e">
        <f t="shared" si="22"/>
        <v>#N/A</v>
      </c>
      <c r="GT35" s="228" t="e">
        <f t="shared" si="22"/>
        <v>#N/A</v>
      </c>
      <c r="GU35" s="228" t="e">
        <f t="shared" si="22"/>
        <v>#N/A</v>
      </c>
      <c r="GV35" s="228" t="e">
        <f t="shared" si="22"/>
        <v>#N/A</v>
      </c>
      <c r="GW35" s="228" t="e">
        <f t="shared" si="22"/>
        <v>#N/A</v>
      </c>
      <c r="GX35" s="228" t="e">
        <f t="shared" si="22"/>
        <v>#N/A</v>
      </c>
      <c r="GY35" s="228" t="e">
        <f t="shared" si="22"/>
        <v>#N/A</v>
      </c>
      <c r="GZ35" s="228" t="e">
        <f t="shared" si="22"/>
        <v>#N/A</v>
      </c>
      <c r="HA35" s="228" t="e">
        <f t="shared" si="22"/>
        <v>#N/A</v>
      </c>
      <c r="HB35" s="228" t="e">
        <f t="shared" si="22"/>
        <v>#N/A</v>
      </c>
      <c r="HC35" s="228" t="e">
        <f t="shared" si="22"/>
        <v>#N/A</v>
      </c>
      <c r="HD35" s="228" t="e">
        <f t="shared" si="22"/>
        <v>#N/A</v>
      </c>
      <c r="HE35" s="228" t="e">
        <f t="shared" si="22"/>
        <v>#N/A</v>
      </c>
      <c r="HF35" s="228" t="e">
        <f t="shared" si="22"/>
        <v>#N/A</v>
      </c>
      <c r="HG35" s="228" t="e">
        <f t="shared" si="22"/>
        <v>#N/A</v>
      </c>
      <c r="HH35" s="228" t="e">
        <f t="shared" si="22"/>
        <v>#N/A</v>
      </c>
      <c r="HI35" s="228" t="e">
        <f t="shared" si="22"/>
        <v>#N/A</v>
      </c>
      <c r="HJ35" s="228" t="e">
        <f t="shared" si="22"/>
        <v>#N/A</v>
      </c>
      <c r="HK35" s="228" t="e">
        <f t="shared" si="22"/>
        <v>#N/A</v>
      </c>
      <c r="HL35" s="228" t="e">
        <f t="shared" si="22"/>
        <v>#N/A</v>
      </c>
      <c r="HM35" s="228" t="e">
        <f t="shared" si="22"/>
        <v>#N/A</v>
      </c>
      <c r="HN35" s="228" t="e">
        <f t="shared" si="22"/>
        <v>#N/A</v>
      </c>
      <c r="HO35" s="228" t="e">
        <f t="shared" si="22"/>
        <v>#N/A</v>
      </c>
      <c r="HP35" s="228" t="e">
        <f t="shared" si="22"/>
        <v>#N/A</v>
      </c>
      <c r="HQ35" s="228" t="e">
        <f t="shared" si="22"/>
        <v>#N/A</v>
      </c>
      <c r="HR35" s="228" t="e">
        <f t="shared" si="22"/>
        <v>#N/A</v>
      </c>
      <c r="HS35" s="228" t="e">
        <f t="shared" si="22"/>
        <v>#N/A</v>
      </c>
      <c r="HT35" s="228" t="e">
        <f t="shared" si="22"/>
        <v>#N/A</v>
      </c>
      <c r="HU35" s="228" t="e">
        <f t="shared" si="22"/>
        <v>#N/A</v>
      </c>
      <c r="HV35" s="228" t="e">
        <f t="shared" si="22"/>
        <v>#N/A</v>
      </c>
      <c r="HW35" s="228" t="e">
        <f t="shared" si="22"/>
        <v>#N/A</v>
      </c>
      <c r="HX35" s="228" t="e">
        <f t="shared" si="22"/>
        <v>#N/A</v>
      </c>
      <c r="HY35" s="228" t="e">
        <f t="shared" si="22"/>
        <v>#N/A</v>
      </c>
      <c r="HZ35" s="228" t="e">
        <f t="shared" si="22"/>
        <v>#N/A</v>
      </c>
      <c r="IA35" s="228" t="e">
        <f t="shared" si="22"/>
        <v>#N/A</v>
      </c>
      <c r="IB35" s="228" t="e">
        <f t="shared" si="22"/>
        <v>#N/A</v>
      </c>
      <c r="IC35" s="228" t="e">
        <f t="shared" si="22"/>
        <v>#N/A</v>
      </c>
      <c r="ID35" s="228" t="e">
        <f t="shared" si="22"/>
        <v>#N/A</v>
      </c>
      <c r="IE35" s="228" t="e">
        <f t="shared" si="22"/>
        <v>#N/A</v>
      </c>
      <c r="IF35" s="228" t="e">
        <f t="shared" si="22"/>
        <v>#N/A</v>
      </c>
      <c r="IG35" s="228" t="e">
        <f t="shared" si="22"/>
        <v>#N/A</v>
      </c>
      <c r="IH35" s="228" t="e">
        <f t="shared" si="22"/>
        <v>#N/A</v>
      </c>
      <c r="II35" s="228" t="e">
        <f t="shared" si="22"/>
        <v>#N/A</v>
      </c>
      <c r="IJ35" s="228" t="e">
        <f t="shared" si="22"/>
        <v>#N/A</v>
      </c>
      <c r="IK35" s="228" t="e">
        <f t="shared" si="22"/>
        <v>#N/A</v>
      </c>
      <c r="IL35" s="228" t="e">
        <f t="shared" si="22"/>
        <v>#N/A</v>
      </c>
      <c r="IM35" s="228" t="e">
        <f t="shared" si="22"/>
        <v>#N/A</v>
      </c>
      <c r="IN35" s="228" t="e">
        <f t="shared" si="22"/>
        <v>#N/A</v>
      </c>
      <c r="IO35" s="228" t="e">
        <f t="shared" si="22"/>
        <v>#N/A</v>
      </c>
      <c r="IP35" s="228" t="e">
        <f t="shared" si="22"/>
        <v>#N/A</v>
      </c>
      <c r="IQ35" s="228" t="e">
        <f t="shared" si="22"/>
        <v>#N/A</v>
      </c>
      <c r="IR35" s="228" t="e">
        <f t="shared" si="22"/>
        <v>#N/A</v>
      </c>
      <c r="IS35" s="228" t="e">
        <f t="shared" si="22"/>
        <v>#N/A</v>
      </c>
      <c r="IT35" s="228" t="e">
        <f t="shared" si="22"/>
        <v>#N/A</v>
      </c>
      <c r="IU35" s="228" t="e">
        <f t="shared" si="22"/>
        <v>#N/A</v>
      </c>
      <c r="IV35" s="228" t="e">
        <f t="shared" si="22"/>
        <v>#N/A</v>
      </c>
      <c r="IW35" s="228" t="e">
        <f t="shared" si="22"/>
        <v>#N/A</v>
      </c>
      <c r="IX35" s="228" t="e">
        <f t="shared" si="22"/>
        <v>#N/A</v>
      </c>
      <c r="IY35" s="228" t="e">
        <f t="shared" si="22"/>
        <v>#N/A</v>
      </c>
      <c r="IZ35" s="228" t="e">
        <f t="shared" si="22"/>
        <v>#N/A</v>
      </c>
      <c r="JA35" s="228" t="e">
        <f t="shared" si="22"/>
        <v>#N/A</v>
      </c>
      <c r="JB35" s="228" t="e">
        <f t="shared" si="22"/>
        <v>#N/A</v>
      </c>
      <c r="JC35" s="228" t="e">
        <f t="shared" si="22"/>
        <v>#N/A</v>
      </c>
      <c r="JD35" s="228" t="e">
        <f t="shared" ref="JD35:JX35" si="23">JB33</f>
        <v>#N/A</v>
      </c>
      <c r="JE35" s="228" t="e">
        <f t="shared" si="23"/>
        <v>#N/A</v>
      </c>
      <c r="JF35" s="228" t="e">
        <f t="shared" si="23"/>
        <v>#N/A</v>
      </c>
      <c r="JG35" s="228" t="e">
        <f t="shared" si="23"/>
        <v>#N/A</v>
      </c>
      <c r="JH35" s="228" t="e">
        <f t="shared" si="23"/>
        <v>#N/A</v>
      </c>
      <c r="JI35" s="228" t="e">
        <f t="shared" si="23"/>
        <v>#N/A</v>
      </c>
      <c r="JJ35" s="228" t="e">
        <f t="shared" si="23"/>
        <v>#N/A</v>
      </c>
      <c r="JK35" s="228" t="e">
        <f t="shared" si="23"/>
        <v>#N/A</v>
      </c>
      <c r="JL35" s="228" t="e">
        <f t="shared" si="23"/>
        <v>#N/A</v>
      </c>
      <c r="JM35" s="228" t="e">
        <f t="shared" si="23"/>
        <v>#N/A</v>
      </c>
      <c r="JN35" s="228" t="e">
        <f t="shared" si="23"/>
        <v>#N/A</v>
      </c>
      <c r="JO35" s="228" t="e">
        <f t="shared" si="23"/>
        <v>#N/A</v>
      </c>
      <c r="JP35" s="228" t="e">
        <f t="shared" si="23"/>
        <v>#N/A</v>
      </c>
      <c r="JQ35" s="228" t="e">
        <f t="shared" si="23"/>
        <v>#N/A</v>
      </c>
      <c r="JR35" s="228" t="e">
        <f t="shared" si="23"/>
        <v>#N/A</v>
      </c>
      <c r="JS35" s="228" t="e">
        <f t="shared" si="23"/>
        <v>#N/A</v>
      </c>
      <c r="JT35" s="228" t="e">
        <f t="shared" si="23"/>
        <v>#N/A</v>
      </c>
      <c r="JU35" s="228" t="e">
        <f t="shared" si="23"/>
        <v>#N/A</v>
      </c>
      <c r="JV35" s="228" t="e">
        <f t="shared" si="23"/>
        <v>#N/A</v>
      </c>
      <c r="JW35" s="228" t="e">
        <f t="shared" si="23"/>
        <v>#N/A</v>
      </c>
      <c r="JX35" s="229" t="e">
        <f t="shared" si="23"/>
        <v>#N/A</v>
      </c>
      <c r="KD35" s="33"/>
    </row>
    <row r="36" spans="1:290" ht="15.75" x14ac:dyDescent="0.3">
      <c r="C36" s="105"/>
      <c r="D36" s="233" t="s">
        <v>136</v>
      </c>
      <c r="E36" s="218">
        <f>E34</f>
        <v>20</v>
      </c>
      <c r="F36" s="219">
        <f t="shared" ref="F36:AA36" si="24">F34</f>
        <v>9</v>
      </c>
      <c r="G36" s="219">
        <f t="shared" si="24"/>
        <v>18</v>
      </c>
      <c r="H36" s="219">
        <f t="shared" si="24"/>
        <v>15</v>
      </c>
      <c r="I36" s="219">
        <f t="shared" si="24"/>
        <v>12</v>
      </c>
      <c r="J36" s="219">
        <f t="shared" si="24"/>
        <v>4</v>
      </c>
      <c r="K36" s="219">
        <f t="shared" si="24"/>
        <v>25</v>
      </c>
      <c r="L36" s="219">
        <f t="shared" si="24"/>
        <v>18</v>
      </c>
      <c r="M36" s="219">
        <f t="shared" si="24"/>
        <v>4</v>
      </c>
      <c r="N36" s="219">
        <f t="shared" si="24"/>
        <v>4</v>
      </c>
      <c r="O36" s="219">
        <f t="shared" si="24"/>
        <v>19</v>
      </c>
      <c r="P36" s="219">
        <f t="shared" si="24"/>
        <v>15</v>
      </c>
      <c r="Q36" s="219">
        <f t="shared" si="24"/>
        <v>1</v>
      </c>
      <c r="R36" s="219">
        <f t="shared" si="24"/>
        <v>5</v>
      </c>
      <c r="S36" s="219">
        <f t="shared" si="24"/>
        <v>15</v>
      </c>
      <c r="T36" s="219">
        <f t="shared" si="24"/>
        <v>7</v>
      </c>
      <c r="U36" s="219">
        <f t="shared" si="24"/>
        <v>5</v>
      </c>
      <c r="V36" s="219">
        <f t="shared" si="24"/>
        <v>20</v>
      </c>
      <c r="W36" s="219">
        <f t="shared" si="24"/>
        <v>9</v>
      </c>
      <c r="X36" s="219">
        <f t="shared" si="24"/>
        <v>19</v>
      </c>
      <c r="Y36" s="219">
        <f t="shared" si="24"/>
        <v>8</v>
      </c>
      <c r="Z36" s="219">
        <f t="shared" si="24"/>
        <v>9</v>
      </c>
      <c r="AA36" s="219">
        <f t="shared" si="24"/>
        <v>5</v>
      </c>
      <c r="AB36" s="279"/>
      <c r="AC36" s="135">
        <f t="shared" ref="AC36:BR36" si="25">AB34</f>
        <v>3</v>
      </c>
      <c r="AD36" s="136">
        <f t="shared" si="25"/>
        <v>12</v>
      </c>
      <c r="AE36" s="136">
        <f t="shared" si="25"/>
        <v>9</v>
      </c>
      <c r="AF36" s="136">
        <f t="shared" si="25"/>
        <v>8</v>
      </c>
      <c r="AG36" s="136">
        <f t="shared" si="25"/>
        <v>4</v>
      </c>
      <c r="AH36" s="136">
        <f t="shared" si="25"/>
        <v>4</v>
      </c>
      <c r="AI36" s="136">
        <f t="shared" si="25"/>
        <v>20</v>
      </c>
      <c r="AJ36" s="136">
        <f t="shared" si="25"/>
        <v>3</v>
      </c>
      <c r="AK36" s="136">
        <f t="shared" si="25"/>
        <v>5</v>
      </c>
      <c r="AL36" s="136">
        <f t="shared" si="25"/>
        <v>1</v>
      </c>
      <c r="AM36" s="136">
        <f t="shared" si="25"/>
        <v>2</v>
      </c>
      <c r="AN36" s="136">
        <f t="shared" si="25"/>
        <v>5</v>
      </c>
      <c r="AO36" s="136">
        <f t="shared" si="25"/>
        <v>6</v>
      </c>
      <c r="AP36" s="136">
        <f t="shared" si="25"/>
        <v>23</v>
      </c>
      <c r="AQ36" s="136">
        <f t="shared" si="25"/>
        <v>5</v>
      </c>
      <c r="AR36" s="136">
        <f t="shared" si="25"/>
        <v>9</v>
      </c>
      <c r="AS36" s="136">
        <f t="shared" si="25"/>
        <v>18</v>
      </c>
      <c r="AT36" s="136">
        <f t="shared" si="25"/>
        <v>7</v>
      </c>
      <c r="AU36" s="136">
        <f t="shared" si="25"/>
        <v>1</v>
      </c>
      <c r="AV36" s="136">
        <f t="shared" si="25"/>
        <v>15</v>
      </c>
      <c r="AW36" s="136">
        <f t="shared" si="25"/>
        <v>18</v>
      </c>
      <c r="AX36" s="136">
        <f t="shared" si="25"/>
        <v>5</v>
      </c>
      <c r="AY36" s="136">
        <f t="shared" si="25"/>
        <v>9</v>
      </c>
      <c r="AZ36" s="136">
        <f t="shared" si="25"/>
        <v>16</v>
      </c>
      <c r="BA36" s="136">
        <f t="shared" si="25"/>
        <v>23</v>
      </c>
      <c r="BB36" s="136">
        <f t="shared" si="25"/>
        <v>5</v>
      </c>
      <c r="BC36" s="136">
        <f t="shared" si="25"/>
        <v>20</v>
      </c>
      <c r="BD36" s="136">
        <f t="shared" si="25"/>
        <v>19</v>
      </c>
      <c r="BE36" s="136">
        <f t="shared" si="25"/>
        <v>13</v>
      </c>
      <c r="BF36" s="136">
        <f t="shared" si="25"/>
        <v>20</v>
      </c>
      <c r="BG36" s="136">
        <f t="shared" si="25"/>
        <v>20</v>
      </c>
      <c r="BH36" s="136">
        <f t="shared" si="25"/>
        <v>8</v>
      </c>
      <c r="BI36" s="136">
        <f t="shared" si="25"/>
        <v>1</v>
      </c>
      <c r="BJ36" s="136">
        <f t="shared" si="25"/>
        <v>1</v>
      </c>
      <c r="BK36" s="136">
        <f t="shared" si="25"/>
        <v>9</v>
      </c>
      <c r="BL36" s="136">
        <f t="shared" si="25"/>
        <v>14</v>
      </c>
      <c r="BM36" s="136">
        <f t="shared" si="25"/>
        <v>4</v>
      </c>
      <c r="BN36" s="136">
        <f t="shared" si="25"/>
        <v>4</v>
      </c>
      <c r="BO36" s="136">
        <f t="shared" si="25"/>
        <v>5</v>
      </c>
      <c r="BP36" s="136">
        <f t="shared" si="25"/>
        <v>19</v>
      </c>
      <c r="BQ36" s="136">
        <f t="shared" si="25"/>
        <v>2</v>
      </c>
      <c r="BR36" s="136">
        <f t="shared" si="25"/>
        <v>9</v>
      </c>
      <c r="BS36" s="136">
        <f t="shared" ref="BS36:ED36" si="26">BR34</f>
        <v>20</v>
      </c>
      <c r="BT36" s="136">
        <f t="shared" si="26"/>
        <v>18</v>
      </c>
      <c r="BU36" s="136">
        <f t="shared" si="26"/>
        <v>14</v>
      </c>
      <c r="BV36" s="136">
        <f t="shared" si="26"/>
        <v>20</v>
      </c>
      <c r="BW36" s="136">
        <f t="shared" si="26"/>
        <v>18</v>
      </c>
      <c r="BX36" s="136">
        <f t="shared" si="26"/>
        <v>5</v>
      </c>
      <c r="BY36" s="136">
        <f t="shared" si="26"/>
        <v>5</v>
      </c>
      <c r="BZ36" s="136">
        <f t="shared" si="26"/>
        <v>1</v>
      </c>
      <c r="CA36" s="136">
        <f t="shared" si="26"/>
        <v>13</v>
      </c>
      <c r="CB36" s="136">
        <f t="shared" si="26"/>
        <v>18</v>
      </c>
      <c r="CC36" s="136">
        <f t="shared" si="26"/>
        <v>1</v>
      </c>
      <c r="CD36" s="136">
        <f t="shared" si="26"/>
        <v>15</v>
      </c>
      <c r="CE36" s="136">
        <f t="shared" si="26"/>
        <v>20</v>
      </c>
      <c r="CF36" s="136">
        <f t="shared" si="26"/>
        <v>15</v>
      </c>
      <c r="CG36" s="136">
        <f t="shared" si="26"/>
        <v>5</v>
      </c>
      <c r="CH36" s="136">
        <f t="shared" si="26"/>
        <v>1</v>
      </c>
      <c r="CI36" s="136">
        <f t="shared" si="26"/>
        <v>21</v>
      </c>
      <c r="CJ36" s="136">
        <f t="shared" si="26"/>
        <v>20</v>
      </c>
      <c r="CK36" s="136">
        <f t="shared" si="26"/>
        <v>5</v>
      </c>
      <c r="CL36" s="136">
        <f t="shared" si="26"/>
        <v>21</v>
      </c>
      <c r="CM36" s="136">
        <f t="shared" si="26"/>
        <v>20</v>
      </c>
      <c r="CN36" s="136">
        <f t="shared" si="26"/>
        <v>15</v>
      </c>
      <c r="CO36" s="136">
        <f t="shared" si="26"/>
        <v>9</v>
      </c>
      <c r="CP36" s="136">
        <f t="shared" si="26"/>
        <v>6</v>
      </c>
      <c r="CQ36" s="136">
        <f t="shared" si="26"/>
        <v>19</v>
      </c>
      <c r="CR36" s="136">
        <f t="shared" si="26"/>
        <v>1</v>
      </c>
      <c r="CS36" s="136">
        <f t="shared" si="26"/>
        <v>15</v>
      </c>
      <c r="CT36" s="136">
        <f t="shared" si="26"/>
        <v>6</v>
      </c>
      <c r="CU36" s="136">
        <f t="shared" si="26"/>
        <v>5</v>
      </c>
      <c r="CV36" s="136">
        <f t="shared" si="26"/>
        <v>5</v>
      </c>
      <c r="CW36" s="136">
        <f t="shared" si="26"/>
        <v>20</v>
      </c>
      <c r="CX36" s="136">
        <f t="shared" si="26"/>
        <v>2</v>
      </c>
      <c r="CY36" s="136">
        <f t="shared" si="26"/>
        <v>12</v>
      </c>
      <c r="CZ36" s="136">
        <f t="shared" si="26"/>
        <v>18</v>
      </c>
      <c r="DA36" s="136">
        <f t="shared" si="26"/>
        <v>5</v>
      </c>
      <c r="DB36" s="136">
        <f t="shared" si="26"/>
        <v>5</v>
      </c>
      <c r="DC36" s="136">
        <f t="shared" si="26"/>
        <v>25</v>
      </c>
      <c r="DD36" s="136">
        <f t="shared" si="26"/>
        <v>7</v>
      </c>
      <c r="DE36" s="136">
        <f t="shared" si="26"/>
        <v>5</v>
      </c>
      <c r="DF36" s="136">
        <f t="shared" si="26"/>
        <v>20</v>
      </c>
      <c r="DG36" s="136">
        <f t="shared" si="26"/>
        <v>1</v>
      </c>
      <c r="DH36" s="136">
        <f t="shared" si="26"/>
        <v>13</v>
      </c>
      <c r="DI36" s="136">
        <f t="shared" si="26"/>
        <v>1</v>
      </c>
      <c r="DJ36" s="136">
        <f t="shared" si="26"/>
        <v>20</v>
      </c>
      <c r="DK36" s="136">
        <f t="shared" si="26"/>
        <v>1</v>
      </c>
      <c r="DL36" s="136">
        <f t="shared" si="26"/>
        <v>14</v>
      </c>
      <c r="DM36" s="136">
        <f t="shared" si="26"/>
        <v>5</v>
      </c>
      <c r="DN36" s="136">
        <f t="shared" si="26"/>
        <v>23</v>
      </c>
      <c r="DO36" s="136">
        <f t="shared" si="26"/>
        <v>5</v>
      </c>
      <c r="DP36" s="136">
        <f t="shared" si="26"/>
        <v>8</v>
      </c>
      <c r="DQ36" s="136">
        <f t="shared" si="26"/>
        <v>8</v>
      </c>
      <c r="DR36" s="136">
        <f t="shared" si="26"/>
        <v>13</v>
      </c>
      <c r="DS36" s="136">
        <f t="shared" si="26"/>
        <v>1</v>
      </c>
      <c r="DT36" s="136">
        <f t="shared" si="26"/>
        <v>16</v>
      </c>
      <c r="DU36" s="136">
        <f t="shared" si="26"/>
        <v>19</v>
      </c>
      <c r="DV36" s="136">
        <f t="shared" si="26"/>
        <v>18</v>
      </c>
      <c r="DW36" s="136">
        <f t="shared" si="26"/>
        <v>2</v>
      </c>
      <c r="DX36" s="136">
        <f t="shared" si="26"/>
        <v>20</v>
      </c>
      <c r="DY36" s="136">
        <f t="shared" si="26"/>
        <v>6</v>
      </c>
      <c r="DZ36" s="136">
        <f t="shared" si="26"/>
        <v>9</v>
      </c>
      <c r="EA36" s="136">
        <f t="shared" si="26"/>
        <v>5</v>
      </c>
      <c r="EB36" s="136">
        <f t="shared" si="26"/>
        <v>18</v>
      </c>
      <c r="EC36" s="136">
        <f t="shared" si="26"/>
        <v>3</v>
      </c>
      <c r="ED36" s="136">
        <f t="shared" si="26"/>
        <v>25</v>
      </c>
      <c r="EE36" s="136">
        <f t="shared" ref="EE36:EL36" si="27">ED34</f>
        <v>1</v>
      </c>
      <c r="EF36" s="136">
        <f t="shared" si="27"/>
        <v>20</v>
      </c>
      <c r="EG36" s="136">
        <f t="shared" si="27"/>
        <v>3</v>
      </c>
      <c r="EH36" s="136">
        <f t="shared" si="27"/>
        <v>14</v>
      </c>
      <c r="EI36" s="136">
        <f t="shared" si="27"/>
        <v>5</v>
      </c>
      <c r="EJ36" s="136">
        <f t="shared" si="27"/>
        <v>5</v>
      </c>
      <c r="EK36" s="136">
        <f t="shared" si="27"/>
        <v>8</v>
      </c>
      <c r="EL36" s="136">
        <f t="shared" si="27"/>
        <v>17</v>
      </c>
      <c r="EM36" s="279"/>
      <c r="EN36" s="220">
        <f t="shared" si="16"/>
        <v>25</v>
      </c>
      <c r="EO36" s="221">
        <f t="shared" si="16"/>
        <v>5</v>
      </c>
      <c r="EP36" s="221">
        <f t="shared" si="16"/>
        <v>20</v>
      </c>
      <c r="EQ36" s="221">
        <f t="shared" si="16"/>
        <v>25</v>
      </c>
      <c r="ER36" s="221">
        <f t="shared" si="16"/>
        <v>15</v>
      </c>
      <c r="ES36" s="221">
        <f t="shared" si="16"/>
        <v>9</v>
      </c>
      <c r="ET36" s="221">
        <f t="shared" si="16"/>
        <v>5</v>
      </c>
      <c r="EU36" s="221">
        <f t="shared" si="16"/>
        <v>1</v>
      </c>
      <c r="EV36" s="221">
        <f t="shared" si="16"/>
        <v>8</v>
      </c>
      <c r="EW36" s="221">
        <f t="shared" si="16"/>
        <v>14</v>
      </c>
      <c r="EX36" s="221">
        <f t="shared" si="17"/>
        <v>5</v>
      </c>
      <c r="EY36" s="221">
        <f t="shared" si="17"/>
        <v>23</v>
      </c>
      <c r="EZ36" s="221">
        <f t="shared" si="17"/>
        <v>9</v>
      </c>
      <c r="FA36" s="221">
        <f t="shared" si="17"/>
        <v>9</v>
      </c>
      <c r="FB36" s="221">
        <f t="shared" si="17"/>
        <v>1</v>
      </c>
      <c r="FC36" s="221">
        <f t="shared" si="17"/>
        <v>14</v>
      </c>
      <c r="FD36" s="221">
        <f t="shared" si="17"/>
        <v>8</v>
      </c>
      <c r="FE36" s="221">
        <f t="shared" si="17"/>
        <v>19</v>
      </c>
      <c r="FF36" s="221">
        <f t="shared" si="17"/>
        <v>25</v>
      </c>
      <c r="FG36" s="221">
        <f t="shared" si="17"/>
        <v>4</v>
      </c>
      <c r="FH36" s="221">
        <f t="shared" si="18"/>
        <v>9</v>
      </c>
      <c r="FI36" s="221">
        <f t="shared" si="18"/>
        <v>2</v>
      </c>
      <c r="FJ36" s="221">
        <f t="shared" si="18"/>
        <v>9</v>
      </c>
      <c r="FK36" s="221">
        <f t="shared" si="18"/>
        <v>15</v>
      </c>
      <c r="FL36" s="221">
        <f t="shared" si="18"/>
        <v>5</v>
      </c>
      <c r="FM36" s="221">
        <f t="shared" si="18"/>
        <v>20</v>
      </c>
      <c r="FN36" s="221">
        <f t="shared" si="18"/>
        <v>16</v>
      </c>
      <c r="FO36" s="221">
        <f t="shared" si="18"/>
        <v>3</v>
      </c>
      <c r="FP36" s="221">
        <f t="shared" si="18"/>
        <v>15</v>
      </c>
      <c r="FQ36" s="221">
        <f t="shared" si="18"/>
        <v>5</v>
      </c>
      <c r="FR36" s="221">
        <f t="shared" si="19"/>
        <v>8</v>
      </c>
      <c r="FS36" s="221">
        <f t="shared" si="19"/>
        <v>18</v>
      </c>
      <c r="FT36" s="221">
        <f t="shared" si="19"/>
        <v>19</v>
      </c>
      <c r="FU36" s="221">
        <f t="shared" si="19"/>
        <v>12</v>
      </c>
      <c r="FV36" s="221">
        <f t="shared" si="19"/>
        <v>14</v>
      </c>
      <c r="FW36" s="221">
        <f t="shared" si="19"/>
        <v>8</v>
      </c>
      <c r="FX36" s="221">
        <f t="shared" si="19"/>
        <v>15</v>
      </c>
      <c r="FY36" s="221">
        <f t="shared" si="19"/>
        <v>18</v>
      </c>
      <c r="FZ36" s="221">
        <f t="shared" si="19"/>
        <v>8</v>
      </c>
      <c r="GA36" s="221">
        <f t="shared" si="19"/>
        <v>1</v>
      </c>
      <c r="GB36" s="221">
        <f t="shared" si="20"/>
        <v>25</v>
      </c>
      <c r="GC36" s="221" t="e">
        <f t="shared" si="20"/>
        <v>#N/A</v>
      </c>
      <c r="GD36" s="221" t="e">
        <f t="shared" si="20"/>
        <v>#N/A</v>
      </c>
      <c r="GE36" s="221" t="e">
        <f t="shared" si="20"/>
        <v>#N/A</v>
      </c>
      <c r="GF36" s="221" t="e">
        <f t="shared" si="20"/>
        <v>#N/A</v>
      </c>
      <c r="GG36" s="221" t="e">
        <f t="shared" si="20"/>
        <v>#N/A</v>
      </c>
      <c r="GH36" s="221" t="e">
        <f t="shared" si="20"/>
        <v>#N/A</v>
      </c>
      <c r="GI36" s="221" t="e">
        <f t="shared" si="20"/>
        <v>#N/A</v>
      </c>
      <c r="GJ36" s="221" t="e">
        <f t="shared" si="20"/>
        <v>#N/A</v>
      </c>
      <c r="GK36" s="221" t="e">
        <f t="shared" si="20"/>
        <v>#N/A</v>
      </c>
      <c r="GL36" s="221" t="e">
        <f t="shared" si="21"/>
        <v>#N/A</v>
      </c>
      <c r="GM36" s="221" t="e">
        <f t="shared" si="21"/>
        <v>#N/A</v>
      </c>
      <c r="GN36" s="221" t="e">
        <f t="shared" si="21"/>
        <v>#N/A</v>
      </c>
      <c r="GO36" s="221" t="e">
        <f t="shared" si="21"/>
        <v>#N/A</v>
      </c>
      <c r="GP36" s="221" t="e">
        <f t="shared" si="21"/>
        <v>#N/A</v>
      </c>
      <c r="GQ36" s="221" t="e">
        <f t="shared" si="21"/>
        <v>#N/A</v>
      </c>
      <c r="GR36" s="221" t="e">
        <f t="shared" ref="GR36:JC36" si="28">GP34</f>
        <v>#N/A</v>
      </c>
      <c r="GS36" s="221" t="e">
        <f t="shared" si="28"/>
        <v>#N/A</v>
      </c>
      <c r="GT36" s="221" t="e">
        <f t="shared" si="28"/>
        <v>#N/A</v>
      </c>
      <c r="GU36" s="221" t="e">
        <f t="shared" si="28"/>
        <v>#N/A</v>
      </c>
      <c r="GV36" s="221" t="e">
        <f t="shared" si="28"/>
        <v>#N/A</v>
      </c>
      <c r="GW36" s="221" t="e">
        <f t="shared" si="28"/>
        <v>#N/A</v>
      </c>
      <c r="GX36" s="221" t="e">
        <f t="shared" si="28"/>
        <v>#N/A</v>
      </c>
      <c r="GY36" s="221" t="e">
        <f t="shared" si="28"/>
        <v>#N/A</v>
      </c>
      <c r="GZ36" s="221" t="e">
        <f t="shared" si="28"/>
        <v>#N/A</v>
      </c>
      <c r="HA36" s="221" t="e">
        <f t="shared" si="28"/>
        <v>#N/A</v>
      </c>
      <c r="HB36" s="221" t="e">
        <f t="shared" si="28"/>
        <v>#N/A</v>
      </c>
      <c r="HC36" s="221" t="e">
        <f t="shared" si="28"/>
        <v>#N/A</v>
      </c>
      <c r="HD36" s="221" t="e">
        <f t="shared" si="28"/>
        <v>#N/A</v>
      </c>
      <c r="HE36" s="221" t="e">
        <f t="shared" si="28"/>
        <v>#N/A</v>
      </c>
      <c r="HF36" s="221" t="e">
        <f t="shared" si="28"/>
        <v>#N/A</v>
      </c>
      <c r="HG36" s="221" t="e">
        <f t="shared" si="28"/>
        <v>#N/A</v>
      </c>
      <c r="HH36" s="221" t="e">
        <f t="shared" si="28"/>
        <v>#N/A</v>
      </c>
      <c r="HI36" s="221" t="e">
        <f t="shared" si="28"/>
        <v>#N/A</v>
      </c>
      <c r="HJ36" s="221" t="e">
        <f t="shared" si="28"/>
        <v>#N/A</v>
      </c>
      <c r="HK36" s="221" t="e">
        <f t="shared" si="28"/>
        <v>#N/A</v>
      </c>
      <c r="HL36" s="221" t="e">
        <f t="shared" si="28"/>
        <v>#N/A</v>
      </c>
      <c r="HM36" s="221" t="e">
        <f t="shared" si="28"/>
        <v>#N/A</v>
      </c>
      <c r="HN36" s="221" t="e">
        <f t="shared" si="28"/>
        <v>#N/A</v>
      </c>
      <c r="HO36" s="221" t="e">
        <f t="shared" si="28"/>
        <v>#N/A</v>
      </c>
      <c r="HP36" s="221" t="e">
        <f t="shared" si="28"/>
        <v>#N/A</v>
      </c>
      <c r="HQ36" s="221" t="e">
        <f t="shared" si="28"/>
        <v>#N/A</v>
      </c>
      <c r="HR36" s="221" t="e">
        <f t="shared" si="28"/>
        <v>#N/A</v>
      </c>
      <c r="HS36" s="221" t="e">
        <f t="shared" si="28"/>
        <v>#N/A</v>
      </c>
      <c r="HT36" s="221" t="e">
        <f t="shared" si="28"/>
        <v>#N/A</v>
      </c>
      <c r="HU36" s="221" t="e">
        <f t="shared" si="28"/>
        <v>#N/A</v>
      </c>
      <c r="HV36" s="221" t="e">
        <f t="shared" si="28"/>
        <v>#N/A</v>
      </c>
      <c r="HW36" s="221" t="e">
        <f t="shared" si="28"/>
        <v>#N/A</v>
      </c>
      <c r="HX36" s="221" t="e">
        <f t="shared" si="28"/>
        <v>#N/A</v>
      </c>
      <c r="HY36" s="221" t="e">
        <f t="shared" si="28"/>
        <v>#N/A</v>
      </c>
      <c r="HZ36" s="221" t="e">
        <f t="shared" si="28"/>
        <v>#N/A</v>
      </c>
      <c r="IA36" s="221" t="e">
        <f t="shared" si="28"/>
        <v>#N/A</v>
      </c>
      <c r="IB36" s="221" t="e">
        <f t="shared" si="28"/>
        <v>#N/A</v>
      </c>
      <c r="IC36" s="221" t="e">
        <f t="shared" si="28"/>
        <v>#N/A</v>
      </c>
      <c r="ID36" s="221" t="e">
        <f t="shared" si="28"/>
        <v>#N/A</v>
      </c>
      <c r="IE36" s="221" t="e">
        <f t="shared" si="28"/>
        <v>#N/A</v>
      </c>
      <c r="IF36" s="221" t="e">
        <f t="shared" si="28"/>
        <v>#N/A</v>
      </c>
      <c r="IG36" s="221" t="e">
        <f t="shared" si="28"/>
        <v>#N/A</v>
      </c>
      <c r="IH36" s="221" t="e">
        <f t="shared" si="28"/>
        <v>#N/A</v>
      </c>
      <c r="II36" s="221" t="e">
        <f t="shared" si="28"/>
        <v>#N/A</v>
      </c>
      <c r="IJ36" s="221" t="e">
        <f t="shared" si="28"/>
        <v>#N/A</v>
      </c>
      <c r="IK36" s="221" t="e">
        <f t="shared" si="28"/>
        <v>#N/A</v>
      </c>
      <c r="IL36" s="221" t="e">
        <f t="shared" si="28"/>
        <v>#N/A</v>
      </c>
      <c r="IM36" s="221" t="e">
        <f t="shared" si="28"/>
        <v>#N/A</v>
      </c>
      <c r="IN36" s="221" t="e">
        <f t="shared" si="28"/>
        <v>#N/A</v>
      </c>
      <c r="IO36" s="221" t="e">
        <f t="shared" si="28"/>
        <v>#N/A</v>
      </c>
      <c r="IP36" s="221" t="e">
        <f t="shared" si="28"/>
        <v>#N/A</v>
      </c>
      <c r="IQ36" s="221" t="e">
        <f t="shared" si="28"/>
        <v>#N/A</v>
      </c>
      <c r="IR36" s="221" t="e">
        <f t="shared" si="28"/>
        <v>#N/A</v>
      </c>
      <c r="IS36" s="221" t="e">
        <f t="shared" si="28"/>
        <v>#N/A</v>
      </c>
      <c r="IT36" s="221" t="e">
        <f t="shared" si="28"/>
        <v>#N/A</v>
      </c>
      <c r="IU36" s="221" t="e">
        <f t="shared" si="28"/>
        <v>#N/A</v>
      </c>
      <c r="IV36" s="221" t="e">
        <f t="shared" si="28"/>
        <v>#N/A</v>
      </c>
      <c r="IW36" s="221" t="e">
        <f t="shared" si="28"/>
        <v>#N/A</v>
      </c>
      <c r="IX36" s="221" t="e">
        <f t="shared" si="28"/>
        <v>#N/A</v>
      </c>
      <c r="IY36" s="221" t="e">
        <f t="shared" si="28"/>
        <v>#N/A</v>
      </c>
      <c r="IZ36" s="221" t="e">
        <f t="shared" si="28"/>
        <v>#N/A</v>
      </c>
      <c r="JA36" s="221" t="e">
        <f t="shared" si="28"/>
        <v>#N/A</v>
      </c>
      <c r="JB36" s="221" t="e">
        <f t="shared" si="28"/>
        <v>#N/A</v>
      </c>
      <c r="JC36" s="221" t="e">
        <f t="shared" si="28"/>
        <v>#N/A</v>
      </c>
      <c r="JD36" s="221" t="e">
        <f t="shared" ref="JD36:JX36" si="29">JB34</f>
        <v>#N/A</v>
      </c>
      <c r="JE36" s="221" t="e">
        <f t="shared" si="29"/>
        <v>#N/A</v>
      </c>
      <c r="JF36" s="221" t="e">
        <f t="shared" si="29"/>
        <v>#N/A</v>
      </c>
      <c r="JG36" s="221" t="e">
        <f t="shared" si="29"/>
        <v>#N/A</v>
      </c>
      <c r="JH36" s="221" t="e">
        <f t="shared" si="29"/>
        <v>#N/A</v>
      </c>
      <c r="JI36" s="221" t="e">
        <f t="shared" si="29"/>
        <v>#N/A</v>
      </c>
      <c r="JJ36" s="221" t="e">
        <f t="shared" si="29"/>
        <v>#N/A</v>
      </c>
      <c r="JK36" s="221" t="e">
        <f t="shared" si="29"/>
        <v>#N/A</v>
      </c>
      <c r="JL36" s="221" t="e">
        <f t="shared" si="29"/>
        <v>#N/A</v>
      </c>
      <c r="JM36" s="221" t="e">
        <f t="shared" si="29"/>
        <v>#N/A</v>
      </c>
      <c r="JN36" s="221" t="e">
        <f t="shared" si="29"/>
        <v>#N/A</v>
      </c>
      <c r="JO36" s="221" t="e">
        <f t="shared" si="29"/>
        <v>#N/A</v>
      </c>
      <c r="JP36" s="221" t="e">
        <f t="shared" si="29"/>
        <v>#N/A</v>
      </c>
      <c r="JQ36" s="221" t="e">
        <f t="shared" si="29"/>
        <v>#N/A</v>
      </c>
      <c r="JR36" s="221" t="e">
        <f t="shared" si="29"/>
        <v>#N/A</v>
      </c>
      <c r="JS36" s="221" t="e">
        <f t="shared" si="29"/>
        <v>#N/A</v>
      </c>
      <c r="JT36" s="221" t="e">
        <f t="shared" si="29"/>
        <v>#N/A</v>
      </c>
      <c r="JU36" s="221" t="e">
        <f t="shared" si="29"/>
        <v>#N/A</v>
      </c>
      <c r="JV36" s="221" t="e">
        <f t="shared" si="29"/>
        <v>#N/A</v>
      </c>
      <c r="JW36" s="221" t="e">
        <f t="shared" si="29"/>
        <v>#N/A</v>
      </c>
      <c r="JX36" s="222" t="e">
        <f t="shared" si="29"/>
        <v>#N/A</v>
      </c>
      <c r="KD36" s="33"/>
    </row>
    <row r="37" spans="1:290" ht="15.75" x14ac:dyDescent="0.3">
      <c r="D37" s="10"/>
      <c r="E37" s="41"/>
      <c r="F37" s="41"/>
      <c r="G37" s="41"/>
      <c r="H37" s="41"/>
      <c r="I37" s="41"/>
      <c r="J37" s="41"/>
      <c r="K37" s="41"/>
      <c r="L37" s="41"/>
      <c r="M37" s="41"/>
      <c r="N37" s="41"/>
      <c r="O37" s="41"/>
      <c r="P37" s="41"/>
      <c r="Q37" s="41"/>
      <c r="R37" s="41"/>
      <c r="S37" s="41"/>
      <c r="T37" s="41"/>
      <c r="U37" s="41"/>
      <c r="V37" s="41"/>
      <c r="W37" s="41"/>
      <c r="X37" s="41"/>
      <c r="Y37" s="41"/>
      <c r="Z37" s="41"/>
      <c r="AA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1"/>
      <c r="BZ37" s="41"/>
      <c r="CA37" s="41"/>
      <c r="CB37" s="41"/>
      <c r="CC37" s="41"/>
      <c r="CD37" s="41"/>
      <c r="CE37" s="41"/>
      <c r="CF37" s="41"/>
      <c r="CG37" s="41"/>
      <c r="CH37" s="41"/>
      <c r="CI37" s="41"/>
      <c r="CJ37" s="41"/>
      <c r="CK37" s="41"/>
      <c r="CL37" s="41"/>
      <c r="CM37" s="41"/>
      <c r="CN37" s="41"/>
      <c r="CO37" s="41"/>
      <c r="CP37" s="41"/>
      <c r="CQ37" s="41"/>
      <c r="CR37" s="41"/>
      <c r="CS37" s="41"/>
      <c r="CT37" s="41"/>
      <c r="CU37" s="41"/>
      <c r="CV37" s="41"/>
      <c r="CW37" s="41"/>
      <c r="CX37" s="41"/>
      <c r="CY37" s="41"/>
      <c r="CZ37" s="41"/>
      <c r="DA37" s="41"/>
      <c r="DB37" s="41"/>
      <c r="DC37" s="41"/>
      <c r="DD37" s="41"/>
      <c r="DE37" s="41"/>
      <c r="DF37" s="41"/>
      <c r="DG37" s="41"/>
      <c r="DH37" s="41"/>
      <c r="DI37" s="41"/>
      <c r="DJ37" s="41"/>
      <c r="DK37" s="41"/>
      <c r="DL37" s="41"/>
      <c r="DM37" s="41"/>
      <c r="DN37" s="41"/>
      <c r="DO37" s="41"/>
      <c r="DP37" s="41"/>
      <c r="DQ37" s="41"/>
      <c r="DR37" s="41"/>
      <c r="DS37" s="41"/>
      <c r="DT37" s="41"/>
      <c r="DU37" s="41"/>
      <c r="DV37" s="41"/>
      <c r="DW37" s="41"/>
      <c r="DX37" s="41"/>
      <c r="DY37" s="41"/>
      <c r="DZ37" s="41"/>
      <c r="EA37" s="41"/>
      <c r="EB37" s="41"/>
      <c r="EC37" s="41"/>
      <c r="ED37" s="41"/>
      <c r="EE37" s="41"/>
      <c r="EF37" s="41"/>
      <c r="EG37" s="41"/>
      <c r="EH37" s="41"/>
      <c r="EI37" s="41"/>
      <c r="EJ37" s="41"/>
      <c r="EK37" s="41"/>
      <c r="EM37" s="42"/>
      <c r="EN37" s="41"/>
      <c r="EO37" s="41"/>
      <c r="EP37" s="41"/>
      <c r="EQ37" s="41"/>
      <c r="ER37" s="41"/>
      <c r="ES37" s="41"/>
      <c r="ET37" s="41"/>
      <c r="EU37" s="41"/>
      <c r="EV37" s="41"/>
      <c r="EW37" s="41"/>
      <c r="EX37" s="41"/>
      <c r="EY37" s="41"/>
      <c r="EZ37" s="41"/>
      <c r="FA37" s="41"/>
      <c r="FB37" s="41"/>
      <c r="FC37" s="41"/>
      <c r="FD37" s="41"/>
      <c r="FE37" s="41"/>
      <c r="FF37" s="41"/>
      <c r="FG37" s="41"/>
      <c r="FH37" s="41"/>
      <c r="FI37" s="41"/>
      <c r="FJ37" s="41"/>
      <c r="FK37" s="41"/>
      <c r="FL37" s="41"/>
      <c r="FM37" s="41"/>
      <c r="FN37" s="41"/>
      <c r="FO37" s="41"/>
      <c r="FP37" s="41"/>
      <c r="FQ37" s="41"/>
      <c r="FR37" s="41"/>
      <c r="FS37" s="41"/>
      <c r="FT37" s="41"/>
      <c r="FU37" s="41"/>
      <c r="FV37" s="41"/>
      <c r="FW37" s="41"/>
      <c r="FX37" s="41"/>
      <c r="FY37" s="41"/>
      <c r="FZ37" s="41"/>
      <c r="GA37" s="41"/>
      <c r="GB37" s="41"/>
      <c r="GC37" s="41"/>
      <c r="GD37" s="41"/>
      <c r="GE37" s="41"/>
      <c r="GF37" s="41"/>
      <c r="GG37" s="41"/>
      <c r="GH37" s="41"/>
      <c r="GI37" s="41"/>
      <c r="GJ37" s="41"/>
      <c r="GK37" s="41"/>
      <c r="GL37" s="41"/>
      <c r="GM37" s="41"/>
      <c r="GN37" s="41"/>
      <c r="GO37" s="41"/>
      <c r="GP37" s="41"/>
      <c r="GQ37" s="41"/>
      <c r="GR37" s="41"/>
      <c r="GS37" s="41"/>
      <c r="GT37" s="41"/>
      <c r="GU37" s="41"/>
      <c r="GV37" s="41"/>
      <c r="GW37" s="41"/>
      <c r="GX37" s="41"/>
      <c r="GY37" s="41"/>
      <c r="GZ37" s="41"/>
      <c r="HA37" s="41"/>
      <c r="HB37" s="41"/>
      <c r="HC37" s="41"/>
      <c r="HD37" s="41"/>
      <c r="HE37" s="41"/>
      <c r="HF37" s="41"/>
      <c r="HG37" s="41"/>
      <c r="HH37" s="41"/>
      <c r="HI37" s="41"/>
      <c r="HJ37" s="41"/>
      <c r="HK37" s="41"/>
      <c r="HL37" s="41"/>
      <c r="HM37" s="41"/>
      <c r="HN37" s="41"/>
      <c r="HO37" s="41"/>
      <c r="HP37" s="41"/>
      <c r="HQ37" s="41"/>
      <c r="HR37" s="41"/>
      <c r="HS37" s="41"/>
      <c r="HT37" s="41"/>
      <c r="HU37" s="41"/>
      <c r="HV37" s="41"/>
      <c r="HW37" s="41"/>
      <c r="HX37" s="41"/>
      <c r="HY37" s="41"/>
      <c r="HZ37" s="41"/>
      <c r="IA37" s="41"/>
      <c r="IB37" s="41"/>
      <c r="IC37" s="41"/>
      <c r="ID37" s="41"/>
      <c r="IE37" s="41"/>
      <c r="IF37" s="41"/>
      <c r="IG37" s="41"/>
      <c r="IH37" s="41"/>
      <c r="II37" s="41"/>
      <c r="IJ37" s="41"/>
      <c r="IK37" s="41"/>
      <c r="IL37" s="41"/>
      <c r="IM37" s="41"/>
      <c r="IN37" s="41"/>
      <c r="IO37" s="41"/>
      <c r="IP37" s="41"/>
      <c r="IQ37" s="41"/>
      <c r="IR37" s="41"/>
      <c r="IS37" s="41"/>
      <c r="IT37" s="41"/>
      <c r="IU37" s="41"/>
      <c r="IV37" s="41"/>
      <c r="IW37" s="41"/>
      <c r="IX37" s="41"/>
      <c r="IY37" s="41"/>
      <c r="IZ37" s="41"/>
      <c r="JA37" s="41"/>
      <c r="JB37" s="41"/>
      <c r="JC37" s="45"/>
      <c r="JD37" s="45"/>
      <c r="JE37" s="45"/>
      <c r="JF37" s="45"/>
      <c r="JG37" s="45"/>
      <c r="JH37" s="45"/>
      <c r="JI37" s="45"/>
      <c r="JJ37" s="45"/>
      <c r="JK37" s="45"/>
      <c r="JL37" s="45"/>
      <c r="JM37" s="45"/>
      <c r="JN37" s="45"/>
      <c r="JO37" s="45"/>
      <c r="JP37" s="45"/>
      <c r="JQ37" s="45"/>
      <c r="JR37" s="45"/>
      <c r="JS37" s="45"/>
      <c r="JT37" s="45"/>
      <c r="JU37" s="45"/>
      <c r="JV37" s="45"/>
      <c r="JW37" s="45"/>
      <c r="JX37" s="45"/>
      <c r="JY37" s="11"/>
      <c r="JZ37" s="11"/>
      <c r="KB37" s="33"/>
    </row>
    <row r="38" spans="1:290" ht="15.75" x14ac:dyDescent="0.3">
      <c r="D38" s="10"/>
      <c r="E38" s="41"/>
      <c r="F38" s="41"/>
      <c r="G38" s="41"/>
      <c r="H38" s="41"/>
      <c r="I38" s="41"/>
      <c r="J38" s="41"/>
      <c r="K38" s="41"/>
      <c r="L38" s="41"/>
      <c r="M38" s="41"/>
      <c r="N38" s="41"/>
      <c r="O38" s="41"/>
      <c r="P38" s="41"/>
      <c r="Q38" s="41"/>
      <c r="R38" s="41"/>
      <c r="S38" s="41"/>
      <c r="T38" s="41"/>
      <c r="U38" s="41"/>
      <c r="V38" s="41"/>
      <c r="W38" s="41"/>
      <c r="X38" s="41"/>
      <c r="Y38" s="41"/>
      <c r="Z38" s="41"/>
      <c r="AA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c r="CA38" s="41"/>
      <c r="CB38" s="41"/>
      <c r="CC38" s="41"/>
      <c r="CD38" s="41"/>
      <c r="CE38" s="41"/>
      <c r="CF38" s="41"/>
      <c r="CG38" s="41"/>
      <c r="CH38" s="41"/>
      <c r="CI38" s="41"/>
      <c r="CJ38" s="41"/>
      <c r="CK38" s="41"/>
      <c r="CL38" s="41"/>
      <c r="CM38" s="41"/>
      <c r="CN38" s="41"/>
      <c r="CO38" s="41"/>
      <c r="CP38" s="41"/>
      <c r="CQ38" s="41"/>
      <c r="CR38" s="41"/>
      <c r="CS38" s="41"/>
      <c r="CT38" s="41"/>
      <c r="CU38" s="41"/>
      <c r="CV38" s="41"/>
      <c r="CW38" s="41"/>
      <c r="CX38" s="41"/>
      <c r="CY38" s="41"/>
      <c r="CZ38" s="41"/>
      <c r="DA38" s="41"/>
      <c r="DB38" s="41"/>
      <c r="DC38" s="41"/>
      <c r="DD38" s="41"/>
      <c r="DE38" s="41"/>
      <c r="DF38" s="41"/>
      <c r="DG38" s="41"/>
      <c r="DH38" s="41"/>
      <c r="DI38" s="41"/>
      <c r="DJ38" s="41"/>
      <c r="DK38" s="41"/>
      <c r="DL38" s="41"/>
      <c r="DM38" s="41"/>
      <c r="DN38" s="41"/>
      <c r="DO38" s="41"/>
      <c r="DP38" s="41"/>
      <c r="DQ38" s="41"/>
      <c r="DR38" s="41"/>
      <c r="DS38" s="41"/>
      <c r="DT38" s="41"/>
      <c r="DU38" s="41"/>
      <c r="DV38" s="41"/>
      <c r="DW38" s="41"/>
      <c r="DX38" s="41"/>
      <c r="DY38" s="41"/>
      <c r="DZ38" s="41"/>
      <c r="EA38" s="41"/>
      <c r="EB38" s="41"/>
      <c r="EC38" s="41"/>
      <c r="ED38" s="41"/>
      <c r="EE38" s="41"/>
      <c r="EF38" s="41"/>
      <c r="EG38" s="41"/>
      <c r="EH38" s="41"/>
      <c r="EI38" s="41"/>
      <c r="EJ38" s="41"/>
      <c r="EK38" s="41"/>
      <c r="EM38" s="42"/>
      <c r="EN38" s="41"/>
      <c r="EO38" s="41"/>
      <c r="EP38" s="41"/>
      <c r="EQ38" s="41"/>
      <c r="ER38" s="41"/>
      <c r="ES38" s="41"/>
      <c r="ET38" s="41"/>
      <c r="EU38" s="41"/>
      <c r="EV38" s="41"/>
      <c r="EW38" s="41"/>
      <c r="EX38" s="41"/>
      <c r="EY38" s="41"/>
      <c r="EZ38" s="41"/>
      <c r="FA38" s="41"/>
      <c r="FB38" s="41"/>
      <c r="FC38" s="41"/>
      <c r="FD38" s="41"/>
      <c r="FE38" s="41"/>
      <c r="FF38" s="41"/>
      <c r="FG38" s="41"/>
      <c r="FH38" s="41"/>
      <c r="FI38" s="41"/>
      <c r="FJ38" s="41"/>
      <c r="FK38" s="41"/>
      <c r="FL38" s="41"/>
      <c r="FM38" s="41"/>
      <c r="FN38" s="41"/>
      <c r="FO38" s="41"/>
      <c r="FP38" s="41"/>
      <c r="FQ38" s="41"/>
      <c r="FR38" s="41"/>
      <c r="FS38" s="41"/>
      <c r="FT38" s="41"/>
      <c r="FU38" s="41"/>
      <c r="FV38" s="41"/>
      <c r="FW38" s="41"/>
      <c r="FX38" s="41"/>
      <c r="FY38" s="41"/>
      <c r="FZ38" s="41"/>
      <c r="GA38" s="41"/>
      <c r="GB38" s="41"/>
      <c r="GC38" s="41"/>
      <c r="GD38" s="41"/>
      <c r="GE38" s="41"/>
      <c r="GF38" s="41"/>
      <c r="GG38" s="41"/>
      <c r="GH38" s="41"/>
      <c r="GI38" s="41"/>
      <c r="GJ38" s="41"/>
      <c r="GK38" s="41"/>
      <c r="GL38" s="41"/>
      <c r="GM38" s="41"/>
      <c r="GN38" s="41"/>
      <c r="GO38" s="41"/>
      <c r="GP38" s="41"/>
      <c r="GQ38" s="41"/>
      <c r="GR38" s="41"/>
      <c r="GS38" s="41"/>
      <c r="GT38" s="41"/>
      <c r="GU38" s="41"/>
      <c r="GV38" s="41"/>
      <c r="GW38" s="41"/>
      <c r="GX38" s="41"/>
      <c r="GY38" s="41"/>
      <c r="GZ38" s="41"/>
      <c r="HA38" s="41"/>
      <c r="HB38" s="41"/>
      <c r="HC38" s="41"/>
      <c r="HD38" s="41"/>
      <c r="HE38" s="41"/>
      <c r="HF38" s="41"/>
      <c r="HG38" s="41"/>
      <c r="HH38" s="41"/>
      <c r="HI38" s="41"/>
      <c r="HJ38" s="41"/>
      <c r="HK38" s="41"/>
      <c r="HL38" s="41"/>
      <c r="HM38" s="41"/>
      <c r="HN38" s="41"/>
      <c r="HO38" s="41"/>
      <c r="HP38" s="41"/>
      <c r="HQ38" s="41"/>
      <c r="HR38" s="41"/>
      <c r="HS38" s="41"/>
      <c r="HT38" s="41"/>
      <c r="HU38" s="41"/>
      <c r="HV38" s="41"/>
      <c r="HW38" s="41"/>
      <c r="HX38" s="41"/>
      <c r="HY38" s="41"/>
      <c r="HZ38" s="41"/>
      <c r="IA38" s="41"/>
      <c r="IB38" s="41"/>
      <c r="IC38" s="41"/>
      <c r="ID38" s="41"/>
      <c r="IE38" s="41"/>
      <c r="IF38" s="41"/>
      <c r="IG38" s="41"/>
      <c r="IH38" s="41"/>
      <c r="II38" s="41"/>
      <c r="IJ38" s="41"/>
      <c r="IK38" s="41"/>
      <c r="IL38" s="41"/>
      <c r="IM38" s="41"/>
      <c r="IN38" s="41"/>
      <c r="IO38" s="41"/>
      <c r="IP38" s="41"/>
      <c r="IQ38" s="41"/>
      <c r="IR38" s="41"/>
      <c r="IS38" s="41"/>
      <c r="IT38" s="41"/>
      <c r="IU38" s="41"/>
      <c r="IV38" s="41"/>
      <c r="IW38" s="41"/>
      <c r="IX38" s="41"/>
      <c r="IY38" s="41"/>
      <c r="IZ38" s="41"/>
      <c r="JA38" s="41"/>
      <c r="JB38" s="41"/>
      <c r="JC38" s="45"/>
      <c r="JD38" s="45"/>
      <c r="JE38" s="45"/>
      <c r="JF38" s="45"/>
      <c r="JG38" s="45"/>
      <c r="JH38" s="45"/>
      <c r="JI38" s="45"/>
      <c r="JJ38" s="45"/>
      <c r="JK38" s="45"/>
      <c r="JL38" s="45"/>
      <c r="JM38" s="45"/>
      <c r="JN38" s="45"/>
      <c r="JO38" s="45"/>
      <c r="JP38" s="45"/>
      <c r="JQ38" s="45"/>
      <c r="JR38" s="45"/>
      <c r="JS38" s="45"/>
      <c r="JT38" s="45"/>
      <c r="JU38" s="45"/>
      <c r="JV38" s="45"/>
      <c r="JW38" s="45"/>
      <c r="JX38" s="45"/>
      <c r="JY38" s="11"/>
      <c r="JZ38" s="11"/>
      <c r="KB38" s="33"/>
    </row>
    <row r="39" spans="1:290" x14ac:dyDescent="0.25">
      <c r="A39" s="89">
        <f>23+114+141</f>
        <v>278</v>
      </c>
      <c r="B39" s="90"/>
      <c r="C39" s="91"/>
      <c r="D39" s="233" t="s">
        <v>91</v>
      </c>
      <c r="E39" s="92"/>
      <c r="F39" s="91"/>
      <c r="G39" s="91"/>
      <c r="H39" s="93">
        <v>4</v>
      </c>
      <c r="I39" s="94"/>
      <c r="J39" s="93"/>
      <c r="K39" s="95">
        <v>7</v>
      </c>
      <c r="L39" s="94"/>
      <c r="M39" s="95">
        <v>9</v>
      </c>
      <c r="N39" s="94"/>
      <c r="O39" s="93"/>
      <c r="P39" s="95">
        <v>12</v>
      </c>
      <c r="Q39" s="94"/>
      <c r="R39" s="95">
        <v>14</v>
      </c>
      <c r="S39" s="96">
        <v>15</v>
      </c>
      <c r="T39" s="94"/>
      <c r="U39" s="95">
        <v>17</v>
      </c>
      <c r="V39" s="94"/>
      <c r="W39" s="93"/>
      <c r="X39" s="95">
        <v>20</v>
      </c>
      <c r="Y39" s="94"/>
      <c r="Z39" s="95">
        <v>22</v>
      </c>
      <c r="AA39" s="97">
        <v>23</v>
      </c>
      <c r="AB39" s="98">
        <v>0</v>
      </c>
      <c r="AC39" s="99">
        <v>1</v>
      </c>
      <c r="AD39" s="94"/>
      <c r="AE39" s="95">
        <v>3</v>
      </c>
      <c r="AF39" s="96">
        <v>4</v>
      </c>
      <c r="AG39" s="94"/>
      <c r="AH39" s="95">
        <v>6</v>
      </c>
      <c r="AI39" s="94"/>
      <c r="AJ39" s="93"/>
      <c r="AK39" s="95">
        <v>9</v>
      </c>
      <c r="AL39" s="93"/>
      <c r="AM39" s="93"/>
      <c r="AN39" s="93"/>
      <c r="AO39" s="93">
        <v>13</v>
      </c>
      <c r="AP39" s="94"/>
      <c r="AQ39" s="93"/>
      <c r="AR39" s="95">
        <v>16</v>
      </c>
      <c r="AS39" s="94"/>
      <c r="AT39" s="95">
        <v>18</v>
      </c>
      <c r="AU39" s="94"/>
      <c r="AV39" s="93"/>
      <c r="AW39" s="95">
        <v>21</v>
      </c>
      <c r="AX39" s="94"/>
      <c r="AY39" s="95">
        <v>23</v>
      </c>
      <c r="AZ39" s="96">
        <v>24</v>
      </c>
      <c r="BA39" s="94"/>
      <c r="BB39" s="95">
        <v>26</v>
      </c>
      <c r="BC39" s="94"/>
      <c r="BD39" s="93"/>
      <c r="BE39" s="95">
        <v>29</v>
      </c>
      <c r="BF39" s="93"/>
      <c r="BG39" s="93"/>
      <c r="BH39" s="93"/>
      <c r="BI39" s="93">
        <v>33</v>
      </c>
      <c r="BJ39" s="94"/>
      <c r="BK39" s="93"/>
      <c r="BL39" s="95">
        <v>36</v>
      </c>
      <c r="BM39" s="94"/>
      <c r="BN39" s="95">
        <v>38</v>
      </c>
      <c r="BO39" s="94"/>
      <c r="BP39" s="93"/>
      <c r="BQ39" s="95">
        <v>41</v>
      </c>
      <c r="BR39" s="94"/>
      <c r="BS39" s="93"/>
      <c r="BT39" s="93"/>
      <c r="BU39" s="95">
        <v>45</v>
      </c>
      <c r="BV39" s="94"/>
      <c r="BW39" s="93"/>
      <c r="BX39" s="95">
        <v>48</v>
      </c>
      <c r="BY39" s="94"/>
      <c r="BZ39" s="93"/>
      <c r="CA39" s="93"/>
      <c r="CB39" s="95">
        <v>52</v>
      </c>
      <c r="CC39" s="94"/>
      <c r="CD39" s="93"/>
      <c r="CE39" s="93"/>
      <c r="CF39" s="93"/>
      <c r="CG39" s="95">
        <v>57</v>
      </c>
      <c r="CH39" s="94"/>
      <c r="CI39" s="93"/>
      <c r="CJ39" s="93"/>
      <c r="CK39" s="93"/>
      <c r="CL39" s="95">
        <v>62</v>
      </c>
      <c r="CM39" s="93"/>
      <c r="CN39" s="93"/>
      <c r="CO39" s="93"/>
      <c r="CP39" s="93">
        <v>66</v>
      </c>
      <c r="CQ39" s="94"/>
      <c r="CR39" s="93"/>
      <c r="CS39" s="95">
        <v>69</v>
      </c>
      <c r="CT39" s="94"/>
      <c r="CU39" s="93"/>
      <c r="CV39" s="93"/>
      <c r="CW39" s="95">
        <v>73</v>
      </c>
      <c r="CX39" s="94"/>
      <c r="CY39" s="93"/>
      <c r="CZ39" s="95">
        <v>76</v>
      </c>
      <c r="DA39" s="94"/>
      <c r="DB39" s="95">
        <v>78</v>
      </c>
      <c r="DC39" s="94"/>
      <c r="DD39" s="93"/>
      <c r="DE39" s="95">
        <v>81</v>
      </c>
      <c r="DF39" s="94"/>
      <c r="DG39" s="93"/>
      <c r="DH39" s="93"/>
      <c r="DI39" s="95">
        <v>85</v>
      </c>
      <c r="DJ39" s="94"/>
      <c r="DK39" s="93"/>
      <c r="DL39" s="95">
        <v>88</v>
      </c>
      <c r="DM39" s="94"/>
      <c r="DN39" s="95">
        <v>90</v>
      </c>
      <c r="DO39" s="96">
        <v>91</v>
      </c>
      <c r="DP39" s="94"/>
      <c r="DQ39" s="95">
        <v>93</v>
      </c>
      <c r="DR39" s="94"/>
      <c r="DS39" s="93"/>
      <c r="DT39" s="95">
        <v>96</v>
      </c>
      <c r="DU39" s="94"/>
      <c r="DV39" s="95">
        <v>98</v>
      </c>
      <c r="DW39" s="93"/>
      <c r="DX39" s="93"/>
      <c r="DY39" s="93">
        <v>101</v>
      </c>
      <c r="DZ39" s="94"/>
      <c r="EA39" s="93"/>
      <c r="EB39" s="93"/>
      <c r="EC39" s="95">
        <v>105</v>
      </c>
      <c r="ED39" s="94"/>
      <c r="EE39" s="93"/>
      <c r="EF39" s="95">
        <v>108</v>
      </c>
      <c r="EG39" s="94"/>
      <c r="EH39" s="95">
        <v>110</v>
      </c>
      <c r="EI39" s="96">
        <v>111</v>
      </c>
      <c r="EJ39" s="94"/>
      <c r="EK39" s="95">
        <v>113</v>
      </c>
      <c r="EL39" s="100">
        <v>114</v>
      </c>
      <c r="EM39" s="101">
        <v>0</v>
      </c>
      <c r="EN39" s="102">
        <v>1</v>
      </c>
      <c r="EO39" s="94"/>
      <c r="EP39" s="95">
        <v>3</v>
      </c>
      <c r="EQ39" s="94"/>
      <c r="ER39" s="93"/>
      <c r="ES39" s="95">
        <v>6</v>
      </c>
      <c r="ET39" s="94"/>
      <c r="EU39" s="95">
        <v>8</v>
      </c>
      <c r="EV39" s="96">
        <v>9</v>
      </c>
      <c r="EW39" s="94"/>
      <c r="EX39" s="95">
        <v>11</v>
      </c>
      <c r="EY39" s="94"/>
      <c r="EZ39" s="93"/>
      <c r="FA39" s="95">
        <v>14</v>
      </c>
      <c r="FB39" s="94"/>
      <c r="FC39" s="95">
        <v>16</v>
      </c>
      <c r="FD39" s="93"/>
      <c r="FE39" s="93"/>
      <c r="FF39" s="93">
        <v>19</v>
      </c>
      <c r="FG39" s="94"/>
      <c r="FH39" s="93"/>
      <c r="FI39" s="93"/>
      <c r="FJ39" s="95">
        <v>23</v>
      </c>
      <c r="FK39" s="94"/>
      <c r="FL39" s="93"/>
      <c r="FM39" s="93"/>
      <c r="FN39" s="93"/>
      <c r="FO39" s="95">
        <v>28</v>
      </c>
      <c r="FP39" s="94"/>
      <c r="FQ39" s="93"/>
      <c r="FR39" s="93"/>
      <c r="FS39" s="95">
        <v>32</v>
      </c>
      <c r="FT39" s="94"/>
      <c r="FU39" s="93"/>
      <c r="FV39" s="95">
        <v>35</v>
      </c>
      <c r="FW39" s="94"/>
      <c r="FX39" s="93"/>
      <c r="FY39" s="93"/>
      <c r="FZ39" s="95">
        <v>39</v>
      </c>
      <c r="GA39" s="94"/>
      <c r="GB39" s="93"/>
      <c r="GC39" s="95">
        <v>42</v>
      </c>
      <c r="GD39" s="94"/>
      <c r="GE39" s="95">
        <v>44</v>
      </c>
      <c r="GF39" s="94"/>
      <c r="GG39" s="93"/>
      <c r="GH39" s="95">
        <v>47</v>
      </c>
      <c r="GI39" s="94"/>
      <c r="GJ39" s="93"/>
      <c r="GK39" s="93"/>
      <c r="GL39" s="95">
        <v>51</v>
      </c>
      <c r="GM39" s="93"/>
      <c r="GN39" s="93"/>
      <c r="GO39" s="93">
        <v>54</v>
      </c>
      <c r="GP39" s="94"/>
      <c r="GQ39" s="95">
        <v>56</v>
      </c>
      <c r="GR39" s="96">
        <v>57</v>
      </c>
      <c r="GS39" s="94"/>
      <c r="GT39" s="95">
        <v>59</v>
      </c>
      <c r="GU39" s="94"/>
      <c r="GV39" s="93"/>
      <c r="GW39" s="95">
        <v>62</v>
      </c>
      <c r="GX39" s="94"/>
      <c r="GY39" s="95">
        <v>64</v>
      </c>
      <c r="GZ39" s="94"/>
      <c r="HA39" s="93"/>
      <c r="HB39" s="95">
        <v>67</v>
      </c>
      <c r="HC39" s="94"/>
      <c r="HD39" s="93"/>
      <c r="HE39" s="93"/>
      <c r="HF39" s="95">
        <v>71</v>
      </c>
      <c r="HG39" s="94"/>
      <c r="HH39" s="93"/>
      <c r="HI39" s="93"/>
      <c r="HJ39" s="93"/>
      <c r="HK39" s="95">
        <v>76</v>
      </c>
      <c r="HL39" s="94"/>
      <c r="HM39" s="93"/>
      <c r="HN39" s="93"/>
      <c r="HO39" s="95">
        <v>80</v>
      </c>
      <c r="HP39" s="94"/>
      <c r="HQ39" s="93"/>
      <c r="HR39" s="95">
        <v>83</v>
      </c>
      <c r="HS39" s="93"/>
      <c r="HT39" s="93"/>
      <c r="HU39" s="93"/>
      <c r="HV39" s="93">
        <v>87</v>
      </c>
      <c r="HW39" s="94"/>
      <c r="HX39" s="93"/>
      <c r="HY39" s="95">
        <v>90</v>
      </c>
      <c r="HZ39" s="94"/>
      <c r="IA39" s="95">
        <v>92</v>
      </c>
      <c r="IB39" s="94"/>
      <c r="IC39" s="93"/>
      <c r="ID39" s="95">
        <v>95</v>
      </c>
      <c r="IE39" s="94"/>
      <c r="IF39" s="93"/>
      <c r="IG39" s="93"/>
      <c r="IH39" s="95">
        <v>99</v>
      </c>
      <c r="II39" s="94"/>
      <c r="IJ39" s="93"/>
      <c r="IK39" s="93"/>
      <c r="IL39" s="93"/>
      <c r="IM39" s="95">
        <v>104</v>
      </c>
      <c r="IN39" s="94"/>
      <c r="IO39" s="93"/>
      <c r="IP39" s="93"/>
      <c r="IQ39" s="95">
        <v>108</v>
      </c>
      <c r="IR39" s="94"/>
      <c r="IS39" s="93"/>
      <c r="IT39" s="95">
        <v>111</v>
      </c>
      <c r="IU39" s="94"/>
      <c r="IV39" s="93"/>
      <c r="IW39" s="93"/>
      <c r="IX39" s="95">
        <v>115</v>
      </c>
      <c r="IY39" s="94"/>
      <c r="IZ39" s="93"/>
      <c r="JA39" s="93"/>
      <c r="JB39" s="93"/>
      <c r="JC39" s="95">
        <v>120</v>
      </c>
      <c r="JD39" s="93"/>
      <c r="JE39" s="93"/>
      <c r="JF39" s="93"/>
      <c r="JG39" s="93">
        <v>124</v>
      </c>
      <c r="JH39" s="94"/>
      <c r="JI39" s="93"/>
      <c r="JJ39" s="93"/>
      <c r="JK39" s="93"/>
      <c r="JL39" s="95">
        <v>129</v>
      </c>
      <c r="JM39" s="94"/>
      <c r="JN39" s="93"/>
      <c r="JO39" s="93"/>
      <c r="JP39" s="93"/>
      <c r="JQ39" s="93"/>
      <c r="JR39" s="95">
        <v>135</v>
      </c>
      <c r="JS39" s="93"/>
      <c r="JT39" s="93"/>
      <c r="JU39" s="93"/>
      <c r="JV39" s="93"/>
      <c r="JW39" s="93"/>
      <c r="JX39" s="93">
        <v>141</v>
      </c>
      <c r="JY39" s="11"/>
      <c r="JZ39" s="11"/>
      <c r="KA39" s="11"/>
      <c r="KB39" s="38"/>
    </row>
    <row r="40" spans="1:290" ht="17.25" thickBot="1" x14ac:dyDescent="0.3">
      <c r="A40" s="103">
        <f>SUM(E40:JX40)</f>
        <v>278</v>
      </c>
      <c r="B40" s="104"/>
      <c r="C40" s="105"/>
      <c r="D40" s="233" t="s">
        <v>90</v>
      </c>
      <c r="E40" s="106"/>
      <c r="F40" s="106"/>
      <c r="G40" s="106"/>
      <c r="H40" s="107">
        <v>4</v>
      </c>
      <c r="I40" s="108"/>
      <c r="J40" s="109"/>
      <c r="K40" s="107">
        <v>3</v>
      </c>
      <c r="L40" s="108"/>
      <c r="M40" s="107">
        <v>2</v>
      </c>
      <c r="N40" s="108"/>
      <c r="O40" s="109"/>
      <c r="P40" s="107">
        <v>3</v>
      </c>
      <c r="Q40" s="108"/>
      <c r="R40" s="107">
        <v>2</v>
      </c>
      <c r="S40" s="110">
        <v>1</v>
      </c>
      <c r="T40" s="108"/>
      <c r="U40" s="107">
        <v>2</v>
      </c>
      <c r="V40" s="108"/>
      <c r="W40" s="109"/>
      <c r="X40" s="107">
        <v>3</v>
      </c>
      <c r="Y40" s="108"/>
      <c r="Z40" s="107">
        <v>2</v>
      </c>
      <c r="AA40" s="111">
        <v>1</v>
      </c>
      <c r="AB40" s="112">
        <v>0</v>
      </c>
      <c r="AC40" s="113">
        <v>1</v>
      </c>
      <c r="AD40" s="114"/>
      <c r="AE40" s="115">
        <v>2</v>
      </c>
      <c r="AF40" s="116">
        <v>1</v>
      </c>
      <c r="AG40" s="114"/>
      <c r="AH40" s="115">
        <v>2</v>
      </c>
      <c r="AI40" s="114"/>
      <c r="AJ40" s="117"/>
      <c r="AK40" s="115">
        <v>3</v>
      </c>
      <c r="AL40" s="117"/>
      <c r="AM40" s="117"/>
      <c r="AN40" s="117"/>
      <c r="AO40" s="117">
        <v>4</v>
      </c>
      <c r="AP40" s="114"/>
      <c r="AQ40" s="117"/>
      <c r="AR40" s="115">
        <v>3</v>
      </c>
      <c r="AS40" s="114"/>
      <c r="AT40" s="115">
        <v>2</v>
      </c>
      <c r="AU40" s="114"/>
      <c r="AV40" s="117"/>
      <c r="AW40" s="115">
        <v>3</v>
      </c>
      <c r="AX40" s="114"/>
      <c r="AY40" s="115">
        <v>2</v>
      </c>
      <c r="AZ40" s="116">
        <v>1</v>
      </c>
      <c r="BA40" s="114"/>
      <c r="BB40" s="115">
        <v>2</v>
      </c>
      <c r="BC40" s="114"/>
      <c r="BD40" s="117"/>
      <c r="BE40" s="115">
        <v>3</v>
      </c>
      <c r="BF40" s="117"/>
      <c r="BG40" s="117"/>
      <c r="BH40" s="117"/>
      <c r="BI40" s="117">
        <v>4</v>
      </c>
      <c r="BJ40" s="114"/>
      <c r="BK40" s="117"/>
      <c r="BL40" s="115">
        <v>3</v>
      </c>
      <c r="BM40" s="114"/>
      <c r="BN40" s="115">
        <v>2</v>
      </c>
      <c r="BO40" s="114"/>
      <c r="BP40" s="117"/>
      <c r="BQ40" s="115">
        <v>3</v>
      </c>
      <c r="BR40" s="114"/>
      <c r="BS40" s="117"/>
      <c r="BT40" s="117"/>
      <c r="BU40" s="115">
        <v>4</v>
      </c>
      <c r="BV40" s="114"/>
      <c r="BW40" s="117"/>
      <c r="BX40" s="115">
        <v>3</v>
      </c>
      <c r="BY40" s="114"/>
      <c r="BZ40" s="117"/>
      <c r="CA40" s="117"/>
      <c r="CB40" s="115">
        <v>4</v>
      </c>
      <c r="CC40" s="114"/>
      <c r="CD40" s="117"/>
      <c r="CE40" s="117"/>
      <c r="CF40" s="117"/>
      <c r="CG40" s="115">
        <v>5</v>
      </c>
      <c r="CH40" s="114"/>
      <c r="CI40" s="117"/>
      <c r="CJ40" s="117"/>
      <c r="CK40" s="117"/>
      <c r="CL40" s="115">
        <v>5</v>
      </c>
      <c r="CM40" s="117"/>
      <c r="CN40" s="117"/>
      <c r="CO40" s="117"/>
      <c r="CP40" s="117">
        <v>4</v>
      </c>
      <c r="CQ40" s="114"/>
      <c r="CR40" s="117"/>
      <c r="CS40" s="115">
        <v>3</v>
      </c>
      <c r="CT40" s="114"/>
      <c r="CU40" s="117"/>
      <c r="CV40" s="117"/>
      <c r="CW40" s="115">
        <v>4</v>
      </c>
      <c r="CX40" s="114"/>
      <c r="CY40" s="117"/>
      <c r="CZ40" s="115">
        <v>3</v>
      </c>
      <c r="DA40" s="114"/>
      <c r="DB40" s="115">
        <v>2</v>
      </c>
      <c r="DC40" s="114"/>
      <c r="DD40" s="117"/>
      <c r="DE40" s="115">
        <v>3</v>
      </c>
      <c r="DF40" s="114"/>
      <c r="DG40" s="117"/>
      <c r="DH40" s="117"/>
      <c r="DI40" s="115">
        <v>4</v>
      </c>
      <c r="DJ40" s="114"/>
      <c r="DK40" s="117"/>
      <c r="DL40" s="115">
        <v>3</v>
      </c>
      <c r="DM40" s="114"/>
      <c r="DN40" s="115">
        <v>2</v>
      </c>
      <c r="DO40" s="116">
        <v>1</v>
      </c>
      <c r="DP40" s="114"/>
      <c r="DQ40" s="115">
        <v>2</v>
      </c>
      <c r="DR40" s="114"/>
      <c r="DS40" s="117"/>
      <c r="DT40" s="115">
        <v>3</v>
      </c>
      <c r="DU40" s="114"/>
      <c r="DV40" s="115">
        <v>2</v>
      </c>
      <c r="DW40" s="117"/>
      <c r="DX40" s="117"/>
      <c r="DY40" s="117">
        <v>3</v>
      </c>
      <c r="DZ40" s="114"/>
      <c r="EA40" s="117"/>
      <c r="EB40" s="117"/>
      <c r="EC40" s="115">
        <v>4</v>
      </c>
      <c r="ED40" s="114"/>
      <c r="EE40" s="117"/>
      <c r="EF40" s="115">
        <v>3</v>
      </c>
      <c r="EG40" s="114"/>
      <c r="EH40" s="115">
        <v>2</v>
      </c>
      <c r="EI40" s="116">
        <v>1</v>
      </c>
      <c r="EJ40" s="114"/>
      <c r="EK40" s="115">
        <v>2</v>
      </c>
      <c r="EL40" s="118">
        <v>1</v>
      </c>
      <c r="EM40" s="119">
        <v>0</v>
      </c>
      <c r="EN40" s="120">
        <v>1</v>
      </c>
      <c r="EO40" s="108"/>
      <c r="EP40" s="107">
        <v>2</v>
      </c>
      <c r="EQ40" s="108"/>
      <c r="ER40" s="109"/>
      <c r="ES40" s="107">
        <v>3</v>
      </c>
      <c r="ET40" s="108"/>
      <c r="EU40" s="107">
        <v>2</v>
      </c>
      <c r="EV40" s="110">
        <v>1</v>
      </c>
      <c r="EW40" s="108"/>
      <c r="EX40" s="107">
        <v>2</v>
      </c>
      <c r="EY40" s="108"/>
      <c r="EZ40" s="109"/>
      <c r="FA40" s="107">
        <v>3</v>
      </c>
      <c r="FB40" s="108"/>
      <c r="FC40" s="107">
        <v>2</v>
      </c>
      <c r="FD40" s="109"/>
      <c r="FE40" s="109"/>
      <c r="FF40" s="109">
        <v>3</v>
      </c>
      <c r="FG40" s="108"/>
      <c r="FH40" s="109"/>
      <c r="FI40" s="109"/>
      <c r="FJ40" s="107">
        <v>4</v>
      </c>
      <c r="FK40" s="108"/>
      <c r="FL40" s="109"/>
      <c r="FM40" s="109"/>
      <c r="FN40" s="109"/>
      <c r="FO40" s="107">
        <v>5</v>
      </c>
      <c r="FP40" s="108"/>
      <c r="FQ40" s="109"/>
      <c r="FR40" s="109"/>
      <c r="FS40" s="107">
        <v>4</v>
      </c>
      <c r="FT40" s="108"/>
      <c r="FU40" s="109"/>
      <c r="FV40" s="107">
        <v>3</v>
      </c>
      <c r="FW40" s="108"/>
      <c r="FX40" s="109"/>
      <c r="FY40" s="109"/>
      <c r="FZ40" s="107">
        <v>4</v>
      </c>
      <c r="GA40" s="108"/>
      <c r="GB40" s="109"/>
      <c r="GC40" s="107">
        <v>3</v>
      </c>
      <c r="GD40" s="108"/>
      <c r="GE40" s="107">
        <v>2</v>
      </c>
      <c r="GF40" s="108"/>
      <c r="GG40" s="109"/>
      <c r="GH40" s="107">
        <v>3</v>
      </c>
      <c r="GI40" s="108"/>
      <c r="GJ40" s="109"/>
      <c r="GK40" s="109"/>
      <c r="GL40" s="107">
        <v>4</v>
      </c>
      <c r="GM40" s="109"/>
      <c r="GN40" s="109"/>
      <c r="GO40" s="109">
        <v>3</v>
      </c>
      <c r="GP40" s="108"/>
      <c r="GQ40" s="107">
        <v>2</v>
      </c>
      <c r="GR40" s="110">
        <v>1</v>
      </c>
      <c r="GS40" s="108"/>
      <c r="GT40" s="107">
        <v>2</v>
      </c>
      <c r="GU40" s="108"/>
      <c r="GV40" s="109"/>
      <c r="GW40" s="107">
        <v>3</v>
      </c>
      <c r="GX40" s="108"/>
      <c r="GY40" s="107">
        <v>2</v>
      </c>
      <c r="GZ40" s="108"/>
      <c r="HA40" s="109"/>
      <c r="HB40" s="107">
        <v>3</v>
      </c>
      <c r="HC40" s="108"/>
      <c r="HD40" s="109"/>
      <c r="HE40" s="109"/>
      <c r="HF40" s="107">
        <v>4</v>
      </c>
      <c r="HG40" s="108"/>
      <c r="HH40" s="109"/>
      <c r="HI40" s="109"/>
      <c r="HJ40" s="109"/>
      <c r="HK40" s="107">
        <v>5</v>
      </c>
      <c r="HL40" s="108"/>
      <c r="HM40" s="109"/>
      <c r="HN40" s="109"/>
      <c r="HO40" s="107">
        <v>4</v>
      </c>
      <c r="HP40" s="108"/>
      <c r="HQ40" s="109"/>
      <c r="HR40" s="107">
        <v>3</v>
      </c>
      <c r="HS40" s="109"/>
      <c r="HT40" s="109"/>
      <c r="HU40" s="109"/>
      <c r="HV40" s="109">
        <v>4</v>
      </c>
      <c r="HW40" s="108"/>
      <c r="HX40" s="109"/>
      <c r="HY40" s="107">
        <v>3</v>
      </c>
      <c r="HZ40" s="108"/>
      <c r="IA40" s="107">
        <v>2</v>
      </c>
      <c r="IB40" s="108"/>
      <c r="IC40" s="109"/>
      <c r="ID40" s="107">
        <v>3</v>
      </c>
      <c r="IE40" s="108"/>
      <c r="IF40" s="109"/>
      <c r="IG40" s="109"/>
      <c r="IH40" s="107">
        <v>4</v>
      </c>
      <c r="II40" s="108"/>
      <c r="IJ40" s="109"/>
      <c r="IK40" s="109"/>
      <c r="IL40" s="109"/>
      <c r="IM40" s="107">
        <v>5</v>
      </c>
      <c r="IN40" s="108"/>
      <c r="IO40" s="109"/>
      <c r="IP40" s="109"/>
      <c r="IQ40" s="107">
        <v>4</v>
      </c>
      <c r="IR40" s="108"/>
      <c r="IS40" s="109"/>
      <c r="IT40" s="107">
        <v>3</v>
      </c>
      <c r="IU40" s="108"/>
      <c r="IV40" s="109"/>
      <c r="IW40" s="109"/>
      <c r="IX40" s="107">
        <v>4</v>
      </c>
      <c r="IY40" s="108"/>
      <c r="IZ40" s="109"/>
      <c r="JA40" s="109"/>
      <c r="JB40" s="109"/>
      <c r="JC40" s="107">
        <v>5</v>
      </c>
      <c r="JD40" s="109"/>
      <c r="JE40" s="109"/>
      <c r="JF40" s="109"/>
      <c r="JG40" s="109">
        <v>4</v>
      </c>
      <c r="JH40" s="108"/>
      <c r="JI40" s="109"/>
      <c r="JJ40" s="109"/>
      <c r="JK40" s="109"/>
      <c r="JL40" s="107">
        <v>5</v>
      </c>
      <c r="JM40" s="108"/>
      <c r="JN40" s="109"/>
      <c r="JO40" s="109"/>
      <c r="JP40" s="109"/>
      <c r="JQ40" s="109"/>
      <c r="JR40" s="107">
        <v>6</v>
      </c>
      <c r="JS40" s="109"/>
      <c r="JT40" s="109"/>
      <c r="JU40" s="109"/>
      <c r="JV40" s="109"/>
      <c r="JW40" s="109"/>
      <c r="JX40" s="109">
        <v>6</v>
      </c>
      <c r="JY40" s="11"/>
      <c r="JZ40" s="11"/>
      <c r="KA40" s="11"/>
      <c r="KB40" s="38"/>
    </row>
    <row r="41" spans="1:290" ht="16.5" thickBot="1" x14ac:dyDescent="0.35">
      <c r="A41" s="105"/>
      <c r="B41" s="281"/>
      <c r="C41" s="105"/>
      <c r="D41" s="234" t="s">
        <v>87</v>
      </c>
      <c r="E41" s="18">
        <v>20</v>
      </c>
      <c r="F41" s="19">
        <v>9</v>
      </c>
      <c r="G41" s="19">
        <v>18</v>
      </c>
      <c r="H41" s="20">
        <v>15</v>
      </c>
      <c r="I41" s="21">
        <v>12</v>
      </c>
      <c r="J41" s="19">
        <v>4</v>
      </c>
      <c r="K41" s="20">
        <v>25</v>
      </c>
      <c r="L41" s="21">
        <v>18</v>
      </c>
      <c r="M41" s="20">
        <v>4</v>
      </c>
      <c r="N41" s="21">
        <v>4</v>
      </c>
      <c r="O41" s="19">
        <v>19</v>
      </c>
      <c r="P41" s="20">
        <v>15</v>
      </c>
      <c r="Q41" s="21">
        <v>1</v>
      </c>
      <c r="R41" s="20">
        <v>5</v>
      </c>
      <c r="S41" s="22">
        <v>15</v>
      </c>
      <c r="T41" s="21">
        <v>7</v>
      </c>
      <c r="U41" s="20">
        <v>5</v>
      </c>
      <c r="V41" s="21">
        <v>20</v>
      </c>
      <c r="W41" s="19">
        <v>9</v>
      </c>
      <c r="X41" s="20">
        <v>19</v>
      </c>
      <c r="Y41" s="21">
        <v>8</v>
      </c>
      <c r="Z41" s="20">
        <v>9</v>
      </c>
      <c r="AA41" s="23">
        <v>5</v>
      </c>
      <c r="AB41" s="24"/>
      <c r="AC41" s="25">
        <v>3</v>
      </c>
      <c r="AD41" s="21">
        <v>12</v>
      </c>
      <c r="AE41" s="20">
        <v>9</v>
      </c>
      <c r="AF41" s="22">
        <v>8</v>
      </c>
      <c r="AG41" s="21">
        <v>4</v>
      </c>
      <c r="AH41" s="20">
        <v>4</v>
      </c>
      <c r="AI41" s="21">
        <v>20</v>
      </c>
      <c r="AJ41" s="19">
        <v>3</v>
      </c>
      <c r="AK41" s="20">
        <v>5</v>
      </c>
      <c r="AL41" s="21">
        <v>1</v>
      </c>
      <c r="AM41" s="19">
        <v>2</v>
      </c>
      <c r="AN41" s="19">
        <v>5</v>
      </c>
      <c r="AO41" s="20">
        <v>6</v>
      </c>
      <c r="AP41" s="21">
        <v>23</v>
      </c>
      <c r="AQ41" s="19">
        <v>5</v>
      </c>
      <c r="AR41" s="20">
        <v>9</v>
      </c>
      <c r="AS41" s="21">
        <v>18</v>
      </c>
      <c r="AT41" s="20">
        <v>7</v>
      </c>
      <c r="AU41" s="21">
        <v>1</v>
      </c>
      <c r="AV41" s="19">
        <v>15</v>
      </c>
      <c r="AW41" s="20">
        <v>18</v>
      </c>
      <c r="AX41" s="21">
        <v>5</v>
      </c>
      <c r="AY41" s="20">
        <v>9</v>
      </c>
      <c r="AZ41" s="22">
        <v>16</v>
      </c>
      <c r="BA41" s="21">
        <v>23</v>
      </c>
      <c r="BB41" s="20">
        <v>5</v>
      </c>
      <c r="BC41" s="21">
        <v>20</v>
      </c>
      <c r="BD41" s="19">
        <v>19</v>
      </c>
      <c r="BE41" s="20">
        <v>13</v>
      </c>
      <c r="BF41" s="21">
        <v>20</v>
      </c>
      <c r="BG41" s="19">
        <v>20</v>
      </c>
      <c r="BH41" s="19">
        <v>8</v>
      </c>
      <c r="BI41" s="20">
        <v>1</v>
      </c>
      <c r="BJ41" s="21">
        <v>1</v>
      </c>
      <c r="BK41" s="19">
        <v>9</v>
      </c>
      <c r="BL41" s="20">
        <v>14</v>
      </c>
      <c r="BM41" s="21">
        <v>4</v>
      </c>
      <c r="BN41" s="20">
        <v>4</v>
      </c>
      <c r="BO41" s="21">
        <v>5</v>
      </c>
      <c r="BP41" s="19">
        <v>19</v>
      </c>
      <c r="BQ41" s="20">
        <v>2</v>
      </c>
      <c r="BR41" s="21">
        <v>9</v>
      </c>
      <c r="BS41" s="19">
        <v>20</v>
      </c>
      <c r="BT41" s="19">
        <v>18</v>
      </c>
      <c r="BU41" s="20">
        <v>14</v>
      </c>
      <c r="BV41" s="21">
        <v>20</v>
      </c>
      <c r="BW41" s="19">
        <v>18</v>
      </c>
      <c r="BX41" s="20">
        <v>5</v>
      </c>
      <c r="BY41" s="21">
        <v>5</v>
      </c>
      <c r="BZ41" s="19">
        <v>1</v>
      </c>
      <c r="CA41" s="19">
        <v>13</v>
      </c>
      <c r="CB41" s="20">
        <v>18</v>
      </c>
      <c r="CC41" s="21">
        <v>1</v>
      </c>
      <c r="CD41" s="19">
        <v>15</v>
      </c>
      <c r="CE41" s="19">
        <v>20</v>
      </c>
      <c r="CF41" s="19">
        <v>15</v>
      </c>
      <c r="CG41" s="20">
        <v>5</v>
      </c>
      <c r="CH41" s="21">
        <v>1</v>
      </c>
      <c r="CI41" s="19">
        <v>21</v>
      </c>
      <c r="CJ41" s="19">
        <v>20</v>
      </c>
      <c r="CK41" s="19">
        <v>5</v>
      </c>
      <c r="CL41" s="20">
        <v>21</v>
      </c>
      <c r="CM41" s="21">
        <v>20</v>
      </c>
      <c r="CN41" s="19">
        <v>15</v>
      </c>
      <c r="CO41" s="19">
        <v>9</v>
      </c>
      <c r="CP41" s="20">
        <v>6</v>
      </c>
      <c r="CQ41" s="21">
        <v>19</v>
      </c>
      <c r="CR41" s="19">
        <v>1</v>
      </c>
      <c r="CS41" s="20">
        <v>15</v>
      </c>
      <c r="CT41" s="21">
        <v>6</v>
      </c>
      <c r="CU41" s="19">
        <v>5</v>
      </c>
      <c r="CV41" s="19">
        <v>5</v>
      </c>
      <c r="CW41" s="20">
        <v>20</v>
      </c>
      <c r="CX41" s="21">
        <v>2</v>
      </c>
      <c r="CY41" s="19">
        <v>12</v>
      </c>
      <c r="CZ41" s="20">
        <v>18</v>
      </c>
      <c r="DA41" s="21">
        <v>5</v>
      </c>
      <c r="DB41" s="20">
        <v>5</v>
      </c>
      <c r="DC41" s="21">
        <v>25</v>
      </c>
      <c r="DD41" s="19">
        <v>7</v>
      </c>
      <c r="DE41" s="20">
        <v>5</v>
      </c>
      <c r="DF41" s="21">
        <v>20</v>
      </c>
      <c r="DG41" s="19">
        <v>1</v>
      </c>
      <c r="DH41" s="19">
        <v>13</v>
      </c>
      <c r="DI41" s="20">
        <v>1</v>
      </c>
      <c r="DJ41" s="21">
        <v>20</v>
      </c>
      <c r="DK41" s="19">
        <v>1</v>
      </c>
      <c r="DL41" s="20">
        <v>14</v>
      </c>
      <c r="DM41" s="21">
        <v>5</v>
      </c>
      <c r="DN41" s="20">
        <v>23</v>
      </c>
      <c r="DO41" s="22">
        <v>5</v>
      </c>
      <c r="DP41" s="21">
        <v>8</v>
      </c>
      <c r="DQ41" s="20">
        <v>8</v>
      </c>
      <c r="DR41" s="21">
        <v>13</v>
      </c>
      <c r="DS41" s="19">
        <v>1</v>
      </c>
      <c r="DT41" s="20">
        <v>16</v>
      </c>
      <c r="DU41" s="21">
        <v>19</v>
      </c>
      <c r="DV41" s="20">
        <v>18</v>
      </c>
      <c r="DW41" s="21">
        <v>2</v>
      </c>
      <c r="DX41" s="19">
        <v>20</v>
      </c>
      <c r="DY41" s="20">
        <v>6</v>
      </c>
      <c r="DZ41" s="21">
        <v>9</v>
      </c>
      <c r="EA41" s="19">
        <v>5</v>
      </c>
      <c r="EB41" s="19">
        <v>18</v>
      </c>
      <c r="EC41" s="20">
        <v>3</v>
      </c>
      <c r="ED41" s="21">
        <v>25</v>
      </c>
      <c r="EE41" s="19">
        <v>1</v>
      </c>
      <c r="EF41" s="20">
        <v>20</v>
      </c>
      <c r="EG41" s="21">
        <v>3</v>
      </c>
      <c r="EH41" s="20">
        <v>14</v>
      </c>
      <c r="EI41" s="22">
        <v>5</v>
      </c>
      <c r="EJ41" s="21">
        <v>5</v>
      </c>
      <c r="EK41" s="20">
        <v>8</v>
      </c>
      <c r="EL41" s="23">
        <v>17</v>
      </c>
      <c r="EM41" s="24"/>
      <c r="EN41" s="25">
        <v>25</v>
      </c>
      <c r="EO41" s="21">
        <v>5</v>
      </c>
      <c r="EP41" s="20">
        <v>20</v>
      </c>
      <c r="EQ41" s="21">
        <v>25</v>
      </c>
      <c r="ER41" s="19">
        <v>15</v>
      </c>
      <c r="ES41" s="20">
        <v>9</v>
      </c>
      <c r="ET41" s="21">
        <v>5</v>
      </c>
      <c r="EU41" s="20">
        <v>1</v>
      </c>
      <c r="EV41" s="26">
        <v>8</v>
      </c>
      <c r="EW41" s="21">
        <v>14</v>
      </c>
      <c r="EX41" s="20">
        <v>5</v>
      </c>
      <c r="EY41" s="21">
        <v>23</v>
      </c>
      <c r="EZ41" s="19">
        <v>9</v>
      </c>
      <c r="FA41" s="20">
        <v>20</v>
      </c>
      <c r="FB41" s="21">
        <v>4</v>
      </c>
      <c r="FC41" s="20">
        <v>5</v>
      </c>
      <c r="FD41" s="21">
        <v>19</v>
      </c>
      <c r="FE41" s="19">
        <v>12</v>
      </c>
      <c r="FF41" s="20">
        <v>15</v>
      </c>
      <c r="FG41" s="21">
        <v>6</v>
      </c>
      <c r="FH41" s="19">
        <v>20</v>
      </c>
      <c r="FI41" s="19">
        <v>5</v>
      </c>
      <c r="FJ41" s="20">
        <v>15</v>
      </c>
      <c r="FK41" s="21">
        <v>5</v>
      </c>
      <c r="FL41" s="19">
        <v>1</v>
      </c>
      <c r="FM41" s="19">
        <v>8</v>
      </c>
      <c r="FN41" s="19">
        <v>14</v>
      </c>
      <c r="FO41" s="20">
        <v>20</v>
      </c>
      <c r="FP41" s="21">
        <v>5</v>
      </c>
      <c r="FQ41" s="19">
        <v>18</v>
      </c>
      <c r="FR41" s="19">
        <v>4</v>
      </c>
      <c r="FS41" s="20">
        <v>21</v>
      </c>
      <c r="FT41" s="21">
        <v>5</v>
      </c>
      <c r="FU41" s="19">
        <v>14</v>
      </c>
      <c r="FV41" s="20">
        <v>5</v>
      </c>
      <c r="FW41" s="21">
        <v>20</v>
      </c>
      <c r="FX41" s="19">
        <v>3</v>
      </c>
      <c r="FY41" s="19">
        <v>8</v>
      </c>
      <c r="FZ41" s="20">
        <v>1</v>
      </c>
      <c r="GA41" s="21">
        <v>18</v>
      </c>
      <c r="GB41" s="19">
        <v>14</v>
      </c>
      <c r="GC41" s="20">
        <v>5</v>
      </c>
      <c r="GD41" s="21">
        <v>5</v>
      </c>
      <c r="GE41" s="20">
        <v>20</v>
      </c>
      <c r="GF41" s="21">
        <v>9</v>
      </c>
      <c r="GG41" s="19">
        <v>4</v>
      </c>
      <c r="GH41" s="20">
        <v>14</v>
      </c>
      <c r="GI41" s="21">
        <v>23</v>
      </c>
      <c r="GJ41" s="19">
        <v>20</v>
      </c>
      <c r="GK41" s="19">
        <v>13</v>
      </c>
      <c r="GL41" s="20">
        <v>23</v>
      </c>
      <c r="GM41" s="21">
        <v>5</v>
      </c>
      <c r="GN41" s="19">
        <v>1</v>
      </c>
      <c r="GO41" s="20">
        <v>3</v>
      </c>
      <c r="GP41" s="21">
        <v>1</v>
      </c>
      <c r="GQ41" s="20">
        <v>9</v>
      </c>
      <c r="GR41" s="22">
        <v>9</v>
      </c>
      <c r="GS41" s="21">
        <v>16</v>
      </c>
      <c r="GT41" s="20">
        <v>12</v>
      </c>
      <c r="GU41" s="21">
        <v>2</v>
      </c>
      <c r="GV41" s="19">
        <v>5</v>
      </c>
      <c r="GW41" s="20">
        <v>12</v>
      </c>
      <c r="GX41" s="21">
        <v>5</v>
      </c>
      <c r="GY41" s="20">
        <v>14</v>
      </c>
      <c r="GZ41" s="21">
        <v>14</v>
      </c>
      <c r="HA41" s="19">
        <v>12</v>
      </c>
      <c r="HB41" s="20">
        <v>19</v>
      </c>
      <c r="HC41" s="21">
        <v>5</v>
      </c>
      <c r="HD41" s="19">
        <v>16</v>
      </c>
      <c r="HE41" s="19">
        <v>18</v>
      </c>
      <c r="HF41" s="20">
        <v>1</v>
      </c>
      <c r="HG41" s="21">
        <v>18</v>
      </c>
      <c r="HH41" s="19">
        <v>14</v>
      </c>
      <c r="HI41" s="19">
        <v>8</v>
      </c>
      <c r="HJ41" s="19">
        <v>9</v>
      </c>
      <c r="HK41" s="20">
        <v>20</v>
      </c>
      <c r="HL41" s="21">
        <v>1</v>
      </c>
      <c r="HM41" s="19">
        <v>7</v>
      </c>
      <c r="HN41" s="19">
        <v>14</v>
      </c>
      <c r="HO41" s="20">
        <v>18</v>
      </c>
      <c r="HP41" s="21">
        <v>16</v>
      </c>
      <c r="HQ41" s="19">
        <v>20</v>
      </c>
      <c r="HR41" s="20">
        <v>5</v>
      </c>
      <c r="HS41" s="21">
        <v>14</v>
      </c>
      <c r="HT41" s="19">
        <v>13</v>
      </c>
      <c r="HU41" s="19">
        <v>24</v>
      </c>
      <c r="HV41" s="20">
        <v>23</v>
      </c>
      <c r="HW41" s="21">
        <v>18</v>
      </c>
      <c r="HX41" s="19">
        <v>13</v>
      </c>
      <c r="HY41" s="20">
        <v>19</v>
      </c>
      <c r="HZ41" s="21">
        <v>15</v>
      </c>
      <c r="IA41" s="20">
        <v>14</v>
      </c>
      <c r="IB41" s="21">
        <v>19</v>
      </c>
      <c r="IC41" s="19">
        <v>8</v>
      </c>
      <c r="ID41" s="20">
        <v>15</v>
      </c>
      <c r="IE41" s="21">
        <v>14</v>
      </c>
      <c r="IF41" s="19">
        <v>12</v>
      </c>
      <c r="IG41" s="19">
        <v>12</v>
      </c>
      <c r="IH41" s="20">
        <v>19</v>
      </c>
      <c r="II41" s="21">
        <v>12</v>
      </c>
      <c r="IJ41" s="19">
        <v>12</v>
      </c>
      <c r="IK41" s="19">
        <v>19</v>
      </c>
      <c r="IL41" s="19">
        <v>4</v>
      </c>
      <c r="IM41" s="27">
        <v>12</v>
      </c>
      <c r="IN41" s="21">
        <v>21</v>
      </c>
      <c r="IO41" s="28">
        <v>25</v>
      </c>
      <c r="IP41" s="19">
        <v>5</v>
      </c>
      <c r="IQ41" s="20">
        <v>18</v>
      </c>
      <c r="IR41" s="21">
        <v>14</v>
      </c>
      <c r="IS41" s="19">
        <v>20</v>
      </c>
      <c r="IT41" s="20">
        <v>8</v>
      </c>
      <c r="IU41" s="21">
        <v>3</v>
      </c>
      <c r="IV41" s="19">
        <v>1</v>
      </c>
      <c r="IW41" s="19">
        <v>9</v>
      </c>
      <c r="IX41" s="20">
        <v>1</v>
      </c>
      <c r="IY41" s="21">
        <v>14</v>
      </c>
      <c r="IZ41" s="19">
        <v>8</v>
      </c>
      <c r="JA41" s="19">
        <v>19</v>
      </c>
      <c r="JB41" s="19">
        <v>25</v>
      </c>
      <c r="JC41" s="20">
        <v>4</v>
      </c>
      <c r="JD41" s="21">
        <v>9</v>
      </c>
      <c r="JE41" s="19">
        <v>2</v>
      </c>
      <c r="JF41" s="19">
        <v>9</v>
      </c>
      <c r="JG41" s="20">
        <v>15</v>
      </c>
      <c r="JH41" s="21">
        <v>5</v>
      </c>
      <c r="JI41" s="19">
        <v>20</v>
      </c>
      <c r="JJ41" s="19">
        <v>16</v>
      </c>
      <c r="JK41" s="19">
        <v>3</v>
      </c>
      <c r="JL41" s="20">
        <v>15</v>
      </c>
      <c r="JM41" s="21">
        <v>5</v>
      </c>
      <c r="JN41" s="19">
        <v>8</v>
      </c>
      <c r="JO41" s="19">
        <v>18</v>
      </c>
      <c r="JP41" s="19">
        <v>19</v>
      </c>
      <c r="JQ41" s="19">
        <v>12</v>
      </c>
      <c r="JR41" s="20">
        <v>14</v>
      </c>
      <c r="JS41" s="28">
        <v>8</v>
      </c>
      <c r="JT41" s="19">
        <v>15</v>
      </c>
      <c r="JU41" s="19">
        <v>18</v>
      </c>
      <c r="JV41" s="19">
        <v>8</v>
      </c>
      <c r="JW41" s="19">
        <v>1</v>
      </c>
      <c r="JX41" s="29">
        <v>25</v>
      </c>
      <c r="JY41" s="11"/>
      <c r="JZ41" s="11"/>
      <c r="KA41" s="11"/>
      <c r="KB41" s="38"/>
    </row>
    <row r="42" spans="1:290" x14ac:dyDescent="0.25">
      <c r="A42" s="121"/>
      <c r="B42" s="122"/>
      <c r="C42" s="123"/>
      <c r="D42" s="235" t="s">
        <v>89</v>
      </c>
      <c r="E42" s="124">
        <v>1</v>
      </c>
      <c r="F42" s="124"/>
      <c r="G42" s="124"/>
      <c r="H42" s="124"/>
      <c r="I42" s="125">
        <v>2</v>
      </c>
      <c r="J42" s="124"/>
      <c r="K42" s="126"/>
      <c r="L42" s="125">
        <v>3</v>
      </c>
      <c r="M42" s="126"/>
      <c r="N42" s="125">
        <v>4</v>
      </c>
      <c r="O42" s="124"/>
      <c r="P42" s="126"/>
      <c r="Q42" s="125">
        <v>5</v>
      </c>
      <c r="R42" s="126"/>
      <c r="S42" s="127">
        <v>6</v>
      </c>
      <c r="T42" s="125">
        <v>7</v>
      </c>
      <c r="U42" s="126"/>
      <c r="V42" s="125">
        <v>8</v>
      </c>
      <c r="W42" s="124"/>
      <c r="X42" s="126"/>
      <c r="Y42" s="125">
        <v>9</v>
      </c>
      <c r="Z42" s="126"/>
      <c r="AA42" s="128">
        <v>10</v>
      </c>
      <c r="AB42" s="98">
        <v>11</v>
      </c>
      <c r="AC42" s="129">
        <v>12</v>
      </c>
      <c r="AD42" s="125">
        <v>13</v>
      </c>
      <c r="AE42" s="126"/>
      <c r="AF42" s="127">
        <v>14</v>
      </c>
      <c r="AG42" s="125">
        <v>15</v>
      </c>
      <c r="AH42" s="126"/>
      <c r="AI42" s="125">
        <v>16</v>
      </c>
      <c r="AJ42" s="124"/>
      <c r="AK42" s="126"/>
      <c r="AL42" s="124">
        <v>17</v>
      </c>
      <c r="AM42" s="124"/>
      <c r="AN42" s="124"/>
      <c r="AO42" s="124"/>
      <c r="AP42" s="125">
        <v>18</v>
      </c>
      <c r="AQ42" s="124"/>
      <c r="AR42" s="126"/>
      <c r="AS42" s="125">
        <v>19</v>
      </c>
      <c r="AT42" s="126"/>
      <c r="AU42" s="125">
        <v>20</v>
      </c>
      <c r="AV42" s="124"/>
      <c r="AW42" s="126"/>
      <c r="AX42" s="125">
        <v>21</v>
      </c>
      <c r="AY42" s="126"/>
      <c r="AZ42" s="127">
        <v>22</v>
      </c>
      <c r="BA42" s="125">
        <v>23</v>
      </c>
      <c r="BB42" s="126"/>
      <c r="BC42" s="125">
        <v>24</v>
      </c>
      <c r="BD42" s="124"/>
      <c r="BE42" s="126"/>
      <c r="BF42" s="124">
        <v>25</v>
      </c>
      <c r="BG42" s="124"/>
      <c r="BH42" s="124"/>
      <c r="BI42" s="124"/>
      <c r="BJ42" s="125">
        <v>26</v>
      </c>
      <c r="BK42" s="124"/>
      <c r="BL42" s="126"/>
      <c r="BM42" s="125">
        <v>27</v>
      </c>
      <c r="BN42" s="126"/>
      <c r="BO42" s="125">
        <v>28</v>
      </c>
      <c r="BP42" s="124"/>
      <c r="BQ42" s="126"/>
      <c r="BR42" s="125">
        <v>29</v>
      </c>
      <c r="BS42" s="124"/>
      <c r="BT42" s="124"/>
      <c r="BU42" s="126"/>
      <c r="BV42" s="125">
        <v>30</v>
      </c>
      <c r="BW42" s="124"/>
      <c r="BX42" s="126"/>
      <c r="BY42" s="125">
        <v>31</v>
      </c>
      <c r="BZ42" s="124"/>
      <c r="CA42" s="124"/>
      <c r="CB42" s="126"/>
      <c r="CC42" s="125">
        <v>32</v>
      </c>
      <c r="CD42" s="124"/>
      <c r="CE42" s="124"/>
      <c r="CF42" s="124"/>
      <c r="CG42" s="126"/>
      <c r="CH42" s="125">
        <v>33</v>
      </c>
      <c r="CI42" s="124"/>
      <c r="CJ42" s="124"/>
      <c r="CK42" s="124"/>
      <c r="CL42" s="126"/>
      <c r="CM42" s="124">
        <v>34</v>
      </c>
      <c r="CN42" s="124"/>
      <c r="CO42" s="124"/>
      <c r="CP42" s="124"/>
      <c r="CQ42" s="125">
        <v>35</v>
      </c>
      <c r="CR42" s="124"/>
      <c r="CS42" s="126"/>
      <c r="CT42" s="125">
        <v>36</v>
      </c>
      <c r="CU42" s="124"/>
      <c r="CV42" s="124"/>
      <c r="CW42" s="126"/>
      <c r="CX42" s="125">
        <v>37</v>
      </c>
      <c r="CY42" s="124"/>
      <c r="CZ42" s="126"/>
      <c r="DA42" s="125">
        <v>38</v>
      </c>
      <c r="DB42" s="126"/>
      <c r="DC42" s="125">
        <v>39</v>
      </c>
      <c r="DD42" s="124"/>
      <c r="DE42" s="126"/>
      <c r="DF42" s="125">
        <v>40</v>
      </c>
      <c r="DG42" s="124"/>
      <c r="DH42" s="124"/>
      <c r="DI42" s="126"/>
      <c r="DJ42" s="125">
        <v>41</v>
      </c>
      <c r="DK42" s="124"/>
      <c r="DL42" s="126"/>
      <c r="DM42" s="125">
        <v>42</v>
      </c>
      <c r="DN42" s="126"/>
      <c r="DO42" s="127">
        <v>43</v>
      </c>
      <c r="DP42" s="125">
        <v>44</v>
      </c>
      <c r="DQ42" s="126"/>
      <c r="DR42" s="125">
        <v>45</v>
      </c>
      <c r="DS42" s="124"/>
      <c r="DT42" s="126"/>
      <c r="DU42" s="125">
        <v>46</v>
      </c>
      <c r="DV42" s="126"/>
      <c r="DW42" s="124">
        <v>47</v>
      </c>
      <c r="DX42" s="124"/>
      <c r="DY42" s="124"/>
      <c r="DZ42" s="125">
        <v>48</v>
      </c>
      <c r="EA42" s="124"/>
      <c r="EB42" s="124"/>
      <c r="EC42" s="126"/>
      <c r="ED42" s="125">
        <v>49</v>
      </c>
      <c r="EE42" s="124"/>
      <c r="EF42" s="126"/>
      <c r="EG42" s="125">
        <v>50</v>
      </c>
      <c r="EH42" s="126"/>
      <c r="EI42" s="127">
        <v>51</v>
      </c>
      <c r="EJ42" s="125">
        <v>52</v>
      </c>
      <c r="EK42" s="126"/>
      <c r="EL42" s="130">
        <v>53</v>
      </c>
      <c r="EM42" s="98">
        <v>54</v>
      </c>
      <c r="EN42" s="131">
        <v>55</v>
      </c>
      <c r="EO42" s="125">
        <v>56</v>
      </c>
      <c r="EP42" s="126"/>
      <c r="EQ42" s="125">
        <v>57</v>
      </c>
      <c r="ER42" s="124"/>
      <c r="ES42" s="126"/>
      <c r="ET42" s="125">
        <v>58</v>
      </c>
      <c r="EU42" s="126"/>
      <c r="EV42" s="127">
        <v>59</v>
      </c>
      <c r="EW42" s="125">
        <v>60</v>
      </c>
      <c r="EX42" s="126"/>
      <c r="EY42" s="125">
        <v>61</v>
      </c>
      <c r="EZ42" s="124"/>
      <c r="FA42" s="126"/>
      <c r="FB42" s="125">
        <v>62</v>
      </c>
      <c r="FC42" s="126"/>
      <c r="FD42" s="124">
        <v>63</v>
      </c>
      <c r="FE42" s="124"/>
      <c r="FF42" s="124"/>
      <c r="FG42" s="125">
        <v>64</v>
      </c>
      <c r="FH42" s="124"/>
      <c r="FI42" s="124"/>
      <c r="FJ42" s="126"/>
      <c r="FK42" s="125">
        <v>65</v>
      </c>
      <c r="FL42" s="124"/>
      <c r="FM42" s="124"/>
      <c r="FN42" s="124"/>
      <c r="FO42" s="126"/>
      <c r="FP42" s="125">
        <v>66</v>
      </c>
      <c r="FQ42" s="124"/>
      <c r="FR42" s="124"/>
      <c r="FS42" s="126"/>
      <c r="FT42" s="125">
        <v>67</v>
      </c>
      <c r="FU42" s="124"/>
      <c r="FV42" s="126"/>
      <c r="FW42" s="125">
        <v>68</v>
      </c>
      <c r="FX42" s="124"/>
      <c r="FY42" s="124"/>
      <c r="FZ42" s="126"/>
      <c r="GA42" s="125">
        <v>69</v>
      </c>
      <c r="GB42" s="124"/>
      <c r="GC42" s="126"/>
      <c r="GD42" s="125">
        <v>70</v>
      </c>
      <c r="GE42" s="126"/>
      <c r="GF42" s="125">
        <v>71</v>
      </c>
      <c r="GG42" s="124"/>
      <c r="GH42" s="126"/>
      <c r="GI42" s="125">
        <v>72</v>
      </c>
      <c r="GJ42" s="124"/>
      <c r="GK42" s="124"/>
      <c r="GL42" s="126"/>
      <c r="GM42" s="124">
        <v>73</v>
      </c>
      <c r="GN42" s="124"/>
      <c r="GO42" s="124"/>
      <c r="GP42" s="125">
        <v>74</v>
      </c>
      <c r="GQ42" s="126"/>
      <c r="GR42" s="127">
        <v>75</v>
      </c>
      <c r="GS42" s="125">
        <v>76</v>
      </c>
      <c r="GT42" s="126"/>
      <c r="GU42" s="125">
        <v>77</v>
      </c>
      <c r="GV42" s="124"/>
      <c r="GW42" s="126"/>
      <c r="GX42" s="125">
        <v>78</v>
      </c>
      <c r="GY42" s="126"/>
      <c r="GZ42" s="125">
        <v>79</v>
      </c>
      <c r="HA42" s="124"/>
      <c r="HB42" s="126"/>
      <c r="HC42" s="125">
        <v>80</v>
      </c>
      <c r="HD42" s="124"/>
      <c r="HE42" s="124"/>
      <c r="HF42" s="126"/>
      <c r="HG42" s="125">
        <v>81</v>
      </c>
      <c r="HH42" s="124"/>
      <c r="HI42" s="124"/>
      <c r="HJ42" s="124"/>
      <c r="HK42" s="126"/>
      <c r="HL42" s="125">
        <v>82</v>
      </c>
      <c r="HM42" s="124"/>
      <c r="HN42" s="124"/>
      <c r="HO42" s="126"/>
      <c r="HP42" s="125">
        <v>83</v>
      </c>
      <c r="HQ42" s="124"/>
      <c r="HR42" s="126"/>
      <c r="HS42" s="124">
        <v>84</v>
      </c>
      <c r="HT42" s="124"/>
      <c r="HU42" s="124"/>
      <c r="HV42" s="124"/>
      <c r="HW42" s="125">
        <v>85</v>
      </c>
      <c r="HX42" s="124"/>
      <c r="HY42" s="126"/>
      <c r="HZ42" s="125">
        <v>86</v>
      </c>
      <c r="IA42" s="126"/>
      <c r="IB42" s="125">
        <v>87</v>
      </c>
      <c r="IC42" s="124"/>
      <c r="ID42" s="126"/>
      <c r="IE42" s="125">
        <v>88</v>
      </c>
      <c r="IF42" s="124"/>
      <c r="IG42" s="124"/>
      <c r="IH42" s="126"/>
      <c r="II42" s="125">
        <v>89</v>
      </c>
      <c r="IJ42" s="124"/>
      <c r="IK42" s="124"/>
      <c r="IL42" s="124"/>
      <c r="IM42" s="126"/>
      <c r="IN42" s="125">
        <v>90</v>
      </c>
      <c r="IO42" s="124"/>
      <c r="IP42" s="124"/>
      <c r="IQ42" s="126"/>
      <c r="IR42" s="125">
        <v>91</v>
      </c>
      <c r="IS42" s="124"/>
      <c r="IT42" s="126"/>
      <c r="IU42" s="125">
        <v>92</v>
      </c>
      <c r="IV42" s="124"/>
      <c r="IW42" s="124"/>
      <c r="IX42" s="126"/>
      <c r="IY42" s="125">
        <v>93</v>
      </c>
      <c r="IZ42" s="124"/>
      <c r="JA42" s="124"/>
      <c r="JB42" s="124"/>
      <c r="JC42" s="126"/>
      <c r="JD42" s="124">
        <v>94</v>
      </c>
      <c r="JE42" s="124"/>
      <c r="JF42" s="124"/>
      <c r="JG42" s="124"/>
      <c r="JH42" s="125">
        <v>95</v>
      </c>
      <c r="JI42" s="124"/>
      <c r="JJ42" s="124"/>
      <c r="JK42" s="124"/>
      <c r="JL42" s="126"/>
      <c r="JM42" s="125">
        <v>96</v>
      </c>
      <c r="JN42" s="124"/>
      <c r="JO42" s="124"/>
      <c r="JP42" s="124"/>
      <c r="JQ42" s="124"/>
      <c r="JR42" s="126"/>
      <c r="JS42" s="124">
        <v>97</v>
      </c>
      <c r="JT42" s="124"/>
      <c r="JU42" s="124"/>
      <c r="JV42" s="124"/>
      <c r="JW42" s="124"/>
      <c r="JX42" s="124"/>
      <c r="JY42" s="11"/>
      <c r="JZ42" s="11"/>
      <c r="KA42" s="11"/>
      <c r="KB42" s="38"/>
    </row>
    <row r="43" spans="1:290" ht="15.75" x14ac:dyDescent="0.25">
      <c r="A43" s="256"/>
      <c r="B43" s="256"/>
      <c r="C43" s="256"/>
      <c r="D43" s="256"/>
      <c r="E43" s="11"/>
      <c r="F43" s="11"/>
      <c r="G43" s="11"/>
      <c r="H43" s="11"/>
      <c r="I43" s="11"/>
      <c r="J43" s="11"/>
      <c r="K43" s="2"/>
      <c r="L43" s="2"/>
      <c r="M43" s="2"/>
      <c r="N43" s="2"/>
      <c r="O43" s="2"/>
      <c r="P43" s="2"/>
      <c r="Q43" s="2"/>
      <c r="R43" s="11"/>
      <c r="S43" s="11"/>
      <c r="T43" s="11"/>
      <c r="U43" s="11"/>
      <c r="V43" s="11"/>
      <c r="W43" s="11"/>
      <c r="X43" s="11"/>
      <c r="Y43" s="11"/>
      <c r="Z43" s="11"/>
      <c r="AA43" s="11"/>
      <c r="AB43" s="12"/>
      <c r="AC43" s="13"/>
      <c r="AD43" s="13"/>
      <c r="AE43" s="14"/>
      <c r="AF43" s="11"/>
      <c r="AG43" s="11"/>
      <c r="AH43" s="11"/>
      <c r="AI43" s="11"/>
      <c r="AJ43" s="11"/>
      <c r="AK43" s="11"/>
      <c r="AL43" s="11"/>
      <c r="AM43" s="11"/>
      <c r="AN43" s="11"/>
      <c r="AO43" s="14"/>
      <c r="AP43" s="14"/>
      <c r="AQ43" s="14"/>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5"/>
      <c r="BV43" s="15"/>
      <c r="BW43" s="15"/>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c r="HC43" s="11"/>
      <c r="HD43" s="11"/>
      <c r="HE43" s="11"/>
      <c r="HF43" s="11"/>
      <c r="HG43" s="11"/>
      <c r="HH43" s="11"/>
      <c r="HI43" s="11"/>
      <c r="HJ43" s="11"/>
      <c r="HK43" s="11"/>
      <c r="HL43" s="11"/>
      <c r="HM43" s="11"/>
      <c r="HN43" s="11"/>
      <c r="HO43" s="11"/>
      <c r="HP43" s="11"/>
      <c r="HQ43" s="11"/>
      <c r="HR43" s="11"/>
      <c r="HS43" s="11"/>
      <c r="HT43" s="11"/>
      <c r="HU43" s="11"/>
      <c r="HV43" s="11"/>
      <c r="HW43" s="11"/>
      <c r="HX43" s="11"/>
      <c r="HY43" s="11"/>
      <c r="HZ43" s="11"/>
      <c r="IA43" s="11"/>
      <c r="IB43" s="11"/>
      <c r="IC43" s="11"/>
      <c r="ID43" s="11"/>
      <c r="IE43" s="11"/>
      <c r="IF43" s="11"/>
      <c r="IG43" s="11"/>
      <c r="IH43" s="11"/>
      <c r="II43" s="11"/>
      <c r="IJ43" s="11"/>
      <c r="IK43" s="11"/>
      <c r="IL43" s="11"/>
      <c r="IM43" s="11"/>
      <c r="IN43" s="11"/>
      <c r="IO43" s="11"/>
      <c r="IP43" s="11"/>
      <c r="IQ43" s="11"/>
      <c r="IR43" s="11"/>
      <c r="IS43" s="11"/>
      <c r="IT43" s="11"/>
      <c r="IU43" s="11"/>
      <c r="IV43" s="11"/>
      <c r="IW43" s="11"/>
      <c r="IX43" s="11"/>
      <c r="IY43" s="11"/>
      <c r="IZ43" s="11"/>
      <c r="JA43" s="11"/>
      <c r="JB43" s="11"/>
      <c r="JC43" s="11"/>
      <c r="JD43" s="11"/>
      <c r="JE43" s="11"/>
      <c r="JF43" s="11"/>
      <c r="JG43" s="11"/>
      <c r="JH43" s="11"/>
      <c r="JI43" s="11"/>
      <c r="JJ43" s="11"/>
      <c r="JK43" s="11"/>
      <c r="JL43" s="11"/>
      <c r="JM43" s="11"/>
      <c r="JN43" s="11"/>
      <c r="JO43" s="11"/>
      <c r="JP43" s="11"/>
      <c r="JQ43" s="11"/>
      <c r="JR43" s="11"/>
      <c r="JS43" s="11"/>
      <c r="JT43" s="11"/>
      <c r="JU43" s="11"/>
      <c r="JV43" s="11"/>
      <c r="JW43" s="11"/>
      <c r="JX43" s="11"/>
      <c r="JY43" s="11"/>
      <c r="JZ43" s="11"/>
      <c r="KA43" s="11"/>
      <c r="KB43" s="38"/>
    </row>
    <row r="44" spans="1:290" ht="15.75" x14ac:dyDescent="0.25">
      <c r="A44" s="256"/>
      <c r="B44" s="256"/>
      <c r="C44" s="256"/>
      <c r="D44" s="256"/>
      <c r="E44" s="11"/>
      <c r="F44" s="11"/>
      <c r="G44" s="11"/>
      <c r="H44" s="11"/>
      <c r="I44" s="11"/>
      <c r="J44" s="11"/>
      <c r="K44" s="2"/>
      <c r="L44" s="2"/>
      <c r="M44" s="2"/>
      <c r="N44" s="2"/>
      <c r="O44" s="2"/>
      <c r="P44" s="2"/>
      <c r="Q44" s="2"/>
      <c r="R44" s="11"/>
      <c r="S44" s="11"/>
      <c r="T44" s="11"/>
      <c r="U44" s="11"/>
      <c r="V44" s="11"/>
      <c r="W44" s="11"/>
      <c r="X44" s="11"/>
      <c r="Y44" s="11"/>
      <c r="Z44" s="11"/>
      <c r="AA44" s="11"/>
      <c r="AB44" s="12"/>
      <c r="AC44" s="13"/>
      <c r="AD44" s="13"/>
      <c r="AE44" s="14"/>
      <c r="AF44" s="11"/>
      <c r="AG44" s="11"/>
      <c r="AH44" s="11"/>
      <c r="AI44" s="11"/>
      <c r="AJ44" s="11"/>
      <c r="AK44" s="11"/>
      <c r="AL44" s="11"/>
      <c r="AM44" s="11"/>
      <c r="AN44" s="11"/>
      <c r="AO44" s="14"/>
      <c r="AP44" s="14"/>
      <c r="AQ44" s="14"/>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5"/>
      <c r="BV44" s="15"/>
      <c r="BW44" s="15"/>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c r="HC44" s="11"/>
      <c r="HD44" s="11"/>
      <c r="HE44" s="11"/>
      <c r="HF44" s="11"/>
      <c r="HG44" s="11"/>
      <c r="HH44" s="11"/>
      <c r="HI44" s="11"/>
      <c r="HJ44" s="11"/>
      <c r="HK44" s="11"/>
      <c r="HL44" s="11"/>
      <c r="HM44" s="11"/>
      <c r="HN44" s="11"/>
      <c r="HO44" s="11"/>
      <c r="HP44" s="11"/>
      <c r="HQ44" s="11"/>
      <c r="HR44" s="11"/>
      <c r="HS44" s="11"/>
      <c r="HT44" s="11"/>
      <c r="HU44" s="11"/>
      <c r="HV44" s="11"/>
      <c r="HW44" s="11"/>
      <c r="HX44" s="11"/>
      <c r="HY44" s="11"/>
      <c r="HZ44" s="11"/>
      <c r="IA44" s="11"/>
      <c r="IB44" s="11"/>
      <c r="IC44" s="11"/>
      <c r="ID44" s="11"/>
      <c r="IE44" s="11"/>
      <c r="IF44" s="11"/>
      <c r="IG44" s="11"/>
      <c r="IH44" s="11"/>
      <c r="II44" s="11"/>
      <c r="IJ44" s="11"/>
      <c r="IK44" s="11"/>
      <c r="IL44" s="11"/>
      <c r="IM44" s="11"/>
      <c r="IN44" s="11"/>
      <c r="IO44" s="11"/>
      <c r="IP44" s="11"/>
      <c r="IQ44" s="11"/>
      <c r="IR44" s="11"/>
      <c r="IS44" s="11"/>
      <c r="IT44" s="11"/>
      <c r="IU44" s="11"/>
      <c r="IV44" s="11"/>
      <c r="IW44" s="11"/>
      <c r="IX44" s="11"/>
      <c r="IY44" s="11"/>
      <c r="IZ44" s="11"/>
      <c r="JA44" s="11"/>
      <c r="JB44" s="11"/>
      <c r="JC44" s="11"/>
      <c r="JD44" s="11"/>
      <c r="JE44" s="11"/>
      <c r="JF44" s="11"/>
      <c r="JG44" s="11"/>
      <c r="JH44" s="11"/>
      <c r="JI44" s="11"/>
      <c r="JJ44" s="11"/>
      <c r="JK44" s="11"/>
      <c r="JL44" s="11"/>
      <c r="JM44" s="11"/>
      <c r="JN44" s="11"/>
      <c r="JO44" s="11"/>
      <c r="JP44" s="11"/>
      <c r="JQ44" s="11"/>
      <c r="JR44" s="11"/>
      <c r="JS44" s="11"/>
      <c r="JT44" s="11"/>
      <c r="JU44" s="11"/>
      <c r="JV44" s="11"/>
      <c r="JW44" s="11"/>
      <c r="JX44" s="11"/>
      <c r="JY44" s="11"/>
      <c r="JZ44" s="11"/>
      <c r="KA44" s="11"/>
      <c r="KB44" s="33"/>
    </row>
    <row r="45" spans="1:290" x14ac:dyDescent="0.25">
      <c r="A45" s="139">
        <f>23+114+141</f>
        <v>278</v>
      </c>
      <c r="B45" s="90"/>
      <c r="C45" s="91"/>
      <c r="D45" s="233" t="s">
        <v>91</v>
      </c>
      <c r="E45" s="92"/>
      <c r="F45" s="91"/>
      <c r="G45" s="91"/>
      <c r="H45" s="93">
        <v>4</v>
      </c>
      <c r="I45" s="94"/>
      <c r="J45" s="93"/>
      <c r="K45" s="95">
        <v>7</v>
      </c>
      <c r="L45" s="94"/>
      <c r="M45" s="95">
        <v>9</v>
      </c>
      <c r="N45" s="94"/>
      <c r="O45" s="93"/>
      <c r="P45" s="95">
        <v>12</v>
      </c>
      <c r="Q45" s="94"/>
      <c r="R45" s="95">
        <v>14</v>
      </c>
      <c r="S45" s="96">
        <v>15</v>
      </c>
      <c r="T45" s="94"/>
      <c r="U45" s="95">
        <v>17</v>
      </c>
      <c r="V45" s="94"/>
      <c r="W45" s="93"/>
      <c r="X45" s="95">
        <v>20</v>
      </c>
      <c r="Y45" s="94"/>
      <c r="Z45" s="95">
        <v>22</v>
      </c>
      <c r="AA45" s="97">
        <v>23</v>
      </c>
      <c r="AB45" s="98">
        <v>0</v>
      </c>
      <c r="AC45" s="99">
        <v>1</v>
      </c>
      <c r="AD45" s="94"/>
      <c r="AE45" s="95">
        <v>3</v>
      </c>
      <c r="AF45" s="96">
        <v>4</v>
      </c>
      <c r="AG45" s="94"/>
      <c r="AH45" s="95">
        <v>6</v>
      </c>
      <c r="AI45" s="94"/>
      <c r="AJ45" s="93"/>
      <c r="AK45" s="95">
        <v>9</v>
      </c>
      <c r="AL45" s="93"/>
      <c r="AM45" s="93"/>
      <c r="AN45" s="93"/>
      <c r="AO45" s="93">
        <v>13</v>
      </c>
      <c r="AP45" s="94"/>
      <c r="AQ45" s="93"/>
      <c r="AR45" s="95">
        <v>16</v>
      </c>
      <c r="AS45" s="94"/>
      <c r="AT45" s="95">
        <v>18</v>
      </c>
      <c r="AU45" s="94"/>
      <c r="AV45" s="93"/>
      <c r="AW45" s="95">
        <v>21</v>
      </c>
      <c r="AX45" s="94"/>
      <c r="AY45" s="95">
        <v>23</v>
      </c>
      <c r="AZ45" s="96">
        <v>24</v>
      </c>
      <c r="BA45" s="94"/>
      <c r="BB45" s="95">
        <v>26</v>
      </c>
      <c r="BC45" s="94"/>
      <c r="BD45" s="93"/>
      <c r="BE45" s="95">
        <v>29</v>
      </c>
      <c r="BF45" s="93"/>
      <c r="BG45" s="93"/>
      <c r="BH45" s="93"/>
      <c r="BI45" s="93">
        <v>33</v>
      </c>
      <c r="BJ45" s="94"/>
      <c r="BK45" s="93"/>
      <c r="BL45" s="95">
        <v>36</v>
      </c>
      <c r="BM45" s="94"/>
      <c r="BN45" s="95">
        <v>38</v>
      </c>
      <c r="BO45" s="94"/>
      <c r="BP45" s="93"/>
      <c r="BQ45" s="95">
        <v>41</v>
      </c>
      <c r="BR45" s="94"/>
      <c r="BS45" s="93"/>
      <c r="BT45" s="93"/>
      <c r="BU45" s="95">
        <v>45</v>
      </c>
      <c r="BV45" s="94"/>
      <c r="BW45" s="93"/>
      <c r="BX45" s="95">
        <v>48</v>
      </c>
      <c r="BY45" s="94"/>
      <c r="BZ45" s="93"/>
      <c r="CA45" s="93"/>
      <c r="CB45" s="95">
        <v>52</v>
      </c>
      <c r="CC45" s="94"/>
      <c r="CD45" s="93"/>
      <c r="CE45" s="93"/>
      <c r="CF45" s="93"/>
      <c r="CG45" s="95">
        <v>57</v>
      </c>
      <c r="CH45" s="94"/>
      <c r="CI45" s="93"/>
      <c r="CJ45" s="93"/>
      <c r="CK45" s="93"/>
      <c r="CL45" s="95">
        <v>62</v>
      </c>
      <c r="CM45" s="93"/>
      <c r="CN45" s="93"/>
      <c r="CO45" s="93"/>
      <c r="CP45" s="93">
        <v>66</v>
      </c>
      <c r="CQ45" s="94"/>
      <c r="CR45" s="93"/>
      <c r="CS45" s="95">
        <v>69</v>
      </c>
      <c r="CT45" s="94"/>
      <c r="CU45" s="93"/>
      <c r="CV45" s="93"/>
      <c r="CW45" s="95">
        <v>73</v>
      </c>
      <c r="CX45" s="94"/>
      <c r="CY45" s="93"/>
      <c r="CZ45" s="95">
        <v>76</v>
      </c>
      <c r="DA45" s="94"/>
      <c r="DB45" s="95">
        <v>78</v>
      </c>
      <c r="DC45" s="94"/>
      <c r="DD45" s="93"/>
      <c r="DE45" s="95">
        <v>81</v>
      </c>
      <c r="DF45" s="94"/>
      <c r="DG45" s="93"/>
      <c r="DH45" s="93"/>
      <c r="DI45" s="95">
        <v>85</v>
      </c>
      <c r="DJ45" s="94"/>
      <c r="DK45" s="93"/>
      <c r="DL45" s="95">
        <v>88</v>
      </c>
      <c r="DM45" s="94"/>
      <c r="DN45" s="95">
        <v>90</v>
      </c>
      <c r="DO45" s="96">
        <v>91</v>
      </c>
      <c r="DP45" s="94"/>
      <c r="DQ45" s="95">
        <v>93</v>
      </c>
      <c r="DR45" s="94"/>
      <c r="DS45" s="93"/>
      <c r="DT45" s="95">
        <v>96</v>
      </c>
      <c r="DU45" s="94"/>
      <c r="DV45" s="95">
        <v>98</v>
      </c>
      <c r="DW45" s="93"/>
      <c r="DX45" s="93"/>
      <c r="DY45" s="93">
        <v>101</v>
      </c>
      <c r="DZ45" s="94"/>
      <c r="EA45" s="93"/>
      <c r="EB45" s="93"/>
      <c r="EC45" s="95">
        <v>105</v>
      </c>
      <c r="ED45" s="94"/>
      <c r="EE45" s="93"/>
      <c r="EF45" s="95">
        <v>108</v>
      </c>
      <c r="EG45" s="94"/>
      <c r="EH45" s="95">
        <v>110</v>
      </c>
      <c r="EI45" s="96">
        <v>111</v>
      </c>
      <c r="EJ45" s="94"/>
      <c r="EK45" s="95">
        <v>113</v>
      </c>
      <c r="EL45" s="100">
        <v>114</v>
      </c>
      <c r="EM45" s="101">
        <v>0</v>
      </c>
      <c r="EN45" s="102">
        <v>1</v>
      </c>
      <c r="EO45" s="94"/>
      <c r="EP45" s="95">
        <v>3</v>
      </c>
      <c r="EQ45" s="94"/>
      <c r="ER45" s="93"/>
      <c r="ES45" s="95">
        <v>6</v>
      </c>
      <c r="ET45" s="94"/>
      <c r="EU45" s="95">
        <v>8</v>
      </c>
      <c r="EV45" s="96">
        <v>9</v>
      </c>
      <c r="EW45" s="94"/>
      <c r="EX45" s="95">
        <v>11</v>
      </c>
      <c r="EY45" s="94"/>
      <c r="EZ45" s="93"/>
      <c r="FA45" s="95">
        <v>14</v>
      </c>
      <c r="FB45" s="94"/>
      <c r="FC45" s="95">
        <v>16</v>
      </c>
      <c r="FD45" s="93"/>
      <c r="FE45" s="93"/>
      <c r="FF45" s="93">
        <v>19</v>
      </c>
      <c r="FG45" s="94"/>
      <c r="FH45" s="93"/>
      <c r="FI45" s="93"/>
      <c r="FJ45" s="95">
        <v>23</v>
      </c>
      <c r="FK45" s="94"/>
      <c r="FL45" s="93"/>
      <c r="FM45" s="93"/>
      <c r="FN45" s="93"/>
      <c r="FO45" s="95">
        <v>28</v>
      </c>
      <c r="FP45" s="94"/>
      <c r="FQ45" s="93"/>
      <c r="FR45" s="93"/>
      <c r="FS45" s="95">
        <v>32</v>
      </c>
      <c r="FT45" s="94"/>
      <c r="FU45" s="93"/>
      <c r="FV45" s="95">
        <v>35</v>
      </c>
      <c r="FW45" s="94"/>
      <c r="FX45" s="93"/>
      <c r="FY45" s="93"/>
      <c r="FZ45" s="95">
        <v>39</v>
      </c>
      <c r="GA45" s="94"/>
      <c r="GB45" s="93"/>
      <c r="GC45" s="95">
        <v>42</v>
      </c>
      <c r="GD45" s="94"/>
      <c r="GE45" s="95">
        <v>44</v>
      </c>
      <c r="GF45" s="94"/>
      <c r="GG45" s="93"/>
      <c r="GH45" s="95">
        <v>47</v>
      </c>
      <c r="GI45" s="94"/>
      <c r="GJ45" s="93"/>
      <c r="GK45" s="93"/>
      <c r="GL45" s="95">
        <v>51</v>
      </c>
      <c r="GM45" s="93"/>
      <c r="GN45" s="93"/>
      <c r="GO45" s="93">
        <v>54</v>
      </c>
      <c r="GP45" s="94"/>
      <c r="GQ45" s="95">
        <v>56</v>
      </c>
      <c r="GR45" s="96">
        <v>57</v>
      </c>
      <c r="GS45" s="94"/>
      <c r="GT45" s="95">
        <v>59</v>
      </c>
      <c r="GU45" s="94"/>
      <c r="GV45" s="93"/>
      <c r="GW45" s="95">
        <v>62</v>
      </c>
      <c r="GX45" s="94"/>
      <c r="GY45" s="95">
        <v>64</v>
      </c>
      <c r="GZ45" s="94"/>
      <c r="HA45" s="93"/>
      <c r="HB45" s="95">
        <v>67</v>
      </c>
      <c r="HC45" s="94"/>
      <c r="HD45" s="93"/>
      <c r="HE45" s="93"/>
      <c r="HF45" s="95">
        <v>71</v>
      </c>
      <c r="HG45" s="94"/>
      <c r="HH45" s="93"/>
      <c r="HI45" s="93"/>
      <c r="HJ45" s="93"/>
      <c r="HK45" s="95">
        <v>76</v>
      </c>
      <c r="HL45" s="94"/>
      <c r="HM45" s="93"/>
      <c r="HN45" s="93"/>
      <c r="HO45" s="95">
        <v>80</v>
      </c>
      <c r="HP45" s="94"/>
      <c r="HQ45" s="93"/>
      <c r="HR45" s="95">
        <v>83</v>
      </c>
      <c r="HS45" s="93"/>
      <c r="HT45" s="93"/>
      <c r="HU45" s="93"/>
      <c r="HV45" s="93">
        <v>87</v>
      </c>
      <c r="HW45" s="94"/>
      <c r="HX45" s="93"/>
      <c r="HY45" s="95">
        <v>90</v>
      </c>
      <c r="HZ45" s="94"/>
      <c r="IA45" s="95">
        <v>92</v>
      </c>
      <c r="IB45" s="94"/>
      <c r="IC45" s="93"/>
      <c r="ID45" s="95">
        <v>95</v>
      </c>
      <c r="IE45" s="94"/>
      <c r="IF45" s="93"/>
      <c r="IG45" s="93"/>
      <c r="IH45" s="95">
        <v>99</v>
      </c>
      <c r="II45" s="94"/>
      <c r="IJ45" s="93"/>
      <c r="IK45" s="93"/>
      <c r="IL45" s="93"/>
      <c r="IM45" s="95">
        <v>104</v>
      </c>
      <c r="IN45" s="94"/>
      <c r="IO45" s="93"/>
      <c r="IP45" s="93"/>
      <c r="IQ45" s="95">
        <v>108</v>
      </c>
      <c r="IR45" s="94"/>
      <c r="IS45" s="93"/>
      <c r="IT45" s="95">
        <v>111</v>
      </c>
      <c r="IU45" s="94"/>
      <c r="IV45" s="93"/>
      <c r="IW45" s="93"/>
      <c r="IX45" s="95">
        <v>115</v>
      </c>
      <c r="IY45" s="94"/>
      <c r="IZ45" s="93"/>
      <c r="JA45" s="93"/>
      <c r="JB45" s="93"/>
      <c r="JC45" s="95">
        <v>120</v>
      </c>
      <c r="JD45" s="93"/>
      <c r="JE45" s="93"/>
      <c r="JF45" s="93"/>
      <c r="JG45" s="93">
        <v>124</v>
      </c>
      <c r="JH45" s="94"/>
      <c r="JI45" s="93"/>
      <c r="JJ45" s="93"/>
      <c r="JK45" s="93"/>
      <c r="JL45" s="95">
        <v>129</v>
      </c>
      <c r="JM45" s="94"/>
      <c r="JN45" s="93"/>
      <c r="JO45" s="93"/>
      <c r="JP45" s="93"/>
      <c r="JQ45" s="93"/>
      <c r="JR45" s="95">
        <v>135</v>
      </c>
      <c r="JS45" s="93"/>
      <c r="JT45" s="93"/>
      <c r="JU45" s="93"/>
      <c r="JV45" s="93"/>
      <c r="JW45" s="93"/>
      <c r="JX45" s="93">
        <v>141</v>
      </c>
      <c r="JY45" s="11"/>
      <c r="JZ45" s="11"/>
      <c r="KA45" s="11"/>
      <c r="KB45" s="38"/>
    </row>
    <row r="46" spans="1:290" ht="17.25" thickBot="1" x14ac:dyDescent="0.3">
      <c r="A46" s="140">
        <f>SUM(E46:JX46)</f>
        <v>278</v>
      </c>
      <c r="B46" s="104"/>
      <c r="C46" s="105"/>
      <c r="D46" s="233" t="s">
        <v>90</v>
      </c>
      <c r="E46" s="106"/>
      <c r="F46" s="106"/>
      <c r="G46" s="106"/>
      <c r="H46" s="107">
        <v>4</v>
      </c>
      <c r="I46" s="108"/>
      <c r="J46" s="109"/>
      <c r="K46" s="107">
        <v>3</v>
      </c>
      <c r="L46" s="108"/>
      <c r="M46" s="107">
        <v>2</v>
      </c>
      <c r="N46" s="108"/>
      <c r="O46" s="109"/>
      <c r="P46" s="107">
        <v>3</v>
      </c>
      <c r="Q46" s="108"/>
      <c r="R46" s="107">
        <v>2</v>
      </c>
      <c r="S46" s="110">
        <v>1</v>
      </c>
      <c r="T46" s="108"/>
      <c r="U46" s="107">
        <v>2</v>
      </c>
      <c r="V46" s="108"/>
      <c r="W46" s="109"/>
      <c r="X46" s="107">
        <v>3</v>
      </c>
      <c r="Y46" s="108"/>
      <c r="Z46" s="107">
        <v>2</v>
      </c>
      <c r="AA46" s="111">
        <v>1</v>
      </c>
      <c r="AB46" s="112">
        <v>0</v>
      </c>
      <c r="AC46" s="113">
        <v>1</v>
      </c>
      <c r="AD46" s="114"/>
      <c r="AE46" s="115">
        <v>2</v>
      </c>
      <c r="AF46" s="116">
        <v>1</v>
      </c>
      <c r="AG46" s="114"/>
      <c r="AH46" s="115">
        <v>2</v>
      </c>
      <c r="AI46" s="114"/>
      <c r="AJ46" s="117"/>
      <c r="AK46" s="115">
        <v>3</v>
      </c>
      <c r="AL46" s="117"/>
      <c r="AM46" s="117"/>
      <c r="AN46" s="117"/>
      <c r="AO46" s="117">
        <v>4</v>
      </c>
      <c r="AP46" s="114"/>
      <c r="AQ46" s="117"/>
      <c r="AR46" s="115">
        <v>3</v>
      </c>
      <c r="AS46" s="114"/>
      <c r="AT46" s="115">
        <v>2</v>
      </c>
      <c r="AU46" s="114"/>
      <c r="AV46" s="117"/>
      <c r="AW46" s="115">
        <v>3</v>
      </c>
      <c r="AX46" s="114"/>
      <c r="AY46" s="115">
        <v>2</v>
      </c>
      <c r="AZ46" s="116">
        <v>1</v>
      </c>
      <c r="BA46" s="114"/>
      <c r="BB46" s="115">
        <v>2</v>
      </c>
      <c r="BC46" s="114"/>
      <c r="BD46" s="117"/>
      <c r="BE46" s="115">
        <v>3</v>
      </c>
      <c r="BF46" s="117"/>
      <c r="BG46" s="117"/>
      <c r="BH46" s="117"/>
      <c r="BI46" s="117">
        <v>4</v>
      </c>
      <c r="BJ46" s="114"/>
      <c r="BK46" s="117"/>
      <c r="BL46" s="115">
        <v>3</v>
      </c>
      <c r="BM46" s="114"/>
      <c r="BN46" s="115">
        <v>2</v>
      </c>
      <c r="BO46" s="114"/>
      <c r="BP46" s="117"/>
      <c r="BQ46" s="115">
        <v>3</v>
      </c>
      <c r="BR46" s="114"/>
      <c r="BS46" s="117"/>
      <c r="BT46" s="117"/>
      <c r="BU46" s="115">
        <v>4</v>
      </c>
      <c r="BV46" s="114"/>
      <c r="BW46" s="117"/>
      <c r="BX46" s="115">
        <v>3</v>
      </c>
      <c r="BY46" s="114"/>
      <c r="BZ46" s="117"/>
      <c r="CA46" s="117"/>
      <c r="CB46" s="115">
        <v>4</v>
      </c>
      <c r="CC46" s="114"/>
      <c r="CD46" s="117"/>
      <c r="CE46" s="117"/>
      <c r="CF46" s="117"/>
      <c r="CG46" s="115">
        <v>5</v>
      </c>
      <c r="CH46" s="114"/>
      <c r="CI46" s="117"/>
      <c r="CJ46" s="117"/>
      <c r="CK46" s="117"/>
      <c r="CL46" s="115">
        <v>5</v>
      </c>
      <c r="CM46" s="117"/>
      <c r="CN46" s="117"/>
      <c r="CO46" s="117"/>
      <c r="CP46" s="117">
        <v>4</v>
      </c>
      <c r="CQ46" s="114"/>
      <c r="CR46" s="117"/>
      <c r="CS46" s="115">
        <v>3</v>
      </c>
      <c r="CT46" s="114"/>
      <c r="CU46" s="117"/>
      <c r="CV46" s="117"/>
      <c r="CW46" s="115">
        <v>4</v>
      </c>
      <c r="CX46" s="114"/>
      <c r="CY46" s="117"/>
      <c r="CZ46" s="115">
        <v>3</v>
      </c>
      <c r="DA46" s="114"/>
      <c r="DB46" s="115">
        <v>2</v>
      </c>
      <c r="DC46" s="114"/>
      <c r="DD46" s="117"/>
      <c r="DE46" s="115">
        <v>3</v>
      </c>
      <c r="DF46" s="114"/>
      <c r="DG46" s="117"/>
      <c r="DH46" s="117"/>
      <c r="DI46" s="115">
        <v>4</v>
      </c>
      <c r="DJ46" s="114"/>
      <c r="DK46" s="117"/>
      <c r="DL46" s="115">
        <v>3</v>
      </c>
      <c r="DM46" s="114"/>
      <c r="DN46" s="115">
        <v>2</v>
      </c>
      <c r="DO46" s="116">
        <v>1</v>
      </c>
      <c r="DP46" s="114"/>
      <c r="DQ46" s="115">
        <v>2</v>
      </c>
      <c r="DR46" s="114"/>
      <c r="DS46" s="117"/>
      <c r="DT46" s="115">
        <v>3</v>
      </c>
      <c r="DU46" s="114"/>
      <c r="DV46" s="115">
        <v>2</v>
      </c>
      <c r="DW46" s="117"/>
      <c r="DX46" s="117"/>
      <c r="DY46" s="117">
        <v>3</v>
      </c>
      <c r="DZ46" s="114"/>
      <c r="EA46" s="117"/>
      <c r="EB46" s="117"/>
      <c r="EC46" s="115">
        <v>4</v>
      </c>
      <c r="ED46" s="114"/>
      <c r="EE46" s="117"/>
      <c r="EF46" s="115">
        <v>3</v>
      </c>
      <c r="EG46" s="114"/>
      <c r="EH46" s="115">
        <v>2</v>
      </c>
      <c r="EI46" s="116">
        <v>1</v>
      </c>
      <c r="EJ46" s="114"/>
      <c r="EK46" s="115">
        <v>2</v>
      </c>
      <c r="EL46" s="118">
        <v>1</v>
      </c>
      <c r="EM46" s="119">
        <v>0</v>
      </c>
      <c r="EN46" s="120">
        <v>1</v>
      </c>
      <c r="EO46" s="108"/>
      <c r="EP46" s="107">
        <v>2</v>
      </c>
      <c r="EQ46" s="108"/>
      <c r="ER46" s="109"/>
      <c r="ES46" s="107">
        <v>3</v>
      </c>
      <c r="ET46" s="108"/>
      <c r="EU46" s="107">
        <v>2</v>
      </c>
      <c r="EV46" s="110">
        <v>1</v>
      </c>
      <c r="EW46" s="108"/>
      <c r="EX46" s="107">
        <v>2</v>
      </c>
      <c r="EY46" s="108"/>
      <c r="EZ46" s="109"/>
      <c r="FA46" s="107">
        <v>3</v>
      </c>
      <c r="FB46" s="108"/>
      <c r="FC46" s="107">
        <v>2</v>
      </c>
      <c r="FD46" s="109"/>
      <c r="FE46" s="109"/>
      <c r="FF46" s="109">
        <v>3</v>
      </c>
      <c r="FG46" s="108"/>
      <c r="FH46" s="109"/>
      <c r="FI46" s="109"/>
      <c r="FJ46" s="107">
        <v>4</v>
      </c>
      <c r="FK46" s="108"/>
      <c r="FL46" s="109"/>
      <c r="FM46" s="109"/>
      <c r="FN46" s="109"/>
      <c r="FO46" s="107">
        <v>5</v>
      </c>
      <c r="FP46" s="108"/>
      <c r="FQ46" s="109"/>
      <c r="FR46" s="109"/>
      <c r="FS46" s="107">
        <v>4</v>
      </c>
      <c r="FT46" s="108"/>
      <c r="FU46" s="109"/>
      <c r="FV46" s="107">
        <v>3</v>
      </c>
      <c r="FW46" s="108"/>
      <c r="FX46" s="109"/>
      <c r="FY46" s="109"/>
      <c r="FZ46" s="107">
        <v>4</v>
      </c>
      <c r="GA46" s="108"/>
      <c r="GB46" s="109"/>
      <c r="GC46" s="107">
        <v>3</v>
      </c>
      <c r="GD46" s="108"/>
      <c r="GE46" s="107">
        <v>2</v>
      </c>
      <c r="GF46" s="108"/>
      <c r="GG46" s="109"/>
      <c r="GH46" s="107">
        <v>3</v>
      </c>
      <c r="GI46" s="108"/>
      <c r="GJ46" s="109"/>
      <c r="GK46" s="109"/>
      <c r="GL46" s="107">
        <v>4</v>
      </c>
      <c r="GM46" s="109"/>
      <c r="GN46" s="109"/>
      <c r="GO46" s="109">
        <v>3</v>
      </c>
      <c r="GP46" s="108"/>
      <c r="GQ46" s="107">
        <v>2</v>
      </c>
      <c r="GR46" s="110">
        <v>1</v>
      </c>
      <c r="GS46" s="108"/>
      <c r="GT46" s="107">
        <v>2</v>
      </c>
      <c r="GU46" s="108"/>
      <c r="GV46" s="109"/>
      <c r="GW46" s="107">
        <v>3</v>
      </c>
      <c r="GX46" s="108"/>
      <c r="GY46" s="107">
        <v>2</v>
      </c>
      <c r="GZ46" s="108"/>
      <c r="HA46" s="109"/>
      <c r="HB46" s="107">
        <v>3</v>
      </c>
      <c r="HC46" s="108"/>
      <c r="HD46" s="109"/>
      <c r="HE46" s="109"/>
      <c r="HF46" s="107">
        <v>4</v>
      </c>
      <c r="HG46" s="108"/>
      <c r="HH46" s="109"/>
      <c r="HI46" s="109"/>
      <c r="HJ46" s="109"/>
      <c r="HK46" s="107">
        <v>5</v>
      </c>
      <c r="HL46" s="108"/>
      <c r="HM46" s="109"/>
      <c r="HN46" s="109"/>
      <c r="HO46" s="107">
        <v>4</v>
      </c>
      <c r="HP46" s="108"/>
      <c r="HQ46" s="109"/>
      <c r="HR46" s="107">
        <v>3</v>
      </c>
      <c r="HS46" s="109"/>
      <c r="HT46" s="109"/>
      <c r="HU46" s="109"/>
      <c r="HV46" s="109">
        <v>4</v>
      </c>
      <c r="HW46" s="108"/>
      <c r="HX46" s="109"/>
      <c r="HY46" s="107">
        <v>3</v>
      </c>
      <c r="HZ46" s="108"/>
      <c r="IA46" s="107">
        <v>2</v>
      </c>
      <c r="IB46" s="108"/>
      <c r="IC46" s="109"/>
      <c r="ID46" s="107">
        <v>3</v>
      </c>
      <c r="IE46" s="108"/>
      <c r="IF46" s="109"/>
      <c r="IG46" s="109"/>
      <c r="IH46" s="107">
        <v>4</v>
      </c>
      <c r="II46" s="108"/>
      <c r="IJ46" s="109"/>
      <c r="IK46" s="109"/>
      <c r="IL46" s="109"/>
      <c r="IM46" s="107">
        <v>5</v>
      </c>
      <c r="IN46" s="108"/>
      <c r="IO46" s="109"/>
      <c r="IP46" s="109"/>
      <c r="IQ46" s="107">
        <v>4</v>
      </c>
      <c r="IR46" s="108"/>
      <c r="IS46" s="109"/>
      <c r="IT46" s="107">
        <v>3</v>
      </c>
      <c r="IU46" s="108"/>
      <c r="IV46" s="109"/>
      <c r="IW46" s="109"/>
      <c r="IX46" s="107">
        <v>4</v>
      </c>
      <c r="IY46" s="108"/>
      <c r="IZ46" s="109"/>
      <c r="JA46" s="109"/>
      <c r="JB46" s="109"/>
      <c r="JC46" s="107">
        <v>5</v>
      </c>
      <c r="JD46" s="109"/>
      <c r="JE46" s="109"/>
      <c r="JF46" s="109"/>
      <c r="JG46" s="109">
        <v>4</v>
      </c>
      <c r="JH46" s="108"/>
      <c r="JI46" s="109"/>
      <c r="JJ46" s="109"/>
      <c r="JK46" s="109"/>
      <c r="JL46" s="107">
        <v>5</v>
      </c>
      <c r="JM46" s="108"/>
      <c r="JN46" s="109"/>
      <c r="JO46" s="109"/>
      <c r="JP46" s="109"/>
      <c r="JQ46" s="109"/>
      <c r="JR46" s="107">
        <v>6</v>
      </c>
      <c r="JS46" s="109"/>
      <c r="JT46" s="109"/>
      <c r="JU46" s="109"/>
      <c r="JV46" s="109"/>
      <c r="JW46" s="109"/>
      <c r="JX46" s="109">
        <v>6</v>
      </c>
      <c r="JY46" s="11"/>
      <c r="JZ46" s="11"/>
      <c r="KA46" s="11"/>
      <c r="KB46" s="38"/>
    </row>
    <row r="47" spans="1:290" ht="16.5" thickBot="1" x14ac:dyDescent="0.35">
      <c r="A47" s="105"/>
      <c r="B47" s="281"/>
      <c r="C47" s="105"/>
      <c r="D47" s="234" t="s">
        <v>88</v>
      </c>
      <c r="E47" s="18"/>
      <c r="F47" s="19"/>
      <c r="G47" s="19"/>
      <c r="H47" s="20"/>
      <c r="I47" s="21"/>
      <c r="J47" s="19"/>
      <c r="K47" s="20"/>
      <c r="L47" s="21"/>
      <c r="M47" s="20"/>
      <c r="N47" s="21"/>
      <c r="O47" s="19"/>
      <c r="P47" s="20"/>
      <c r="Q47" s="21"/>
      <c r="R47" s="20"/>
      <c r="S47" s="22"/>
      <c r="T47" s="21"/>
      <c r="U47" s="20"/>
      <c r="V47" s="21"/>
      <c r="W47" s="19"/>
      <c r="X47" s="20"/>
      <c r="Y47" s="21"/>
      <c r="Z47" s="20"/>
      <c r="AA47" s="23"/>
      <c r="AB47" s="24"/>
      <c r="AC47" s="25"/>
      <c r="AD47" s="21"/>
      <c r="AE47" s="20"/>
      <c r="AF47" s="22"/>
      <c r="AG47" s="21"/>
      <c r="AH47" s="20"/>
      <c r="AI47" s="21"/>
      <c r="AJ47" s="19"/>
      <c r="AK47" s="20"/>
      <c r="AL47" s="21"/>
      <c r="AM47" s="19"/>
      <c r="AN47" s="19"/>
      <c r="AO47" s="20"/>
      <c r="AP47" s="21"/>
      <c r="AQ47" s="19"/>
      <c r="AR47" s="20"/>
      <c r="AS47" s="21"/>
      <c r="AT47" s="20"/>
      <c r="AU47" s="21"/>
      <c r="AV47" s="19"/>
      <c r="AW47" s="20"/>
      <c r="AX47" s="21"/>
      <c r="AY47" s="20"/>
      <c r="AZ47" s="22"/>
      <c r="BA47" s="21"/>
      <c r="BB47" s="20"/>
      <c r="BC47" s="21"/>
      <c r="BD47" s="19"/>
      <c r="BE47" s="20"/>
      <c r="BF47" s="21"/>
      <c r="BG47" s="19"/>
      <c r="BH47" s="19"/>
      <c r="BI47" s="20"/>
      <c r="BJ47" s="21"/>
      <c r="BK47" s="19"/>
      <c r="BL47" s="20"/>
      <c r="BM47" s="21"/>
      <c r="BN47" s="20"/>
      <c r="BO47" s="21"/>
      <c r="BP47" s="19"/>
      <c r="BQ47" s="20"/>
      <c r="BR47" s="21"/>
      <c r="BS47" s="19"/>
      <c r="BT47" s="19"/>
      <c r="BU47" s="20"/>
      <c r="BV47" s="21"/>
      <c r="BW47" s="19"/>
      <c r="BX47" s="20"/>
      <c r="BY47" s="21"/>
      <c r="BZ47" s="19"/>
      <c r="CA47" s="19"/>
      <c r="CB47" s="20"/>
      <c r="CC47" s="21"/>
      <c r="CD47" s="19"/>
      <c r="CE47" s="19"/>
      <c r="CF47" s="19"/>
      <c r="CG47" s="20"/>
      <c r="CH47" s="21"/>
      <c r="CI47" s="19"/>
      <c r="CJ47" s="19"/>
      <c r="CK47" s="19"/>
      <c r="CL47" s="20"/>
      <c r="CM47" s="21"/>
      <c r="CN47" s="19"/>
      <c r="CO47" s="19"/>
      <c r="CP47" s="20"/>
      <c r="CQ47" s="21"/>
      <c r="CR47" s="19"/>
      <c r="CS47" s="20"/>
      <c r="CT47" s="21"/>
      <c r="CU47" s="19"/>
      <c r="CV47" s="19"/>
      <c r="CW47" s="20"/>
      <c r="CX47" s="21"/>
      <c r="CY47" s="19"/>
      <c r="CZ47" s="20"/>
      <c r="DA47" s="21"/>
      <c r="DB47" s="20"/>
      <c r="DC47" s="21"/>
      <c r="DD47" s="19"/>
      <c r="DE47" s="20"/>
      <c r="DF47" s="21"/>
      <c r="DG47" s="19"/>
      <c r="DH47" s="19"/>
      <c r="DI47" s="20"/>
      <c r="DJ47" s="21"/>
      <c r="DK47" s="19"/>
      <c r="DL47" s="20"/>
      <c r="DM47" s="21"/>
      <c r="DN47" s="20"/>
      <c r="DO47" s="22"/>
      <c r="DP47" s="21"/>
      <c r="DQ47" s="20"/>
      <c r="DR47" s="21"/>
      <c r="DS47" s="19"/>
      <c r="DT47" s="20"/>
      <c r="DU47" s="21"/>
      <c r="DV47" s="20"/>
      <c r="DW47" s="21"/>
      <c r="DX47" s="19"/>
      <c r="DY47" s="20"/>
      <c r="DZ47" s="21"/>
      <c r="EA47" s="19"/>
      <c r="EB47" s="19"/>
      <c r="EC47" s="20"/>
      <c r="ED47" s="21"/>
      <c r="EE47" s="19"/>
      <c r="EF47" s="20"/>
      <c r="EG47" s="21"/>
      <c r="EH47" s="20"/>
      <c r="EI47" s="22"/>
      <c r="EJ47" s="21"/>
      <c r="EK47" s="20"/>
      <c r="EL47" s="23"/>
      <c r="EM47" s="24"/>
      <c r="EN47" s="25"/>
      <c r="EO47" s="21"/>
      <c r="EP47" s="20"/>
      <c r="EQ47" s="21"/>
      <c r="ER47" s="19"/>
      <c r="ES47" s="20"/>
      <c r="ET47" s="21"/>
      <c r="EU47" s="20"/>
      <c r="EV47" s="26"/>
      <c r="EW47" s="21"/>
      <c r="EX47" s="20"/>
      <c r="EY47" s="21"/>
      <c r="EZ47" s="19"/>
      <c r="FA47" s="20"/>
      <c r="FB47" s="21"/>
      <c r="FC47" s="20"/>
      <c r="FD47" s="21"/>
      <c r="FE47" s="19"/>
      <c r="FF47" s="20"/>
      <c r="FG47" s="21"/>
      <c r="FH47" s="19"/>
      <c r="FI47" s="19"/>
      <c r="FJ47" s="20"/>
      <c r="FK47" s="21"/>
      <c r="FL47" s="19"/>
      <c r="FM47" s="19"/>
      <c r="FN47" s="19"/>
      <c r="FO47" s="20"/>
      <c r="FP47" s="21"/>
      <c r="FQ47" s="19"/>
      <c r="FR47" s="19"/>
      <c r="FS47" s="20"/>
      <c r="FT47" s="21"/>
      <c r="FU47" s="19"/>
      <c r="FV47" s="20"/>
      <c r="FW47" s="21"/>
      <c r="FX47" s="19"/>
      <c r="FY47" s="19"/>
      <c r="FZ47" s="20"/>
      <c r="GA47" s="21"/>
      <c r="GB47" s="19"/>
      <c r="GC47" s="20"/>
      <c r="GD47" s="21"/>
      <c r="GE47" s="20"/>
      <c r="GF47" s="21"/>
      <c r="GG47" s="19"/>
      <c r="GH47" s="20"/>
      <c r="GI47" s="21"/>
      <c r="GJ47" s="19"/>
      <c r="GK47" s="19"/>
      <c r="GL47" s="20"/>
      <c r="GM47" s="21"/>
      <c r="GN47" s="19"/>
      <c r="GO47" s="20"/>
      <c r="GP47" s="21"/>
      <c r="GQ47" s="20"/>
      <c r="GR47" s="22"/>
      <c r="GS47" s="21"/>
      <c r="GT47" s="20"/>
      <c r="GU47" s="21"/>
      <c r="GV47" s="19"/>
      <c r="GW47" s="20"/>
      <c r="GX47" s="21"/>
      <c r="GY47" s="20"/>
      <c r="GZ47" s="21"/>
      <c r="HA47" s="19"/>
      <c r="HB47" s="20"/>
      <c r="HC47" s="21"/>
      <c r="HD47" s="19"/>
      <c r="HE47" s="19"/>
      <c r="HF47" s="20"/>
      <c r="HG47" s="21"/>
      <c r="HH47" s="19"/>
      <c r="HI47" s="19"/>
      <c r="HJ47" s="19"/>
      <c r="HK47" s="20"/>
      <c r="HL47" s="21"/>
      <c r="HM47" s="19"/>
      <c r="HN47" s="19"/>
      <c r="HO47" s="20"/>
      <c r="HP47" s="21"/>
      <c r="HQ47" s="19"/>
      <c r="HR47" s="20"/>
      <c r="HS47" s="21"/>
      <c r="HT47" s="19"/>
      <c r="HU47" s="19"/>
      <c r="HV47" s="20"/>
      <c r="HW47" s="21"/>
      <c r="HX47" s="19"/>
      <c r="HY47" s="20"/>
      <c r="HZ47" s="21"/>
      <c r="IA47" s="20"/>
      <c r="IB47" s="21"/>
      <c r="IC47" s="19"/>
      <c r="ID47" s="20"/>
      <c r="IE47" s="21"/>
      <c r="IF47" s="19"/>
      <c r="IG47" s="19"/>
      <c r="IH47" s="20"/>
      <c r="II47" s="21"/>
      <c r="IJ47" s="19"/>
      <c r="IK47" s="19"/>
      <c r="IL47" s="19"/>
      <c r="IM47" s="27"/>
      <c r="IN47" s="21"/>
      <c r="IO47" s="28"/>
      <c r="IP47" s="19"/>
      <c r="IQ47" s="20"/>
      <c r="IR47" s="21"/>
      <c r="IS47" s="19"/>
      <c r="IT47" s="20"/>
      <c r="IU47" s="21"/>
      <c r="IV47" s="19"/>
      <c r="IW47" s="19"/>
      <c r="IX47" s="20"/>
      <c r="IY47" s="21"/>
      <c r="IZ47" s="19"/>
      <c r="JA47" s="19"/>
      <c r="JB47" s="19"/>
      <c r="JC47" s="20"/>
      <c r="JD47" s="21"/>
      <c r="JE47" s="19"/>
      <c r="JF47" s="19"/>
      <c r="JG47" s="20"/>
      <c r="JH47" s="21"/>
      <c r="JI47" s="19"/>
      <c r="JJ47" s="19"/>
      <c r="JK47" s="19"/>
      <c r="JL47" s="20"/>
      <c r="JM47" s="21"/>
      <c r="JN47" s="19"/>
      <c r="JO47" s="19"/>
      <c r="JP47" s="19"/>
      <c r="JQ47" s="19"/>
      <c r="JR47" s="20"/>
      <c r="JS47" s="28"/>
      <c r="JT47" s="19"/>
      <c r="JU47" s="19"/>
      <c r="JV47" s="19"/>
      <c r="JW47" s="19"/>
      <c r="JX47" s="29"/>
      <c r="JY47" s="11"/>
      <c r="JZ47" s="11"/>
      <c r="KA47" s="11"/>
      <c r="KB47" s="38"/>
    </row>
    <row r="48" spans="1:290" x14ac:dyDescent="0.25">
      <c r="A48" s="121"/>
      <c r="B48" s="122"/>
      <c r="C48" s="123"/>
      <c r="D48" s="235" t="s">
        <v>89</v>
      </c>
      <c r="E48" s="124">
        <v>1</v>
      </c>
      <c r="F48" s="124"/>
      <c r="G48" s="124"/>
      <c r="H48" s="124"/>
      <c r="I48" s="125">
        <v>2</v>
      </c>
      <c r="J48" s="124"/>
      <c r="K48" s="126"/>
      <c r="L48" s="125">
        <v>3</v>
      </c>
      <c r="M48" s="126"/>
      <c r="N48" s="125">
        <v>4</v>
      </c>
      <c r="O48" s="124"/>
      <c r="P48" s="126"/>
      <c r="Q48" s="125">
        <v>5</v>
      </c>
      <c r="R48" s="126"/>
      <c r="S48" s="127">
        <v>6</v>
      </c>
      <c r="T48" s="125">
        <v>7</v>
      </c>
      <c r="U48" s="126"/>
      <c r="V48" s="125">
        <v>8</v>
      </c>
      <c r="W48" s="124"/>
      <c r="X48" s="126"/>
      <c r="Y48" s="125">
        <v>9</v>
      </c>
      <c r="Z48" s="126"/>
      <c r="AA48" s="128">
        <v>10</v>
      </c>
      <c r="AB48" s="98">
        <v>11</v>
      </c>
      <c r="AC48" s="129">
        <v>12</v>
      </c>
      <c r="AD48" s="125">
        <v>13</v>
      </c>
      <c r="AE48" s="126"/>
      <c r="AF48" s="127">
        <v>14</v>
      </c>
      <c r="AG48" s="125">
        <v>15</v>
      </c>
      <c r="AH48" s="126"/>
      <c r="AI48" s="125">
        <v>16</v>
      </c>
      <c r="AJ48" s="124"/>
      <c r="AK48" s="126"/>
      <c r="AL48" s="124">
        <v>17</v>
      </c>
      <c r="AM48" s="124"/>
      <c r="AN48" s="124"/>
      <c r="AO48" s="124"/>
      <c r="AP48" s="125">
        <v>18</v>
      </c>
      <c r="AQ48" s="124"/>
      <c r="AR48" s="126"/>
      <c r="AS48" s="125">
        <v>19</v>
      </c>
      <c r="AT48" s="126"/>
      <c r="AU48" s="125">
        <v>20</v>
      </c>
      <c r="AV48" s="124"/>
      <c r="AW48" s="126"/>
      <c r="AX48" s="125">
        <v>21</v>
      </c>
      <c r="AY48" s="126"/>
      <c r="AZ48" s="127">
        <v>22</v>
      </c>
      <c r="BA48" s="125">
        <v>23</v>
      </c>
      <c r="BB48" s="126"/>
      <c r="BC48" s="125">
        <v>24</v>
      </c>
      <c r="BD48" s="124"/>
      <c r="BE48" s="126"/>
      <c r="BF48" s="124">
        <v>25</v>
      </c>
      <c r="BG48" s="124"/>
      <c r="BH48" s="124"/>
      <c r="BI48" s="124"/>
      <c r="BJ48" s="125">
        <v>26</v>
      </c>
      <c r="BK48" s="124"/>
      <c r="BL48" s="126"/>
      <c r="BM48" s="125">
        <v>27</v>
      </c>
      <c r="BN48" s="126"/>
      <c r="BO48" s="125">
        <v>28</v>
      </c>
      <c r="BP48" s="124"/>
      <c r="BQ48" s="126"/>
      <c r="BR48" s="125">
        <v>29</v>
      </c>
      <c r="BS48" s="124"/>
      <c r="BT48" s="124"/>
      <c r="BU48" s="126"/>
      <c r="BV48" s="125">
        <v>30</v>
      </c>
      <c r="BW48" s="124"/>
      <c r="BX48" s="126"/>
      <c r="BY48" s="125">
        <v>31</v>
      </c>
      <c r="BZ48" s="124"/>
      <c r="CA48" s="124"/>
      <c r="CB48" s="126"/>
      <c r="CC48" s="125">
        <v>32</v>
      </c>
      <c r="CD48" s="124"/>
      <c r="CE48" s="124"/>
      <c r="CF48" s="124"/>
      <c r="CG48" s="126"/>
      <c r="CH48" s="125">
        <v>33</v>
      </c>
      <c r="CI48" s="124"/>
      <c r="CJ48" s="124"/>
      <c r="CK48" s="124"/>
      <c r="CL48" s="126"/>
      <c r="CM48" s="124">
        <v>34</v>
      </c>
      <c r="CN48" s="124"/>
      <c r="CO48" s="124"/>
      <c r="CP48" s="124"/>
      <c r="CQ48" s="125">
        <v>35</v>
      </c>
      <c r="CR48" s="124"/>
      <c r="CS48" s="126"/>
      <c r="CT48" s="125">
        <v>36</v>
      </c>
      <c r="CU48" s="124"/>
      <c r="CV48" s="124"/>
      <c r="CW48" s="126"/>
      <c r="CX48" s="125">
        <v>37</v>
      </c>
      <c r="CY48" s="124"/>
      <c r="CZ48" s="126"/>
      <c r="DA48" s="125">
        <v>38</v>
      </c>
      <c r="DB48" s="126"/>
      <c r="DC48" s="125">
        <v>39</v>
      </c>
      <c r="DD48" s="124"/>
      <c r="DE48" s="126"/>
      <c r="DF48" s="125">
        <v>40</v>
      </c>
      <c r="DG48" s="124"/>
      <c r="DH48" s="124"/>
      <c r="DI48" s="126"/>
      <c r="DJ48" s="125">
        <v>41</v>
      </c>
      <c r="DK48" s="124"/>
      <c r="DL48" s="126"/>
      <c r="DM48" s="125">
        <v>42</v>
      </c>
      <c r="DN48" s="126"/>
      <c r="DO48" s="127">
        <v>43</v>
      </c>
      <c r="DP48" s="125">
        <v>44</v>
      </c>
      <c r="DQ48" s="126"/>
      <c r="DR48" s="125">
        <v>45</v>
      </c>
      <c r="DS48" s="124"/>
      <c r="DT48" s="126"/>
      <c r="DU48" s="125">
        <v>46</v>
      </c>
      <c r="DV48" s="126"/>
      <c r="DW48" s="124">
        <v>47</v>
      </c>
      <c r="DX48" s="124"/>
      <c r="DY48" s="124"/>
      <c r="DZ48" s="125">
        <v>48</v>
      </c>
      <c r="EA48" s="124"/>
      <c r="EB48" s="124"/>
      <c r="EC48" s="126"/>
      <c r="ED48" s="125">
        <v>49</v>
      </c>
      <c r="EE48" s="124"/>
      <c r="EF48" s="126"/>
      <c r="EG48" s="125">
        <v>50</v>
      </c>
      <c r="EH48" s="126"/>
      <c r="EI48" s="127">
        <v>51</v>
      </c>
      <c r="EJ48" s="125">
        <v>52</v>
      </c>
      <c r="EK48" s="126"/>
      <c r="EL48" s="130">
        <v>53</v>
      </c>
      <c r="EM48" s="98">
        <v>54</v>
      </c>
      <c r="EN48" s="131">
        <v>55</v>
      </c>
      <c r="EO48" s="125">
        <v>56</v>
      </c>
      <c r="EP48" s="126"/>
      <c r="EQ48" s="125">
        <v>57</v>
      </c>
      <c r="ER48" s="124"/>
      <c r="ES48" s="126"/>
      <c r="ET48" s="125">
        <v>58</v>
      </c>
      <c r="EU48" s="126"/>
      <c r="EV48" s="127">
        <v>59</v>
      </c>
      <c r="EW48" s="125">
        <v>60</v>
      </c>
      <c r="EX48" s="126"/>
      <c r="EY48" s="125">
        <v>61</v>
      </c>
      <c r="EZ48" s="124"/>
      <c r="FA48" s="126"/>
      <c r="FB48" s="125">
        <v>62</v>
      </c>
      <c r="FC48" s="126"/>
      <c r="FD48" s="124">
        <v>63</v>
      </c>
      <c r="FE48" s="124"/>
      <c r="FF48" s="124"/>
      <c r="FG48" s="125">
        <v>64</v>
      </c>
      <c r="FH48" s="124"/>
      <c r="FI48" s="124"/>
      <c r="FJ48" s="126"/>
      <c r="FK48" s="125">
        <v>65</v>
      </c>
      <c r="FL48" s="124"/>
      <c r="FM48" s="124"/>
      <c r="FN48" s="124"/>
      <c r="FO48" s="126"/>
      <c r="FP48" s="125">
        <v>66</v>
      </c>
      <c r="FQ48" s="124"/>
      <c r="FR48" s="124"/>
      <c r="FS48" s="126"/>
      <c r="FT48" s="125">
        <v>67</v>
      </c>
      <c r="FU48" s="124"/>
      <c r="FV48" s="126"/>
      <c r="FW48" s="125">
        <v>68</v>
      </c>
      <c r="FX48" s="124"/>
      <c r="FY48" s="124"/>
      <c r="FZ48" s="126"/>
      <c r="GA48" s="125">
        <v>69</v>
      </c>
      <c r="GB48" s="124"/>
      <c r="GC48" s="126"/>
      <c r="GD48" s="125">
        <v>70</v>
      </c>
      <c r="GE48" s="126"/>
      <c r="GF48" s="125">
        <v>71</v>
      </c>
      <c r="GG48" s="124"/>
      <c r="GH48" s="126"/>
      <c r="GI48" s="125">
        <v>72</v>
      </c>
      <c r="GJ48" s="124"/>
      <c r="GK48" s="124"/>
      <c r="GL48" s="126"/>
      <c r="GM48" s="124">
        <v>73</v>
      </c>
      <c r="GN48" s="124"/>
      <c r="GO48" s="124"/>
      <c r="GP48" s="125">
        <v>74</v>
      </c>
      <c r="GQ48" s="126"/>
      <c r="GR48" s="127">
        <v>75</v>
      </c>
      <c r="GS48" s="125">
        <v>76</v>
      </c>
      <c r="GT48" s="126"/>
      <c r="GU48" s="125">
        <v>77</v>
      </c>
      <c r="GV48" s="124"/>
      <c r="GW48" s="126"/>
      <c r="GX48" s="125">
        <v>78</v>
      </c>
      <c r="GY48" s="126"/>
      <c r="GZ48" s="125">
        <v>79</v>
      </c>
      <c r="HA48" s="124"/>
      <c r="HB48" s="126"/>
      <c r="HC48" s="125">
        <v>80</v>
      </c>
      <c r="HD48" s="124"/>
      <c r="HE48" s="124"/>
      <c r="HF48" s="126"/>
      <c r="HG48" s="125">
        <v>81</v>
      </c>
      <c r="HH48" s="124"/>
      <c r="HI48" s="124"/>
      <c r="HJ48" s="124"/>
      <c r="HK48" s="126"/>
      <c r="HL48" s="125">
        <v>82</v>
      </c>
      <c r="HM48" s="124"/>
      <c r="HN48" s="124"/>
      <c r="HO48" s="126"/>
      <c r="HP48" s="125">
        <v>83</v>
      </c>
      <c r="HQ48" s="124"/>
      <c r="HR48" s="126"/>
      <c r="HS48" s="124">
        <v>84</v>
      </c>
      <c r="HT48" s="124"/>
      <c r="HU48" s="124"/>
      <c r="HV48" s="124"/>
      <c r="HW48" s="125">
        <v>85</v>
      </c>
      <c r="HX48" s="124"/>
      <c r="HY48" s="126"/>
      <c r="HZ48" s="125">
        <v>86</v>
      </c>
      <c r="IA48" s="126"/>
      <c r="IB48" s="125">
        <v>87</v>
      </c>
      <c r="IC48" s="124"/>
      <c r="ID48" s="126"/>
      <c r="IE48" s="125">
        <v>88</v>
      </c>
      <c r="IF48" s="124"/>
      <c r="IG48" s="124"/>
      <c r="IH48" s="126"/>
      <c r="II48" s="125">
        <v>89</v>
      </c>
      <c r="IJ48" s="124"/>
      <c r="IK48" s="124"/>
      <c r="IL48" s="124"/>
      <c r="IM48" s="126"/>
      <c r="IN48" s="125">
        <v>90</v>
      </c>
      <c r="IO48" s="124"/>
      <c r="IP48" s="124"/>
      <c r="IQ48" s="126"/>
      <c r="IR48" s="125">
        <v>91</v>
      </c>
      <c r="IS48" s="124"/>
      <c r="IT48" s="126"/>
      <c r="IU48" s="125">
        <v>92</v>
      </c>
      <c r="IV48" s="124"/>
      <c r="IW48" s="124"/>
      <c r="IX48" s="126"/>
      <c r="IY48" s="125">
        <v>93</v>
      </c>
      <c r="IZ48" s="124"/>
      <c r="JA48" s="124"/>
      <c r="JB48" s="124"/>
      <c r="JC48" s="126"/>
      <c r="JD48" s="124">
        <v>94</v>
      </c>
      <c r="JE48" s="124"/>
      <c r="JF48" s="124"/>
      <c r="JG48" s="124"/>
      <c r="JH48" s="125">
        <v>95</v>
      </c>
      <c r="JI48" s="124"/>
      <c r="JJ48" s="124"/>
      <c r="JK48" s="124"/>
      <c r="JL48" s="126"/>
      <c r="JM48" s="125">
        <v>96</v>
      </c>
      <c r="JN48" s="124"/>
      <c r="JO48" s="124"/>
      <c r="JP48" s="124"/>
      <c r="JQ48" s="124"/>
      <c r="JR48" s="126"/>
      <c r="JS48" s="124">
        <v>97</v>
      </c>
      <c r="JT48" s="124"/>
      <c r="JU48" s="124"/>
      <c r="JV48" s="124"/>
      <c r="JW48" s="124"/>
      <c r="JX48" s="124"/>
      <c r="JY48" s="11"/>
      <c r="JZ48" s="11"/>
      <c r="KA48" s="11"/>
      <c r="KB48" s="38"/>
    </row>
    <row r="49" spans="1:288" ht="15.75" x14ac:dyDescent="0.25">
      <c r="A49" s="256"/>
      <c r="B49" s="256"/>
      <c r="C49" s="256"/>
      <c r="D49" s="256"/>
      <c r="E49" s="11"/>
      <c r="F49" s="11"/>
      <c r="G49" s="11"/>
      <c r="H49" s="11"/>
      <c r="I49" s="11"/>
      <c r="J49" s="11"/>
      <c r="K49" s="2"/>
      <c r="L49" s="2"/>
      <c r="M49" s="2"/>
      <c r="N49" s="2"/>
      <c r="O49" s="2"/>
      <c r="P49" s="2"/>
      <c r="Q49" s="2"/>
      <c r="R49" s="11"/>
      <c r="S49" s="11"/>
      <c r="T49" s="11"/>
      <c r="U49" s="11"/>
      <c r="V49" s="11"/>
      <c r="W49" s="11"/>
      <c r="X49" s="11"/>
      <c r="Y49" s="11"/>
      <c r="Z49" s="11"/>
      <c r="AA49" s="11"/>
      <c r="AB49" s="12"/>
      <c r="AC49" s="13"/>
      <c r="AD49" s="13"/>
      <c r="AE49" s="14"/>
      <c r="AF49" s="11"/>
      <c r="AG49" s="11"/>
      <c r="AH49" s="11"/>
      <c r="AI49" s="11"/>
      <c r="AJ49" s="11"/>
      <c r="AK49" s="11"/>
      <c r="AL49" s="11"/>
      <c r="AM49" s="11"/>
      <c r="AN49" s="11"/>
      <c r="AO49" s="14"/>
      <c r="AP49" s="14"/>
      <c r="AQ49" s="14"/>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5"/>
      <c r="BV49" s="15"/>
      <c r="BW49" s="15"/>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GY49" s="11"/>
      <c r="GZ49" s="11"/>
      <c r="HA49" s="11"/>
      <c r="HB49" s="11"/>
      <c r="HC49" s="11"/>
      <c r="HD49" s="11"/>
      <c r="HE49" s="11"/>
      <c r="HF49" s="11"/>
      <c r="HG49" s="11"/>
      <c r="HH49" s="11"/>
      <c r="HI49" s="11"/>
      <c r="HJ49" s="11"/>
      <c r="HK49" s="11"/>
      <c r="HL49" s="11"/>
      <c r="HM49" s="11"/>
      <c r="HN49" s="11"/>
      <c r="HO49" s="11"/>
      <c r="HP49" s="11"/>
      <c r="HQ49" s="11"/>
      <c r="HR49" s="11"/>
      <c r="HS49" s="11"/>
      <c r="HT49" s="11"/>
      <c r="HU49" s="11"/>
      <c r="HV49" s="11"/>
      <c r="HW49" s="11"/>
      <c r="HX49" s="11"/>
      <c r="HY49" s="11"/>
      <c r="HZ49" s="11"/>
      <c r="IA49" s="11"/>
      <c r="IB49" s="11"/>
      <c r="IC49" s="11"/>
      <c r="ID49" s="11"/>
      <c r="IE49" s="11"/>
      <c r="IF49" s="11"/>
      <c r="IG49" s="11"/>
      <c r="IH49" s="11"/>
      <c r="II49" s="11"/>
      <c r="IJ49" s="11"/>
      <c r="IK49" s="11"/>
      <c r="IL49" s="11"/>
      <c r="IM49" s="11"/>
      <c r="IN49" s="11"/>
      <c r="IO49" s="11"/>
      <c r="IP49" s="11"/>
      <c r="IQ49" s="11"/>
      <c r="IR49" s="11"/>
      <c r="IS49" s="11"/>
      <c r="IT49" s="11"/>
      <c r="IU49" s="11"/>
      <c r="IV49" s="11"/>
      <c r="IW49" s="11"/>
      <c r="IX49" s="11"/>
      <c r="IY49" s="11"/>
      <c r="IZ49" s="11"/>
      <c r="JA49" s="11"/>
      <c r="JB49" s="11"/>
      <c r="JC49" s="11"/>
      <c r="JD49" s="11"/>
      <c r="JE49" s="11"/>
      <c r="JF49" s="11"/>
      <c r="JG49" s="11"/>
      <c r="JH49" s="11"/>
      <c r="JI49" s="11"/>
      <c r="JJ49" s="11"/>
      <c r="JK49" s="11"/>
      <c r="JL49" s="11"/>
      <c r="JM49" s="11"/>
      <c r="JN49" s="11"/>
      <c r="JO49" s="11"/>
      <c r="JP49" s="11"/>
      <c r="JQ49" s="11"/>
      <c r="JR49" s="11"/>
      <c r="JS49" s="11"/>
      <c r="JT49" s="11"/>
      <c r="JU49" s="11"/>
      <c r="JV49" s="11"/>
      <c r="JW49" s="11"/>
      <c r="JX49" s="11"/>
      <c r="JY49" s="11"/>
      <c r="JZ49" s="11"/>
      <c r="KA49" s="11"/>
      <c r="KB49" s="38"/>
    </row>
    <row r="50" spans="1:288" ht="15.75" x14ac:dyDescent="0.25">
      <c r="A50" s="256"/>
      <c r="B50" s="256"/>
      <c r="C50" s="256"/>
      <c r="D50" s="256"/>
      <c r="E50" s="11"/>
      <c r="F50" s="11"/>
      <c r="G50" s="11"/>
      <c r="H50" s="11"/>
      <c r="I50" s="11"/>
      <c r="J50" s="11"/>
      <c r="K50" s="2"/>
      <c r="L50" s="2"/>
      <c r="M50" s="2"/>
      <c r="N50" s="2"/>
      <c r="O50" s="2"/>
      <c r="P50" s="2"/>
      <c r="Q50" s="2"/>
      <c r="R50" s="11"/>
      <c r="S50" s="11"/>
      <c r="T50" s="11"/>
      <c r="U50" s="11"/>
      <c r="V50" s="11"/>
      <c r="W50" s="11"/>
      <c r="X50" s="11"/>
      <c r="Y50" s="11"/>
      <c r="Z50" s="11"/>
      <c r="AA50" s="11"/>
      <c r="AB50" s="12"/>
      <c r="AC50" s="13"/>
      <c r="AD50" s="13"/>
      <c r="AE50" s="14"/>
      <c r="AF50" s="11"/>
      <c r="AG50" s="11"/>
      <c r="AH50" s="11"/>
      <c r="AI50" s="11"/>
      <c r="AJ50" s="11"/>
      <c r="AK50" s="11"/>
      <c r="AL50" s="11"/>
      <c r="AM50" s="11"/>
      <c r="AN50" s="11"/>
      <c r="AO50" s="14"/>
      <c r="AP50" s="14"/>
      <c r="AQ50" s="14"/>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5"/>
      <c r="BV50" s="15"/>
      <c r="BW50" s="15"/>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c r="HC50" s="11"/>
      <c r="HD50" s="11"/>
      <c r="HE50" s="11"/>
      <c r="HF50" s="11"/>
      <c r="HG50" s="11"/>
      <c r="HH50" s="11"/>
      <c r="HI50" s="11"/>
      <c r="HJ50" s="11"/>
      <c r="HK50" s="11"/>
      <c r="HL50" s="11"/>
      <c r="HM50" s="11"/>
      <c r="HN50" s="11"/>
      <c r="HO50" s="11"/>
      <c r="HP50" s="11"/>
      <c r="HQ50" s="11"/>
      <c r="HR50" s="11"/>
      <c r="HS50" s="11"/>
      <c r="HT50" s="11"/>
      <c r="HU50" s="11"/>
      <c r="HV50" s="11"/>
      <c r="HW50" s="11"/>
      <c r="HX50" s="11"/>
      <c r="HY50" s="11"/>
      <c r="HZ50" s="11"/>
      <c r="IA50" s="11"/>
      <c r="IB50" s="11"/>
      <c r="IC50" s="11"/>
      <c r="ID50" s="11"/>
      <c r="IE50" s="11"/>
      <c r="IF50" s="11"/>
      <c r="IG50" s="11"/>
      <c r="IH50" s="11"/>
      <c r="II50" s="11"/>
      <c r="IJ50" s="11"/>
      <c r="IK50" s="11"/>
      <c r="IL50" s="11"/>
      <c r="IM50" s="11"/>
      <c r="IN50" s="11"/>
      <c r="IO50" s="11"/>
      <c r="IP50" s="11"/>
      <c r="IQ50" s="11"/>
      <c r="IR50" s="11"/>
      <c r="IS50" s="11"/>
      <c r="IT50" s="11"/>
      <c r="IU50" s="11"/>
      <c r="IV50" s="11"/>
      <c r="IW50" s="11"/>
      <c r="IX50" s="11"/>
      <c r="IY50" s="11"/>
      <c r="IZ50" s="11"/>
      <c r="JA50" s="11"/>
      <c r="JB50" s="11"/>
      <c r="JC50" s="11"/>
      <c r="JD50" s="11"/>
      <c r="JE50" s="11"/>
      <c r="JF50" s="11"/>
      <c r="JG50" s="11"/>
      <c r="JH50" s="11"/>
      <c r="JI50" s="11"/>
      <c r="JJ50" s="11"/>
      <c r="JK50" s="11"/>
      <c r="JL50" s="11"/>
      <c r="JM50" s="11"/>
      <c r="JN50" s="11"/>
      <c r="JO50" s="11"/>
      <c r="JP50" s="11"/>
      <c r="JQ50" s="11"/>
      <c r="JR50" s="11"/>
      <c r="JS50" s="11"/>
      <c r="JT50" s="11"/>
      <c r="JU50" s="11"/>
      <c r="JV50" s="11"/>
      <c r="JW50" s="11"/>
      <c r="JX50" s="11"/>
      <c r="JY50" s="11"/>
      <c r="JZ50" s="11"/>
      <c r="KA50" s="11"/>
      <c r="KB50" s="38"/>
    </row>
    <row r="51" spans="1:288" x14ac:dyDescent="0.25">
      <c r="A51" s="141">
        <f>23+114+141</f>
        <v>278</v>
      </c>
      <c r="B51" s="90"/>
      <c r="C51" s="91"/>
      <c r="D51" s="233" t="s">
        <v>91</v>
      </c>
      <c r="E51" s="92"/>
      <c r="F51" s="91"/>
      <c r="G51" s="91"/>
      <c r="H51" s="93">
        <v>4</v>
      </c>
      <c r="I51" s="94"/>
      <c r="J51" s="93"/>
      <c r="K51" s="95">
        <v>7</v>
      </c>
      <c r="L51" s="94"/>
      <c r="M51" s="95">
        <v>9</v>
      </c>
      <c r="N51" s="94"/>
      <c r="O51" s="93"/>
      <c r="P51" s="95">
        <v>12</v>
      </c>
      <c r="Q51" s="94"/>
      <c r="R51" s="95">
        <v>14</v>
      </c>
      <c r="S51" s="96">
        <v>15</v>
      </c>
      <c r="T51" s="94"/>
      <c r="U51" s="95">
        <v>17</v>
      </c>
      <c r="V51" s="94"/>
      <c r="W51" s="93"/>
      <c r="X51" s="95">
        <v>20</v>
      </c>
      <c r="Y51" s="94"/>
      <c r="Z51" s="95">
        <v>22</v>
      </c>
      <c r="AA51" s="97">
        <v>23</v>
      </c>
      <c r="AB51" s="98">
        <v>0</v>
      </c>
      <c r="AC51" s="99">
        <v>1</v>
      </c>
      <c r="AD51" s="94"/>
      <c r="AE51" s="95">
        <v>3</v>
      </c>
      <c r="AF51" s="96">
        <v>4</v>
      </c>
      <c r="AG51" s="94"/>
      <c r="AH51" s="95">
        <v>6</v>
      </c>
      <c r="AI51" s="94"/>
      <c r="AJ51" s="93"/>
      <c r="AK51" s="95">
        <v>9</v>
      </c>
      <c r="AL51" s="93"/>
      <c r="AM51" s="93"/>
      <c r="AN51" s="93"/>
      <c r="AO51" s="93">
        <v>13</v>
      </c>
      <c r="AP51" s="94"/>
      <c r="AQ51" s="93"/>
      <c r="AR51" s="95">
        <v>16</v>
      </c>
      <c r="AS51" s="94"/>
      <c r="AT51" s="95">
        <v>18</v>
      </c>
      <c r="AU51" s="94"/>
      <c r="AV51" s="93"/>
      <c r="AW51" s="95">
        <v>21</v>
      </c>
      <c r="AX51" s="94"/>
      <c r="AY51" s="95">
        <v>23</v>
      </c>
      <c r="AZ51" s="96">
        <v>24</v>
      </c>
      <c r="BA51" s="94"/>
      <c r="BB51" s="95">
        <v>26</v>
      </c>
      <c r="BC51" s="94"/>
      <c r="BD51" s="93"/>
      <c r="BE51" s="95">
        <v>29</v>
      </c>
      <c r="BF51" s="93"/>
      <c r="BG51" s="93"/>
      <c r="BH51" s="93"/>
      <c r="BI51" s="93">
        <v>33</v>
      </c>
      <c r="BJ51" s="94"/>
      <c r="BK51" s="93"/>
      <c r="BL51" s="95">
        <v>36</v>
      </c>
      <c r="BM51" s="94"/>
      <c r="BN51" s="95">
        <v>38</v>
      </c>
      <c r="BO51" s="94"/>
      <c r="BP51" s="93"/>
      <c r="BQ51" s="95">
        <v>41</v>
      </c>
      <c r="BR51" s="94"/>
      <c r="BS51" s="93"/>
      <c r="BT51" s="93"/>
      <c r="BU51" s="95">
        <v>45</v>
      </c>
      <c r="BV51" s="94"/>
      <c r="BW51" s="93"/>
      <c r="BX51" s="95">
        <v>48</v>
      </c>
      <c r="BY51" s="94"/>
      <c r="BZ51" s="93"/>
      <c r="CA51" s="93"/>
      <c r="CB51" s="95">
        <v>52</v>
      </c>
      <c r="CC51" s="94"/>
      <c r="CD51" s="93"/>
      <c r="CE51" s="93"/>
      <c r="CF51" s="93"/>
      <c r="CG51" s="95">
        <v>57</v>
      </c>
      <c r="CH51" s="94"/>
      <c r="CI51" s="93"/>
      <c r="CJ51" s="93"/>
      <c r="CK51" s="93"/>
      <c r="CL51" s="95">
        <v>62</v>
      </c>
      <c r="CM51" s="93"/>
      <c r="CN51" s="93"/>
      <c r="CO51" s="93"/>
      <c r="CP51" s="93">
        <v>66</v>
      </c>
      <c r="CQ51" s="94"/>
      <c r="CR51" s="93"/>
      <c r="CS51" s="95">
        <v>69</v>
      </c>
      <c r="CT51" s="94"/>
      <c r="CU51" s="93"/>
      <c r="CV51" s="93"/>
      <c r="CW51" s="95">
        <v>73</v>
      </c>
      <c r="CX51" s="94"/>
      <c r="CY51" s="93"/>
      <c r="CZ51" s="95">
        <v>76</v>
      </c>
      <c r="DA51" s="94"/>
      <c r="DB51" s="95">
        <v>78</v>
      </c>
      <c r="DC51" s="94"/>
      <c r="DD51" s="93"/>
      <c r="DE51" s="95">
        <v>81</v>
      </c>
      <c r="DF51" s="94"/>
      <c r="DG51" s="93"/>
      <c r="DH51" s="93"/>
      <c r="DI51" s="95">
        <v>85</v>
      </c>
      <c r="DJ51" s="94"/>
      <c r="DK51" s="93"/>
      <c r="DL51" s="95">
        <v>88</v>
      </c>
      <c r="DM51" s="94"/>
      <c r="DN51" s="95">
        <v>90</v>
      </c>
      <c r="DO51" s="96">
        <v>91</v>
      </c>
      <c r="DP51" s="94"/>
      <c r="DQ51" s="95">
        <v>93</v>
      </c>
      <c r="DR51" s="94"/>
      <c r="DS51" s="93"/>
      <c r="DT51" s="95">
        <v>96</v>
      </c>
      <c r="DU51" s="94"/>
      <c r="DV51" s="95">
        <v>98</v>
      </c>
      <c r="DW51" s="93"/>
      <c r="DX51" s="93"/>
      <c r="DY51" s="93">
        <v>101</v>
      </c>
      <c r="DZ51" s="94"/>
      <c r="EA51" s="93"/>
      <c r="EB51" s="93"/>
      <c r="EC51" s="95">
        <v>105</v>
      </c>
      <c r="ED51" s="94"/>
      <c r="EE51" s="93"/>
      <c r="EF51" s="95">
        <v>108</v>
      </c>
      <c r="EG51" s="94"/>
      <c r="EH51" s="95">
        <v>110</v>
      </c>
      <c r="EI51" s="96">
        <v>111</v>
      </c>
      <c r="EJ51" s="94"/>
      <c r="EK51" s="95">
        <v>113</v>
      </c>
      <c r="EL51" s="100">
        <v>114</v>
      </c>
      <c r="EM51" s="101">
        <v>0</v>
      </c>
      <c r="EN51" s="102">
        <v>1</v>
      </c>
      <c r="EO51" s="94"/>
      <c r="EP51" s="95">
        <v>3</v>
      </c>
      <c r="EQ51" s="94"/>
      <c r="ER51" s="93"/>
      <c r="ES51" s="95">
        <v>6</v>
      </c>
      <c r="ET51" s="94"/>
      <c r="EU51" s="95">
        <v>8</v>
      </c>
      <c r="EV51" s="96">
        <v>9</v>
      </c>
      <c r="EW51" s="94"/>
      <c r="EX51" s="95">
        <v>11</v>
      </c>
      <c r="EY51" s="94"/>
      <c r="EZ51" s="93"/>
      <c r="FA51" s="95">
        <v>14</v>
      </c>
      <c r="FB51" s="94"/>
      <c r="FC51" s="95">
        <v>16</v>
      </c>
      <c r="FD51" s="93"/>
      <c r="FE51" s="93"/>
      <c r="FF51" s="93">
        <v>19</v>
      </c>
      <c r="FG51" s="94"/>
      <c r="FH51" s="93"/>
      <c r="FI51" s="93"/>
      <c r="FJ51" s="95">
        <v>23</v>
      </c>
      <c r="FK51" s="94"/>
      <c r="FL51" s="93"/>
      <c r="FM51" s="93"/>
      <c r="FN51" s="93"/>
      <c r="FO51" s="95">
        <v>28</v>
      </c>
      <c r="FP51" s="94"/>
      <c r="FQ51" s="93"/>
      <c r="FR51" s="93"/>
      <c r="FS51" s="95">
        <v>32</v>
      </c>
      <c r="FT51" s="94"/>
      <c r="FU51" s="93"/>
      <c r="FV51" s="95">
        <v>35</v>
      </c>
      <c r="FW51" s="94"/>
      <c r="FX51" s="93"/>
      <c r="FY51" s="93"/>
      <c r="FZ51" s="95">
        <v>39</v>
      </c>
      <c r="GA51" s="94"/>
      <c r="GB51" s="93"/>
      <c r="GC51" s="95">
        <v>42</v>
      </c>
      <c r="GD51" s="94"/>
      <c r="GE51" s="95">
        <v>44</v>
      </c>
      <c r="GF51" s="94"/>
      <c r="GG51" s="93"/>
      <c r="GH51" s="95">
        <v>47</v>
      </c>
      <c r="GI51" s="94"/>
      <c r="GJ51" s="93"/>
      <c r="GK51" s="93"/>
      <c r="GL51" s="95">
        <v>51</v>
      </c>
      <c r="GM51" s="93"/>
      <c r="GN51" s="93"/>
      <c r="GO51" s="93">
        <v>54</v>
      </c>
      <c r="GP51" s="94"/>
      <c r="GQ51" s="95">
        <v>56</v>
      </c>
      <c r="GR51" s="96">
        <v>57</v>
      </c>
      <c r="GS51" s="94"/>
      <c r="GT51" s="95">
        <v>59</v>
      </c>
      <c r="GU51" s="94"/>
      <c r="GV51" s="93"/>
      <c r="GW51" s="95">
        <v>62</v>
      </c>
      <c r="GX51" s="94"/>
      <c r="GY51" s="95">
        <v>64</v>
      </c>
      <c r="GZ51" s="94"/>
      <c r="HA51" s="93"/>
      <c r="HB51" s="95">
        <v>67</v>
      </c>
      <c r="HC51" s="94"/>
      <c r="HD51" s="93"/>
      <c r="HE51" s="93"/>
      <c r="HF51" s="95">
        <v>71</v>
      </c>
      <c r="HG51" s="94"/>
      <c r="HH51" s="93"/>
      <c r="HI51" s="93"/>
      <c r="HJ51" s="93"/>
      <c r="HK51" s="95">
        <v>76</v>
      </c>
      <c r="HL51" s="94"/>
      <c r="HM51" s="93"/>
      <c r="HN51" s="93"/>
      <c r="HO51" s="95">
        <v>80</v>
      </c>
      <c r="HP51" s="94"/>
      <c r="HQ51" s="93"/>
      <c r="HR51" s="95">
        <v>83</v>
      </c>
      <c r="HS51" s="93"/>
      <c r="HT51" s="93"/>
      <c r="HU51" s="93"/>
      <c r="HV51" s="93">
        <v>87</v>
      </c>
      <c r="HW51" s="94"/>
      <c r="HX51" s="93"/>
      <c r="HY51" s="95">
        <v>90</v>
      </c>
      <c r="HZ51" s="94"/>
      <c r="IA51" s="95">
        <v>92</v>
      </c>
      <c r="IB51" s="94"/>
      <c r="IC51" s="93"/>
      <c r="ID51" s="95">
        <v>95</v>
      </c>
      <c r="IE51" s="94"/>
      <c r="IF51" s="93"/>
      <c r="IG51" s="93"/>
      <c r="IH51" s="95">
        <v>99</v>
      </c>
      <c r="II51" s="94"/>
      <c r="IJ51" s="93"/>
      <c r="IK51" s="93"/>
      <c r="IL51" s="93"/>
      <c r="IM51" s="95">
        <v>104</v>
      </c>
      <c r="IN51" s="94"/>
      <c r="IO51" s="93"/>
      <c r="IP51" s="93"/>
      <c r="IQ51" s="95">
        <v>108</v>
      </c>
      <c r="IR51" s="94"/>
      <c r="IS51" s="93"/>
      <c r="IT51" s="95">
        <v>111</v>
      </c>
      <c r="IU51" s="94"/>
      <c r="IV51" s="93"/>
      <c r="IW51" s="93"/>
      <c r="IX51" s="95">
        <v>115</v>
      </c>
      <c r="IY51" s="94"/>
      <c r="IZ51" s="93"/>
      <c r="JA51" s="93"/>
      <c r="JB51" s="93"/>
      <c r="JC51" s="95">
        <v>120</v>
      </c>
      <c r="JD51" s="93"/>
      <c r="JE51" s="93"/>
      <c r="JF51" s="93"/>
      <c r="JG51" s="93">
        <v>124</v>
      </c>
      <c r="JH51" s="94"/>
      <c r="JI51" s="93"/>
      <c r="JJ51" s="93"/>
      <c r="JK51" s="93"/>
      <c r="JL51" s="95">
        <v>129</v>
      </c>
      <c r="JM51" s="94"/>
      <c r="JN51" s="93"/>
      <c r="JO51" s="93"/>
      <c r="JP51" s="93"/>
      <c r="JQ51" s="93"/>
      <c r="JR51" s="95">
        <v>135</v>
      </c>
      <c r="JS51" s="93"/>
      <c r="JT51" s="93"/>
      <c r="JU51" s="93"/>
      <c r="JV51" s="93"/>
      <c r="JW51" s="93"/>
      <c r="JX51" s="93">
        <v>141</v>
      </c>
      <c r="JY51" s="11"/>
      <c r="JZ51" s="11"/>
      <c r="KA51" s="11"/>
      <c r="KB51" s="38"/>
    </row>
    <row r="52" spans="1:288" ht="17.25" thickBot="1" x14ac:dyDescent="0.3">
      <c r="A52" s="142">
        <f>SUM(E52:JX52)</f>
        <v>278</v>
      </c>
      <c r="B52" s="104"/>
      <c r="C52" s="105"/>
      <c r="D52" s="233" t="s">
        <v>90</v>
      </c>
      <c r="E52" s="106"/>
      <c r="F52" s="106"/>
      <c r="G52" s="106"/>
      <c r="H52" s="107">
        <v>4</v>
      </c>
      <c r="I52" s="108"/>
      <c r="J52" s="109"/>
      <c r="K52" s="107">
        <v>3</v>
      </c>
      <c r="L52" s="108"/>
      <c r="M52" s="107">
        <v>2</v>
      </c>
      <c r="N52" s="108"/>
      <c r="O52" s="109"/>
      <c r="P52" s="107">
        <v>3</v>
      </c>
      <c r="Q52" s="108"/>
      <c r="R52" s="107">
        <v>2</v>
      </c>
      <c r="S52" s="110">
        <v>1</v>
      </c>
      <c r="T52" s="108"/>
      <c r="U52" s="107">
        <v>2</v>
      </c>
      <c r="V52" s="108"/>
      <c r="W52" s="109"/>
      <c r="X52" s="107">
        <v>3</v>
      </c>
      <c r="Y52" s="108"/>
      <c r="Z52" s="107">
        <v>2</v>
      </c>
      <c r="AA52" s="111">
        <v>1</v>
      </c>
      <c r="AB52" s="112">
        <v>0</v>
      </c>
      <c r="AC52" s="113">
        <v>1</v>
      </c>
      <c r="AD52" s="114"/>
      <c r="AE52" s="115">
        <v>2</v>
      </c>
      <c r="AF52" s="116">
        <v>1</v>
      </c>
      <c r="AG52" s="114"/>
      <c r="AH52" s="115">
        <v>2</v>
      </c>
      <c r="AI52" s="114"/>
      <c r="AJ52" s="117"/>
      <c r="AK52" s="115">
        <v>3</v>
      </c>
      <c r="AL52" s="117"/>
      <c r="AM52" s="117"/>
      <c r="AN52" s="117"/>
      <c r="AO52" s="117">
        <v>4</v>
      </c>
      <c r="AP52" s="114"/>
      <c r="AQ52" s="117"/>
      <c r="AR52" s="115">
        <v>3</v>
      </c>
      <c r="AS52" s="114"/>
      <c r="AT52" s="115">
        <v>2</v>
      </c>
      <c r="AU52" s="114"/>
      <c r="AV52" s="117"/>
      <c r="AW52" s="115">
        <v>3</v>
      </c>
      <c r="AX52" s="114"/>
      <c r="AY52" s="115">
        <v>2</v>
      </c>
      <c r="AZ52" s="116">
        <v>1</v>
      </c>
      <c r="BA52" s="114"/>
      <c r="BB52" s="115">
        <v>2</v>
      </c>
      <c r="BC52" s="114"/>
      <c r="BD52" s="117"/>
      <c r="BE52" s="115">
        <v>3</v>
      </c>
      <c r="BF52" s="117"/>
      <c r="BG52" s="117"/>
      <c r="BH52" s="117"/>
      <c r="BI52" s="117">
        <v>4</v>
      </c>
      <c r="BJ52" s="114"/>
      <c r="BK52" s="117"/>
      <c r="BL52" s="115">
        <v>3</v>
      </c>
      <c r="BM52" s="114"/>
      <c r="BN52" s="115">
        <v>2</v>
      </c>
      <c r="BO52" s="114"/>
      <c r="BP52" s="117"/>
      <c r="BQ52" s="115">
        <v>3</v>
      </c>
      <c r="BR52" s="114"/>
      <c r="BS52" s="117"/>
      <c r="BT52" s="117"/>
      <c r="BU52" s="115">
        <v>4</v>
      </c>
      <c r="BV52" s="114"/>
      <c r="BW52" s="117"/>
      <c r="BX52" s="115">
        <v>3</v>
      </c>
      <c r="BY52" s="114"/>
      <c r="BZ52" s="117"/>
      <c r="CA52" s="117"/>
      <c r="CB52" s="115">
        <v>4</v>
      </c>
      <c r="CC52" s="114"/>
      <c r="CD52" s="117"/>
      <c r="CE52" s="117"/>
      <c r="CF52" s="117"/>
      <c r="CG52" s="115">
        <v>5</v>
      </c>
      <c r="CH52" s="114"/>
      <c r="CI52" s="117"/>
      <c r="CJ52" s="117"/>
      <c r="CK52" s="117"/>
      <c r="CL52" s="115">
        <v>5</v>
      </c>
      <c r="CM52" s="117"/>
      <c r="CN52" s="117"/>
      <c r="CO52" s="117"/>
      <c r="CP52" s="117">
        <v>4</v>
      </c>
      <c r="CQ52" s="114"/>
      <c r="CR52" s="117"/>
      <c r="CS52" s="115">
        <v>3</v>
      </c>
      <c r="CT52" s="114"/>
      <c r="CU52" s="117"/>
      <c r="CV52" s="117"/>
      <c r="CW52" s="115">
        <v>4</v>
      </c>
      <c r="CX52" s="114"/>
      <c r="CY52" s="117"/>
      <c r="CZ52" s="115">
        <v>3</v>
      </c>
      <c r="DA52" s="114"/>
      <c r="DB52" s="115">
        <v>2</v>
      </c>
      <c r="DC52" s="114"/>
      <c r="DD52" s="117"/>
      <c r="DE52" s="115">
        <v>3</v>
      </c>
      <c r="DF52" s="114"/>
      <c r="DG52" s="117"/>
      <c r="DH52" s="117"/>
      <c r="DI52" s="115">
        <v>4</v>
      </c>
      <c r="DJ52" s="114"/>
      <c r="DK52" s="117"/>
      <c r="DL52" s="115">
        <v>3</v>
      </c>
      <c r="DM52" s="114"/>
      <c r="DN52" s="115">
        <v>2</v>
      </c>
      <c r="DO52" s="116">
        <v>1</v>
      </c>
      <c r="DP52" s="114"/>
      <c r="DQ52" s="115">
        <v>2</v>
      </c>
      <c r="DR52" s="114"/>
      <c r="DS52" s="117"/>
      <c r="DT52" s="115">
        <v>3</v>
      </c>
      <c r="DU52" s="114"/>
      <c r="DV52" s="115">
        <v>2</v>
      </c>
      <c r="DW52" s="117"/>
      <c r="DX52" s="117"/>
      <c r="DY52" s="117">
        <v>3</v>
      </c>
      <c r="DZ52" s="114"/>
      <c r="EA52" s="117"/>
      <c r="EB52" s="117"/>
      <c r="EC52" s="115">
        <v>4</v>
      </c>
      <c r="ED52" s="114"/>
      <c r="EE52" s="117"/>
      <c r="EF52" s="115">
        <v>3</v>
      </c>
      <c r="EG52" s="114"/>
      <c r="EH52" s="115">
        <v>2</v>
      </c>
      <c r="EI52" s="116">
        <v>1</v>
      </c>
      <c r="EJ52" s="114"/>
      <c r="EK52" s="115">
        <v>2</v>
      </c>
      <c r="EL52" s="118">
        <v>1</v>
      </c>
      <c r="EM52" s="119">
        <v>0</v>
      </c>
      <c r="EN52" s="120">
        <v>1</v>
      </c>
      <c r="EO52" s="108"/>
      <c r="EP52" s="107">
        <v>2</v>
      </c>
      <c r="EQ52" s="108"/>
      <c r="ER52" s="109"/>
      <c r="ES52" s="107">
        <v>3</v>
      </c>
      <c r="ET52" s="108"/>
      <c r="EU52" s="107">
        <v>2</v>
      </c>
      <c r="EV52" s="110">
        <v>1</v>
      </c>
      <c r="EW52" s="108"/>
      <c r="EX52" s="107">
        <v>2</v>
      </c>
      <c r="EY52" s="108"/>
      <c r="EZ52" s="109"/>
      <c r="FA52" s="107">
        <v>3</v>
      </c>
      <c r="FB52" s="108"/>
      <c r="FC52" s="107">
        <v>2</v>
      </c>
      <c r="FD52" s="109"/>
      <c r="FE52" s="109"/>
      <c r="FF52" s="109">
        <v>3</v>
      </c>
      <c r="FG52" s="108"/>
      <c r="FH52" s="109"/>
      <c r="FI52" s="109"/>
      <c r="FJ52" s="107">
        <v>4</v>
      </c>
      <c r="FK52" s="108"/>
      <c r="FL52" s="109"/>
      <c r="FM52" s="109"/>
      <c r="FN52" s="109"/>
      <c r="FO52" s="107">
        <v>5</v>
      </c>
      <c r="FP52" s="108"/>
      <c r="FQ52" s="109"/>
      <c r="FR52" s="109"/>
      <c r="FS52" s="107">
        <v>4</v>
      </c>
      <c r="FT52" s="108"/>
      <c r="FU52" s="109"/>
      <c r="FV52" s="107">
        <v>3</v>
      </c>
      <c r="FW52" s="108"/>
      <c r="FX52" s="109"/>
      <c r="FY52" s="109"/>
      <c r="FZ52" s="107">
        <v>4</v>
      </c>
      <c r="GA52" s="108"/>
      <c r="GB52" s="109"/>
      <c r="GC52" s="107">
        <v>3</v>
      </c>
      <c r="GD52" s="108"/>
      <c r="GE52" s="107">
        <v>2</v>
      </c>
      <c r="GF52" s="108"/>
      <c r="GG52" s="109"/>
      <c r="GH52" s="107">
        <v>3</v>
      </c>
      <c r="GI52" s="108"/>
      <c r="GJ52" s="109"/>
      <c r="GK52" s="109"/>
      <c r="GL52" s="107">
        <v>4</v>
      </c>
      <c r="GM52" s="109"/>
      <c r="GN52" s="109"/>
      <c r="GO52" s="109">
        <v>3</v>
      </c>
      <c r="GP52" s="108"/>
      <c r="GQ52" s="107">
        <v>2</v>
      </c>
      <c r="GR52" s="110">
        <v>1</v>
      </c>
      <c r="GS52" s="108"/>
      <c r="GT52" s="107">
        <v>2</v>
      </c>
      <c r="GU52" s="108"/>
      <c r="GV52" s="109"/>
      <c r="GW52" s="107">
        <v>3</v>
      </c>
      <c r="GX52" s="108"/>
      <c r="GY52" s="107">
        <v>2</v>
      </c>
      <c r="GZ52" s="108"/>
      <c r="HA52" s="109"/>
      <c r="HB52" s="107">
        <v>3</v>
      </c>
      <c r="HC52" s="108"/>
      <c r="HD52" s="109"/>
      <c r="HE52" s="109"/>
      <c r="HF52" s="107">
        <v>4</v>
      </c>
      <c r="HG52" s="108"/>
      <c r="HH52" s="109"/>
      <c r="HI52" s="109"/>
      <c r="HJ52" s="109"/>
      <c r="HK52" s="107">
        <v>5</v>
      </c>
      <c r="HL52" s="108"/>
      <c r="HM52" s="109"/>
      <c r="HN52" s="109"/>
      <c r="HO52" s="107">
        <v>4</v>
      </c>
      <c r="HP52" s="108"/>
      <c r="HQ52" s="109"/>
      <c r="HR52" s="107">
        <v>3</v>
      </c>
      <c r="HS52" s="109"/>
      <c r="HT52" s="109"/>
      <c r="HU52" s="109"/>
      <c r="HV52" s="109">
        <v>4</v>
      </c>
      <c r="HW52" s="108"/>
      <c r="HX52" s="109"/>
      <c r="HY52" s="107">
        <v>3</v>
      </c>
      <c r="HZ52" s="108"/>
      <c r="IA52" s="107">
        <v>2</v>
      </c>
      <c r="IB52" s="108"/>
      <c r="IC52" s="109"/>
      <c r="ID52" s="107">
        <v>3</v>
      </c>
      <c r="IE52" s="108"/>
      <c r="IF52" s="109"/>
      <c r="IG52" s="109"/>
      <c r="IH52" s="107">
        <v>4</v>
      </c>
      <c r="II52" s="108"/>
      <c r="IJ52" s="109"/>
      <c r="IK52" s="109"/>
      <c r="IL52" s="109"/>
      <c r="IM52" s="107">
        <v>5</v>
      </c>
      <c r="IN52" s="108"/>
      <c r="IO52" s="109"/>
      <c r="IP52" s="109"/>
      <c r="IQ52" s="107">
        <v>4</v>
      </c>
      <c r="IR52" s="108"/>
      <c r="IS52" s="109"/>
      <c r="IT52" s="107">
        <v>3</v>
      </c>
      <c r="IU52" s="108"/>
      <c r="IV52" s="109"/>
      <c r="IW52" s="109"/>
      <c r="IX52" s="107">
        <v>4</v>
      </c>
      <c r="IY52" s="108"/>
      <c r="IZ52" s="109"/>
      <c r="JA52" s="109"/>
      <c r="JB52" s="109"/>
      <c r="JC52" s="107">
        <v>5</v>
      </c>
      <c r="JD52" s="109"/>
      <c r="JE52" s="109"/>
      <c r="JF52" s="109"/>
      <c r="JG52" s="109">
        <v>4</v>
      </c>
      <c r="JH52" s="108"/>
      <c r="JI52" s="109"/>
      <c r="JJ52" s="109"/>
      <c r="JK52" s="109"/>
      <c r="JL52" s="107">
        <v>5</v>
      </c>
      <c r="JM52" s="108"/>
      <c r="JN52" s="109"/>
      <c r="JO52" s="109"/>
      <c r="JP52" s="109"/>
      <c r="JQ52" s="109"/>
      <c r="JR52" s="107">
        <v>6</v>
      </c>
      <c r="JS52" s="109"/>
      <c r="JT52" s="109"/>
      <c r="JU52" s="109"/>
      <c r="JV52" s="109"/>
      <c r="JW52" s="109"/>
      <c r="JX52" s="109">
        <v>6</v>
      </c>
      <c r="JY52" s="11"/>
      <c r="JZ52" s="11"/>
      <c r="KA52" s="11"/>
      <c r="KB52" s="38"/>
    </row>
    <row r="53" spans="1:288" ht="16.5" thickBot="1" x14ac:dyDescent="0.35">
      <c r="A53" s="105"/>
      <c r="B53" s="281"/>
      <c r="C53" s="105"/>
      <c r="D53" s="234" t="s">
        <v>93</v>
      </c>
      <c r="E53" s="18"/>
      <c r="F53" s="19"/>
      <c r="G53" s="19"/>
      <c r="H53" s="20"/>
      <c r="I53" s="21"/>
      <c r="J53" s="19"/>
      <c r="K53" s="20"/>
      <c r="L53" s="21"/>
      <c r="M53" s="20"/>
      <c r="N53" s="21"/>
      <c r="O53" s="19"/>
      <c r="P53" s="20"/>
      <c r="Q53" s="21"/>
      <c r="R53" s="20"/>
      <c r="S53" s="22"/>
      <c r="T53" s="21"/>
      <c r="U53" s="20"/>
      <c r="V53" s="21"/>
      <c r="W53" s="19"/>
      <c r="X53" s="20"/>
      <c r="Y53" s="21"/>
      <c r="Z53" s="20"/>
      <c r="AA53" s="23"/>
      <c r="AB53" s="24"/>
      <c r="AC53" s="25"/>
      <c r="AD53" s="21"/>
      <c r="AE53" s="20"/>
      <c r="AF53" s="22"/>
      <c r="AG53" s="21"/>
      <c r="AH53" s="20"/>
      <c r="AI53" s="21"/>
      <c r="AJ53" s="19"/>
      <c r="AK53" s="20"/>
      <c r="AL53" s="21"/>
      <c r="AM53" s="19"/>
      <c r="AN53" s="19"/>
      <c r="AO53" s="20"/>
      <c r="AP53" s="21"/>
      <c r="AQ53" s="19"/>
      <c r="AR53" s="20"/>
      <c r="AS53" s="21"/>
      <c r="AT53" s="20"/>
      <c r="AU53" s="21"/>
      <c r="AV53" s="19"/>
      <c r="AW53" s="20"/>
      <c r="AX53" s="21"/>
      <c r="AY53" s="20"/>
      <c r="AZ53" s="22"/>
      <c r="BA53" s="21"/>
      <c r="BB53" s="20"/>
      <c r="BC53" s="21"/>
      <c r="BD53" s="19"/>
      <c r="BE53" s="20"/>
      <c r="BF53" s="21"/>
      <c r="BG53" s="19"/>
      <c r="BH53" s="19"/>
      <c r="BI53" s="20"/>
      <c r="BJ53" s="21"/>
      <c r="BK53" s="19"/>
      <c r="BL53" s="20"/>
      <c r="BM53" s="21"/>
      <c r="BN53" s="20"/>
      <c r="BO53" s="21"/>
      <c r="BP53" s="19"/>
      <c r="BQ53" s="20"/>
      <c r="BR53" s="21"/>
      <c r="BS53" s="19"/>
      <c r="BT53" s="19"/>
      <c r="BU53" s="20"/>
      <c r="BV53" s="21"/>
      <c r="BW53" s="19"/>
      <c r="BX53" s="20"/>
      <c r="BY53" s="21"/>
      <c r="BZ53" s="19"/>
      <c r="CA53" s="19"/>
      <c r="CB53" s="20"/>
      <c r="CC53" s="21"/>
      <c r="CD53" s="19"/>
      <c r="CE53" s="19"/>
      <c r="CF53" s="19"/>
      <c r="CG53" s="20"/>
      <c r="CH53" s="21"/>
      <c r="CI53" s="19"/>
      <c r="CJ53" s="19"/>
      <c r="CK53" s="19"/>
      <c r="CL53" s="20"/>
      <c r="CM53" s="21"/>
      <c r="CN53" s="19"/>
      <c r="CO53" s="19"/>
      <c r="CP53" s="20"/>
      <c r="CQ53" s="21"/>
      <c r="CR53" s="19"/>
      <c r="CS53" s="20"/>
      <c r="CT53" s="21"/>
      <c r="CU53" s="19"/>
      <c r="CV53" s="19"/>
      <c r="CW53" s="20"/>
      <c r="CX53" s="21"/>
      <c r="CY53" s="19"/>
      <c r="CZ53" s="20"/>
      <c r="DA53" s="21"/>
      <c r="DB53" s="20"/>
      <c r="DC53" s="21"/>
      <c r="DD53" s="19"/>
      <c r="DE53" s="20"/>
      <c r="DF53" s="21"/>
      <c r="DG53" s="19"/>
      <c r="DH53" s="19"/>
      <c r="DI53" s="20"/>
      <c r="DJ53" s="21"/>
      <c r="DK53" s="19"/>
      <c r="DL53" s="20"/>
      <c r="DM53" s="21"/>
      <c r="DN53" s="20"/>
      <c r="DO53" s="22"/>
      <c r="DP53" s="21"/>
      <c r="DQ53" s="20"/>
      <c r="DR53" s="21"/>
      <c r="DS53" s="19"/>
      <c r="DT53" s="20"/>
      <c r="DU53" s="21"/>
      <c r="DV53" s="20"/>
      <c r="DW53" s="21"/>
      <c r="DX53" s="19"/>
      <c r="DY53" s="20"/>
      <c r="DZ53" s="21"/>
      <c r="EA53" s="19"/>
      <c r="EB53" s="19"/>
      <c r="EC53" s="20"/>
      <c r="ED53" s="21"/>
      <c r="EE53" s="19"/>
      <c r="EF53" s="20"/>
      <c r="EG53" s="21"/>
      <c r="EH53" s="20"/>
      <c r="EI53" s="22"/>
      <c r="EJ53" s="21"/>
      <c r="EK53" s="20"/>
      <c r="EL53" s="23"/>
      <c r="EM53" s="24"/>
      <c r="EN53" s="25"/>
      <c r="EO53" s="21"/>
      <c r="EP53" s="20"/>
      <c r="EQ53" s="21"/>
      <c r="ER53" s="19"/>
      <c r="ES53" s="20"/>
      <c r="ET53" s="21"/>
      <c r="EU53" s="20"/>
      <c r="EV53" s="26"/>
      <c r="EW53" s="21"/>
      <c r="EX53" s="20"/>
      <c r="EY53" s="21"/>
      <c r="EZ53" s="19"/>
      <c r="FA53" s="20"/>
      <c r="FB53" s="21"/>
      <c r="FC53" s="20"/>
      <c r="FD53" s="21"/>
      <c r="FE53" s="19"/>
      <c r="FF53" s="20"/>
      <c r="FG53" s="21"/>
      <c r="FH53" s="19"/>
      <c r="FI53" s="19"/>
      <c r="FJ53" s="20"/>
      <c r="FK53" s="21"/>
      <c r="FL53" s="19"/>
      <c r="FM53" s="19"/>
      <c r="FN53" s="19"/>
      <c r="FO53" s="20"/>
      <c r="FP53" s="21"/>
      <c r="FQ53" s="19"/>
      <c r="FR53" s="19"/>
      <c r="FS53" s="20"/>
      <c r="FT53" s="21"/>
      <c r="FU53" s="19"/>
      <c r="FV53" s="20"/>
      <c r="FW53" s="21"/>
      <c r="FX53" s="19"/>
      <c r="FY53" s="19"/>
      <c r="FZ53" s="20"/>
      <c r="GA53" s="21"/>
      <c r="GB53" s="19"/>
      <c r="GC53" s="20"/>
      <c r="GD53" s="21"/>
      <c r="GE53" s="20"/>
      <c r="GF53" s="21"/>
      <c r="GG53" s="19"/>
      <c r="GH53" s="20"/>
      <c r="GI53" s="21"/>
      <c r="GJ53" s="19"/>
      <c r="GK53" s="19"/>
      <c r="GL53" s="20"/>
      <c r="GM53" s="21"/>
      <c r="GN53" s="19"/>
      <c r="GO53" s="20"/>
      <c r="GP53" s="21"/>
      <c r="GQ53" s="20"/>
      <c r="GR53" s="22"/>
      <c r="GS53" s="21"/>
      <c r="GT53" s="20"/>
      <c r="GU53" s="21"/>
      <c r="GV53" s="19"/>
      <c r="GW53" s="20"/>
      <c r="GX53" s="21"/>
      <c r="GY53" s="20"/>
      <c r="GZ53" s="21"/>
      <c r="HA53" s="19"/>
      <c r="HB53" s="20"/>
      <c r="HC53" s="21"/>
      <c r="HD53" s="19"/>
      <c r="HE53" s="19"/>
      <c r="HF53" s="20"/>
      <c r="HG53" s="21"/>
      <c r="HH53" s="19"/>
      <c r="HI53" s="19"/>
      <c r="HJ53" s="19"/>
      <c r="HK53" s="20"/>
      <c r="HL53" s="21"/>
      <c r="HM53" s="19"/>
      <c r="HN53" s="19"/>
      <c r="HO53" s="20"/>
      <c r="HP53" s="21"/>
      <c r="HQ53" s="19"/>
      <c r="HR53" s="20"/>
      <c r="HS53" s="21"/>
      <c r="HT53" s="19"/>
      <c r="HU53" s="19"/>
      <c r="HV53" s="20"/>
      <c r="HW53" s="21"/>
      <c r="HX53" s="19"/>
      <c r="HY53" s="20"/>
      <c r="HZ53" s="21"/>
      <c r="IA53" s="20"/>
      <c r="IB53" s="21"/>
      <c r="IC53" s="19"/>
      <c r="ID53" s="20"/>
      <c r="IE53" s="21"/>
      <c r="IF53" s="19"/>
      <c r="IG53" s="19"/>
      <c r="IH53" s="20"/>
      <c r="II53" s="21"/>
      <c r="IJ53" s="19"/>
      <c r="IK53" s="19"/>
      <c r="IL53" s="19"/>
      <c r="IM53" s="27"/>
      <c r="IN53" s="21"/>
      <c r="IO53" s="28"/>
      <c r="IP53" s="19"/>
      <c r="IQ53" s="20"/>
      <c r="IR53" s="21"/>
      <c r="IS53" s="19"/>
      <c r="IT53" s="20"/>
      <c r="IU53" s="21"/>
      <c r="IV53" s="19"/>
      <c r="IW53" s="19"/>
      <c r="IX53" s="20"/>
      <c r="IY53" s="21"/>
      <c r="IZ53" s="19"/>
      <c r="JA53" s="19"/>
      <c r="JB53" s="19"/>
      <c r="JC53" s="20"/>
      <c r="JD53" s="21"/>
      <c r="JE53" s="19"/>
      <c r="JF53" s="19"/>
      <c r="JG53" s="20"/>
      <c r="JH53" s="21"/>
      <c r="JI53" s="19"/>
      <c r="JJ53" s="19"/>
      <c r="JK53" s="19"/>
      <c r="JL53" s="20"/>
      <c r="JM53" s="21"/>
      <c r="JN53" s="19"/>
      <c r="JO53" s="19"/>
      <c r="JP53" s="19"/>
      <c r="JQ53" s="19"/>
      <c r="JR53" s="20"/>
      <c r="JS53" s="28"/>
      <c r="JT53" s="19"/>
      <c r="JU53" s="19"/>
      <c r="JV53" s="19"/>
      <c r="JW53" s="19"/>
      <c r="JX53" s="29"/>
      <c r="JY53" s="11"/>
      <c r="JZ53" s="11"/>
      <c r="KA53" s="11"/>
      <c r="KB53" s="38"/>
    </row>
    <row r="54" spans="1:288" x14ac:dyDescent="0.25">
      <c r="A54" s="121"/>
      <c r="B54" s="122"/>
      <c r="C54" s="123"/>
      <c r="D54" s="235" t="s">
        <v>89</v>
      </c>
      <c r="E54" s="124">
        <v>1</v>
      </c>
      <c r="F54" s="124"/>
      <c r="G54" s="124"/>
      <c r="H54" s="124"/>
      <c r="I54" s="125">
        <v>2</v>
      </c>
      <c r="J54" s="124"/>
      <c r="K54" s="126"/>
      <c r="L54" s="125">
        <v>3</v>
      </c>
      <c r="M54" s="126"/>
      <c r="N54" s="125">
        <v>4</v>
      </c>
      <c r="O54" s="124"/>
      <c r="P54" s="126"/>
      <c r="Q54" s="125">
        <v>5</v>
      </c>
      <c r="R54" s="126"/>
      <c r="S54" s="127">
        <v>6</v>
      </c>
      <c r="T54" s="125">
        <v>7</v>
      </c>
      <c r="U54" s="126"/>
      <c r="V54" s="125">
        <v>8</v>
      </c>
      <c r="W54" s="124"/>
      <c r="X54" s="126"/>
      <c r="Y54" s="125">
        <v>9</v>
      </c>
      <c r="Z54" s="126"/>
      <c r="AA54" s="128">
        <v>10</v>
      </c>
      <c r="AB54" s="98">
        <v>11</v>
      </c>
      <c r="AC54" s="129">
        <v>12</v>
      </c>
      <c r="AD54" s="125">
        <v>13</v>
      </c>
      <c r="AE54" s="126"/>
      <c r="AF54" s="127">
        <v>14</v>
      </c>
      <c r="AG54" s="125">
        <v>15</v>
      </c>
      <c r="AH54" s="126"/>
      <c r="AI54" s="125">
        <v>16</v>
      </c>
      <c r="AJ54" s="124"/>
      <c r="AK54" s="126"/>
      <c r="AL54" s="124">
        <v>17</v>
      </c>
      <c r="AM54" s="124"/>
      <c r="AN54" s="124"/>
      <c r="AO54" s="124"/>
      <c r="AP54" s="125">
        <v>18</v>
      </c>
      <c r="AQ54" s="124"/>
      <c r="AR54" s="126"/>
      <c r="AS54" s="125">
        <v>19</v>
      </c>
      <c r="AT54" s="126"/>
      <c r="AU54" s="125">
        <v>20</v>
      </c>
      <c r="AV54" s="124"/>
      <c r="AW54" s="126"/>
      <c r="AX54" s="125">
        <v>21</v>
      </c>
      <c r="AY54" s="126"/>
      <c r="AZ54" s="127">
        <v>22</v>
      </c>
      <c r="BA54" s="125">
        <v>23</v>
      </c>
      <c r="BB54" s="126"/>
      <c r="BC54" s="125">
        <v>24</v>
      </c>
      <c r="BD54" s="124"/>
      <c r="BE54" s="126"/>
      <c r="BF54" s="124">
        <v>25</v>
      </c>
      <c r="BG54" s="124"/>
      <c r="BH54" s="124"/>
      <c r="BI54" s="124"/>
      <c r="BJ54" s="125">
        <v>26</v>
      </c>
      <c r="BK54" s="124"/>
      <c r="BL54" s="126"/>
      <c r="BM54" s="125">
        <v>27</v>
      </c>
      <c r="BN54" s="126"/>
      <c r="BO54" s="125">
        <v>28</v>
      </c>
      <c r="BP54" s="124"/>
      <c r="BQ54" s="126"/>
      <c r="BR54" s="125">
        <v>29</v>
      </c>
      <c r="BS54" s="124"/>
      <c r="BT54" s="124"/>
      <c r="BU54" s="126"/>
      <c r="BV54" s="125">
        <v>30</v>
      </c>
      <c r="BW54" s="124"/>
      <c r="BX54" s="126"/>
      <c r="BY54" s="125">
        <v>31</v>
      </c>
      <c r="BZ54" s="124"/>
      <c r="CA54" s="124"/>
      <c r="CB54" s="126"/>
      <c r="CC54" s="125">
        <v>32</v>
      </c>
      <c r="CD54" s="124"/>
      <c r="CE54" s="124"/>
      <c r="CF54" s="124"/>
      <c r="CG54" s="126"/>
      <c r="CH54" s="125">
        <v>33</v>
      </c>
      <c r="CI54" s="124"/>
      <c r="CJ54" s="124"/>
      <c r="CK54" s="124"/>
      <c r="CL54" s="126"/>
      <c r="CM54" s="124">
        <v>34</v>
      </c>
      <c r="CN54" s="124"/>
      <c r="CO54" s="124"/>
      <c r="CP54" s="124"/>
      <c r="CQ54" s="125">
        <v>35</v>
      </c>
      <c r="CR54" s="124"/>
      <c r="CS54" s="126"/>
      <c r="CT54" s="125">
        <v>36</v>
      </c>
      <c r="CU54" s="124"/>
      <c r="CV54" s="124"/>
      <c r="CW54" s="126"/>
      <c r="CX54" s="125">
        <v>37</v>
      </c>
      <c r="CY54" s="124"/>
      <c r="CZ54" s="126"/>
      <c r="DA54" s="125">
        <v>38</v>
      </c>
      <c r="DB54" s="126"/>
      <c r="DC54" s="125">
        <v>39</v>
      </c>
      <c r="DD54" s="124"/>
      <c r="DE54" s="126"/>
      <c r="DF54" s="125">
        <v>40</v>
      </c>
      <c r="DG54" s="124"/>
      <c r="DH54" s="124"/>
      <c r="DI54" s="126"/>
      <c r="DJ54" s="125">
        <v>41</v>
      </c>
      <c r="DK54" s="124"/>
      <c r="DL54" s="126"/>
      <c r="DM54" s="125">
        <v>42</v>
      </c>
      <c r="DN54" s="126"/>
      <c r="DO54" s="127">
        <v>43</v>
      </c>
      <c r="DP54" s="125">
        <v>44</v>
      </c>
      <c r="DQ54" s="126"/>
      <c r="DR54" s="125">
        <v>45</v>
      </c>
      <c r="DS54" s="124"/>
      <c r="DT54" s="126"/>
      <c r="DU54" s="125">
        <v>46</v>
      </c>
      <c r="DV54" s="126"/>
      <c r="DW54" s="124">
        <v>47</v>
      </c>
      <c r="DX54" s="124"/>
      <c r="DY54" s="124"/>
      <c r="DZ54" s="125">
        <v>48</v>
      </c>
      <c r="EA54" s="124"/>
      <c r="EB54" s="124"/>
      <c r="EC54" s="126"/>
      <c r="ED54" s="125">
        <v>49</v>
      </c>
      <c r="EE54" s="124"/>
      <c r="EF54" s="126"/>
      <c r="EG54" s="125">
        <v>50</v>
      </c>
      <c r="EH54" s="126"/>
      <c r="EI54" s="127">
        <v>51</v>
      </c>
      <c r="EJ54" s="125">
        <v>52</v>
      </c>
      <c r="EK54" s="126"/>
      <c r="EL54" s="130">
        <v>53</v>
      </c>
      <c r="EM54" s="98">
        <v>54</v>
      </c>
      <c r="EN54" s="131">
        <v>55</v>
      </c>
      <c r="EO54" s="125">
        <v>56</v>
      </c>
      <c r="EP54" s="126"/>
      <c r="EQ54" s="125">
        <v>57</v>
      </c>
      <c r="ER54" s="124"/>
      <c r="ES54" s="126"/>
      <c r="ET54" s="125">
        <v>58</v>
      </c>
      <c r="EU54" s="126"/>
      <c r="EV54" s="127">
        <v>59</v>
      </c>
      <c r="EW54" s="125">
        <v>60</v>
      </c>
      <c r="EX54" s="126"/>
      <c r="EY54" s="125">
        <v>61</v>
      </c>
      <c r="EZ54" s="124"/>
      <c r="FA54" s="126"/>
      <c r="FB54" s="125">
        <v>62</v>
      </c>
      <c r="FC54" s="126"/>
      <c r="FD54" s="124">
        <v>63</v>
      </c>
      <c r="FE54" s="124"/>
      <c r="FF54" s="124"/>
      <c r="FG54" s="125">
        <v>64</v>
      </c>
      <c r="FH54" s="124"/>
      <c r="FI54" s="124"/>
      <c r="FJ54" s="126"/>
      <c r="FK54" s="125">
        <v>65</v>
      </c>
      <c r="FL54" s="124"/>
      <c r="FM54" s="124"/>
      <c r="FN54" s="124"/>
      <c r="FO54" s="126"/>
      <c r="FP54" s="125">
        <v>66</v>
      </c>
      <c r="FQ54" s="124"/>
      <c r="FR54" s="124"/>
      <c r="FS54" s="126"/>
      <c r="FT54" s="125">
        <v>67</v>
      </c>
      <c r="FU54" s="124"/>
      <c r="FV54" s="126"/>
      <c r="FW54" s="125">
        <v>68</v>
      </c>
      <c r="FX54" s="124"/>
      <c r="FY54" s="124"/>
      <c r="FZ54" s="126"/>
      <c r="GA54" s="125">
        <v>69</v>
      </c>
      <c r="GB54" s="124"/>
      <c r="GC54" s="126"/>
      <c r="GD54" s="125">
        <v>70</v>
      </c>
      <c r="GE54" s="126"/>
      <c r="GF54" s="125">
        <v>71</v>
      </c>
      <c r="GG54" s="124"/>
      <c r="GH54" s="126"/>
      <c r="GI54" s="125">
        <v>72</v>
      </c>
      <c r="GJ54" s="124"/>
      <c r="GK54" s="124"/>
      <c r="GL54" s="126"/>
      <c r="GM54" s="124">
        <v>73</v>
      </c>
      <c r="GN54" s="124"/>
      <c r="GO54" s="124"/>
      <c r="GP54" s="125">
        <v>74</v>
      </c>
      <c r="GQ54" s="126"/>
      <c r="GR54" s="127">
        <v>75</v>
      </c>
      <c r="GS54" s="125">
        <v>76</v>
      </c>
      <c r="GT54" s="126"/>
      <c r="GU54" s="125">
        <v>77</v>
      </c>
      <c r="GV54" s="124"/>
      <c r="GW54" s="126"/>
      <c r="GX54" s="125">
        <v>78</v>
      </c>
      <c r="GY54" s="126"/>
      <c r="GZ54" s="125">
        <v>79</v>
      </c>
      <c r="HA54" s="124"/>
      <c r="HB54" s="126"/>
      <c r="HC54" s="125">
        <v>80</v>
      </c>
      <c r="HD54" s="124"/>
      <c r="HE54" s="124"/>
      <c r="HF54" s="126"/>
      <c r="HG54" s="125">
        <v>81</v>
      </c>
      <c r="HH54" s="124"/>
      <c r="HI54" s="124"/>
      <c r="HJ54" s="124"/>
      <c r="HK54" s="126"/>
      <c r="HL54" s="125">
        <v>82</v>
      </c>
      <c r="HM54" s="124"/>
      <c r="HN54" s="124"/>
      <c r="HO54" s="126"/>
      <c r="HP54" s="125">
        <v>83</v>
      </c>
      <c r="HQ54" s="124"/>
      <c r="HR54" s="126"/>
      <c r="HS54" s="124">
        <v>84</v>
      </c>
      <c r="HT54" s="124"/>
      <c r="HU54" s="124"/>
      <c r="HV54" s="124"/>
      <c r="HW54" s="125">
        <v>85</v>
      </c>
      <c r="HX54" s="124"/>
      <c r="HY54" s="126"/>
      <c r="HZ54" s="125">
        <v>86</v>
      </c>
      <c r="IA54" s="126"/>
      <c r="IB54" s="125">
        <v>87</v>
      </c>
      <c r="IC54" s="124"/>
      <c r="ID54" s="126"/>
      <c r="IE54" s="125">
        <v>88</v>
      </c>
      <c r="IF54" s="124"/>
      <c r="IG54" s="124"/>
      <c r="IH54" s="126"/>
      <c r="II54" s="125">
        <v>89</v>
      </c>
      <c r="IJ54" s="124"/>
      <c r="IK54" s="124"/>
      <c r="IL54" s="124"/>
      <c r="IM54" s="126"/>
      <c r="IN54" s="125">
        <v>90</v>
      </c>
      <c r="IO54" s="124"/>
      <c r="IP54" s="124"/>
      <c r="IQ54" s="126"/>
      <c r="IR54" s="125">
        <v>91</v>
      </c>
      <c r="IS54" s="124"/>
      <c r="IT54" s="126"/>
      <c r="IU54" s="125">
        <v>92</v>
      </c>
      <c r="IV54" s="124"/>
      <c r="IW54" s="124"/>
      <c r="IX54" s="126"/>
      <c r="IY54" s="125">
        <v>93</v>
      </c>
      <c r="IZ54" s="124"/>
      <c r="JA54" s="124"/>
      <c r="JB54" s="124"/>
      <c r="JC54" s="126"/>
      <c r="JD54" s="124">
        <v>94</v>
      </c>
      <c r="JE54" s="124"/>
      <c r="JF54" s="124"/>
      <c r="JG54" s="124"/>
      <c r="JH54" s="125">
        <v>95</v>
      </c>
      <c r="JI54" s="124"/>
      <c r="JJ54" s="124"/>
      <c r="JK54" s="124"/>
      <c r="JL54" s="126"/>
      <c r="JM54" s="125">
        <v>96</v>
      </c>
      <c r="JN54" s="124"/>
      <c r="JO54" s="124"/>
      <c r="JP54" s="124"/>
      <c r="JQ54" s="124"/>
      <c r="JR54" s="126"/>
      <c r="JS54" s="124">
        <v>97</v>
      </c>
      <c r="JT54" s="124"/>
      <c r="JU54" s="124"/>
      <c r="JV54" s="124"/>
      <c r="JW54" s="124"/>
      <c r="JX54" s="124"/>
      <c r="JY54" s="11"/>
      <c r="JZ54" s="11"/>
      <c r="KA54" s="11"/>
      <c r="KB54" s="38"/>
    </row>
    <row r="55" spans="1:288" ht="15.75" x14ac:dyDescent="0.25">
      <c r="A55" s="256"/>
      <c r="B55" s="256"/>
      <c r="C55" s="256"/>
      <c r="D55" s="256"/>
      <c r="E55" s="11"/>
      <c r="F55" s="11"/>
      <c r="G55" s="11"/>
      <c r="H55" s="11"/>
      <c r="I55" s="11"/>
      <c r="J55" s="11"/>
      <c r="K55" s="2"/>
      <c r="L55" s="2"/>
      <c r="M55" s="2"/>
      <c r="N55" s="2"/>
      <c r="O55" s="2"/>
      <c r="P55" s="2"/>
      <c r="Q55" s="2"/>
      <c r="R55" s="11"/>
      <c r="S55" s="11"/>
      <c r="T55" s="11"/>
      <c r="U55" s="11"/>
      <c r="V55" s="11"/>
      <c r="W55" s="11"/>
      <c r="X55" s="11"/>
      <c r="Y55" s="11"/>
      <c r="Z55" s="11"/>
      <c r="AA55" s="11"/>
      <c r="AB55" s="12"/>
      <c r="AC55" s="13"/>
      <c r="AD55" s="13"/>
      <c r="AE55" s="14"/>
      <c r="AF55" s="11"/>
      <c r="AG55" s="11"/>
      <c r="AH55" s="11"/>
      <c r="AI55" s="11"/>
      <c r="AJ55" s="11"/>
      <c r="AK55" s="11"/>
      <c r="AL55" s="11"/>
      <c r="AM55" s="11"/>
      <c r="AN55" s="11"/>
      <c r="AO55" s="14"/>
      <c r="AP55" s="14"/>
      <c r="AQ55" s="14"/>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5"/>
      <c r="BV55" s="15"/>
      <c r="BW55" s="15"/>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38"/>
    </row>
    <row r="56" spans="1:288" ht="15.75" x14ac:dyDescent="0.25">
      <c r="A56" s="256"/>
      <c r="B56" s="256"/>
      <c r="C56" s="256"/>
      <c r="D56" s="256"/>
      <c r="E56" s="11"/>
      <c r="F56" s="11"/>
      <c r="G56" s="11"/>
      <c r="H56" s="11"/>
      <c r="I56" s="11"/>
      <c r="J56" s="11"/>
      <c r="K56" s="2"/>
      <c r="L56" s="2"/>
      <c r="M56" s="2"/>
      <c r="N56" s="2"/>
      <c r="O56" s="2"/>
      <c r="P56" s="2"/>
      <c r="Q56" s="2"/>
      <c r="R56" s="11"/>
      <c r="S56" s="11"/>
      <c r="T56" s="11"/>
      <c r="U56" s="11"/>
      <c r="V56" s="11"/>
      <c r="W56" s="11"/>
      <c r="X56" s="11"/>
      <c r="Y56" s="11"/>
      <c r="Z56" s="11"/>
      <c r="AA56" s="11"/>
      <c r="AB56" s="12"/>
      <c r="AC56" s="13"/>
      <c r="AD56" s="13"/>
      <c r="AE56" s="14"/>
      <c r="AF56" s="11"/>
      <c r="AG56" s="11"/>
      <c r="AH56" s="11"/>
      <c r="AI56" s="11"/>
      <c r="AJ56" s="11"/>
      <c r="AK56" s="11"/>
      <c r="AL56" s="11"/>
      <c r="AM56" s="11"/>
      <c r="AN56" s="11"/>
      <c r="AO56" s="14"/>
      <c r="AP56" s="14"/>
      <c r="AQ56" s="14"/>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5"/>
      <c r="BV56" s="15"/>
      <c r="BW56" s="15"/>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38"/>
    </row>
    <row r="57" spans="1:288" x14ac:dyDescent="0.25">
      <c r="A57" s="143">
        <f>23+114+141</f>
        <v>278</v>
      </c>
      <c r="B57" s="90"/>
      <c r="C57" s="91"/>
      <c r="D57" s="233" t="s">
        <v>91</v>
      </c>
      <c r="E57" s="92"/>
      <c r="F57" s="91"/>
      <c r="G57" s="91"/>
      <c r="H57" s="93">
        <v>4</v>
      </c>
      <c r="I57" s="94"/>
      <c r="J57" s="93"/>
      <c r="K57" s="95">
        <v>7</v>
      </c>
      <c r="L57" s="94"/>
      <c r="M57" s="95">
        <v>9</v>
      </c>
      <c r="N57" s="94"/>
      <c r="O57" s="93"/>
      <c r="P57" s="95">
        <v>12</v>
      </c>
      <c r="Q57" s="94"/>
      <c r="R57" s="95">
        <v>14</v>
      </c>
      <c r="S57" s="96">
        <v>15</v>
      </c>
      <c r="T57" s="94"/>
      <c r="U57" s="95">
        <v>17</v>
      </c>
      <c r="V57" s="94"/>
      <c r="W57" s="93"/>
      <c r="X57" s="95">
        <v>20</v>
      </c>
      <c r="Y57" s="94"/>
      <c r="Z57" s="95">
        <v>22</v>
      </c>
      <c r="AA57" s="97">
        <v>23</v>
      </c>
      <c r="AB57" s="98">
        <v>0</v>
      </c>
      <c r="AC57" s="99">
        <v>1</v>
      </c>
      <c r="AD57" s="94"/>
      <c r="AE57" s="95">
        <v>3</v>
      </c>
      <c r="AF57" s="96">
        <v>4</v>
      </c>
      <c r="AG57" s="94"/>
      <c r="AH57" s="95">
        <v>6</v>
      </c>
      <c r="AI57" s="94"/>
      <c r="AJ57" s="93"/>
      <c r="AK57" s="95">
        <v>9</v>
      </c>
      <c r="AL57" s="93"/>
      <c r="AM57" s="93"/>
      <c r="AN57" s="93"/>
      <c r="AO57" s="93">
        <v>13</v>
      </c>
      <c r="AP57" s="94"/>
      <c r="AQ57" s="93"/>
      <c r="AR57" s="95">
        <v>16</v>
      </c>
      <c r="AS57" s="94"/>
      <c r="AT57" s="95">
        <v>18</v>
      </c>
      <c r="AU57" s="94"/>
      <c r="AV57" s="93"/>
      <c r="AW57" s="95">
        <v>21</v>
      </c>
      <c r="AX57" s="94"/>
      <c r="AY57" s="95">
        <v>23</v>
      </c>
      <c r="AZ57" s="96">
        <v>24</v>
      </c>
      <c r="BA57" s="94"/>
      <c r="BB57" s="95">
        <v>26</v>
      </c>
      <c r="BC57" s="94"/>
      <c r="BD57" s="93"/>
      <c r="BE57" s="95">
        <v>29</v>
      </c>
      <c r="BF57" s="93"/>
      <c r="BG57" s="93"/>
      <c r="BH57" s="93"/>
      <c r="BI57" s="93">
        <v>33</v>
      </c>
      <c r="BJ57" s="94"/>
      <c r="BK57" s="93"/>
      <c r="BL57" s="95">
        <v>36</v>
      </c>
      <c r="BM57" s="94"/>
      <c r="BN57" s="95">
        <v>38</v>
      </c>
      <c r="BO57" s="94"/>
      <c r="BP57" s="93"/>
      <c r="BQ57" s="95">
        <v>41</v>
      </c>
      <c r="BR57" s="94"/>
      <c r="BS57" s="93"/>
      <c r="BT57" s="93"/>
      <c r="BU57" s="95">
        <v>45</v>
      </c>
      <c r="BV57" s="94"/>
      <c r="BW57" s="93"/>
      <c r="BX57" s="95">
        <v>48</v>
      </c>
      <c r="BY57" s="94"/>
      <c r="BZ57" s="93"/>
      <c r="CA57" s="93"/>
      <c r="CB57" s="95">
        <v>52</v>
      </c>
      <c r="CC57" s="94"/>
      <c r="CD57" s="93"/>
      <c r="CE57" s="93"/>
      <c r="CF57" s="93"/>
      <c r="CG57" s="95">
        <v>57</v>
      </c>
      <c r="CH57" s="94"/>
      <c r="CI57" s="93"/>
      <c r="CJ57" s="93"/>
      <c r="CK57" s="93"/>
      <c r="CL57" s="95">
        <v>62</v>
      </c>
      <c r="CM57" s="93"/>
      <c r="CN57" s="93"/>
      <c r="CO57" s="93"/>
      <c r="CP57" s="93">
        <v>66</v>
      </c>
      <c r="CQ57" s="94"/>
      <c r="CR57" s="93"/>
      <c r="CS57" s="95">
        <v>69</v>
      </c>
      <c r="CT57" s="94"/>
      <c r="CU57" s="93"/>
      <c r="CV57" s="93"/>
      <c r="CW57" s="95">
        <v>73</v>
      </c>
      <c r="CX57" s="94"/>
      <c r="CY57" s="93"/>
      <c r="CZ57" s="95">
        <v>76</v>
      </c>
      <c r="DA57" s="94"/>
      <c r="DB57" s="95">
        <v>78</v>
      </c>
      <c r="DC57" s="94"/>
      <c r="DD57" s="93"/>
      <c r="DE57" s="95">
        <v>81</v>
      </c>
      <c r="DF57" s="94"/>
      <c r="DG57" s="93"/>
      <c r="DH57" s="93"/>
      <c r="DI57" s="95">
        <v>85</v>
      </c>
      <c r="DJ57" s="94"/>
      <c r="DK57" s="93"/>
      <c r="DL57" s="95">
        <v>88</v>
      </c>
      <c r="DM57" s="94"/>
      <c r="DN57" s="95">
        <v>90</v>
      </c>
      <c r="DO57" s="96">
        <v>91</v>
      </c>
      <c r="DP57" s="94"/>
      <c r="DQ57" s="95">
        <v>93</v>
      </c>
      <c r="DR57" s="94"/>
      <c r="DS57" s="93"/>
      <c r="DT57" s="95">
        <v>96</v>
      </c>
      <c r="DU57" s="94"/>
      <c r="DV57" s="95">
        <v>98</v>
      </c>
      <c r="DW57" s="93"/>
      <c r="DX57" s="93"/>
      <c r="DY57" s="93">
        <v>101</v>
      </c>
      <c r="DZ57" s="94"/>
      <c r="EA57" s="93"/>
      <c r="EB57" s="93"/>
      <c r="EC57" s="95">
        <v>105</v>
      </c>
      <c r="ED57" s="94"/>
      <c r="EE57" s="93"/>
      <c r="EF57" s="95">
        <v>108</v>
      </c>
      <c r="EG57" s="94"/>
      <c r="EH57" s="95">
        <v>110</v>
      </c>
      <c r="EI57" s="96">
        <v>111</v>
      </c>
      <c r="EJ57" s="94"/>
      <c r="EK57" s="95">
        <v>113</v>
      </c>
      <c r="EL57" s="100">
        <v>114</v>
      </c>
      <c r="EM57" s="101">
        <v>0</v>
      </c>
      <c r="EN57" s="102">
        <v>1</v>
      </c>
      <c r="EO57" s="94"/>
      <c r="EP57" s="95">
        <v>3</v>
      </c>
      <c r="EQ57" s="94"/>
      <c r="ER57" s="93"/>
      <c r="ES57" s="95">
        <v>6</v>
      </c>
      <c r="ET57" s="94"/>
      <c r="EU57" s="95">
        <v>8</v>
      </c>
      <c r="EV57" s="96">
        <v>9</v>
      </c>
      <c r="EW57" s="94"/>
      <c r="EX57" s="95">
        <v>11</v>
      </c>
      <c r="EY57" s="94"/>
      <c r="EZ57" s="93"/>
      <c r="FA57" s="95">
        <v>14</v>
      </c>
      <c r="FB57" s="94"/>
      <c r="FC57" s="95">
        <v>16</v>
      </c>
      <c r="FD57" s="93"/>
      <c r="FE57" s="93"/>
      <c r="FF57" s="93">
        <v>19</v>
      </c>
      <c r="FG57" s="94"/>
      <c r="FH57" s="93"/>
      <c r="FI57" s="93"/>
      <c r="FJ57" s="95">
        <v>23</v>
      </c>
      <c r="FK57" s="94"/>
      <c r="FL57" s="93"/>
      <c r="FM57" s="93"/>
      <c r="FN57" s="93"/>
      <c r="FO57" s="95">
        <v>28</v>
      </c>
      <c r="FP57" s="94"/>
      <c r="FQ57" s="93"/>
      <c r="FR57" s="93"/>
      <c r="FS57" s="95">
        <v>32</v>
      </c>
      <c r="FT57" s="94"/>
      <c r="FU57" s="93"/>
      <c r="FV57" s="95">
        <v>35</v>
      </c>
      <c r="FW57" s="94"/>
      <c r="FX57" s="93"/>
      <c r="FY57" s="93"/>
      <c r="FZ57" s="95">
        <v>39</v>
      </c>
      <c r="GA57" s="94"/>
      <c r="GB57" s="93"/>
      <c r="GC57" s="95">
        <v>42</v>
      </c>
      <c r="GD57" s="94"/>
      <c r="GE57" s="95">
        <v>44</v>
      </c>
      <c r="GF57" s="94"/>
      <c r="GG57" s="93"/>
      <c r="GH57" s="95">
        <v>47</v>
      </c>
      <c r="GI57" s="94"/>
      <c r="GJ57" s="93"/>
      <c r="GK57" s="93"/>
      <c r="GL57" s="95">
        <v>51</v>
      </c>
      <c r="GM57" s="93"/>
      <c r="GN57" s="93"/>
      <c r="GO57" s="93">
        <v>54</v>
      </c>
      <c r="GP57" s="94"/>
      <c r="GQ57" s="95">
        <v>56</v>
      </c>
      <c r="GR57" s="96">
        <v>57</v>
      </c>
      <c r="GS57" s="94"/>
      <c r="GT57" s="95">
        <v>59</v>
      </c>
      <c r="GU57" s="94"/>
      <c r="GV57" s="93"/>
      <c r="GW57" s="95">
        <v>62</v>
      </c>
      <c r="GX57" s="94"/>
      <c r="GY57" s="95">
        <v>64</v>
      </c>
      <c r="GZ57" s="94"/>
      <c r="HA57" s="93"/>
      <c r="HB57" s="95">
        <v>67</v>
      </c>
      <c r="HC57" s="94"/>
      <c r="HD57" s="93"/>
      <c r="HE57" s="93"/>
      <c r="HF57" s="95">
        <v>71</v>
      </c>
      <c r="HG57" s="94"/>
      <c r="HH57" s="93"/>
      <c r="HI57" s="93"/>
      <c r="HJ57" s="93"/>
      <c r="HK57" s="95">
        <v>76</v>
      </c>
      <c r="HL57" s="94"/>
      <c r="HM57" s="93"/>
      <c r="HN57" s="93"/>
      <c r="HO57" s="95">
        <v>80</v>
      </c>
      <c r="HP57" s="94"/>
      <c r="HQ57" s="93"/>
      <c r="HR57" s="95">
        <v>83</v>
      </c>
      <c r="HS57" s="93"/>
      <c r="HT57" s="93"/>
      <c r="HU57" s="93"/>
      <c r="HV57" s="93">
        <v>87</v>
      </c>
      <c r="HW57" s="94"/>
      <c r="HX57" s="93"/>
      <c r="HY57" s="95">
        <v>90</v>
      </c>
      <c r="HZ57" s="94"/>
      <c r="IA57" s="95">
        <v>92</v>
      </c>
      <c r="IB57" s="94"/>
      <c r="IC57" s="93"/>
      <c r="ID57" s="95">
        <v>95</v>
      </c>
      <c r="IE57" s="94"/>
      <c r="IF57" s="93"/>
      <c r="IG57" s="93"/>
      <c r="IH57" s="95">
        <v>99</v>
      </c>
      <c r="II57" s="94"/>
      <c r="IJ57" s="93"/>
      <c r="IK57" s="93"/>
      <c r="IL57" s="93"/>
      <c r="IM57" s="95">
        <v>104</v>
      </c>
      <c r="IN57" s="94"/>
      <c r="IO57" s="93"/>
      <c r="IP57" s="93"/>
      <c r="IQ57" s="95">
        <v>108</v>
      </c>
      <c r="IR57" s="94"/>
      <c r="IS57" s="93"/>
      <c r="IT57" s="95">
        <v>111</v>
      </c>
      <c r="IU57" s="94"/>
      <c r="IV57" s="93"/>
      <c r="IW57" s="93"/>
      <c r="IX57" s="95">
        <v>115</v>
      </c>
      <c r="IY57" s="94"/>
      <c r="IZ57" s="93"/>
      <c r="JA57" s="93"/>
      <c r="JB57" s="93"/>
      <c r="JC57" s="95">
        <v>120</v>
      </c>
      <c r="JD57" s="93"/>
      <c r="JE57" s="93"/>
      <c r="JF57" s="93"/>
      <c r="JG57" s="93">
        <v>124</v>
      </c>
      <c r="JH57" s="94"/>
      <c r="JI57" s="93"/>
      <c r="JJ57" s="93"/>
      <c r="JK57" s="93"/>
      <c r="JL57" s="95">
        <v>129</v>
      </c>
      <c r="JM57" s="94"/>
      <c r="JN57" s="93"/>
      <c r="JO57" s="93"/>
      <c r="JP57" s="93"/>
      <c r="JQ57" s="93"/>
      <c r="JR57" s="95">
        <v>135</v>
      </c>
      <c r="JS57" s="93"/>
      <c r="JT57" s="93"/>
      <c r="JU57" s="93"/>
      <c r="JV57" s="93"/>
      <c r="JW57" s="93"/>
      <c r="JX57" s="93">
        <v>141</v>
      </c>
      <c r="JY57" s="16"/>
      <c r="JZ57" s="16"/>
      <c r="KA57" s="16"/>
      <c r="KB57" s="32"/>
    </row>
    <row r="58" spans="1:288" ht="17.25" thickBot="1" x14ac:dyDescent="0.3">
      <c r="A58" s="144">
        <f>SUM(E58:JX58)</f>
        <v>278</v>
      </c>
      <c r="B58" s="104"/>
      <c r="C58" s="105"/>
      <c r="D58" s="233" t="s">
        <v>90</v>
      </c>
      <c r="E58" s="106"/>
      <c r="F58" s="106"/>
      <c r="G58" s="106"/>
      <c r="H58" s="107">
        <v>4</v>
      </c>
      <c r="I58" s="108"/>
      <c r="J58" s="109"/>
      <c r="K58" s="107">
        <v>3</v>
      </c>
      <c r="L58" s="108"/>
      <c r="M58" s="107">
        <v>2</v>
      </c>
      <c r="N58" s="108"/>
      <c r="O58" s="109"/>
      <c r="P58" s="107">
        <v>3</v>
      </c>
      <c r="Q58" s="108"/>
      <c r="R58" s="107">
        <v>2</v>
      </c>
      <c r="S58" s="110">
        <v>1</v>
      </c>
      <c r="T58" s="108"/>
      <c r="U58" s="107">
        <v>2</v>
      </c>
      <c r="V58" s="108"/>
      <c r="W58" s="109"/>
      <c r="X58" s="107">
        <v>3</v>
      </c>
      <c r="Y58" s="108"/>
      <c r="Z58" s="107">
        <v>2</v>
      </c>
      <c r="AA58" s="111">
        <v>1</v>
      </c>
      <c r="AB58" s="112">
        <v>0</v>
      </c>
      <c r="AC58" s="113">
        <v>1</v>
      </c>
      <c r="AD58" s="114"/>
      <c r="AE58" s="115">
        <v>2</v>
      </c>
      <c r="AF58" s="116">
        <v>1</v>
      </c>
      <c r="AG58" s="114"/>
      <c r="AH58" s="115">
        <v>2</v>
      </c>
      <c r="AI58" s="114"/>
      <c r="AJ58" s="117"/>
      <c r="AK58" s="115">
        <v>3</v>
      </c>
      <c r="AL58" s="117"/>
      <c r="AM58" s="117"/>
      <c r="AN58" s="117"/>
      <c r="AO58" s="117">
        <v>4</v>
      </c>
      <c r="AP58" s="114"/>
      <c r="AQ58" s="117"/>
      <c r="AR58" s="115">
        <v>3</v>
      </c>
      <c r="AS58" s="114"/>
      <c r="AT58" s="115">
        <v>2</v>
      </c>
      <c r="AU58" s="114"/>
      <c r="AV58" s="117"/>
      <c r="AW58" s="115">
        <v>3</v>
      </c>
      <c r="AX58" s="114"/>
      <c r="AY58" s="115">
        <v>2</v>
      </c>
      <c r="AZ58" s="116">
        <v>1</v>
      </c>
      <c r="BA58" s="114"/>
      <c r="BB58" s="115">
        <v>2</v>
      </c>
      <c r="BC58" s="114"/>
      <c r="BD58" s="117"/>
      <c r="BE58" s="115">
        <v>3</v>
      </c>
      <c r="BF58" s="117"/>
      <c r="BG58" s="117"/>
      <c r="BH58" s="117"/>
      <c r="BI58" s="117">
        <v>4</v>
      </c>
      <c r="BJ58" s="114"/>
      <c r="BK58" s="117"/>
      <c r="BL58" s="115">
        <v>3</v>
      </c>
      <c r="BM58" s="114"/>
      <c r="BN58" s="115">
        <v>2</v>
      </c>
      <c r="BO58" s="114"/>
      <c r="BP58" s="117"/>
      <c r="BQ58" s="115">
        <v>3</v>
      </c>
      <c r="BR58" s="114"/>
      <c r="BS58" s="117"/>
      <c r="BT58" s="117"/>
      <c r="BU58" s="115">
        <v>4</v>
      </c>
      <c r="BV58" s="114"/>
      <c r="BW58" s="117"/>
      <c r="BX58" s="115">
        <v>3</v>
      </c>
      <c r="BY58" s="114"/>
      <c r="BZ58" s="117"/>
      <c r="CA58" s="117"/>
      <c r="CB58" s="115">
        <v>4</v>
      </c>
      <c r="CC58" s="114"/>
      <c r="CD58" s="117"/>
      <c r="CE58" s="117"/>
      <c r="CF58" s="117"/>
      <c r="CG58" s="115">
        <v>5</v>
      </c>
      <c r="CH58" s="114"/>
      <c r="CI58" s="117"/>
      <c r="CJ58" s="117"/>
      <c r="CK58" s="117"/>
      <c r="CL58" s="115">
        <v>5</v>
      </c>
      <c r="CM58" s="117"/>
      <c r="CN58" s="117"/>
      <c r="CO58" s="117"/>
      <c r="CP58" s="117">
        <v>4</v>
      </c>
      <c r="CQ58" s="114"/>
      <c r="CR58" s="117"/>
      <c r="CS58" s="115">
        <v>3</v>
      </c>
      <c r="CT58" s="114"/>
      <c r="CU58" s="117"/>
      <c r="CV58" s="117"/>
      <c r="CW58" s="115">
        <v>4</v>
      </c>
      <c r="CX58" s="114"/>
      <c r="CY58" s="117"/>
      <c r="CZ58" s="115">
        <v>3</v>
      </c>
      <c r="DA58" s="114"/>
      <c r="DB58" s="115">
        <v>2</v>
      </c>
      <c r="DC58" s="114"/>
      <c r="DD58" s="117"/>
      <c r="DE58" s="115">
        <v>3</v>
      </c>
      <c r="DF58" s="114"/>
      <c r="DG58" s="117"/>
      <c r="DH58" s="117"/>
      <c r="DI58" s="115">
        <v>4</v>
      </c>
      <c r="DJ58" s="114"/>
      <c r="DK58" s="117"/>
      <c r="DL58" s="115">
        <v>3</v>
      </c>
      <c r="DM58" s="114"/>
      <c r="DN58" s="115">
        <v>2</v>
      </c>
      <c r="DO58" s="116">
        <v>1</v>
      </c>
      <c r="DP58" s="114"/>
      <c r="DQ58" s="115">
        <v>2</v>
      </c>
      <c r="DR58" s="114"/>
      <c r="DS58" s="117"/>
      <c r="DT58" s="115">
        <v>3</v>
      </c>
      <c r="DU58" s="114"/>
      <c r="DV58" s="115">
        <v>2</v>
      </c>
      <c r="DW58" s="117"/>
      <c r="DX58" s="117"/>
      <c r="DY58" s="117">
        <v>3</v>
      </c>
      <c r="DZ58" s="114"/>
      <c r="EA58" s="117"/>
      <c r="EB58" s="117"/>
      <c r="EC58" s="115">
        <v>4</v>
      </c>
      <c r="ED58" s="114"/>
      <c r="EE58" s="117"/>
      <c r="EF58" s="115">
        <v>3</v>
      </c>
      <c r="EG58" s="114"/>
      <c r="EH58" s="115">
        <v>2</v>
      </c>
      <c r="EI58" s="116">
        <v>1</v>
      </c>
      <c r="EJ58" s="114"/>
      <c r="EK58" s="115">
        <v>2</v>
      </c>
      <c r="EL58" s="118">
        <v>1</v>
      </c>
      <c r="EM58" s="119">
        <v>0</v>
      </c>
      <c r="EN58" s="120">
        <v>1</v>
      </c>
      <c r="EO58" s="108"/>
      <c r="EP58" s="107">
        <v>2</v>
      </c>
      <c r="EQ58" s="108"/>
      <c r="ER58" s="109"/>
      <c r="ES58" s="107">
        <v>3</v>
      </c>
      <c r="ET58" s="108"/>
      <c r="EU58" s="107">
        <v>2</v>
      </c>
      <c r="EV58" s="110">
        <v>1</v>
      </c>
      <c r="EW58" s="108"/>
      <c r="EX58" s="107">
        <v>2</v>
      </c>
      <c r="EY58" s="108"/>
      <c r="EZ58" s="109"/>
      <c r="FA58" s="107">
        <v>3</v>
      </c>
      <c r="FB58" s="108"/>
      <c r="FC58" s="107">
        <v>2</v>
      </c>
      <c r="FD58" s="109"/>
      <c r="FE58" s="109"/>
      <c r="FF58" s="109">
        <v>3</v>
      </c>
      <c r="FG58" s="108"/>
      <c r="FH58" s="109"/>
      <c r="FI58" s="109"/>
      <c r="FJ58" s="107">
        <v>4</v>
      </c>
      <c r="FK58" s="108"/>
      <c r="FL58" s="109"/>
      <c r="FM58" s="109"/>
      <c r="FN58" s="109"/>
      <c r="FO58" s="107">
        <v>5</v>
      </c>
      <c r="FP58" s="108"/>
      <c r="FQ58" s="109"/>
      <c r="FR58" s="109"/>
      <c r="FS58" s="107">
        <v>4</v>
      </c>
      <c r="FT58" s="108"/>
      <c r="FU58" s="109"/>
      <c r="FV58" s="107">
        <v>3</v>
      </c>
      <c r="FW58" s="108"/>
      <c r="FX58" s="109"/>
      <c r="FY58" s="109"/>
      <c r="FZ58" s="107">
        <v>4</v>
      </c>
      <c r="GA58" s="108"/>
      <c r="GB58" s="109"/>
      <c r="GC58" s="107">
        <v>3</v>
      </c>
      <c r="GD58" s="108"/>
      <c r="GE58" s="107">
        <v>2</v>
      </c>
      <c r="GF58" s="108"/>
      <c r="GG58" s="109"/>
      <c r="GH58" s="107">
        <v>3</v>
      </c>
      <c r="GI58" s="108"/>
      <c r="GJ58" s="109"/>
      <c r="GK58" s="109"/>
      <c r="GL58" s="107">
        <v>4</v>
      </c>
      <c r="GM58" s="109"/>
      <c r="GN58" s="109"/>
      <c r="GO58" s="109">
        <v>3</v>
      </c>
      <c r="GP58" s="108"/>
      <c r="GQ58" s="107">
        <v>2</v>
      </c>
      <c r="GR58" s="110">
        <v>1</v>
      </c>
      <c r="GS58" s="108"/>
      <c r="GT58" s="107">
        <v>2</v>
      </c>
      <c r="GU58" s="108"/>
      <c r="GV58" s="109"/>
      <c r="GW58" s="107">
        <v>3</v>
      </c>
      <c r="GX58" s="108"/>
      <c r="GY58" s="107">
        <v>2</v>
      </c>
      <c r="GZ58" s="108"/>
      <c r="HA58" s="109"/>
      <c r="HB58" s="107">
        <v>3</v>
      </c>
      <c r="HC58" s="108"/>
      <c r="HD58" s="109"/>
      <c r="HE58" s="109"/>
      <c r="HF58" s="107">
        <v>4</v>
      </c>
      <c r="HG58" s="108"/>
      <c r="HH58" s="109"/>
      <c r="HI58" s="109"/>
      <c r="HJ58" s="109"/>
      <c r="HK58" s="107">
        <v>5</v>
      </c>
      <c r="HL58" s="108"/>
      <c r="HM58" s="109"/>
      <c r="HN58" s="109"/>
      <c r="HO58" s="107">
        <v>4</v>
      </c>
      <c r="HP58" s="108"/>
      <c r="HQ58" s="109"/>
      <c r="HR58" s="107">
        <v>3</v>
      </c>
      <c r="HS58" s="109"/>
      <c r="HT58" s="109"/>
      <c r="HU58" s="109"/>
      <c r="HV58" s="109">
        <v>4</v>
      </c>
      <c r="HW58" s="108"/>
      <c r="HX58" s="109"/>
      <c r="HY58" s="107">
        <v>3</v>
      </c>
      <c r="HZ58" s="108"/>
      <c r="IA58" s="107">
        <v>2</v>
      </c>
      <c r="IB58" s="108"/>
      <c r="IC58" s="109"/>
      <c r="ID58" s="107">
        <v>3</v>
      </c>
      <c r="IE58" s="108"/>
      <c r="IF58" s="109"/>
      <c r="IG58" s="109"/>
      <c r="IH58" s="107">
        <v>4</v>
      </c>
      <c r="II58" s="108"/>
      <c r="IJ58" s="109"/>
      <c r="IK58" s="109"/>
      <c r="IL58" s="109"/>
      <c r="IM58" s="107">
        <v>5</v>
      </c>
      <c r="IN58" s="108"/>
      <c r="IO58" s="109"/>
      <c r="IP58" s="109"/>
      <c r="IQ58" s="107">
        <v>4</v>
      </c>
      <c r="IR58" s="108"/>
      <c r="IS58" s="109"/>
      <c r="IT58" s="107">
        <v>3</v>
      </c>
      <c r="IU58" s="108"/>
      <c r="IV58" s="109"/>
      <c r="IW58" s="109"/>
      <c r="IX58" s="107">
        <v>4</v>
      </c>
      <c r="IY58" s="108"/>
      <c r="IZ58" s="109"/>
      <c r="JA58" s="109"/>
      <c r="JB58" s="109"/>
      <c r="JC58" s="107">
        <v>5</v>
      </c>
      <c r="JD58" s="109"/>
      <c r="JE58" s="109"/>
      <c r="JF58" s="109"/>
      <c r="JG58" s="109">
        <v>4</v>
      </c>
      <c r="JH58" s="108"/>
      <c r="JI58" s="109"/>
      <c r="JJ58" s="109"/>
      <c r="JK58" s="109"/>
      <c r="JL58" s="107">
        <v>5</v>
      </c>
      <c r="JM58" s="108"/>
      <c r="JN58" s="109"/>
      <c r="JO58" s="109"/>
      <c r="JP58" s="109"/>
      <c r="JQ58" s="109"/>
      <c r="JR58" s="107">
        <v>6</v>
      </c>
      <c r="JS58" s="109"/>
      <c r="JT58" s="109"/>
      <c r="JU58" s="109"/>
      <c r="JV58" s="109"/>
      <c r="JW58" s="109"/>
      <c r="JX58" s="109">
        <v>6</v>
      </c>
      <c r="JY58" s="17"/>
      <c r="JZ58" s="17"/>
      <c r="KA58" s="17"/>
      <c r="KB58" s="32"/>
    </row>
    <row r="59" spans="1:288" ht="16.5" thickBot="1" x14ac:dyDescent="0.35">
      <c r="A59" s="105"/>
      <c r="B59" s="281"/>
      <c r="C59" s="105"/>
      <c r="D59" s="234" t="s">
        <v>92</v>
      </c>
      <c r="E59" s="18"/>
      <c r="F59" s="19"/>
      <c r="G59" s="19"/>
      <c r="H59" s="20"/>
      <c r="I59" s="21"/>
      <c r="J59" s="19"/>
      <c r="K59" s="20"/>
      <c r="L59" s="21"/>
      <c r="M59" s="20"/>
      <c r="N59" s="21"/>
      <c r="O59" s="19"/>
      <c r="P59" s="20"/>
      <c r="Q59" s="21"/>
      <c r="R59" s="20"/>
      <c r="S59" s="22"/>
      <c r="T59" s="21"/>
      <c r="U59" s="20"/>
      <c r="V59" s="21"/>
      <c r="W59" s="19"/>
      <c r="X59" s="20"/>
      <c r="Y59" s="21"/>
      <c r="Z59" s="20"/>
      <c r="AA59" s="23"/>
      <c r="AB59" s="24"/>
      <c r="AC59" s="25"/>
      <c r="AD59" s="21"/>
      <c r="AE59" s="20"/>
      <c r="AF59" s="22"/>
      <c r="AG59" s="21"/>
      <c r="AH59" s="20"/>
      <c r="AI59" s="21"/>
      <c r="AJ59" s="19"/>
      <c r="AK59" s="20"/>
      <c r="AL59" s="21"/>
      <c r="AM59" s="19"/>
      <c r="AN59" s="19"/>
      <c r="AO59" s="20"/>
      <c r="AP59" s="21"/>
      <c r="AQ59" s="19"/>
      <c r="AR59" s="20"/>
      <c r="AS59" s="21"/>
      <c r="AT59" s="20"/>
      <c r="AU59" s="21"/>
      <c r="AV59" s="19"/>
      <c r="AW59" s="20"/>
      <c r="AX59" s="21"/>
      <c r="AY59" s="20"/>
      <c r="AZ59" s="22"/>
      <c r="BA59" s="21"/>
      <c r="BB59" s="20"/>
      <c r="BC59" s="21"/>
      <c r="BD59" s="19"/>
      <c r="BE59" s="20"/>
      <c r="BF59" s="21"/>
      <c r="BG59" s="19"/>
      <c r="BH59" s="19"/>
      <c r="BI59" s="20"/>
      <c r="BJ59" s="21"/>
      <c r="BK59" s="19"/>
      <c r="BL59" s="20"/>
      <c r="BM59" s="21"/>
      <c r="BN59" s="20"/>
      <c r="BO59" s="21"/>
      <c r="BP59" s="19"/>
      <c r="BQ59" s="20"/>
      <c r="BR59" s="21"/>
      <c r="BS59" s="19"/>
      <c r="BT59" s="19"/>
      <c r="BU59" s="20"/>
      <c r="BV59" s="21"/>
      <c r="BW59" s="19"/>
      <c r="BX59" s="20"/>
      <c r="BY59" s="21"/>
      <c r="BZ59" s="19"/>
      <c r="CA59" s="19"/>
      <c r="CB59" s="20"/>
      <c r="CC59" s="21"/>
      <c r="CD59" s="19"/>
      <c r="CE59" s="19"/>
      <c r="CF59" s="19"/>
      <c r="CG59" s="20"/>
      <c r="CH59" s="21"/>
      <c r="CI59" s="19"/>
      <c r="CJ59" s="19"/>
      <c r="CK59" s="19"/>
      <c r="CL59" s="20"/>
      <c r="CM59" s="21"/>
      <c r="CN59" s="19"/>
      <c r="CO59" s="19"/>
      <c r="CP59" s="20"/>
      <c r="CQ59" s="21"/>
      <c r="CR59" s="19"/>
      <c r="CS59" s="20"/>
      <c r="CT59" s="21"/>
      <c r="CU59" s="19"/>
      <c r="CV59" s="19"/>
      <c r="CW59" s="20"/>
      <c r="CX59" s="21"/>
      <c r="CY59" s="19"/>
      <c r="CZ59" s="20"/>
      <c r="DA59" s="21"/>
      <c r="DB59" s="20"/>
      <c r="DC59" s="21"/>
      <c r="DD59" s="19"/>
      <c r="DE59" s="20"/>
      <c r="DF59" s="21"/>
      <c r="DG59" s="19"/>
      <c r="DH59" s="19"/>
      <c r="DI59" s="20"/>
      <c r="DJ59" s="21"/>
      <c r="DK59" s="19"/>
      <c r="DL59" s="20"/>
      <c r="DM59" s="21"/>
      <c r="DN59" s="20"/>
      <c r="DO59" s="22"/>
      <c r="DP59" s="21"/>
      <c r="DQ59" s="20"/>
      <c r="DR59" s="21"/>
      <c r="DS59" s="19"/>
      <c r="DT59" s="20"/>
      <c r="DU59" s="21"/>
      <c r="DV59" s="20"/>
      <c r="DW59" s="21"/>
      <c r="DX59" s="19"/>
      <c r="DY59" s="20"/>
      <c r="DZ59" s="21"/>
      <c r="EA59" s="19"/>
      <c r="EB59" s="19"/>
      <c r="EC59" s="20"/>
      <c r="ED59" s="21"/>
      <c r="EE59" s="19"/>
      <c r="EF59" s="20"/>
      <c r="EG59" s="21"/>
      <c r="EH59" s="20"/>
      <c r="EI59" s="22"/>
      <c r="EJ59" s="21"/>
      <c r="EK59" s="20"/>
      <c r="EL59" s="23"/>
      <c r="EM59" s="24"/>
      <c r="EN59" s="25"/>
      <c r="EO59" s="21"/>
      <c r="EP59" s="20"/>
      <c r="EQ59" s="21"/>
      <c r="ER59" s="19"/>
      <c r="ES59" s="20"/>
      <c r="ET59" s="21"/>
      <c r="EU59" s="20"/>
      <c r="EV59" s="26"/>
      <c r="EW59" s="21"/>
      <c r="EX59" s="20"/>
      <c r="EY59" s="21"/>
      <c r="EZ59" s="19"/>
      <c r="FA59" s="20"/>
      <c r="FB59" s="21"/>
      <c r="FC59" s="20"/>
      <c r="FD59" s="21"/>
      <c r="FE59" s="19"/>
      <c r="FF59" s="20"/>
      <c r="FG59" s="21"/>
      <c r="FH59" s="19"/>
      <c r="FI59" s="19"/>
      <c r="FJ59" s="20"/>
      <c r="FK59" s="21"/>
      <c r="FL59" s="19"/>
      <c r="FM59" s="19"/>
      <c r="FN59" s="19"/>
      <c r="FO59" s="20"/>
      <c r="FP59" s="21"/>
      <c r="FQ59" s="19"/>
      <c r="FR59" s="19"/>
      <c r="FS59" s="20"/>
      <c r="FT59" s="21"/>
      <c r="FU59" s="19"/>
      <c r="FV59" s="20"/>
      <c r="FW59" s="21"/>
      <c r="FX59" s="19"/>
      <c r="FY59" s="19"/>
      <c r="FZ59" s="20"/>
      <c r="GA59" s="21"/>
      <c r="GB59" s="19"/>
      <c r="GC59" s="20"/>
      <c r="GD59" s="21"/>
      <c r="GE59" s="20"/>
      <c r="GF59" s="21"/>
      <c r="GG59" s="19"/>
      <c r="GH59" s="20"/>
      <c r="GI59" s="21"/>
      <c r="GJ59" s="19"/>
      <c r="GK59" s="19"/>
      <c r="GL59" s="20"/>
      <c r="GM59" s="21"/>
      <c r="GN59" s="19"/>
      <c r="GO59" s="20"/>
      <c r="GP59" s="21"/>
      <c r="GQ59" s="20"/>
      <c r="GR59" s="22"/>
      <c r="GS59" s="21"/>
      <c r="GT59" s="20"/>
      <c r="GU59" s="21"/>
      <c r="GV59" s="19"/>
      <c r="GW59" s="20"/>
      <c r="GX59" s="21"/>
      <c r="GY59" s="20"/>
      <c r="GZ59" s="21"/>
      <c r="HA59" s="19"/>
      <c r="HB59" s="20"/>
      <c r="HC59" s="21"/>
      <c r="HD59" s="19"/>
      <c r="HE59" s="19"/>
      <c r="HF59" s="20"/>
      <c r="HG59" s="21"/>
      <c r="HH59" s="19"/>
      <c r="HI59" s="19"/>
      <c r="HJ59" s="19"/>
      <c r="HK59" s="20"/>
      <c r="HL59" s="21"/>
      <c r="HM59" s="19"/>
      <c r="HN59" s="19"/>
      <c r="HO59" s="20"/>
      <c r="HP59" s="21"/>
      <c r="HQ59" s="19"/>
      <c r="HR59" s="20"/>
      <c r="HS59" s="21"/>
      <c r="HT59" s="19"/>
      <c r="HU59" s="19"/>
      <c r="HV59" s="20"/>
      <c r="HW59" s="21"/>
      <c r="HX59" s="19"/>
      <c r="HY59" s="20"/>
      <c r="HZ59" s="21"/>
      <c r="IA59" s="20"/>
      <c r="IB59" s="21"/>
      <c r="IC59" s="19"/>
      <c r="ID59" s="20"/>
      <c r="IE59" s="21"/>
      <c r="IF59" s="19"/>
      <c r="IG59" s="19"/>
      <c r="IH59" s="20"/>
      <c r="II59" s="21"/>
      <c r="IJ59" s="19"/>
      <c r="IK59" s="19"/>
      <c r="IL59" s="19"/>
      <c r="IM59" s="27"/>
      <c r="IN59" s="21"/>
      <c r="IO59" s="28"/>
      <c r="IP59" s="19"/>
      <c r="IQ59" s="20"/>
      <c r="IR59" s="21"/>
      <c r="IS59" s="19"/>
      <c r="IT59" s="20"/>
      <c r="IU59" s="21"/>
      <c r="IV59" s="19"/>
      <c r="IW59" s="19"/>
      <c r="IX59" s="20"/>
      <c r="IY59" s="21"/>
      <c r="IZ59" s="19"/>
      <c r="JA59" s="19"/>
      <c r="JB59" s="19"/>
      <c r="JC59" s="20"/>
      <c r="JD59" s="21"/>
      <c r="JE59" s="19"/>
      <c r="JF59" s="19"/>
      <c r="JG59" s="20"/>
      <c r="JH59" s="21"/>
      <c r="JI59" s="19"/>
      <c r="JJ59" s="19"/>
      <c r="JK59" s="19"/>
      <c r="JL59" s="20"/>
      <c r="JM59" s="21"/>
      <c r="JN59" s="19"/>
      <c r="JO59" s="19"/>
      <c r="JP59" s="19"/>
      <c r="JQ59" s="19"/>
      <c r="JR59" s="20"/>
      <c r="JS59" s="28"/>
      <c r="JT59" s="19"/>
      <c r="JU59" s="19"/>
      <c r="JV59" s="19"/>
      <c r="JW59" s="19"/>
      <c r="JX59" s="29"/>
      <c r="KB59" s="32"/>
    </row>
    <row r="60" spans="1:288" s="36" customFormat="1" x14ac:dyDescent="0.25">
      <c r="A60" s="121"/>
      <c r="B60" s="122"/>
      <c r="C60" s="123"/>
      <c r="D60" s="235" t="s">
        <v>89</v>
      </c>
      <c r="E60" s="124">
        <v>1</v>
      </c>
      <c r="F60" s="124"/>
      <c r="G60" s="124"/>
      <c r="H60" s="124"/>
      <c r="I60" s="125">
        <v>2</v>
      </c>
      <c r="J60" s="124"/>
      <c r="K60" s="126"/>
      <c r="L60" s="125">
        <v>3</v>
      </c>
      <c r="M60" s="126"/>
      <c r="N60" s="125">
        <v>4</v>
      </c>
      <c r="O60" s="124"/>
      <c r="P60" s="126"/>
      <c r="Q60" s="125">
        <v>5</v>
      </c>
      <c r="R60" s="126"/>
      <c r="S60" s="127">
        <v>6</v>
      </c>
      <c r="T60" s="125">
        <v>7</v>
      </c>
      <c r="U60" s="126"/>
      <c r="V60" s="125">
        <v>8</v>
      </c>
      <c r="W60" s="124"/>
      <c r="X60" s="126"/>
      <c r="Y60" s="125">
        <v>9</v>
      </c>
      <c r="Z60" s="126"/>
      <c r="AA60" s="128">
        <v>10</v>
      </c>
      <c r="AB60" s="98">
        <v>11</v>
      </c>
      <c r="AC60" s="129">
        <v>12</v>
      </c>
      <c r="AD60" s="125">
        <v>13</v>
      </c>
      <c r="AE60" s="126"/>
      <c r="AF60" s="127">
        <v>14</v>
      </c>
      <c r="AG60" s="125">
        <v>15</v>
      </c>
      <c r="AH60" s="126"/>
      <c r="AI60" s="125">
        <v>16</v>
      </c>
      <c r="AJ60" s="124"/>
      <c r="AK60" s="126"/>
      <c r="AL60" s="124">
        <v>17</v>
      </c>
      <c r="AM60" s="124"/>
      <c r="AN60" s="124"/>
      <c r="AO60" s="124"/>
      <c r="AP60" s="125">
        <v>18</v>
      </c>
      <c r="AQ60" s="124"/>
      <c r="AR60" s="126"/>
      <c r="AS60" s="125">
        <v>19</v>
      </c>
      <c r="AT60" s="126"/>
      <c r="AU60" s="125">
        <v>20</v>
      </c>
      <c r="AV60" s="124"/>
      <c r="AW60" s="126"/>
      <c r="AX60" s="125">
        <v>21</v>
      </c>
      <c r="AY60" s="126"/>
      <c r="AZ60" s="127">
        <v>22</v>
      </c>
      <c r="BA60" s="125">
        <v>23</v>
      </c>
      <c r="BB60" s="126"/>
      <c r="BC60" s="125">
        <v>24</v>
      </c>
      <c r="BD60" s="124"/>
      <c r="BE60" s="126"/>
      <c r="BF60" s="124">
        <v>25</v>
      </c>
      <c r="BG60" s="124"/>
      <c r="BH60" s="124"/>
      <c r="BI60" s="124"/>
      <c r="BJ60" s="125">
        <v>26</v>
      </c>
      <c r="BK60" s="124"/>
      <c r="BL60" s="126"/>
      <c r="BM60" s="125">
        <v>27</v>
      </c>
      <c r="BN60" s="126"/>
      <c r="BO60" s="125">
        <v>28</v>
      </c>
      <c r="BP60" s="124"/>
      <c r="BQ60" s="126"/>
      <c r="BR60" s="125">
        <v>29</v>
      </c>
      <c r="BS60" s="124"/>
      <c r="BT60" s="124"/>
      <c r="BU60" s="126"/>
      <c r="BV60" s="125">
        <v>30</v>
      </c>
      <c r="BW60" s="124"/>
      <c r="BX60" s="126"/>
      <c r="BY60" s="125">
        <v>31</v>
      </c>
      <c r="BZ60" s="124"/>
      <c r="CA60" s="124"/>
      <c r="CB60" s="126"/>
      <c r="CC60" s="125">
        <v>32</v>
      </c>
      <c r="CD60" s="124"/>
      <c r="CE60" s="124"/>
      <c r="CF60" s="124"/>
      <c r="CG60" s="126"/>
      <c r="CH60" s="125">
        <v>33</v>
      </c>
      <c r="CI60" s="124"/>
      <c r="CJ60" s="124"/>
      <c r="CK60" s="124"/>
      <c r="CL60" s="126"/>
      <c r="CM60" s="124">
        <v>34</v>
      </c>
      <c r="CN60" s="124"/>
      <c r="CO60" s="124"/>
      <c r="CP60" s="124"/>
      <c r="CQ60" s="125">
        <v>35</v>
      </c>
      <c r="CR60" s="124"/>
      <c r="CS60" s="126"/>
      <c r="CT60" s="125">
        <v>36</v>
      </c>
      <c r="CU60" s="124"/>
      <c r="CV60" s="124"/>
      <c r="CW60" s="126"/>
      <c r="CX60" s="125">
        <v>37</v>
      </c>
      <c r="CY60" s="124"/>
      <c r="CZ60" s="126"/>
      <c r="DA60" s="125">
        <v>38</v>
      </c>
      <c r="DB60" s="126"/>
      <c r="DC60" s="125">
        <v>39</v>
      </c>
      <c r="DD60" s="124"/>
      <c r="DE60" s="126"/>
      <c r="DF60" s="125">
        <v>40</v>
      </c>
      <c r="DG60" s="124"/>
      <c r="DH60" s="124"/>
      <c r="DI60" s="126"/>
      <c r="DJ60" s="125">
        <v>41</v>
      </c>
      <c r="DK60" s="124"/>
      <c r="DL60" s="126"/>
      <c r="DM60" s="125">
        <v>42</v>
      </c>
      <c r="DN60" s="126"/>
      <c r="DO60" s="127">
        <v>43</v>
      </c>
      <c r="DP60" s="125">
        <v>44</v>
      </c>
      <c r="DQ60" s="126"/>
      <c r="DR60" s="125">
        <v>45</v>
      </c>
      <c r="DS60" s="124"/>
      <c r="DT60" s="126"/>
      <c r="DU60" s="125">
        <v>46</v>
      </c>
      <c r="DV60" s="126"/>
      <c r="DW60" s="124">
        <v>47</v>
      </c>
      <c r="DX60" s="124"/>
      <c r="DY60" s="124"/>
      <c r="DZ60" s="125">
        <v>48</v>
      </c>
      <c r="EA60" s="124"/>
      <c r="EB60" s="124"/>
      <c r="EC60" s="126"/>
      <c r="ED60" s="125">
        <v>49</v>
      </c>
      <c r="EE60" s="124"/>
      <c r="EF60" s="126"/>
      <c r="EG60" s="125">
        <v>50</v>
      </c>
      <c r="EH60" s="126"/>
      <c r="EI60" s="127">
        <v>51</v>
      </c>
      <c r="EJ60" s="125">
        <v>52</v>
      </c>
      <c r="EK60" s="126"/>
      <c r="EL60" s="130">
        <v>53</v>
      </c>
      <c r="EM60" s="98">
        <v>54</v>
      </c>
      <c r="EN60" s="131">
        <v>55</v>
      </c>
      <c r="EO60" s="125">
        <v>56</v>
      </c>
      <c r="EP60" s="126"/>
      <c r="EQ60" s="125">
        <v>57</v>
      </c>
      <c r="ER60" s="124"/>
      <c r="ES60" s="126"/>
      <c r="ET60" s="125">
        <v>58</v>
      </c>
      <c r="EU60" s="126"/>
      <c r="EV60" s="127">
        <v>59</v>
      </c>
      <c r="EW60" s="125">
        <v>60</v>
      </c>
      <c r="EX60" s="126"/>
      <c r="EY60" s="125">
        <v>61</v>
      </c>
      <c r="EZ60" s="124"/>
      <c r="FA60" s="126"/>
      <c r="FB60" s="125">
        <v>62</v>
      </c>
      <c r="FC60" s="126"/>
      <c r="FD60" s="124">
        <v>63</v>
      </c>
      <c r="FE60" s="124"/>
      <c r="FF60" s="124"/>
      <c r="FG60" s="125">
        <v>64</v>
      </c>
      <c r="FH60" s="124"/>
      <c r="FI60" s="124"/>
      <c r="FJ60" s="126"/>
      <c r="FK60" s="125">
        <v>65</v>
      </c>
      <c r="FL60" s="124"/>
      <c r="FM60" s="124"/>
      <c r="FN60" s="124"/>
      <c r="FO60" s="126"/>
      <c r="FP60" s="125">
        <v>66</v>
      </c>
      <c r="FQ60" s="124"/>
      <c r="FR60" s="124"/>
      <c r="FS60" s="126"/>
      <c r="FT60" s="125">
        <v>67</v>
      </c>
      <c r="FU60" s="124"/>
      <c r="FV60" s="126"/>
      <c r="FW60" s="125">
        <v>68</v>
      </c>
      <c r="FX60" s="124"/>
      <c r="FY60" s="124"/>
      <c r="FZ60" s="126"/>
      <c r="GA60" s="125">
        <v>69</v>
      </c>
      <c r="GB60" s="124"/>
      <c r="GC60" s="126"/>
      <c r="GD60" s="125">
        <v>70</v>
      </c>
      <c r="GE60" s="126"/>
      <c r="GF60" s="125">
        <v>71</v>
      </c>
      <c r="GG60" s="124"/>
      <c r="GH60" s="126"/>
      <c r="GI60" s="125">
        <v>72</v>
      </c>
      <c r="GJ60" s="124"/>
      <c r="GK60" s="124"/>
      <c r="GL60" s="126"/>
      <c r="GM60" s="124">
        <v>73</v>
      </c>
      <c r="GN60" s="124"/>
      <c r="GO60" s="124"/>
      <c r="GP60" s="125">
        <v>74</v>
      </c>
      <c r="GQ60" s="126"/>
      <c r="GR60" s="127">
        <v>75</v>
      </c>
      <c r="GS60" s="125">
        <v>76</v>
      </c>
      <c r="GT60" s="126"/>
      <c r="GU60" s="125">
        <v>77</v>
      </c>
      <c r="GV60" s="124"/>
      <c r="GW60" s="126"/>
      <c r="GX60" s="125">
        <v>78</v>
      </c>
      <c r="GY60" s="126"/>
      <c r="GZ60" s="125">
        <v>79</v>
      </c>
      <c r="HA60" s="124"/>
      <c r="HB60" s="126"/>
      <c r="HC60" s="125">
        <v>80</v>
      </c>
      <c r="HD60" s="124"/>
      <c r="HE60" s="124"/>
      <c r="HF60" s="126"/>
      <c r="HG60" s="125">
        <v>81</v>
      </c>
      <c r="HH60" s="124"/>
      <c r="HI60" s="124"/>
      <c r="HJ60" s="124"/>
      <c r="HK60" s="126"/>
      <c r="HL60" s="125">
        <v>82</v>
      </c>
      <c r="HM60" s="124"/>
      <c r="HN60" s="124"/>
      <c r="HO60" s="126"/>
      <c r="HP60" s="125">
        <v>83</v>
      </c>
      <c r="HQ60" s="124"/>
      <c r="HR60" s="126"/>
      <c r="HS60" s="124">
        <v>84</v>
      </c>
      <c r="HT60" s="124"/>
      <c r="HU60" s="124"/>
      <c r="HV60" s="124"/>
      <c r="HW60" s="125">
        <v>85</v>
      </c>
      <c r="HX60" s="124"/>
      <c r="HY60" s="126"/>
      <c r="HZ60" s="125">
        <v>86</v>
      </c>
      <c r="IA60" s="126"/>
      <c r="IB60" s="125">
        <v>87</v>
      </c>
      <c r="IC60" s="124"/>
      <c r="ID60" s="126"/>
      <c r="IE60" s="125">
        <v>88</v>
      </c>
      <c r="IF60" s="124"/>
      <c r="IG60" s="124"/>
      <c r="IH60" s="126"/>
      <c r="II60" s="125">
        <v>89</v>
      </c>
      <c r="IJ60" s="124"/>
      <c r="IK60" s="124"/>
      <c r="IL60" s="124"/>
      <c r="IM60" s="126"/>
      <c r="IN60" s="125">
        <v>90</v>
      </c>
      <c r="IO60" s="124"/>
      <c r="IP60" s="124"/>
      <c r="IQ60" s="126"/>
      <c r="IR60" s="125">
        <v>91</v>
      </c>
      <c r="IS60" s="124"/>
      <c r="IT60" s="126"/>
      <c r="IU60" s="125">
        <v>92</v>
      </c>
      <c r="IV60" s="124"/>
      <c r="IW60" s="124"/>
      <c r="IX60" s="126"/>
      <c r="IY60" s="125">
        <v>93</v>
      </c>
      <c r="IZ60" s="124"/>
      <c r="JA60" s="124"/>
      <c r="JB60" s="124"/>
      <c r="JC60" s="126"/>
      <c r="JD60" s="124">
        <v>94</v>
      </c>
      <c r="JE60" s="124"/>
      <c r="JF60" s="124"/>
      <c r="JG60" s="124"/>
      <c r="JH60" s="125">
        <v>95</v>
      </c>
      <c r="JI60" s="124"/>
      <c r="JJ60" s="124"/>
      <c r="JK60" s="124"/>
      <c r="JL60" s="126"/>
      <c r="JM60" s="125">
        <v>96</v>
      </c>
      <c r="JN60" s="124"/>
      <c r="JO60" s="124"/>
      <c r="JP60" s="124"/>
      <c r="JQ60" s="124"/>
      <c r="JR60" s="126"/>
      <c r="JS60" s="124">
        <v>97</v>
      </c>
      <c r="JT60" s="124"/>
      <c r="JU60" s="124"/>
      <c r="JV60" s="124"/>
      <c r="JW60" s="124"/>
      <c r="JX60" s="124"/>
      <c r="KB60" s="38"/>
    </row>
    <row r="61" spans="1:288" ht="16.5" x14ac:dyDescent="0.25">
      <c r="A61" s="105"/>
      <c r="B61" s="105"/>
      <c r="C61" s="105"/>
      <c r="D61" s="105"/>
      <c r="E61" s="30"/>
      <c r="F61" s="30"/>
      <c r="G61" s="30"/>
      <c r="H61" s="30"/>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0"/>
      <c r="AL61" s="30"/>
      <c r="AM61" s="30"/>
      <c r="AN61" s="30"/>
      <c r="AO61" s="31"/>
      <c r="AP61" s="31"/>
      <c r="AQ61" s="31"/>
      <c r="AR61" s="31"/>
      <c r="AS61" s="31"/>
      <c r="AT61" s="31"/>
      <c r="AU61" s="31"/>
      <c r="AV61" s="31"/>
      <c r="AW61" s="31"/>
      <c r="AX61" s="31"/>
      <c r="AY61" s="31"/>
      <c r="AZ61" s="31"/>
      <c r="BA61" s="31"/>
      <c r="BB61" s="31"/>
      <c r="BC61" s="31"/>
      <c r="BD61" s="31"/>
      <c r="BE61" s="30"/>
      <c r="BF61" s="30"/>
      <c r="BG61" s="30"/>
      <c r="BH61" s="30"/>
      <c r="BI61" s="31"/>
      <c r="BJ61" s="31"/>
      <c r="BK61" s="31"/>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0"/>
      <c r="CM61" s="30"/>
      <c r="CN61" s="30"/>
      <c r="CO61" s="30"/>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c r="DU61" s="31"/>
      <c r="DV61" s="30"/>
      <c r="DW61" s="30"/>
      <c r="DX61" s="30"/>
      <c r="DY61" s="31"/>
      <c r="DZ61" s="31"/>
      <c r="EA61" s="31"/>
      <c r="EB61" s="31"/>
      <c r="EC61" s="31"/>
      <c r="ED61" s="31"/>
      <c r="EE61" s="31"/>
      <c r="EF61" s="31"/>
      <c r="EG61" s="31"/>
      <c r="EH61" s="31"/>
      <c r="EI61" s="31"/>
      <c r="EJ61" s="31"/>
      <c r="EK61" s="31"/>
      <c r="EL61" s="31"/>
      <c r="EM61" s="31"/>
      <c r="EN61" s="31"/>
      <c r="EO61" s="31"/>
      <c r="EP61" s="31"/>
      <c r="EQ61" s="31"/>
      <c r="ER61" s="31"/>
      <c r="ES61" s="31"/>
      <c r="ET61" s="31"/>
      <c r="EU61" s="31"/>
      <c r="EV61" s="31"/>
      <c r="EW61" s="31"/>
      <c r="EX61" s="31"/>
      <c r="EY61" s="31"/>
      <c r="EZ61" s="31"/>
      <c r="FA61" s="31"/>
      <c r="FB61" s="30"/>
      <c r="FC61" s="30"/>
      <c r="FD61" s="30"/>
      <c r="FE61" s="31"/>
      <c r="FF61" s="31"/>
      <c r="FG61" s="31"/>
      <c r="FH61" s="31"/>
      <c r="FI61" s="31"/>
      <c r="FJ61" s="31"/>
      <c r="FK61" s="31"/>
      <c r="FL61" s="31"/>
      <c r="FM61" s="31"/>
      <c r="FN61" s="31"/>
      <c r="FO61" s="31"/>
      <c r="FP61" s="31"/>
      <c r="FQ61" s="31"/>
      <c r="FR61" s="31"/>
      <c r="FS61" s="31"/>
      <c r="FT61" s="31"/>
      <c r="FU61" s="31"/>
      <c r="FV61" s="31"/>
      <c r="FW61" s="31"/>
      <c r="FX61" s="31"/>
      <c r="FY61" s="31"/>
      <c r="FZ61" s="31"/>
      <c r="GA61" s="31"/>
      <c r="GB61" s="31"/>
      <c r="GC61" s="31"/>
      <c r="GD61" s="31"/>
      <c r="GE61" s="31"/>
      <c r="GF61" s="31"/>
      <c r="GG61" s="31"/>
      <c r="GH61" s="31"/>
      <c r="GI61" s="31"/>
      <c r="GJ61" s="31"/>
      <c r="GK61" s="30"/>
      <c r="GL61" s="30"/>
      <c r="GM61" s="30"/>
      <c r="GN61" s="31"/>
      <c r="GO61" s="31"/>
      <c r="GP61" s="31"/>
      <c r="GQ61" s="31"/>
      <c r="GR61" s="31"/>
      <c r="GS61" s="31"/>
      <c r="GT61" s="31"/>
      <c r="GU61" s="31"/>
      <c r="GV61" s="31"/>
      <c r="GW61" s="31"/>
      <c r="GX61" s="31"/>
      <c r="GY61" s="31"/>
      <c r="GZ61" s="31"/>
      <c r="HA61" s="31"/>
      <c r="HB61" s="31"/>
      <c r="HC61" s="31"/>
      <c r="HD61" s="31"/>
      <c r="HE61" s="31"/>
      <c r="HF61" s="31"/>
      <c r="HG61" s="31"/>
      <c r="HH61" s="31"/>
      <c r="HI61" s="31"/>
      <c r="HJ61" s="31"/>
      <c r="HK61" s="31"/>
      <c r="HL61" s="31"/>
      <c r="HM61" s="31"/>
      <c r="HN61" s="31"/>
      <c r="HO61" s="31"/>
      <c r="HP61" s="31"/>
      <c r="HQ61" s="30"/>
      <c r="HR61" s="30"/>
      <c r="HS61" s="30"/>
      <c r="HT61" s="30"/>
      <c r="HU61" s="31"/>
      <c r="HV61" s="31"/>
      <c r="HW61" s="31"/>
      <c r="HX61" s="31"/>
      <c r="HY61" s="31"/>
      <c r="HZ61" s="31"/>
      <c r="IA61" s="31"/>
      <c r="IB61" s="31"/>
      <c r="IC61" s="31"/>
      <c r="ID61" s="31"/>
      <c r="IE61" s="31"/>
      <c r="IF61" s="31"/>
      <c r="IG61" s="31"/>
      <c r="IH61" s="31"/>
      <c r="II61" s="31"/>
      <c r="IJ61" s="31"/>
      <c r="IK61" s="31"/>
      <c r="IL61" s="31"/>
      <c r="IM61" s="31"/>
      <c r="IN61" s="31"/>
      <c r="IO61" s="31"/>
      <c r="IP61" s="31"/>
      <c r="IQ61" s="31"/>
      <c r="IR61" s="31"/>
      <c r="IS61" s="31"/>
      <c r="IT61" s="31"/>
      <c r="IU61" s="31"/>
      <c r="IV61" s="31"/>
      <c r="IW61" s="31"/>
      <c r="IX61" s="31"/>
      <c r="IY61" s="31"/>
      <c r="IZ61" s="31"/>
      <c r="JA61" s="31"/>
      <c r="JB61" s="30"/>
      <c r="JC61" s="30"/>
      <c r="JD61" s="30"/>
      <c r="JE61" s="30"/>
      <c r="JF61" s="31"/>
      <c r="JG61" s="31"/>
      <c r="JH61" s="31"/>
      <c r="JI61" s="31"/>
      <c r="JJ61" s="31"/>
      <c r="JK61" s="31"/>
      <c r="JL61" s="31"/>
      <c r="JM61" s="31"/>
      <c r="JN61" s="31"/>
      <c r="JO61" s="31"/>
      <c r="JP61" s="31"/>
      <c r="JQ61" s="30"/>
      <c r="JR61" s="30"/>
      <c r="JS61" s="30"/>
      <c r="JT61" s="30"/>
      <c r="JU61" s="30"/>
      <c r="JV61" s="30"/>
      <c r="KB61" s="32"/>
    </row>
    <row r="62" spans="1:288" x14ac:dyDescent="0.25">
      <c r="A62" s="194"/>
      <c r="B62" s="194"/>
      <c r="C62" s="194"/>
      <c r="D62" s="194"/>
      <c r="E62" s="145">
        <v>1</v>
      </c>
      <c r="F62" s="145">
        <v>2</v>
      </c>
      <c r="G62" s="145">
        <v>3</v>
      </c>
      <c r="H62" s="145">
        <v>4</v>
      </c>
      <c r="I62" s="145">
        <v>5</v>
      </c>
      <c r="J62" s="145">
        <v>6</v>
      </c>
      <c r="K62" s="145">
        <v>7</v>
      </c>
      <c r="L62" s="145">
        <v>8</v>
      </c>
      <c r="M62" s="145">
        <v>9</v>
      </c>
      <c r="N62" s="145">
        <v>10</v>
      </c>
      <c r="O62" s="146">
        <v>11</v>
      </c>
      <c r="P62" s="145">
        <v>12</v>
      </c>
      <c r="Q62" s="145">
        <v>13</v>
      </c>
      <c r="R62" s="145">
        <v>14</v>
      </c>
      <c r="S62" s="145">
        <v>15</v>
      </c>
      <c r="T62" s="145">
        <v>16</v>
      </c>
      <c r="U62" s="145">
        <v>17</v>
      </c>
      <c r="V62" s="145">
        <v>18</v>
      </c>
      <c r="W62" s="145">
        <v>19</v>
      </c>
      <c r="X62" s="145">
        <v>20</v>
      </c>
      <c r="Y62" s="145">
        <v>21</v>
      </c>
      <c r="Z62" s="145">
        <v>22</v>
      </c>
      <c r="AA62" s="145">
        <v>23</v>
      </c>
      <c r="AB62" s="145">
        <v>24</v>
      </c>
      <c r="AC62" s="145">
        <v>25</v>
      </c>
      <c r="AD62" s="147">
        <v>26</v>
      </c>
      <c r="AE62" s="148">
        <v>27</v>
      </c>
      <c r="AF62" s="148">
        <v>28</v>
      </c>
      <c r="AG62" s="148">
        <v>29</v>
      </c>
      <c r="AH62" s="149">
        <v>30</v>
      </c>
      <c r="AI62" s="150">
        <v>31</v>
      </c>
      <c r="AJ62" s="151">
        <v>32</v>
      </c>
      <c r="AK62" s="151">
        <v>33</v>
      </c>
      <c r="AL62" s="152">
        <v>34</v>
      </c>
      <c r="AM62" s="145">
        <v>35</v>
      </c>
      <c r="AN62" s="145">
        <v>36</v>
      </c>
      <c r="AO62" s="145">
        <v>37</v>
      </c>
      <c r="AP62" s="145">
        <v>38</v>
      </c>
      <c r="AQ62" s="145">
        <v>39</v>
      </c>
      <c r="AR62" s="145">
        <v>40</v>
      </c>
      <c r="AS62" s="145">
        <v>41</v>
      </c>
      <c r="AT62" s="145">
        <v>42</v>
      </c>
      <c r="AU62" s="145">
        <v>43</v>
      </c>
      <c r="AV62" s="145">
        <v>44</v>
      </c>
      <c r="AW62" s="145">
        <v>45</v>
      </c>
      <c r="AX62" s="145">
        <v>46</v>
      </c>
      <c r="AY62" s="145">
        <v>47</v>
      </c>
      <c r="AZ62" s="145">
        <v>48</v>
      </c>
      <c r="BA62" s="145">
        <v>49</v>
      </c>
      <c r="BB62" s="145">
        <v>50</v>
      </c>
      <c r="BC62" s="145">
        <v>51</v>
      </c>
      <c r="BD62" s="145">
        <v>52</v>
      </c>
      <c r="BE62" s="145">
        <v>53</v>
      </c>
      <c r="BF62" s="153">
        <v>54</v>
      </c>
      <c r="BG62" s="145">
        <v>55</v>
      </c>
      <c r="BH62" s="145">
        <v>56</v>
      </c>
      <c r="BI62" s="145">
        <v>57</v>
      </c>
      <c r="BJ62" s="145">
        <v>58</v>
      </c>
      <c r="BK62" s="145">
        <v>59</v>
      </c>
      <c r="BL62" s="145">
        <v>60</v>
      </c>
      <c r="BM62" s="145">
        <v>61</v>
      </c>
      <c r="BN62" s="145">
        <v>62</v>
      </c>
      <c r="BO62" s="145">
        <v>63</v>
      </c>
      <c r="BP62" s="147">
        <v>64</v>
      </c>
      <c r="BQ62" s="148">
        <v>65</v>
      </c>
      <c r="BR62" s="148">
        <v>66</v>
      </c>
      <c r="BS62" s="148">
        <v>67</v>
      </c>
      <c r="BT62" s="148">
        <v>68</v>
      </c>
      <c r="BU62" s="148">
        <v>69</v>
      </c>
      <c r="BV62" s="151">
        <v>70</v>
      </c>
      <c r="BW62" s="151">
        <v>71</v>
      </c>
      <c r="BX62" s="151">
        <v>72</v>
      </c>
      <c r="BY62" s="151">
        <v>73</v>
      </c>
      <c r="BZ62" s="152">
        <v>74</v>
      </c>
      <c r="CA62" s="145">
        <v>75</v>
      </c>
      <c r="CB62" s="145">
        <v>76</v>
      </c>
      <c r="CC62" s="145">
        <v>77</v>
      </c>
      <c r="CD62" s="145">
        <v>78</v>
      </c>
      <c r="CE62" s="145">
        <v>79</v>
      </c>
      <c r="CF62" s="145">
        <v>80</v>
      </c>
      <c r="CG62" s="145">
        <v>81</v>
      </c>
      <c r="CH62" s="145">
        <v>82</v>
      </c>
      <c r="CI62" s="145">
        <v>83</v>
      </c>
      <c r="CJ62" s="145">
        <v>84</v>
      </c>
      <c r="CK62" s="145">
        <v>85</v>
      </c>
      <c r="CL62" s="145">
        <v>86</v>
      </c>
      <c r="CM62" s="145">
        <v>87</v>
      </c>
      <c r="CN62" s="145">
        <v>88</v>
      </c>
      <c r="CO62" s="145">
        <v>89</v>
      </c>
      <c r="CP62" s="145">
        <v>90</v>
      </c>
      <c r="CQ62" s="145">
        <v>91</v>
      </c>
      <c r="CR62" s="145">
        <v>92</v>
      </c>
      <c r="CS62" s="145">
        <v>93</v>
      </c>
      <c r="CT62" s="145">
        <v>94</v>
      </c>
      <c r="CU62" s="145">
        <v>95</v>
      </c>
      <c r="CV62" s="145">
        <v>96</v>
      </c>
      <c r="CW62" s="145">
        <v>97</v>
      </c>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c r="EH62" s="17"/>
      <c r="EI62" s="17"/>
      <c r="EJ62" s="17"/>
      <c r="EK62" s="17"/>
      <c r="EL62" s="17"/>
      <c r="EM62" s="17"/>
      <c r="EN62" s="17"/>
      <c r="EO62" s="17"/>
      <c r="EP62" s="17"/>
      <c r="EQ62" s="17"/>
      <c r="ER62" s="17"/>
      <c r="ES62" s="17"/>
      <c r="ET62" s="17"/>
      <c r="EU62" s="17"/>
      <c r="EV62" s="17"/>
      <c r="EW62" s="17"/>
      <c r="EX62" s="17"/>
      <c r="EY62" s="17"/>
      <c r="EZ62" s="17"/>
      <c r="FA62" s="17"/>
      <c r="FB62" s="17"/>
      <c r="FC62" s="17"/>
      <c r="FD62" s="17"/>
      <c r="FE62" s="17"/>
      <c r="FF62" s="17"/>
      <c r="FG62" s="17"/>
      <c r="FH62" s="17"/>
      <c r="FI62" s="17"/>
      <c r="FJ62" s="17"/>
      <c r="FK62" s="17"/>
      <c r="FL62" s="17"/>
      <c r="FM62" s="17"/>
      <c r="FN62" s="17"/>
      <c r="FO62" s="17"/>
      <c r="FP62" s="17"/>
      <c r="FQ62" s="17"/>
      <c r="FR62" s="17"/>
      <c r="FS62" s="17"/>
      <c r="FT62" s="17"/>
      <c r="FU62" s="17"/>
      <c r="FV62" s="17"/>
      <c r="FW62" s="17"/>
      <c r="FX62" s="17"/>
      <c r="FY62" s="17"/>
      <c r="FZ62" s="17"/>
      <c r="GA62" s="17"/>
      <c r="GB62" s="17"/>
      <c r="GC62" s="17"/>
      <c r="GD62" s="17"/>
      <c r="GE62" s="17"/>
      <c r="GF62" s="17"/>
      <c r="GG62" s="17"/>
      <c r="GH62" s="17"/>
      <c r="GI62" s="17"/>
      <c r="GJ62" s="17"/>
      <c r="GK62" s="17"/>
      <c r="GL62" s="17"/>
      <c r="GM62" s="17"/>
      <c r="GN62" s="17"/>
      <c r="GO62" s="17"/>
      <c r="GP62" s="17"/>
      <c r="GQ62" s="17"/>
      <c r="GR62" s="17"/>
      <c r="GS62" s="17"/>
      <c r="GT62" s="17"/>
      <c r="GU62" s="17"/>
      <c r="GV62" s="17"/>
      <c r="GW62" s="17"/>
      <c r="GX62" s="17"/>
      <c r="GY62" s="17"/>
      <c r="GZ62" s="17"/>
      <c r="HA62" s="17"/>
      <c r="HB62" s="17"/>
      <c r="HC62" s="17"/>
      <c r="HD62" s="17"/>
      <c r="HE62" s="17"/>
      <c r="HF62" s="17"/>
      <c r="HG62" s="17"/>
      <c r="HH62" s="17"/>
      <c r="HI62" s="17"/>
      <c r="HJ62" s="17"/>
      <c r="HK62" s="17"/>
      <c r="HL62" s="17"/>
      <c r="HM62" s="17"/>
      <c r="HN62" s="17"/>
      <c r="HO62" s="17"/>
      <c r="HP62" s="17"/>
      <c r="HQ62" s="17"/>
      <c r="HR62" s="17"/>
      <c r="HS62" s="17"/>
      <c r="HT62" s="17"/>
      <c r="HU62" s="17"/>
      <c r="HV62" s="17"/>
      <c r="HW62" s="17"/>
      <c r="HX62" s="17"/>
      <c r="HY62" s="17"/>
      <c r="HZ62" s="17"/>
      <c r="IA62" s="17"/>
      <c r="IB62" s="17"/>
      <c r="IC62" s="17"/>
      <c r="ID62" s="17"/>
      <c r="IE62" s="17"/>
      <c r="IF62" s="17"/>
      <c r="IG62" s="17"/>
      <c r="IH62" s="17"/>
      <c r="II62" s="17"/>
      <c r="IJ62" s="17"/>
      <c r="IK62" s="17"/>
      <c r="IL62" s="17"/>
      <c r="IM62" s="17"/>
      <c r="IN62" s="17"/>
      <c r="IO62" s="17"/>
      <c r="IP62" s="17"/>
      <c r="IQ62" s="17"/>
      <c r="IR62" s="17"/>
      <c r="IS62" s="17"/>
      <c r="IT62" s="17"/>
      <c r="IU62" s="17"/>
      <c r="IV62" s="17"/>
      <c r="IW62" s="17"/>
      <c r="IX62" s="17"/>
      <c r="IY62" s="17"/>
      <c r="IZ62" s="17"/>
      <c r="JA62" s="17"/>
      <c r="JB62" s="17"/>
      <c r="JC62" s="17"/>
      <c r="JD62" s="17"/>
      <c r="JE62" s="17"/>
      <c r="JF62" s="17"/>
      <c r="JG62" s="17"/>
      <c r="JH62" s="17"/>
      <c r="JI62" s="17"/>
      <c r="JJ62" s="17"/>
      <c r="JK62" s="17"/>
      <c r="JL62" s="17"/>
      <c r="JM62" s="17"/>
      <c r="JN62" s="17"/>
      <c r="JO62" s="17"/>
      <c r="JP62" s="17"/>
      <c r="JQ62" s="17"/>
      <c r="JR62" s="17"/>
      <c r="JS62" s="17"/>
      <c r="JT62" s="17"/>
      <c r="JU62" s="17"/>
      <c r="JV62" s="17"/>
      <c r="JW62" s="17"/>
      <c r="JX62" s="17"/>
      <c r="JY62" s="17"/>
      <c r="JZ62" s="17"/>
      <c r="KA62" s="17"/>
      <c r="KB62" s="32"/>
    </row>
    <row r="63" spans="1:288" ht="16.5" x14ac:dyDescent="0.25">
      <c r="A63" s="105"/>
      <c r="B63" s="105"/>
      <c r="C63" s="105"/>
      <c r="D63" s="195"/>
      <c r="E63" s="154">
        <f>SUM(E41,E47,E53,E59)</f>
        <v>20</v>
      </c>
      <c r="F63" s="155">
        <f>SUM(I41,I47,I53,I59)</f>
        <v>12</v>
      </c>
      <c r="G63" s="155">
        <f>SUM(L41,L47,L53,L59)</f>
        <v>18</v>
      </c>
      <c r="H63" s="155">
        <f>SUM(N41,N47,N53,N59)</f>
        <v>4</v>
      </c>
      <c r="I63" s="155">
        <f>SUM(Q41,Q47,Q53,Q59)</f>
        <v>1</v>
      </c>
      <c r="J63" s="155">
        <f>SUM(S41,S47,S53,S59)</f>
        <v>15</v>
      </c>
      <c r="K63" s="155">
        <f>SUM(T41,T47,T53,T59)</f>
        <v>7</v>
      </c>
      <c r="L63" s="155">
        <f>SUM(V41,V47,V53,V59)</f>
        <v>20</v>
      </c>
      <c r="M63" s="155">
        <f>SUM(Y41,Y47,Y53,Y59)</f>
        <v>8</v>
      </c>
      <c r="N63" s="156">
        <f>SUM(AA41,AA47,AA53,AA59)</f>
        <v>5</v>
      </c>
      <c r="O63" s="157">
        <f>SUM(AB41,AB47,AB53,AB59)</f>
        <v>0</v>
      </c>
      <c r="P63" s="158">
        <f>SUM(AC41,AC47,AC53,AC59)</f>
        <v>3</v>
      </c>
      <c r="Q63" s="155">
        <f>SUM(AD41,AD47,AD53,AD59)</f>
        <v>12</v>
      </c>
      <c r="R63" s="155">
        <f>SUM(AF41,AF47,AF53,AF59)</f>
        <v>8</v>
      </c>
      <c r="S63" s="155">
        <f>SUM(AG41,AG47,AG53,AG59)</f>
        <v>4</v>
      </c>
      <c r="T63" s="156">
        <f>SUM(AI41,AI47,AI53,AI59)</f>
        <v>20</v>
      </c>
      <c r="U63" s="159">
        <f>SUM(AL41,AL47,AL53,AL59)</f>
        <v>1</v>
      </c>
      <c r="V63" s="159">
        <f>SUM(AP41,AP47,AP53,AP59)</f>
        <v>23</v>
      </c>
      <c r="W63" s="159">
        <f>SUM(AS41,AS47,AS53,AS59)</f>
        <v>18</v>
      </c>
      <c r="X63" s="159">
        <f>SUM(AU41,AU47,AU53,AU59)</f>
        <v>1</v>
      </c>
      <c r="Y63" s="159">
        <f>SUM(AX41,AX47,AX53,AX59)</f>
        <v>5</v>
      </c>
      <c r="Z63" s="159">
        <f>SUM(AZ41,AZ47,AZ53,AZ59)</f>
        <v>16</v>
      </c>
      <c r="AA63" s="159">
        <f>SUM(BA41,BA47,BA53,BA59)</f>
        <v>23</v>
      </c>
      <c r="AB63" s="159">
        <f>SUM(BC41,BC47,BC53,BC59)</f>
        <v>20</v>
      </c>
      <c r="AC63" s="160">
        <f>SUM(BF41,BF47,BF53,BF59)</f>
        <v>20</v>
      </c>
      <c r="AD63" s="161">
        <f>SUM(BJ41,BJ47,BJ53,BJ59)</f>
        <v>1</v>
      </c>
      <c r="AE63" s="159">
        <f>SUM(BM41,BM47,BM53,BM59)</f>
        <v>4</v>
      </c>
      <c r="AF63" s="159">
        <f>SUM(BO41,BO47,BO53,BO59)</f>
        <v>5</v>
      </c>
      <c r="AG63" s="159">
        <f>SUM(BR41,BR47,BR53,BR59)</f>
        <v>9</v>
      </c>
      <c r="AH63" s="159">
        <f>SUM(BV41,BV47,BV53,BV59)</f>
        <v>20</v>
      </c>
      <c r="AI63" s="159">
        <f>SUM(BY41,BY47,BY53,BYT59)</f>
        <v>5</v>
      </c>
      <c r="AJ63" s="159">
        <f>SUM(CC41,CC47,CC53,CC59)</f>
        <v>1</v>
      </c>
      <c r="AK63" s="159">
        <f>SUM(CH41,CH47,CH53,CH59)</f>
        <v>1</v>
      </c>
      <c r="AL63" s="162">
        <f>SUM(CM41,CM47,CM53,CM59)</f>
        <v>20</v>
      </c>
      <c r="AM63" s="158">
        <f>SUM(CQ41,CQ47,CQ53,CQ59)</f>
        <v>19</v>
      </c>
      <c r="AN63" s="159">
        <f>SUM(CT41,CT47,CT53,CT59)</f>
        <v>6</v>
      </c>
      <c r="AO63" s="159">
        <f>SUM(CX41,CX47,CX53,CX59)</f>
        <v>2</v>
      </c>
      <c r="AP63" s="159">
        <f>SUM(DA41,DA47,DA53,DA59)</f>
        <v>5</v>
      </c>
      <c r="AQ63" s="159">
        <f>SUM(DC41,DC47,DC53,DC59)</f>
        <v>25</v>
      </c>
      <c r="AR63" s="159">
        <f>SUM(DF41,DF47,DF53,DF59)</f>
        <v>20</v>
      </c>
      <c r="AS63" s="159">
        <f>SUM(DJ41,DJ47,DJ19,DJ59)</f>
        <v>20</v>
      </c>
      <c r="AT63" s="159">
        <f>SUM(DM41,DM47,DM19,DM59)</f>
        <v>5</v>
      </c>
      <c r="AU63" s="159">
        <f>SUM(DO41,DO47,DO19,DO59)</f>
        <v>5</v>
      </c>
      <c r="AV63" s="159">
        <f>SUM(DP41,DP47,DP19,DP59)</f>
        <v>8</v>
      </c>
      <c r="AW63" s="159">
        <f>SUM(DR41,DR47,DR53,DR59)</f>
        <v>13</v>
      </c>
      <c r="AX63" s="159">
        <f>SUM(DU41,DU47,DU19,DU59)</f>
        <v>19</v>
      </c>
      <c r="AY63" s="159">
        <f>SUM(DW41,DW47,DW53,DW59)</f>
        <v>2</v>
      </c>
      <c r="AZ63" s="159">
        <f>SUM(DZ41,DZ47,DZ53,DZ59)</f>
        <v>9</v>
      </c>
      <c r="BA63" s="159">
        <f>SUM(ED41,ED47,ED53,ED59)</f>
        <v>25</v>
      </c>
      <c r="BB63" s="159">
        <f>SUM(EG41,EG47,EG53,EG59)</f>
        <v>3</v>
      </c>
      <c r="BC63" s="159">
        <f>SUM(EI41,EI47,EI53,EI59)</f>
        <v>5</v>
      </c>
      <c r="BD63" s="159">
        <f>SUM(EJ41,EJ47,EJ53,EJ59)</f>
        <v>5</v>
      </c>
      <c r="BE63" s="160">
        <f>SUM(EL41,EL47,EL53,EL59)</f>
        <v>17</v>
      </c>
      <c r="BF63" s="157">
        <f>SUM(EM41,EM47,EM53,EM59)</f>
        <v>0</v>
      </c>
      <c r="BG63" s="158">
        <f>SUM(EN41,EN47,EN53,EN59)</f>
        <v>25</v>
      </c>
      <c r="BH63" s="159">
        <f>SUM(EO41,EO47,EO53,EO59)</f>
        <v>5</v>
      </c>
      <c r="BI63" s="159">
        <f>SUM(EQ41,EQ47,EQ53,EQ59)</f>
        <v>25</v>
      </c>
      <c r="BJ63" s="159">
        <f>SUM(ET41,ET47,ET53,ET59)</f>
        <v>5</v>
      </c>
      <c r="BK63" s="159">
        <f>SUM(EV41,EV47,EV53,EV59)</f>
        <v>8</v>
      </c>
      <c r="BL63" s="159">
        <f>SUM(EW41,EW47,EW53,EW59)</f>
        <v>14</v>
      </c>
      <c r="BM63" s="159">
        <f>SUM(EY41,EY47,EY53,EY59)</f>
        <v>23</v>
      </c>
      <c r="BN63" s="159">
        <f>SUM(FBA41,FB47,FB53,FB59)</f>
        <v>0</v>
      </c>
      <c r="BO63" s="160">
        <f>SUM(FD41,FD47,FD53,FD59)</f>
        <v>19</v>
      </c>
      <c r="BP63" s="161">
        <f>SUM(FG41,FGF47,FG53,FG59)</f>
        <v>6</v>
      </c>
      <c r="BQ63" s="159">
        <f>SUM(FK41,FK47,FK53,FK59)</f>
        <v>5</v>
      </c>
      <c r="BR63" s="159">
        <f>SUM(FP41,FP47,FP53,FP59)</f>
        <v>5</v>
      </c>
      <c r="BS63" s="159">
        <f>SUM(FT41,FT47,FT53,FT59)</f>
        <v>5</v>
      </c>
      <c r="BT63" s="159">
        <f>SUM(FW41,FW47,FW53,FW59)</f>
        <v>20</v>
      </c>
      <c r="BU63" s="159">
        <f>SUM(GA41,GA47,GA53,GA59)</f>
        <v>18</v>
      </c>
      <c r="BV63" s="159">
        <f>SUM(GD41,GD47,GD53,GD59)</f>
        <v>5</v>
      </c>
      <c r="BW63" s="159">
        <f>SUM(GF41,GF47,GF53,GF59)</f>
        <v>9</v>
      </c>
      <c r="BX63" s="159">
        <f>SUM(GI41,GI47,GI53,GI59)</f>
        <v>23</v>
      </c>
      <c r="BY63" s="159">
        <f>SUM(GM41,GM47,GM53,GM59)</f>
        <v>5</v>
      </c>
      <c r="BZ63" s="162">
        <f>SUM(GP41,GP47,GP53,GP59)</f>
        <v>1</v>
      </c>
      <c r="CA63" s="158">
        <f>SUM(GR41,GR47,GR53,GR59)</f>
        <v>9</v>
      </c>
      <c r="CB63" s="159">
        <f>SUM(GS41,GS47,GS53,GS59)</f>
        <v>16</v>
      </c>
      <c r="CC63" s="159">
        <f>SUM(GU41,GU47,GU53,GU59)</f>
        <v>2</v>
      </c>
      <c r="CD63" s="159">
        <f>SUM(GX41,GX47,GX53,GX59)</f>
        <v>5</v>
      </c>
      <c r="CE63" s="159">
        <f>SUM(GZ41,GZ47,GZ53,GZ59)</f>
        <v>14</v>
      </c>
      <c r="CF63" s="159">
        <f>SUM(HC41,HC47,HC53,HC59)</f>
        <v>5</v>
      </c>
      <c r="CG63" s="159">
        <f>SUM(HG41,HG47,HG53,HG59)</f>
        <v>18</v>
      </c>
      <c r="CH63" s="159">
        <f>SUM(HL41,HL47,HL53,HL59)</f>
        <v>1</v>
      </c>
      <c r="CI63" s="159">
        <f>SUM(HP41,HP47,HP53,HP59)</f>
        <v>16</v>
      </c>
      <c r="CJ63" s="159">
        <f>SUM(HS41,HS47,HS53,HS59)</f>
        <v>14</v>
      </c>
      <c r="CK63" s="159">
        <f>SUM(HW41,HW47,HW53,HW59)</f>
        <v>18</v>
      </c>
      <c r="CL63" s="159">
        <f>SUM(HZ41,HZ47,HZ53,HZ59)</f>
        <v>15</v>
      </c>
      <c r="CM63" s="159">
        <f>SUM(IB41,IB47,IB53,IB59)</f>
        <v>19</v>
      </c>
      <c r="CN63" s="159">
        <f>SUM(IE41,IE47,IE53,IE59)</f>
        <v>14</v>
      </c>
      <c r="CO63" s="159">
        <f>SUM(II41,II47,II53,II59)</f>
        <v>12</v>
      </c>
      <c r="CP63" s="159">
        <f>SUM(IN41,IN47,IN53,IN59)</f>
        <v>21</v>
      </c>
      <c r="CQ63" s="159">
        <f>SUM(IR41,IR47,IR53,IR59)</f>
        <v>14</v>
      </c>
      <c r="CR63" s="159">
        <f>SUM(IU41,IU47,IU53,IU59)</f>
        <v>3</v>
      </c>
      <c r="CS63" s="159">
        <f>SUM(IY41,IY47,IY53,IY59)</f>
        <v>14</v>
      </c>
      <c r="CT63" s="159">
        <f>SUM(JD41,JD47,JD53,JD59)</f>
        <v>9</v>
      </c>
      <c r="CU63" s="159">
        <f>SUM(JH41,JH47,JH53,JH59)</f>
        <v>5</v>
      </c>
      <c r="CV63" s="159">
        <f>SUM(JM41,JM47,JM53,JM59)</f>
        <v>5</v>
      </c>
      <c r="CW63" s="159">
        <f>SUM(JS41,JS47,JS53,JS59)</f>
        <v>8</v>
      </c>
      <c r="KB63" s="32"/>
    </row>
    <row r="64" spans="1:288" ht="16.5" x14ac:dyDescent="0.25">
      <c r="A64" s="105"/>
      <c r="B64" s="105"/>
      <c r="C64" s="105"/>
      <c r="D64" s="195"/>
      <c r="E64" s="163">
        <f>SUM(F41,F47,F53,F59)</f>
        <v>9</v>
      </c>
      <c r="F64" s="164">
        <f>SUM(J41,J47,J53,J59)</f>
        <v>4</v>
      </c>
      <c r="G64" s="164">
        <f>SUM(M41,M47,M53,M59)</f>
        <v>4</v>
      </c>
      <c r="H64" s="164">
        <f>SUM(O41,O47,O53,O59)</f>
        <v>19</v>
      </c>
      <c r="I64" s="164">
        <f>SUM(R41,R47,R53,R59)</f>
        <v>5</v>
      </c>
      <c r="J64" s="165"/>
      <c r="K64" s="164">
        <f>SUM(U41,U47,U53,U59)</f>
        <v>5</v>
      </c>
      <c r="L64" s="164">
        <f>SUM(W41,W47,W53,W59)</f>
        <v>9</v>
      </c>
      <c r="M64" s="164">
        <f>SUM(Z41,Z47,Z53,Z59)</f>
        <v>9</v>
      </c>
      <c r="N64" s="165"/>
      <c r="O64" s="166"/>
      <c r="P64" s="165"/>
      <c r="Q64" s="164">
        <f>SUM(AE41,AE47,AE53,AE59)</f>
        <v>9</v>
      </c>
      <c r="R64" s="165"/>
      <c r="S64" s="164">
        <f>SUM(AH41,AH47,AH53,AH59)</f>
        <v>4</v>
      </c>
      <c r="T64" s="167">
        <f>SUM(AJ41,AJ47,AJ53,AJ59)</f>
        <v>3</v>
      </c>
      <c r="U64" s="168">
        <f>SUM(AM41,AM47,AM53,AM59)</f>
        <v>2</v>
      </c>
      <c r="V64" s="168">
        <f>SUM(AQ41,AQ47,AQ53,AQ59)</f>
        <v>5</v>
      </c>
      <c r="W64" s="168">
        <f>SUM(AT41,AT47,AT53,AT59)</f>
        <v>7</v>
      </c>
      <c r="X64" s="168">
        <f>SUM(AV41,AV47,AV53,AV59)</f>
        <v>15</v>
      </c>
      <c r="Y64" s="168">
        <f>SUM(AY41,AY47,AY53,AY59)</f>
        <v>9</v>
      </c>
      <c r="Z64" s="165"/>
      <c r="AA64" s="168">
        <f>SUM(BB41,BB47,BB53,BB59)</f>
        <v>5</v>
      </c>
      <c r="AB64" s="168">
        <f>SUM(BD41,BD47,BD53,BD59)</f>
        <v>19</v>
      </c>
      <c r="AC64" s="169">
        <f>SUM(BG41,BG47,BG53,BG59)</f>
        <v>20</v>
      </c>
      <c r="AD64" s="170">
        <f>SUM(BK41,BK47,BK53,BK59)</f>
        <v>9</v>
      </c>
      <c r="AE64" s="168">
        <f>SUM(BN41,BN47,BN53,BN59)</f>
        <v>4</v>
      </c>
      <c r="AF64" s="168">
        <f>SUM(BP41,BP47,BP53,BP59)</f>
        <v>19</v>
      </c>
      <c r="AG64" s="168">
        <f>SUM(BS41,BS47,BS53,BS59)</f>
        <v>20</v>
      </c>
      <c r="AH64" s="168">
        <f>SUM(BW41,BW47,BW53,BW59)</f>
        <v>18</v>
      </c>
      <c r="AI64" s="168">
        <f>SUM(BZ41,BZ47,BZ53,BZ59)</f>
        <v>1</v>
      </c>
      <c r="AJ64" s="168">
        <f>SUM(CD41,CD47,CD53,CD59)</f>
        <v>15</v>
      </c>
      <c r="AK64" s="168">
        <f>SUM(CI41,CI47,CI53,CI59)</f>
        <v>21</v>
      </c>
      <c r="AL64" s="171">
        <f>SUM(CN41,CN47,CN53,CN59)</f>
        <v>15</v>
      </c>
      <c r="AM64" s="172">
        <f>SUM(CR41,CR47,CR53,CR59)</f>
        <v>1</v>
      </c>
      <c r="AN64" s="168">
        <f>SUM(CU41,CU47,CU53,CU59)</f>
        <v>5</v>
      </c>
      <c r="AO64" s="168">
        <f>SUM(CY41,CY47,CY53,CY59)</f>
        <v>12</v>
      </c>
      <c r="AP64" s="168">
        <f>SUM(DB41,DB47,DB53,DB59)</f>
        <v>5</v>
      </c>
      <c r="AQ64" s="168">
        <f>SUM(DD41,DD47,DD53,DD59)</f>
        <v>7</v>
      </c>
      <c r="AR64" s="168">
        <f>SUM(DG41,DG47,DG53,DG59)</f>
        <v>1</v>
      </c>
      <c r="AS64" s="168">
        <f>SUM(DK41,DK47,DK53,DK59)</f>
        <v>1</v>
      </c>
      <c r="AT64" s="168">
        <f>SUM(DN41,DN47,DN53,DN59)</f>
        <v>23</v>
      </c>
      <c r="AU64" s="165"/>
      <c r="AV64" s="168">
        <f>SUM(DQ41,DQ47,DQ53,DQ59)</f>
        <v>8</v>
      </c>
      <c r="AW64" s="168">
        <f>SUM(DS41,DS47,DS53,DS59)</f>
        <v>1</v>
      </c>
      <c r="AX64" s="168">
        <f>SUM(DV41,DV47,DV53,DV59)</f>
        <v>18</v>
      </c>
      <c r="AY64" s="168">
        <f>SUM(DX41,DX47,DX53,DX59)</f>
        <v>20</v>
      </c>
      <c r="AZ64" s="168">
        <f>SUM(EA41,EA47,EA53,EA59)</f>
        <v>5</v>
      </c>
      <c r="BA64" s="168">
        <f>SUM(EE41,EE47,EE53,EE59)</f>
        <v>1</v>
      </c>
      <c r="BB64" s="168">
        <f>SUM(EH41,EH47,EH53,EH59)</f>
        <v>14</v>
      </c>
      <c r="BC64" s="165"/>
      <c r="BD64" s="168">
        <f>SUM(EK41,EK47,EK53,EK59)</f>
        <v>8</v>
      </c>
      <c r="BE64" s="165"/>
      <c r="BF64" s="166"/>
      <c r="BG64" s="165"/>
      <c r="BH64" s="168">
        <f>SUM(EP41,EP47,EP53,EP59)</f>
        <v>20</v>
      </c>
      <c r="BI64" s="168">
        <f>SUM(ER41,ER47,ER53,ER59)</f>
        <v>15</v>
      </c>
      <c r="BJ64" s="168">
        <f>SUM(EU41,EU47,EU53,EU59)</f>
        <v>1</v>
      </c>
      <c r="BK64" s="165"/>
      <c r="BL64" s="168">
        <f>SUM(EX41,EX47,EX53,EX59)</f>
        <v>5</v>
      </c>
      <c r="BM64" s="168">
        <f>SUM(EZ41,EZ47,EZ53,EZ59)</f>
        <v>9</v>
      </c>
      <c r="BN64" s="168">
        <f>SUM(FC41,FC47,FC53,FC59)</f>
        <v>5</v>
      </c>
      <c r="BO64" s="169">
        <f>SUM(FD41,FD47,FD53,FD59)</f>
        <v>19</v>
      </c>
      <c r="BP64" s="170">
        <f>SUM(FH41,FH47,FH53,FH59)</f>
        <v>20</v>
      </c>
      <c r="BQ64" s="168">
        <f>SUM(FL41,FL47,FL53,FL59)</f>
        <v>1</v>
      </c>
      <c r="BR64" s="168">
        <f>SUM(FQ41,FQ47,FQ53,FQ59)</f>
        <v>18</v>
      </c>
      <c r="BS64" s="168">
        <f>SUM(FU41,FU47,FU53,FU59)</f>
        <v>14</v>
      </c>
      <c r="BT64" s="168">
        <f>SUM(FX41,FX47,FX53,FX59)</f>
        <v>3</v>
      </c>
      <c r="BU64" s="168">
        <f>SUM(GB41,GB47,GB53,GB59)</f>
        <v>14</v>
      </c>
      <c r="BV64" s="168">
        <f>SUM(GE41,GE47,GE53,GE59)</f>
        <v>20</v>
      </c>
      <c r="BW64" s="168">
        <f>SUM(GG41,GG47,GG53,GG59)</f>
        <v>4</v>
      </c>
      <c r="BX64" s="168">
        <f>SUM(GJ41,GJ47,GJ53,GJ59)</f>
        <v>20</v>
      </c>
      <c r="BY64" s="168">
        <f>SUM(GN41,GN47,GN53,GN59)</f>
        <v>1</v>
      </c>
      <c r="BZ64" s="171">
        <f>SUM(GQ41,GQ47,GQ53,GQ59)</f>
        <v>9</v>
      </c>
      <c r="CA64" s="165"/>
      <c r="CB64" s="168">
        <f>SUM(GT41,GT47,GT53,GT59)</f>
        <v>12</v>
      </c>
      <c r="CC64" s="168">
        <f>SUM(GV41,GV47,GV53,GV59)</f>
        <v>5</v>
      </c>
      <c r="CD64" s="168">
        <f>SUM(GY41,GY47,GY53,GY59)</f>
        <v>14</v>
      </c>
      <c r="CE64" s="168">
        <f>SUM(HA41,HA47,HA53,HA59)</f>
        <v>12</v>
      </c>
      <c r="CF64" s="168">
        <f>SUM(HD41,HD47,HD53,HD59)</f>
        <v>16</v>
      </c>
      <c r="CG64" s="168">
        <f>SUM(HH41,HH47,HH53,HH59)</f>
        <v>14</v>
      </c>
      <c r="CH64" s="168">
        <f>SUM(HM41,HM47,HM53,HM59)</f>
        <v>7</v>
      </c>
      <c r="CI64" s="168">
        <f>SUM(HQ41,HQ47,HQ53,HQ59)</f>
        <v>20</v>
      </c>
      <c r="CJ64" s="168">
        <f>SUM(HT41,HT47,HT53,HT59)</f>
        <v>13</v>
      </c>
      <c r="CK64" s="168">
        <f>SUM(HX41,HX47,HX53,HX59)</f>
        <v>13</v>
      </c>
      <c r="CL64" s="168">
        <f>SUM(IA41,IA47,IA53,IA59)</f>
        <v>14</v>
      </c>
      <c r="CM64" s="168">
        <f>SUM(IC41,IC47,IC53,IC59)</f>
        <v>8</v>
      </c>
      <c r="CN64" s="168">
        <f>SUM(IF41,IF47,IF53,IF59)</f>
        <v>12</v>
      </c>
      <c r="CO64" s="168">
        <f>SUM(IJ41,IJ47,IJ53,IJ59)</f>
        <v>12</v>
      </c>
      <c r="CP64" s="168">
        <f>SUM(IO41,IO47,IO53,IO59)</f>
        <v>25</v>
      </c>
      <c r="CQ64" s="168">
        <f>SUM(IS41,IS47,IS53,IS59)</f>
        <v>20</v>
      </c>
      <c r="CR64" s="168">
        <f>SUM(IV41,IV47,IV53,IV59)</f>
        <v>1</v>
      </c>
      <c r="CS64" s="168">
        <f>SUM(IZ41,IZ47,IZ53,IZ59)</f>
        <v>8</v>
      </c>
      <c r="CT64" s="168">
        <f>SUM(JE41,JE47,JE53,JE59)</f>
        <v>2</v>
      </c>
      <c r="CU64" s="168">
        <f>SUM(JI41,JI47,JI53,JI59)</f>
        <v>20</v>
      </c>
      <c r="CV64" s="168">
        <f>SUM(JN41,JN47,JN53,JN59)</f>
        <v>8</v>
      </c>
      <c r="CW64" s="168">
        <f>SUM(JT41,JT47,JT53,JT59)</f>
        <v>15</v>
      </c>
      <c r="KB64" s="32"/>
    </row>
    <row r="65" spans="1:288" ht="16.5" x14ac:dyDescent="0.25">
      <c r="A65" s="105"/>
      <c r="B65" s="105"/>
      <c r="C65" s="105"/>
      <c r="D65" s="195"/>
      <c r="E65" s="163">
        <f>SUM(G41,G47,G53,G59)</f>
        <v>18</v>
      </c>
      <c r="F65" s="164">
        <f>SUM(K41,K47,K53,K59)</f>
        <v>25</v>
      </c>
      <c r="G65" s="165"/>
      <c r="H65" s="164">
        <f>SUM(P41,P47,P53,P59)</f>
        <v>15</v>
      </c>
      <c r="I65" s="165"/>
      <c r="J65" s="165"/>
      <c r="K65" s="165"/>
      <c r="L65" s="164">
        <f>SUM(X41,X47,X53,X59)</f>
        <v>19</v>
      </c>
      <c r="M65" s="165"/>
      <c r="N65" s="165"/>
      <c r="O65" s="166"/>
      <c r="P65" s="165"/>
      <c r="Q65" s="165"/>
      <c r="R65" s="165"/>
      <c r="S65" s="165"/>
      <c r="T65" s="167">
        <f>SUM(AK41,AK47,AK53,AK59)</f>
        <v>5</v>
      </c>
      <c r="U65" s="168">
        <f>SUM(AN41,AN47,AN53,AN59)</f>
        <v>5</v>
      </c>
      <c r="V65" s="168">
        <f>SUM(AR41,AR47,AR53,AR59)</f>
        <v>9</v>
      </c>
      <c r="W65" s="165"/>
      <c r="X65" s="168">
        <f>SUM(AW41,AW47,AW53,AW59)</f>
        <v>18</v>
      </c>
      <c r="Y65" s="165"/>
      <c r="Z65" s="165"/>
      <c r="AA65" s="165"/>
      <c r="AB65" s="168">
        <f>SUM(BE41,BE47,BE53,BE59)</f>
        <v>13</v>
      </c>
      <c r="AC65" s="169">
        <f>SUM(BH41,BH47,BH53,BH59)</f>
        <v>8</v>
      </c>
      <c r="AD65" s="170">
        <f>SUM(BL41,BL47,BL53,BL59)</f>
        <v>14</v>
      </c>
      <c r="AE65" s="165"/>
      <c r="AF65" s="168">
        <f>SUM(BQ41,BQ47,BQ53,BQ59)</f>
        <v>2</v>
      </c>
      <c r="AG65" s="168">
        <f>SUM(BT41,BT47,BT53,BT59)</f>
        <v>18</v>
      </c>
      <c r="AH65" s="168">
        <f>SUM(BX41,BX47,BX53,BX59)</f>
        <v>5</v>
      </c>
      <c r="AI65" s="168">
        <f>SUM(CA41,CA47,CA53,CA59)</f>
        <v>13</v>
      </c>
      <c r="AJ65" s="168">
        <f>SUM(CE41,CE47,CE53,CE59)</f>
        <v>20</v>
      </c>
      <c r="AK65" s="168">
        <f>SUM(CJ41,CJ47,CJ53,CJ59)</f>
        <v>20</v>
      </c>
      <c r="AL65" s="171">
        <f>SUM(CO41,CO47,CO53,CO59)</f>
        <v>9</v>
      </c>
      <c r="AM65" s="172">
        <f>SUM(CS41,CS47,CS53,CS59)</f>
        <v>15</v>
      </c>
      <c r="AN65" s="168">
        <f>SUM(CV41,CV47,CV53,CV59)</f>
        <v>5</v>
      </c>
      <c r="AO65" s="168">
        <f>SUM(CZ41,CZ47,CZ53,CZ59)</f>
        <v>18</v>
      </c>
      <c r="AP65" s="165"/>
      <c r="AQ65" s="168">
        <f>SUM(DE41,DE47,DE53,DE59)</f>
        <v>5</v>
      </c>
      <c r="AR65" s="168">
        <f>SUM(DH41,DH47,DH53,DH59)</f>
        <v>13</v>
      </c>
      <c r="AS65" s="168">
        <f>SUM(DL41,DL47,DL53,DL59)</f>
        <v>14</v>
      </c>
      <c r="AT65" s="165"/>
      <c r="AU65" s="165"/>
      <c r="AV65" s="165"/>
      <c r="AW65" s="168">
        <f>SUM(DT41,DT47,DT53,DT59)</f>
        <v>16</v>
      </c>
      <c r="AX65" s="165"/>
      <c r="AY65" s="168">
        <f>SUM(DY41,DY47,DY53,DY59)</f>
        <v>6</v>
      </c>
      <c r="AZ65" s="168">
        <f>SUM(EB41,EB47,EB53,EB59)</f>
        <v>18</v>
      </c>
      <c r="BA65" s="168">
        <f>SUM(EF41,EF47,EF53,EF59)</f>
        <v>20</v>
      </c>
      <c r="BB65" s="165"/>
      <c r="BC65" s="165"/>
      <c r="BD65" s="165"/>
      <c r="BE65" s="165"/>
      <c r="BF65" s="166"/>
      <c r="BG65" s="165"/>
      <c r="BH65" s="165"/>
      <c r="BI65" s="168">
        <f>SUM(ES41,ES47,ES53,ES59)</f>
        <v>9</v>
      </c>
      <c r="BJ65" s="165"/>
      <c r="BK65" s="165"/>
      <c r="BL65" s="165"/>
      <c r="BM65" s="168">
        <f>SUM(FA41,FA47,FA53,FA59)</f>
        <v>20</v>
      </c>
      <c r="BN65" s="165"/>
      <c r="BO65" s="169">
        <f>SUM(FF41,FF47,FF53,FF59)</f>
        <v>15</v>
      </c>
      <c r="BP65" s="170">
        <f>SUM(FI41,FI47,FI53,FI59)</f>
        <v>5</v>
      </c>
      <c r="BQ65" s="168">
        <f>SUM(FM41,FM47,FM53,FM59)</f>
        <v>8</v>
      </c>
      <c r="BR65" s="168">
        <f>SUM(FR41,FR47,FR53,FR59)</f>
        <v>4</v>
      </c>
      <c r="BS65" s="168">
        <f>SUM(FV41,FV47,FV53,FV59)</f>
        <v>5</v>
      </c>
      <c r="BT65" s="168">
        <f>SUM(FY41,FY47,FY53,FY59)</f>
        <v>8</v>
      </c>
      <c r="BU65" s="168">
        <f>SUM(GC41,GC47,GC53,GC59)</f>
        <v>5</v>
      </c>
      <c r="BV65" s="165"/>
      <c r="BW65" s="168">
        <f>SUM(GH41,GH47,GH53,GH59)</f>
        <v>14</v>
      </c>
      <c r="BX65" s="168">
        <f>SUM(GK41,GK47,GK53,GK59)</f>
        <v>13</v>
      </c>
      <c r="BY65" s="168">
        <f>SUM(GO41,GO47,GO53,GO59)</f>
        <v>3</v>
      </c>
      <c r="BZ65" s="173"/>
      <c r="CA65" s="165"/>
      <c r="CB65" s="165"/>
      <c r="CC65" s="168">
        <f>SUM(GW41,GW47,GW53,GW59)</f>
        <v>12</v>
      </c>
      <c r="CD65" s="165"/>
      <c r="CE65" s="168">
        <f>SUM(HB41,HB47,HB53,HB59)</f>
        <v>19</v>
      </c>
      <c r="CF65" s="168">
        <f>SUM(HE41,HE47,HE53,HE59)</f>
        <v>18</v>
      </c>
      <c r="CG65" s="168">
        <f>SUM(HI41,HI47,HI53,HI59)</f>
        <v>8</v>
      </c>
      <c r="CH65" s="168">
        <f>SUM(HN41,HN47,HN53,HN59)</f>
        <v>14</v>
      </c>
      <c r="CI65" s="168">
        <f>SUM(HR41,HR47,HR53,HR59)</f>
        <v>5</v>
      </c>
      <c r="CJ65" s="168">
        <f>SUM(HU41,HU47,HU53,HU59)</f>
        <v>24</v>
      </c>
      <c r="CK65" s="168">
        <f>SUM(HY41,HY47,HY53,HY59)</f>
        <v>19</v>
      </c>
      <c r="CL65" s="165"/>
      <c r="CM65" s="168">
        <f>SUM(ID41,ID47,ID53,ID59)</f>
        <v>15</v>
      </c>
      <c r="CN65" s="168">
        <f>SUM(IG41,IG47,IG53,IG59)</f>
        <v>12</v>
      </c>
      <c r="CO65" s="168">
        <f>SUM(IK41,IK47,IK53,IK59)</f>
        <v>19</v>
      </c>
      <c r="CP65" s="168">
        <f>SUM(IP41,IP47,IP53,IP59)</f>
        <v>5</v>
      </c>
      <c r="CQ65" s="168">
        <f>SUM(IT41,IT47,IT53,IT59)</f>
        <v>8</v>
      </c>
      <c r="CR65" s="168">
        <f>SUM(IW41,IW47,IW53,IW59)</f>
        <v>9</v>
      </c>
      <c r="CS65" s="168">
        <f>SUM(JA41,JA47,JA53,JA59)</f>
        <v>19</v>
      </c>
      <c r="CT65" s="168">
        <f>SUM(JF41,JF47,JF53,JF59)</f>
        <v>9</v>
      </c>
      <c r="CU65" s="168">
        <f>SUM(JJ41,JJ47,JJ53,JJ59)</f>
        <v>16</v>
      </c>
      <c r="CV65" s="168">
        <f>SUM(JO41,JO47,JO53,JO59)</f>
        <v>18</v>
      </c>
      <c r="CW65" s="168">
        <f>SUM(JU41,JU47,JU53,JU59)</f>
        <v>18</v>
      </c>
      <c r="KB65" s="32"/>
    </row>
    <row r="66" spans="1:288" ht="16.5" x14ac:dyDescent="0.25">
      <c r="A66" s="105"/>
      <c r="B66" s="105"/>
      <c r="C66" s="105"/>
      <c r="D66" s="195"/>
      <c r="E66" s="163">
        <f>SUM(H41,H47,H53,H59)</f>
        <v>15</v>
      </c>
      <c r="F66" s="165"/>
      <c r="G66" s="165"/>
      <c r="H66" s="165"/>
      <c r="I66" s="165"/>
      <c r="J66" s="165"/>
      <c r="K66" s="165"/>
      <c r="L66" s="165"/>
      <c r="M66" s="165"/>
      <c r="N66" s="165"/>
      <c r="O66" s="166"/>
      <c r="P66" s="165"/>
      <c r="Q66" s="165"/>
      <c r="R66" s="165"/>
      <c r="S66" s="165"/>
      <c r="T66" s="165"/>
      <c r="U66" s="168">
        <f>SUM(AO41,AO47,AO53,AO59)</f>
        <v>6</v>
      </c>
      <c r="V66" s="165"/>
      <c r="W66" s="165"/>
      <c r="X66" s="165"/>
      <c r="Y66" s="165"/>
      <c r="Z66" s="165"/>
      <c r="AA66" s="165"/>
      <c r="AB66" s="165"/>
      <c r="AC66" s="169">
        <f>SUM(BI41,BI47,BI53,BI59)</f>
        <v>1</v>
      </c>
      <c r="AD66" s="174"/>
      <c r="AE66" s="165"/>
      <c r="AF66" s="165"/>
      <c r="AG66" s="168">
        <f>SUM(BU41,BU47,BU53,BU59)</f>
        <v>14</v>
      </c>
      <c r="AH66" s="165"/>
      <c r="AI66" s="168">
        <f>SUM(CB41,CB47,CB53,CB59)</f>
        <v>18</v>
      </c>
      <c r="AJ66" s="168">
        <f>SUM(CF41,CF47,CF53,CF59)</f>
        <v>15</v>
      </c>
      <c r="AK66" s="168">
        <f>SUM(CK41,CK47,CK53,CK59)</f>
        <v>5</v>
      </c>
      <c r="AL66" s="171">
        <f>SUM(CP41,CP47,CP53,CP59)</f>
        <v>6</v>
      </c>
      <c r="AM66" s="165"/>
      <c r="AN66" s="168">
        <f>SUM(CW41,CW47,CW53,CW59)</f>
        <v>20</v>
      </c>
      <c r="AO66" s="165"/>
      <c r="AP66" s="165"/>
      <c r="AQ66" s="165"/>
      <c r="AR66" s="168">
        <f>SUM(DI41,DI47,DI53,DI59)</f>
        <v>1</v>
      </c>
      <c r="AS66" s="165"/>
      <c r="AT66" s="165"/>
      <c r="AU66" s="165"/>
      <c r="AV66" s="165"/>
      <c r="AW66" s="165"/>
      <c r="AX66" s="165"/>
      <c r="AY66" s="165"/>
      <c r="AZ66" s="168">
        <f>SUM(EC41,EC47,EC53,EC59)</f>
        <v>3</v>
      </c>
      <c r="BA66" s="165"/>
      <c r="BB66" s="165"/>
      <c r="BC66" s="165"/>
      <c r="BD66" s="165"/>
      <c r="BE66" s="165"/>
      <c r="BF66" s="166"/>
      <c r="BG66" s="165"/>
      <c r="BH66" s="165"/>
      <c r="BI66" s="165"/>
      <c r="BJ66" s="165"/>
      <c r="BK66" s="165"/>
      <c r="BL66" s="165"/>
      <c r="BM66" s="165"/>
      <c r="BN66" s="165"/>
      <c r="BO66" s="165"/>
      <c r="BP66" s="170">
        <f>SUM(FJ41,FJ47,FJ53,FJI59)</f>
        <v>15</v>
      </c>
      <c r="BQ66" s="168">
        <f>SUM(FN41,FN47,FN53,FN59)</f>
        <v>14</v>
      </c>
      <c r="BR66" s="168">
        <f>SUM(FS41,FS47,FS53,FS59)</f>
        <v>21</v>
      </c>
      <c r="BS66" s="165"/>
      <c r="BT66" s="168">
        <f>SUM(FZ41,FZ47,FZ53,FZ59)</f>
        <v>1</v>
      </c>
      <c r="BU66" s="165"/>
      <c r="BV66" s="165"/>
      <c r="BW66" s="165"/>
      <c r="BX66" s="168">
        <f>SUM(GL41,GL47,GL53,GL59)</f>
        <v>23</v>
      </c>
      <c r="BY66" s="165"/>
      <c r="BZ66" s="173"/>
      <c r="CA66" s="165"/>
      <c r="CB66" s="165"/>
      <c r="CC66" s="165"/>
      <c r="CD66" s="165"/>
      <c r="CE66" s="165"/>
      <c r="CF66" s="168">
        <f>SUM(HF41,HF47,HF53,HF59)</f>
        <v>1</v>
      </c>
      <c r="CG66" s="168">
        <f>SUM(HJ41,HJ47,HJ53,HJ59)</f>
        <v>9</v>
      </c>
      <c r="CH66" s="168">
        <f>SUM(HO41,HO47,HO53,HO59)</f>
        <v>18</v>
      </c>
      <c r="CI66" s="165"/>
      <c r="CJ66" s="168">
        <f>SUM(HV41,HV47,HV53,HV59)</f>
        <v>23</v>
      </c>
      <c r="CK66" s="165"/>
      <c r="CL66" s="165"/>
      <c r="CM66" s="165"/>
      <c r="CN66" s="168">
        <f>SUM(IH41,IH47,IH53,IH59)</f>
        <v>19</v>
      </c>
      <c r="CO66" s="168">
        <f>SUM(IL41,IL47,IL53,IL59)</f>
        <v>4</v>
      </c>
      <c r="CP66" s="168">
        <f>SUM(IQ41,IQ47,IQ53,IQ59)</f>
        <v>18</v>
      </c>
      <c r="CQ66" s="165"/>
      <c r="CR66" s="168">
        <f>SUM(IX41,IX47,IX53,IX59)</f>
        <v>1</v>
      </c>
      <c r="CS66" s="168">
        <f>SUM(JB41,JB47,JB53,JB59)</f>
        <v>25</v>
      </c>
      <c r="CT66" s="168">
        <f>SUM(JG41,JG47,JG53,JG59)</f>
        <v>15</v>
      </c>
      <c r="CU66" s="168">
        <f>SUM(JK41,JK47,JK53,JK59)</f>
        <v>3</v>
      </c>
      <c r="CV66" s="168">
        <f>SUM(JP41,JP47,JP53,JP59)</f>
        <v>19</v>
      </c>
      <c r="CW66" s="168">
        <f>SUM(JV41,JV47,JV53,JV59)</f>
        <v>8</v>
      </c>
      <c r="KB66" s="4"/>
    </row>
    <row r="67" spans="1:288" ht="16.5" x14ac:dyDescent="0.25">
      <c r="A67" s="105"/>
      <c r="B67" s="105"/>
      <c r="C67" s="105"/>
      <c r="D67" s="195"/>
      <c r="E67" s="175"/>
      <c r="F67" s="165"/>
      <c r="G67" s="165"/>
      <c r="H67" s="165"/>
      <c r="I67" s="165"/>
      <c r="J67" s="165"/>
      <c r="K67" s="165"/>
      <c r="L67" s="165"/>
      <c r="M67" s="165"/>
      <c r="N67" s="165"/>
      <c r="O67" s="166"/>
      <c r="P67" s="165"/>
      <c r="Q67" s="165"/>
      <c r="R67" s="165"/>
      <c r="S67" s="165"/>
      <c r="T67" s="165"/>
      <c r="U67" s="165"/>
      <c r="V67" s="165"/>
      <c r="W67" s="165"/>
      <c r="X67" s="165"/>
      <c r="Y67" s="165"/>
      <c r="Z67" s="165"/>
      <c r="AA67" s="165"/>
      <c r="AB67" s="165"/>
      <c r="AC67" s="165"/>
      <c r="AD67" s="174"/>
      <c r="AE67" s="165"/>
      <c r="AF67" s="165"/>
      <c r="AG67" s="165"/>
      <c r="AH67" s="165"/>
      <c r="AI67" s="165"/>
      <c r="AJ67" s="168">
        <f>SUM(CG41,CG47,CG53,CG59)</f>
        <v>5</v>
      </c>
      <c r="AK67" s="159">
        <f>SUM(CL41,CL47,CL53,CL59)</f>
        <v>21</v>
      </c>
      <c r="AL67" s="173"/>
      <c r="AM67" s="165"/>
      <c r="AN67" s="165"/>
      <c r="AO67" s="165"/>
      <c r="AP67" s="165"/>
      <c r="AQ67" s="165"/>
      <c r="AR67" s="165"/>
      <c r="AS67" s="165"/>
      <c r="AT67" s="165"/>
      <c r="AU67" s="165"/>
      <c r="AV67" s="165"/>
      <c r="AW67" s="165"/>
      <c r="AX67" s="165"/>
      <c r="AY67" s="165"/>
      <c r="AZ67" s="165"/>
      <c r="BA67" s="165"/>
      <c r="BB67" s="165"/>
      <c r="BC67" s="165"/>
      <c r="BD67" s="165"/>
      <c r="BE67" s="165"/>
      <c r="BF67" s="166"/>
      <c r="BG67" s="165"/>
      <c r="BH67" s="165"/>
      <c r="BI67" s="165"/>
      <c r="BJ67" s="165"/>
      <c r="BK67" s="165"/>
      <c r="BL67" s="165"/>
      <c r="BM67" s="165"/>
      <c r="BN67" s="165"/>
      <c r="BO67" s="165"/>
      <c r="BP67" s="174"/>
      <c r="BQ67" s="168">
        <f>SUM(FO41,FO47,FO53,FO59)</f>
        <v>20</v>
      </c>
      <c r="BR67" s="165"/>
      <c r="BS67" s="165"/>
      <c r="BT67" s="165"/>
      <c r="BU67" s="165"/>
      <c r="BV67" s="165"/>
      <c r="BW67" s="165"/>
      <c r="BX67" s="165"/>
      <c r="BY67" s="165"/>
      <c r="BZ67" s="173"/>
      <c r="CA67" s="165"/>
      <c r="CB67" s="165"/>
      <c r="CC67" s="165"/>
      <c r="CD67" s="165"/>
      <c r="CE67" s="165"/>
      <c r="CF67" s="165"/>
      <c r="CG67" s="168">
        <f>SUM(HK41,HK47,HK53,HK59)</f>
        <v>20</v>
      </c>
      <c r="CH67" s="165"/>
      <c r="CI67" s="165"/>
      <c r="CJ67" s="165"/>
      <c r="CK67" s="165"/>
      <c r="CL67" s="165"/>
      <c r="CM67" s="165"/>
      <c r="CN67" s="165"/>
      <c r="CO67" s="168">
        <f>SUM(IM41,IM47,IM53,IM59)</f>
        <v>12</v>
      </c>
      <c r="CP67" s="165"/>
      <c r="CQ67" s="165"/>
      <c r="CR67" s="165"/>
      <c r="CS67" s="168">
        <f>SUM(JC41,JC47,JC53,JC59)</f>
        <v>4</v>
      </c>
      <c r="CT67" s="165"/>
      <c r="CU67" s="168">
        <f>SUM(JL41,JL47,JL53,JL59)</f>
        <v>15</v>
      </c>
      <c r="CV67" s="168">
        <f>SUM(JQ41,JQ47,JQ53,JQ59)</f>
        <v>12</v>
      </c>
      <c r="CW67" s="168">
        <f>SUM(JW41,JW47,JW53,JW59)</f>
        <v>1</v>
      </c>
      <c r="KB67" s="4"/>
    </row>
    <row r="68" spans="1:288" ht="16.5" x14ac:dyDescent="0.25">
      <c r="A68" s="105"/>
      <c r="B68" s="105"/>
      <c r="C68" s="105"/>
      <c r="D68" s="195"/>
      <c r="E68" s="176"/>
      <c r="F68" s="177"/>
      <c r="G68" s="177"/>
      <c r="H68" s="177"/>
      <c r="I68" s="177"/>
      <c r="J68" s="177"/>
      <c r="K68" s="177"/>
      <c r="L68" s="177"/>
      <c r="M68" s="177"/>
      <c r="N68" s="177"/>
      <c r="O68" s="178"/>
      <c r="P68" s="177"/>
      <c r="Q68" s="177"/>
      <c r="R68" s="177"/>
      <c r="S68" s="177"/>
      <c r="T68" s="177"/>
      <c r="U68" s="177"/>
      <c r="V68" s="177"/>
      <c r="W68" s="177"/>
      <c r="X68" s="177"/>
      <c r="Y68" s="177"/>
      <c r="Z68" s="177"/>
      <c r="AA68" s="177"/>
      <c r="AB68" s="177"/>
      <c r="AC68" s="177"/>
      <c r="AD68" s="179"/>
      <c r="AE68" s="177"/>
      <c r="AF68" s="177"/>
      <c r="AG68" s="177"/>
      <c r="AH68" s="177"/>
      <c r="AI68" s="177"/>
      <c r="AJ68" s="177"/>
      <c r="AK68" s="177"/>
      <c r="AL68" s="180"/>
      <c r="AM68" s="177"/>
      <c r="AN68" s="177"/>
      <c r="AO68" s="177"/>
      <c r="AP68" s="177"/>
      <c r="AQ68" s="177"/>
      <c r="AR68" s="177"/>
      <c r="AS68" s="177"/>
      <c r="AT68" s="177"/>
      <c r="AU68" s="177"/>
      <c r="AV68" s="177"/>
      <c r="AW68" s="177"/>
      <c r="AX68" s="177"/>
      <c r="AY68" s="177"/>
      <c r="AZ68" s="177"/>
      <c r="BA68" s="177"/>
      <c r="BB68" s="177"/>
      <c r="BC68" s="177"/>
      <c r="BD68" s="177"/>
      <c r="BE68" s="177"/>
      <c r="BF68" s="178"/>
      <c r="BG68" s="177"/>
      <c r="BH68" s="177"/>
      <c r="BI68" s="177"/>
      <c r="BJ68" s="177"/>
      <c r="BK68" s="177"/>
      <c r="BL68" s="177"/>
      <c r="BM68" s="177"/>
      <c r="BN68" s="177"/>
      <c r="BO68" s="177"/>
      <c r="BP68" s="179"/>
      <c r="BQ68" s="177"/>
      <c r="BR68" s="177"/>
      <c r="BS68" s="177"/>
      <c r="BT68" s="177"/>
      <c r="BU68" s="177"/>
      <c r="BV68" s="177"/>
      <c r="BW68" s="177"/>
      <c r="BX68" s="177"/>
      <c r="BY68" s="177"/>
      <c r="BZ68" s="180"/>
      <c r="CA68" s="177"/>
      <c r="CB68" s="177"/>
      <c r="CC68" s="177"/>
      <c r="CD68" s="177"/>
      <c r="CE68" s="177"/>
      <c r="CF68" s="177"/>
      <c r="CG68" s="177"/>
      <c r="CH68" s="177"/>
      <c r="CI68" s="177"/>
      <c r="CJ68" s="177"/>
      <c r="CK68" s="177"/>
      <c r="CL68" s="177"/>
      <c r="CM68" s="177"/>
      <c r="CN68" s="177"/>
      <c r="CO68" s="177"/>
      <c r="CP68" s="177"/>
      <c r="CQ68" s="177"/>
      <c r="CR68" s="177"/>
      <c r="CS68" s="177"/>
      <c r="CT68" s="177"/>
      <c r="CU68" s="177"/>
      <c r="CV68" s="181">
        <f>SUM(JR41,JR47,JR53,JR59)</f>
        <v>14</v>
      </c>
      <c r="CW68" s="181">
        <f>SUM(JX41,JX47,JX53,JX59)</f>
        <v>25</v>
      </c>
      <c r="KB68" s="4"/>
    </row>
    <row r="69" spans="1:288" ht="15.75" x14ac:dyDescent="0.3">
      <c r="A69" s="105"/>
      <c r="B69" s="105"/>
      <c r="C69" s="105"/>
      <c r="D69" s="236" t="s">
        <v>64</v>
      </c>
      <c r="E69" s="182">
        <f>SUM(E63:E68)</f>
        <v>62</v>
      </c>
      <c r="F69" s="182">
        <f t="shared" ref="F69:BQ69" si="30">SUM(F63:F68)</f>
        <v>41</v>
      </c>
      <c r="G69" s="182">
        <f t="shared" si="30"/>
        <v>22</v>
      </c>
      <c r="H69" s="182">
        <f t="shared" si="30"/>
        <v>38</v>
      </c>
      <c r="I69" s="182">
        <f t="shared" si="30"/>
        <v>6</v>
      </c>
      <c r="J69" s="182">
        <f t="shared" si="30"/>
        <v>15</v>
      </c>
      <c r="K69" s="182">
        <f t="shared" si="30"/>
        <v>12</v>
      </c>
      <c r="L69" s="182">
        <f t="shared" si="30"/>
        <v>48</v>
      </c>
      <c r="M69" s="182">
        <f t="shared" si="30"/>
        <v>17</v>
      </c>
      <c r="N69" s="182">
        <f t="shared" si="30"/>
        <v>5</v>
      </c>
      <c r="O69" s="183">
        <f t="shared" si="30"/>
        <v>0</v>
      </c>
      <c r="P69" s="182">
        <f t="shared" si="30"/>
        <v>3</v>
      </c>
      <c r="Q69" s="182">
        <f t="shared" si="30"/>
        <v>21</v>
      </c>
      <c r="R69" s="182">
        <f t="shared" si="30"/>
        <v>8</v>
      </c>
      <c r="S69" s="182">
        <f t="shared" si="30"/>
        <v>8</v>
      </c>
      <c r="T69" s="182">
        <f t="shared" si="30"/>
        <v>28</v>
      </c>
      <c r="U69" s="182">
        <f t="shared" si="30"/>
        <v>14</v>
      </c>
      <c r="V69" s="182">
        <f t="shared" si="30"/>
        <v>37</v>
      </c>
      <c r="W69" s="182">
        <f t="shared" si="30"/>
        <v>25</v>
      </c>
      <c r="X69" s="182">
        <f t="shared" si="30"/>
        <v>34</v>
      </c>
      <c r="Y69" s="182">
        <f t="shared" si="30"/>
        <v>14</v>
      </c>
      <c r="Z69" s="182">
        <f t="shared" si="30"/>
        <v>16</v>
      </c>
      <c r="AA69" s="182">
        <f t="shared" si="30"/>
        <v>28</v>
      </c>
      <c r="AB69" s="182">
        <f t="shared" si="30"/>
        <v>52</v>
      </c>
      <c r="AC69" s="182">
        <f t="shared" si="30"/>
        <v>49</v>
      </c>
      <c r="AD69" s="184">
        <f t="shared" si="30"/>
        <v>24</v>
      </c>
      <c r="AE69" s="185">
        <f t="shared" si="30"/>
        <v>8</v>
      </c>
      <c r="AF69" s="185">
        <f t="shared" si="30"/>
        <v>26</v>
      </c>
      <c r="AG69" s="185">
        <f t="shared" si="30"/>
        <v>61</v>
      </c>
      <c r="AH69" s="185">
        <f t="shared" si="30"/>
        <v>43</v>
      </c>
      <c r="AI69" s="185">
        <f t="shared" si="30"/>
        <v>37</v>
      </c>
      <c r="AJ69" s="185">
        <f t="shared" si="30"/>
        <v>56</v>
      </c>
      <c r="AK69" s="185">
        <f t="shared" si="30"/>
        <v>68</v>
      </c>
      <c r="AL69" s="186">
        <f t="shared" si="30"/>
        <v>50</v>
      </c>
      <c r="AM69" s="182">
        <f t="shared" si="30"/>
        <v>35</v>
      </c>
      <c r="AN69" s="182">
        <f t="shared" si="30"/>
        <v>36</v>
      </c>
      <c r="AO69" s="182">
        <f t="shared" si="30"/>
        <v>32</v>
      </c>
      <c r="AP69" s="182">
        <f t="shared" si="30"/>
        <v>10</v>
      </c>
      <c r="AQ69" s="182">
        <f t="shared" si="30"/>
        <v>37</v>
      </c>
      <c r="AR69" s="182">
        <f t="shared" si="30"/>
        <v>35</v>
      </c>
      <c r="AS69" s="182">
        <f t="shared" si="30"/>
        <v>35</v>
      </c>
      <c r="AT69" s="182">
        <f t="shared" si="30"/>
        <v>28</v>
      </c>
      <c r="AU69" s="182">
        <f t="shared" si="30"/>
        <v>5</v>
      </c>
      <c r="AV69" s="182">
        <f t="shared" si="30"/>
        <v>16</v>
      </c>
      <c r="AW69" s="182">
        <f t="shared" si="30"/>
        <v>30</v>
      </c>
      <c r="AX69" s="182">
        <f t="shared" si="30"/>
        <v>37</v>
      </c>
      <c r="AY69" s="182">
        <f t="shared" si="30"/>
        <v>28</v>
      </c>
      <c r="AZ69" s="182">
        <f t="shared" si="30"/>
        <v>35</v>
      </c>
      <c r="BA69" s="182">
        <f t="shared" si="30"/>
        <v>46</v>
      </c>
      <c r="BB69" s="182">
        <f t="shared" si="30"/>
        <v>17</v>
      </c>
      <c r="BC69" s="182">
        <f t="shared" si="30"/>
        <v>5</v>
      </c>
      <c r="BD69" s="182">
        <f t="shared" si="30"/>
        <v>13</v>
      </c>
      <c r="BE69" s="182">
        <f t="shared" si="30"/>
        <v>17</v>
      </c>
      <c r="BF69" s="183">
        <f t="shared" si="30"/>
        <v>0</v>
      </c>
      <c r="BG69" s="182">
        <f t="shared" si="30"/>
        <v>25</v>
      </c>
      <c r="BH69" s="182">
        <f t="shared" si="30"/>
        <v>25</v>
      </c>
      <c r="BI69" s="182">
        <f t="shared" si="30"/>
        <v>49</v>
      </c>
      <c r="BJ69" s="182">
        <f t="shared" si="30"/>
        <v>6</v>
      </c>
      <c r="BK69" s="182">
        <f t="shared" si="30"/>
        <v>8</v>
      </c>
      <c r="BL69" s="182">
        <f t="shared" si="30"/>
        <v>19</v>
      </c>
      <c r="BM69" s="182">
        <f t="shared" si="30"/>
        <v>52</v>
      </c>
      <c r="BN69" s="182">
        <f t="shared" si="30"/>
        <v>5</v>
      </c>
      <c r="BO69" s="182">
        <f t="shared" si="30"/>
        <v>53</v>
      </c>
      <c r="BP69" s="184">
        <f t="shared" si="30"/>
        <v>46</v>
      </c>
      <c r="BQ69" s="185">
        <f t="shared" si="30"/>
        <v>48</v>
      </c>
      <c r="BR69" s="185">
        <f t="shared" ref="BR69:CQ69" si="31">SUM(BR63:BR68)</f>
        <v>48</v>
      </c>
      <c r="BS69" s="185">
        <f t="shared" si="31"/>
        <v>24</v>
      </c>
      <c r="BT69" s="185">
        <f t="shared" si="31"/>
        <v>32</v>
      </c>
      <c r="BU69" s="185">
        <f t="shared" si="31"/>
        <v>37</v>
      </c>
      <c r="BV69" s="185">
        <f t="shared" si="31"/>
        <v>25</v>
      </c>
      <c r="BW69" s="185">
        <f t="shared" si="31"/>
        <v>27</v>
      </c>
      <c r="BX69" s="185">
        <f t="shared" si="31"/>
        <v>79</v>
      </c>
      <c r="BY69" s="185">
        <f t="shared" si="31"/>
        <v>9</v>
      </c>
      <c r="BZ69" s="186">
        <f t="shared" si="31"/>
        <v>10</v>
      </c>
      <c r="CA69" s="182">
        <f t="shared" si="31"/>
        <v>9</v>
      </c>
      <c r="CB69" s="182">
        <f t="shared" si="31"/>
        <v>28</v>
      </c>
      <c r="CC69" s="182">
        <f t="shared" si="31"/>
        <v>19</v>
      </c>
      <c r="CD69" s="182">
        <f t="shared" si="31"/>
        <v>19</v>
      </c>
      <c r="CE69" s="182">
        <f t="shared" si="31"/>
        <v>45</v>
      </c>
      <c r="CF69" s="182">
        <f t="shared" si="31"/>
        <v>40</v>
      </c>
      <c r="CG69" s="182">
        <f t="shared" si="31"/>
        <v>69</v>
      </c>
      <c r="CH69" s="182">
        <f t="shared" si="31"/>
        <v>40</v>
      </c>
      <c r="CI69" s="182">
        <f t="shared" si="31"/>
        <v>41</v>
      </c>
      <c r="CJ69" s="182">
        <f t="shared" si="31"/>
        <v>74</v>
      </c>
      <c r="CK69" s="182">
        <f t="shared" si="31"/>
        <v>50</v>
      </c>
      <c r="CL69" s="182">
        <f t="shared" si="31"/>
        <v>29</v>
      </c>
      <c r="CM69" s="182">
        <f t="shared" si="31"/>
        <v>42</v>
      </c>
      <c r="CN69" s="182">
        <f t="shared" si="31"/>
        <v>57</v>
      </c>
      <c r="CO69" s="182">
        <f t="shared" si="31"/>
        <v>59</v>
      </c>
      <c r="CP69" s="182">
        <f>SUM(CP63:CP68)</f>
        <v>69</v>
      </c>
      <c r="CQ69" s="182">
        <f t="shared" si="31"/>
        <v>42</v>
      </c>
      <c r="CR69" s="182">
        <f t="shared" ref="CR69:CW69" si="32">SUM(CR63:CR68)</f>
        <v>14</v>
      </c>
      <c r="CS69" s="182">
        <f t="shared" si="32"/>
        <v>70</v>
      </c>
      <c r="CT69" s="182">
        <f t="shared" si="32"/>
        <v>35</v>
      </c>
      <c r="CU69" s="182">
        <f t="shared" si="32"/>
        <v>59</v>
      </c>
      <c r="CV69" s="187">
        <f t="shared" si="32"/>
        <v>76</v>
      </c>
      <c r="CW69" s="187">
        <f t="shared" si="32"/>
        <v>75</v>
      </c>
      <c r="KB69" s="4"/>
    </row>
    <row r="70" spans="1:288" ht="15.75" x14ac:dyDescent="0.3">
      <c r="A70" s="105"/>
      <c r="B70" s="105"/>
      <c r="C70" s="105"/>
      <c r="D70" s="236" t="s">
        <v>65</v>
      </c>
      <c r="E70" s="196"/>
      <c r="F70" s="196"/>
      <c r="G70" s="196"/>
      <c r="H70" s="196"/>
      <c r="I70" s="196"/>
      <c r="J70" s="196"/>
      <c r="K70" s="196"/>
      <c r="L70" s="196"/>
      <c r="M70" s="196"/>
      <c r="N70" s="196"/>
      <c r="O70" s="197">
        <v>21</v>
      </c>
      <c r="P70" s="196"/>
      <c r="Q70" s="196"/>
      <c r="R70" s="196"/>
      <c r="S70" s="196"/>
      <c r="T70" s="196"/>
      <c r="U70" s="196"/>
      <c r="V70" s="196"/>
      <c r="W70" s="196"/>
      <c r="X70" s="196"/>
      <c r="Y70" s="196"/>
      <c r="Z70" s="196"/>
      <c r="AA70" s="196"/>
      <c r="AB70" s="196"/>
      <c r="AC70" s="196"/>
      <c r="AD70" s="198">
        <v>14</v>
      </c>
      <c r="AE70" s="199">
        <v>15</v>
      </c>
      <c r="AF70" s="199">
        <v>18</v>
      </c>
      <c r="AG70" s="199">
        <v>20</v>
      </c>
      <c r="AH70" s="199">
        <v>8</v>
      </c>
      <c r="AI70" s="199">
        <v>5</v>
      </c>
      <c r="AJ70" s="199">
        <v>1</v>
      </c>
      <c r="AK70" s="199">
        <v>19</v>
      </c>
      <c r="AL70" s="200">
        <v>20</v>
      </c>
      <c r="AM70" s="196"/>
      <c r="AN70" s="196"/>
      <c r="AO70" s="196"/>
      <c r="AP70" s="196"/>
      <c r="AQ70" s="196"/>
      <c r="AR70" s="196"/>
      <c r="AS70" s="196"/>
      <c r="AT70" s="196"/>
      <c r="AU70" s="196"/>
      <c r="AV70" s="196"/>
      <c r="AW70" s="196"/>
      <c r="AX70" s="196"/>
      <c r="AY70" s="196"/>
      <c r="AZ70" s="196"/>
      <c r="BA70" s="196"/>
      <c r="BB70" s="196"/>
      <c r="BC70" s="196"/>
      <c r="BD70" s="196"/>
      <c r="BE70" s="196"/>
      <c r="BF70" s="197">
        <v>12</v>
      </c>
      <c r="BG70" s="196"/>
      <c r="BH70" s="196"/>
      <c r="BI70" s="196"/>
      <c r="BJ70" s="196"/>
      <c r="BK70" s="196"/>
      <c r="BL70" s="196"/>
      <c r="BM70" s="199"/>
      <c r="BN70" s="199"/>
      <c r="BO70" s="199"/>
      <c r="BP70" s="198">
        <v>2</v>
      </c>
      <c r="BQ70" s="199">
        <v>5</v>
      </c>
      <c r="BR70" s="199">
        <v>18</v>
      </c>
      <c r="BS70" s="199">
        <v>12</v>
      </c>
      <c r="BT70" s="199">
        <v>9</v>
      </c>
      <c r="BU70" s="199">
        <v>14</v>
      </c>
      <c r="BV70" s="199">
        <v>3</v>
      </c>
      <c r="BW70" s="199">
        <v>12</v>
      </c>
      <c r="BX70" s="199">
        <v>15</v>
      </c>
      <c r="BY70" s="199">
        <v>3</v>
      </c>
      <c r="BZ70" s="200">
        <v>11</v>
      </c>
      <c r="CA70" s="196"/>
      <c r="CB70" s="196"/>
      <c r="CC70" s="196"/>
      <c r="CD70" s="196"/>
      <c r="CE70" s="196"/>
      <c r="CF70" s="196"/>
      <c r="CG70" s="196"/>
      <c r="CH70" s="196"/>
      <c r="CI70" s="196"/>
      <c r="CJ70" s="196"/>
      <c r="CK70" s="196"/>
      <c r="CL70" s="196"/>
      <c r="CM70" s="196"/>
      <c r="CN70" s="196"/>
      <c r="CO70" s="196"/>
      <c r="CP70" s="196"/>
      <c r="CQ70" s="196"/>
      <c r="CR70" s="196"/>
      <c r="CS70" s="196"/>
      <c r="CT70" s="196"/>
      <c r="CU70" s="196"/>
      <c r="CV70" s="196"/>
      <c r="CW70" s="196"/>
      <c r="KB70" s="4"/>
    </row>
    <row r="71" spans="1:288" ht="15.75" x14ac:dyDescent="0.3">
      <c r="A71" s="105"/>
      <c r="B71" s="105"/>
      <c r="C71" s="105"/>
      <c r="D71" s="236" t="s">
        <v>66</v>
      </c>
      <c r="E71" s="188">
        <f>E69+E70</f>
        <v>62</v>
      </c>
      <c r="F71" s="188">
        <f t="shared" ref="F71:BQ71" si="33">F69+F70</f>
        <v>41</v>
      </c>
      <c r="G71" s="188">
        <f t="shared" si="33"/>
        <v>22</v>
      </c>
      <c r="H71" s="188">
        <f t="shared" si="33"/>
        <v>38</v>
      </c>
      <c r="I71" s="188">
        <f t="shared" si="33"/>
        <v>6</v>
      </c>
      <c r="J71" s="188">
        <f t="shared" si="33"/>
        <v>15</v>
      </c>
      <c r="K71" s="188">
        <f t="shared" si="33"/>
        <v>12</v>
      </c>
      <c r="L71" s="188">
        <f t="shared" si="33"/>
        <v>48</v>
      </c>
      <c r="M71" s="188">
        <f t="shared" si="33"/>
        <v>17</v>
      </c>
      <c r="N71" s="188">
        <f t="shared" si="33"/>
        <v>5</v>
      </c>
      <c r="O71" s="240">
        <f t="shared" si="33"/>
        <v>21</v>
      </c>
      <c r="P71" s="188">
        <f t="shared" si="33"/>
        <v>3</v>
      </c>
      <c r="Q71" s="188">
        <f t="shared" si="33"/>
        <v>21</v>
      </c>
      <c r="R71" s="188">
        <f t="shared" si="33"/>
        <v>8</v>
      </c>
      <c r="S71" s="188">
        <f t="shared" si="33"/>
        <v>8</v>
      </c>
      <c r="T71" s="188">
        <f t="shared" si="33"/>
        <v>28</v>
      </c>
      <c r="U71" s="188">
        <f t="shared" si="33"/>
        <v>14</v>
      </c>
      <c r="V71" s="188">
        <f t="shared" si="33"/>
        <v>37</v>
      </c>
      <c r="W71" s="188">
        <f t="shared" si="33"/>
        <v>25</v>
      </c>
      <c r="X71" s="188">
        <f t="shared" si="33"/>
        <v>34</v>
      </c>
      <c r="Y71" s="188">
        <f t="shared" si="33"/>
        <v>14</v>
      </c>
      <c r="Z71" s="188">
        <f t="shared" si="33"/>
        <v>16</v>
      </c>
      <c r="AA71" s="188">
        <f t="shared" si="33"/>
        <v>28</v>
      </c>
      <c r="AB71" s="188">
        <f t="shared" si="33"/>
        <v>52</v>
      </c>
      <c r="AC71" s="188">
        <f t="shared" si="33"/>
        <v>49</v>
      </c>
      <c r="AD71" s="238">
        <f t="shared" si="33"/>
        <v>38</v>
      </c>
      <c r="AE71" s="239">
        <f t="shared" si="33"/>
        <v>23</v>
      </c>
      <c r="AF71" s="239">
        <f t="shared" si="33"/>
        <v>44</v>
      </c>
      <c r="AG71" s="239">
        <f t="shared" si="33"/>
        <v>81</v>
      </c>
      <c r="AH71" s="239">
        <f t="shared" si="33"/>
        <v>51</v>
      </c>
      <c r="AI71" s="241">
        <f t="shared" si="33"/>
        <v>42</v>
      </c>
      <c r="AJ71" s="241">
        <f t="shared" si="33"/>
        <v>57</v>
      </c>
      <c r="AK71" s="241">
        <f t="shared" si="33"/>
        <v>87</v>
      </c>
      <c r="AL71" s="242">
        <f t="shared" si="33"/>
        <v>70</v>
      </c>
      <c r="AM71" s="188">
        <f t="shared" si="33"/>
        <v>35</v>
      </c>
      <c r="AN71" s="188">
        <f t="shared" si="33"/>
        <v>36</v>
      </c>
      <c r="AO71" s="188">
        <f t="shared" si="33"/>
        <v>32</v>
      </c>
      <c r="AP71" s="188">
        <f t="shared" si="33"/>
        <v>10</v>
      </c>
      <c r="AQ71" s="188">
        <f t="shared" si="33"/>
        <v>37</v>
      </c>
      <c r="AR71" s="188">
        <f t="shared" si="33"/>
        <v>35</v>
      </c>
      <c r="AS71" s="188">
        <f t="shared" si="33"/>
        <v>35</v>
      </c>
      <c r="AT71" s="188">
        <f t="shared" si="33"/>
        <v>28</v>
      </c>
      <c r="AU71" s="188">
        <f t="shared" si="33"/>
        <v>5</v>
      </c>
      <c r="AV71" s="188">
        <f t="shared" si="33"/>
        <v>16</v>
      </c>
      <c r="AW71" s="188">
        <f t="shared" si="33"/>
        <v>30</v>
      </c>
      <c r="AX71" s="188">
        <f t="shared" si="33"/>
        <v>37</v>
      </c>
      <c r="AY71" s="188">
        <f t="shared" si="33"/>
        <v>28</v>
      </c>
      <c r="AZ71" s="188">
        <f t="shared" si="33"/>
        <v>35</v>
      </c>
      <c r="BA71" s="188">
        <f t="shared" si="33"/>
        <v>46</v>
      </c>
      <c r="BB71" s="188">
        <f t="shared" si="33"/>
        <v>17</v>
      </c>
      <c r="BC71" s="188">
        <f t="shared" si="33"/>
        <v>5</v>
      </c>
      <c r="BD71" s="188">
        <f t="shared" si="33"/>
        <v>13</v>
      </c>
      <c r="BE71" s="188">
        <f t="shared" si="33"/>
        <v>17</v>
      </c>
      <c r="BF71" s="240">
        <f t="shared" si="33"/>
        <v>12</v>
      </c>
      <c r="BG71" s="188">
        <f t="shared" si="33"/>
        <v>25</v>
      </c>
      <c r="BH71" s="188">
        <f t="shared" si="33"/>
        <v>25</v>
      </c>
      <c r="BI71" s="188">
        <f t="shared" si="33"/>
        <v>49</v>
      </c>
      <c r="BJ71" s="188">
        <f t="shared" si="33"/>
        <v>6</v>
      </c>
      <c r="BK71" s="188">
        <f t="shared" si="33"/>
        <v>8</v>
      </c>
      <c r="BL71" s="188">
        <f t="shared" si="33"/>
        <v>19</v>
      </c>
      <c r="BM71" s="188">
        <f t="shared" si="33"/>
        <v>52</v>
      </c>
      <c r="BN71" s="188">
        <f t="shared" si="33"/>
        <v>5</v>
      </c>
      <c r="BO71" s="188">
        <f t="shared" si="33"/>
        <v>53</v>
      </c>
      <c r="BP71" s="238">
        <f t="shared" si="33"/>
        <v>48</v>
      </c>
      <c r="BQ71" s="239">
        <f t="shared" si="33"/>
        <v>53</v>
      </c>
      <c r="BR71" s="239">
        <f t="shared" ref="BR71:CW71" si="34">BR69+BR70</f>
        <v>66</v>
      </c>
      <c r="BS71" s="239">
        <f t="shared" si="34"/>
        <v>36</v>
      </c>
      <c r="BT71" s="239">
        <f t="shared" si="34"/>
        <v>41</v>
      </c>
      <c r="BU71" s="239">
        <f t="shared" si="34"/>
        <v>51</v>
      </c>
      <c r="BV71" s="241">
        <f t="shared" si="34"/>
        <v>28</v>
      </c>
      <c r="BW71" s="241">
        <f t="shared" si="34"/>
        <v>39</v>
      </c>
      <c r="BX71" s="241">
        <f t="shared" si="34"/>
        <v>94</v>
      </c>
      <c r="BY71" s="241">
        <f t="shared" si="34"/>
        <v>12</v>
      </c>
      <c r="BZ71" s="242">
        <f t="shared" si="34"/>
        <v>21</v>
      </c>
      <c r="CA71" s="188">
        <f t="shared" si="34"/>
        <v>9</v>
      </c>
      <c r="CB71" s="188">
        <f t="shared" si="34"/>
        <v>28</v>
      </c>
      <c r="CC71" s="188">
        <f t="shared" si="34"/>
        <v>19</v>
      </c>
      <c r="CD71" s="188">
        <f t="shared" si="34"/>
        <v>19</v>
      </c>
      <c r="CE71" s="188">
        <f t="shared" si="34"/>
        <v>45</v>
      </c>
      <c r="CF71" s="188">
        <f t="shared" si="34"/>
        <v>40</v>
      </c>
      <c r="CG71" s="188">
        <f t="shared" si="34"/>
        <v>69</v>
      </c>
      <c r="CH71" s="188">
        <f t="shared" si="34"/>
        <v>40</v>
      </c>
      <c r="CI71" s="188">
        <f t="shared" si="34"/>
        <v>41</v>
      </c>
      <c r="CJ71" s="188">
        <f t="shared" si="34"/>
        <v>74</v>
      </c>
      <c r="CK71" s="188">
        <f t="shared" si="34"/>
        <v>50</v>
      </c>
      <c r="CL71" s="188">
        <f t="shared" si="34"/>
        <v>29</v>
      </c>
      <c r="CM71" s="188">
        <f t="shared" si="34"/>
        <v>42</v>
      </c>
      <c r="CN71" s="188">
        <f t="shared" si="34"/>
        <v>57</v>
      </c>
      <c r="CO71" s="188">
        <f t="shared" si="34"/>
        <v>59</v>
      </c>
      <c r="CP71" s="188">
        <f t="shared" si="34"/>
        <v>69</v>
      </c>
      <c r="CQ71" s="188">
        <f t="shared" si="34"/>
        <v>42</v>
      </c>
      <c r="CR71" s="188">
        <f t="shared" si="34"/>
        <v>14</v>
      </c>
      <c r="CS71" s="188">
        <f t="shared" si="34"/>
        <v>70</v>
      </c>
      <c r="CT71" s="188">
        <f t="shared" si="34"/>
        <v>35</v>
      </c>
      <c r="CU71" s="188">
        <f t="shared" si="34"/>
        <v>59</v>
      </c>
      <c r="CV71" s="188">
        <f t="shared" si="34"/>
        <v>76</v>
      </c>
      <c r="CW71" s="188">
        <f t="shared" si="34"/>
        <v>75</v>
      </c>
      <c r="KB71" s="4"/>
    </row>
    <row r="72" spans="1:288" s="33" customFormat="1" ht="15.75" x14ac:dyDescent="0.3">
      <c r="A72" s="281"/>
      <c r="B72" s="281"/>
      <c r="C72" s="281"/>
      <c r="D72" s="237"/>
      <c r="E72" s="199"/>
      <c r="F72" s="199"/>
      <c r="G72" s="199"/>
      <c r="H72" s="199"/>
      <c r="I72" s="199"/>
      <c r="J72" s="199"/>
      <c r="K72" s="199"/>
      <c r="L72" s="199"/>
      <c r="M72" s="199"/>
      <c r="N72" s="199"/>
      <c r="O72" s="197"/>
      <c r="P72" s="199"/>
      <c r="Q72" s="199"/>
      <c r="R72" s="199"/>
      <c r="S72" s="199"/>
      <c r="T72" s="199"/>
      <c r="U72" s="199"/>
      <c r="V72" s="199"/>
      <c r="W72" s="199"/>
      <c r="X72" s="199"/>
      <c r="Y72" s="199"/>
      <c r="Z72" s="199"/>
      <c r="AA72" s="199"/>
      <c r="AB72" s="199"/>
      <c r="AC72" s="199"/>
      <c r="AD72" s="198"/>
      <c r="AE72" s="199"/>
      <c r="AF72" s="199"/>
      <c r="AG72" s="199"/>
      <c r="AH72" s="199"/>
      <c r="AI72" s="199"/>
      <c r="AJ72" s="199"/>
      <c r="AK72" s="199"/>
      <c r="AL72" s="200"/>
      <c r="AM72" s="199"/>
      <c r="AN72" s="199"/>
      <c r="AO72" s="199"/>
      <c r="AP72" s="199"/>
      <c r="AQ72" s="199"/>
      <c r="AR72" s="199"/>
      <c r="AS72" s="199"/>
      <c r="AT72" s="199"/>
      <c r="AU72" s="199"/>
      <c r="AV72" s="199"/>
      <c r="AW72" s="199"/>
      <c r="AX72" s="199"/>
      <c r="AY72" s="199"/>
      <c r="AZ72" s="199"/>
      <c r="BA72" s="199"/>
      <c r="BB72" s="199"/>
      <c r="BC72" s="199"/>
      <c r="BD72" s="199"/>
      <c r="BE72" s="199"/>
      <c r="BF72" s="197"/>
      <c r="BG72" s="199"/>
      <c r="BH72" s="199"/>
      <c r="BI72" s="199"/>
      <c r="BJ72" s="199"/>
      <c r="BK72" s="199"/>
      <c r="BL72" s="199"/>
      <c r="BM72" s="199"/>
      <c r="BN72" s="199"/>
      <c r="BO72" s="199"/>
      <c r="BP72" s="198"/>
      <c r="BQ72" s="199"/>
      <c r="BR72" s="199"/>
      <c r="BS72" s="199"/>
      <c r="BT72" s="199"/>
      <c r="BU72" s="199"/>
      <c r="BV72" s="199"/>
      <c r="BW72" s="199"/>
      <c r="BX72" s="199"/>
      <c r="BY72" s="199"/>
      <c r="BZ72" s="200"/>
      <c r="CA72" s="199"/>
      <c r="CB72" s="199"/>
      <c r="CC72" s="199"/>
      <c r="CD72" s="199"/>
      <c r="CE72" s="199"/>
      <c r="CF72" s="199"/>
      <c r="CG72" s="199"/>
      <c r="CH72" s="199"/>
      <c r="CI72" s="199"/>
      <c r="CJ72" s="199"/>
      <c r="CK72" s="199"/>
      <c r="CL72" s="199"/>
      <c r="CM72" s="199"/>
      <c r="CN72" s="199"/>
      <c r="CO72" s="199"/>
      <c r="CP72" s="199"/>
      <c r="CQ72" s="199"/>
      <c r="CR72" s="199"/>
      <c r="CS72" s="199"/>
      <c r="CT72" s="199"/>
      <c r="CU72" s="199"/>
      <c r="CV72" s="199"/>
      <c r="CW72" s="199"/>
      <c r="KB72" s="32"/>
    </row>
    <row r="73" spans="1:288" ht="15.75" x14ac:dyDescent="0.3">
      <c r="A73" s="105"/>
      <c r="B73" s="105"/>
      <c r="C73" s="105"/>
      <c r="D73" s="236" t="s">
        <v>67</v>
      </c>
      <c r="E73" s="189">
        <f>MOD(E71,26)</f>
        <v>10</v>
      </c>
      <c r="F73" s="189">
        <f t="shared" ref="F73:BQ73" si="35">MOD(F71,26)</f>
        <v>15</v>
      </c>
      <c r="G73" s="189">
        <f t="shared" si="35"/>
        <v>22</v>
      </c>
      <c r="H73" s="189">
        <f t="shared" si="35"/>
        <v>12</v>
      </c>
      <c r="I73" s="189">
        <f t="shared" si="35"/>
        <v>6</v>
      </c>
      <c r="J73" s="189">
        <f t="shared" si="35"/>
        <v>15</v>
      </c>
      <c r="K73" s="189">
        <f t="shared" si="35"/>
        <v>12</v>
      </c>
      <c r="L73" s="189">
        <f t="shared" si="35"/>
        <v>22</v>
      </c>
      <c r="M73" s="189">
        <f t="shared" si="35"/>
        <v>17</v>
      </c>
      <c r="N73" s="189">
        <f t="shared" si="35"/>
        <v>5</v>
      </c>
      <c r="O73" s="190">
        <f t="shared" si="35"/>
        <v>21</v>
      </c>
      <c r="P73" s="189">
        <f t="shared" si="35"/>
        <v>3</v>
      </c>
      <c r="Q73" s="189">
        <f t="shared" si="35"/>
        <v>21</v>
      </c>
      <c r="R73" s="189">
        <f t="shared" si="35"/>
        <v>8</v>
      </c>
      <c r="S73" s="189">
        <f t="shared" si="35"/>
        <v>8</v>
      </c>
      <c r="T73" s="189">
        <f t="shared" si="35"/>
        <v>2</v>
      </c>
      <c r="U73" s="189">
        <f t="shared" si="35"/>
        <v>14</v>
      </c>
      <c r="V73" s="189">
        <f t="shared" si="35"/>
        <v>11</v>
      </c>
      <c r="W73" s="189">
        <f t="shared" si="35"/>
        <v>25</v>
      </c>
      <c r="X73" s="189">
        <f t="shared" si="35"/>
        <v>8</v>
      </c>
      <c r="Y73" s="189">
        <f t="shared" si="35"/>
        <v>14</v>
      </c>
      <c r="Z73" s="189">
        <f t="shared" si="35"/>
        <v>16</v>
      </c>
      <c r="AA73" s="189">
        <f t="shared" si="35"/>
        <v>2</v>
      </c>
      <c r="AB73" s="189">
        <f t="shared" si="35"/>
        <v>0</v>
      </c>
      <c r="AC73" s="189">
        <f t="shared" si="35"/>
        <v>23</v>
      </c>
      <c r="AD73" s="191">
        <f t="shared" si="35"/>
        <v>12</v>
      </c>
      <c r="AE73" s="192">
        <f t="shared" si="35"/>
        <v>23</v>
      </c>
      <c r="AF73" s="192">
        <f t="shared" si="35"/>
        <v>18</v>
      </c>
      <c r="AG73" s="192">
        <f t="shared" si="35"/>
        <v>3</v>
      </c>
      <c r="AH73" s="192">
        <f t="shared" si="35"/>
        <v>25</v>
      </c>
      <c r="AI73" s="192">
        <f t="shared" si="35"/>
        <v>16</v>
      </c>
      <c r="AJ73" s="192">
        <f t="shared" si="35"/>
        <v>5</v>
      </c>
      <c r="AK73" s="192">
        <f t="shared" si="35"/>
        <v>9</v>
      </c>
      <c r="AL73" s="193">
        <f t="shared" si="35"/>
        <v>18</v>
      </c>
      <c r="AM73" s="189">
        <f t="shared" si="35"/>
        <v>9</v>
      </c>
      <c r="AN73" s="189">
        <f t="shared" si="35"/>
        <v>10</v>
      </c>
      <c r="AO73" s="189">
        <f t="shared" si="35"/>
        <v>6</v>
      </c>
      <c r="AP73" s="189">
        <f t="shared" si="35"/>
        <v>10</v>
      </c>
      <c r="AQ73" s="189">
        <f t="shared" si="35"/>
        <v>11</v>
      </c>
      <c r="AR73" s="189">
        <f t="shared" si="35"/>
        <v>9</v>
      </c>
      <c r="AS73" s="189">
        <f t="shared" si="35"/>
        <v>9</v>
      </c>
      <c r="AT73" s="189">
        <f t="shared" si="35"/>
        <v>2</v>
      </c>
      <c r="AU73" s="189">
        <f t="shared" si="35"/>
        <v>5</v>
      </c>
      <c r="AV73" s="189">
        <f t="shared" si="35"/>
        <v>16</v>
      </c>
      <c r="AW73" s="189">
        <f t="shared" si="35"/>
        <v>4</v>
      </c>
      <c r="AX73" s="189">
        <f t="shared" si="35"/>
        <v>11</v>
      </c>
      <c r="AY73" s="189">
        <f t="shared" si="35"/>
        <v>2</v>
      </c>
      <c r="AZ73" s="189">
        <f t="shared" si="35"/>
        <v>9</v>
      </c>
      <c r="BA73" s="189">
        <f t="shared" si="35"/>
        <v>20</v>
      </c>
      <c r="BB73" s="189">
        <f t="shared" si="35"/>
        <v>17</v>
      </c>
      <c r="BC73" s="189">
        <f t="shared" si="35"/>
        <v>5</v>
      </c>
      <c r="BD73" s="189">
        <f t="shared" si="35"/>
        <v>13</v>
      </c>
      <c r="BE73" s="189">
        <f t="shared" si="35"/>
        <v>17</v>
      </c>
      <c r="BF73" s="190">
        <f t="shared" si="35"/>
        <v>12</v>
      </c>
      <c r="BG73" s="189">
        <f t="shared" si="35"/>
        <v>25</v>
      </c>
      <c r="BH73" s="189">
        <f t="shared" si="35"/>
        <v>25</v>
      </c>
      <c r="BI73" s="189">
        <f t="shared" si="35"/>
        <v>23</v>
      </c>
      <c r="BJ73" s="189">
        <f t="shared" si="35"/>
        <v>6</v>
      </c>
      <c r="BK73" s="189">
        <f t="shared" si="35"/>
        <v>8</v>
      </c>
      <c r="BL73" s="189">
        <f t="shared" si="35"/>
        <v>19</v>
      </c>
      <c r="BM73" s="189">
        <f t="shared" si="35"/>
        <v>0</v>
      </c>
      <c r="BN73" s="189">
        <f t="shared" si="35"/>
        <v>5</v>
      </c>
      <c r="BO73" s="189">
        <f t="shared" si="35"/>
        <v>1</v>
      </c>
      <c r="BP73" s="191">
        <f t="shared" si="35"/>
        <v>22</v>
      </c>
      <c r="BQ73" s="192">
        <f t="shared" si="35"/>
        <v>1</v>
      </c>
      <c r="BR73" s="192">
        <f t="shared" ref="BR73:CW73" si="36">MOD(BR71,26)</f>
        <v>14</v>
      </c>
      <c r="BS73" s="192">
        <f t="shared" si="36"/>
        <v>10</v>
      </c>
      <c r="BT73" s="192">
        <f t="shared" si="36"/>
        <v>15</v>
      </c>
      <c r="BU73" s="192">
        <f t="shared" si="36"/>
        <v>25</v>
      </c>
      <c r="BV73" s="192">
        <f t="shared" si="36"/>
        <v>2</v>
      </c>
      <c r="BW73" s="192">
        <f t="shared" si="36"/>
        <v>13</v>
      </c>
      <c r="BX73" s="192">
        <f t="shared" si="36"/>
        <v>16</v>
      </c>
      <c r="BY73" s="192">
        <f t="shared" si="36"/>
        <v>12</v>
      </c>
      <c r="BZ73" s="193">
        <f t="shared" si="36"/>
        <v>21</v>
      </c>
      <c r="CA73" s="189">
        <f t="shared" si="36"/>
        <v>9</v>
      </c>
      <c r="CB73" s="189">
        <f t="shared" si="36"/>
        <v>2</v>
      </c>
      <c r="CC73" s="189">
        <f t="shared" si="36"/>
        <v>19</v>
      </c>
      <c r="CD73" s="189">
        <f t="shared" si="36"/>
        <v>19</v>
      </c>
      <c r="CE73" s="189">
        <f t="shared" si="36"/>
        <v>19</v>
      </c>
      <c r="CF73" s="189">
        <f t="shared" si="36"/>
        <v>14</v>
      </c>
      <c r="CG73" s="189">
        <f t="shared" si="36"/>
        <v>17</v>
      </c>
      <c r="CH73" s="189">
        <f t="shared" si="36"/>
        <v>14</v>
      </c>
      <c r="CI73" s="189">
        <f t="shared" si="36"/>
        <v>15</v>
      </c>
      <c r="CJ73" s="189">
        <f t="shared" si="36"/>
        <v>22</v>
      </c>
      <c r="CK73" s="189">
        <f t="shared" si="36"/>
        <v>24</v>
      </c>
      <c r="CL73" s="189">
        <f t="shared" si="36"/>
        <v>3</v>
      </c>
      <c r="CM73" s="189">
        <f t="shared" si="36"/>
        <v>16</v>
      </c>
      <c r="CN73" s="189">
        <f t="shared" si="36"/>
        <v>5</v>
      </c>
      <c r="CO73" s="189">
        <f t="shared" si="36"/>
        <v>7</v>
      </c>
      <c r="CP73" s="189">
        <f t="shared" si="36"/>
        <v>17</v>
      </c>
      <c r="CQ73" s="189">
        <f t="shared" si="36"/>
        <v>16</v>
      </c>
      <c r="CR73" s="189">
        <f t="shared" si="36"/>
        <v>14</v>
      </c>
      <c r="CS73" s="189">
        <f t="shared" si="36"/>
        <v>18</v>
      </c>
      <c r="CT73" s="189">
        <f t="shared" si="36"/>
        <v>9</v>
      </c>
      <c r="CU73" s="189">
        <f t="shared" si="36"/>
        <v>7</v>
      </c>
      <c r="CV73" s="189">
        <f t="shared" si="36"/>
        <v>24</v>
      </c>
      <c r="CW73" s="189">
        <f t="shared" si="36"/>
        <v>23</v>
      </c>
    </row>
    <row r="74" spans="1:288" x14ac:dyDescent="0.25">
      <c r="A74" s="105"/>
      <c r="B74" s="105"/>
      <c r="C74" s="105"/>
      <c r="D74" s="194"/>
      <c r="E74" s="105"/>
      <c r="F74" s="105"/>
      <c r="G74" s="105"/>
      <c r="H74" s="105"/>
      <c r="I74" s="105"/>
      <c r="J74" s="105"/>
      <c r="K74" s="105"/>
      <c r="L74" s="105"/>
      <c r="M74" s="105"/>
      <c r="N74" s="105"/>
      <c r="O74" s="201"/>
      <c r="P74" s="105"/>
      <c r="Q74" s="105"/>
      <c r="R74" s="105"/>
      <c r="S74" s="105"/>
      <c r="T74" s="105"/>
      <c r="U74" s="105"/>
      <c r="V74" s="105"/>
      <c r="W74" s="105"/>
      <c r="X74" s="105"/>
      <c r="Y74" s="105"/>
      <c r="Z74" s="105"/>
      <c r="AA74" s="105"/>
      <c r="AB74" s="105"/>
      <c r="AC74" s="105"/>
      <c r="AD74" s="202"/>
      <c r="AE74" s="203"/>
      <c r="AF74" s="203"/>
      <c r="AG74" s="203"/>
      <c r="AH74" s="203"/>
      <c r="AI74" s="203"/>
      <c r="AJ74" s="203"/>
      <c r="AK74" s="203"/>
      <c r="AL74" s="204"/>
      <c r="AM74" s="105"/>
      <c r="AN74" s="105"/>
      <c r="AO74" s="105"/>
      <c r="AP74" s="105"/>
      <c r="AQ74" s="105"/>
      <c r="AR74" s="105"/>
      <c r="AS74" s="105"/>
      <c r="AT74" s="105"/>
      <c r="AU74" s="105"/>
      <c r="AV74" s="105"/>
      <c r="AW74" s="105"/>
      <c r="AX74" s="105"/>
      <c r="AY74" s="105"/>
      <c r="AZ74" s="105"/>
      <c r="BA74" s="105"/>
      <c r="BB74" s="105"/>
      <c r="BC74" s="105"/>
      <c r="BD74" s="105"/>
      <c r="BE74" s="105"/>
      <c r="BF74" s="201"/>
      <c r="BG74" s="105"/>
      <c r="BH74" s="105"/>
      <c r="BI74" s="105"/>
      <c r="BJ74" s="105"/>
      <c r="BK74" s="105"/>
      <c r="BL74" s="105"/>
      <c r="BM74" s="105"/>
      <c r="BN74" s="105"/>
      <c r="BO74" s="105"/>
      <c r="BP74" s="202"/>
      <c r="BQ74" s="203"/>
      <c r="BR74" s="203"/>
      <c r="BS74" s="203"/>
      <c r="BT74" s="203"/>
      <c r="BU74" s="203"/>
      <c r="BV74" s="203"/>
      <c r="BW74" s="203"/>
      <c r="BX74" s="203"/>
      <c r="BY74" s="203"/>
      <c r="BZ74" s="204"/>
      <c r="CA74" s="105"/>
      <c r="CB74" s="105"/>
      <c r="CC74" s="105"/>
      <c r="CD74" s="105"/>
      <c r="CE74" s="105"/>
      <c r="CF74" s="105"/>
      <c r="CG74" s="105"/>
      <c r="CH74" s="105"/>
      <c r="CI74" s="105"/>
      <c r="CJ74" s="105"/>
      <c r="CK74" s="105"/>
      <c r="CL74" s="105"/>
      <c r="CM74" s="105"/>
      <c r="CN74" s="105"/>
      <c r="CO74" s="105"/>
      <c r="CP74" s="105"/>
      <c r="CQ74" s="105"/>
      <c r="CR74" s="105"/>
      <c r="CS74" s="105"/>
      <c r="CT74" s="105"/>
      <c r="CU74" s="105"/>
      <c r="CV74" s="105"/>
      <c r="CW74" s="105"/>
    </row>
    <row r="75" spans="1:288" ht="16.5" x14ac:dyDescent="0.3">
      <c r="A75" s="281"/>
      <c r="B75" s="281"/>
      <c r="C75" s="105"/>
      <c r="D75" s="236" t="s">
        <v>68</v>
      </c>
      <c r="E75" s="140" t="str">
        <f t="shared" ref="E75:AJ75" si="37">HLOOKUP(E73,NUMBERS_to_LETTERS,2,FALSE)</f>
        <v>J</v>
      </c>
      <c r="F75" s="140" t="str">
        <f t="shared" si="37"/>
        <v>O</v>
      </c>
      <c r="G75" s="140" t="str">
        <f t="shared" si="37"/>
        <v>V</v>
      </c>
      <c r="H75" s="140" t="str">
        <f t="shared" si="37"/>
        <v>L</v>
      </c>
      <c r="I75" s="140" t="str">
        <f t="shared" si="37"/>
        <v>F</v>
      </c>
      <c r="J75" s="140" t="str">
        <f t="shared" si="37"/>
        <v>O</v>
      </c>
      <c r="K75" s="140" t="str">
        <f t="shared" si="37"/>
        <v>L</v>
      </c>
      <c r="L75" s="140" t="str">
        <f t="shared" si="37"/>
        <v>V</v>
      </c>
      <c r="M75" s="140" t="str">
        <f t="shared" si="37"/>
        <v>Q</v>
      </c>
      <c r="N75" s="140" t="str">
        <f t="shared" si="37"/>
        <v>E</v>
      </c>
      <c r="O75" s="205" t="str">
        <f t="shared" si="37"/>
        <v>U</v>
      </c>
      <c r="P75" s="140" t="str">
        <f t="shared" si="37"/>
        <v>C</v>
      </c>
      <c r="Q75" s="140" t="str">
        <f t="shared" si="37"/>
        <v>U</v>
      </c>
      <c r="R75" s="140" t="str">
        <f t="shared" si="37"/>
        <v>H</v>
      </c>
      <c r="S75" s="140" t="str">
        <f t="shared" si="37"/>
        <v>H</v>
      </c>
      <c r="T75" s="140" t="str">
        <f t="shared" si="37"/>
        <v>B</v>
      </c>
      <c r="U75" s="140" t="str">
        <f t="shared" si="37"/>
        <v>N</v>
      </c>
      <c r="V75" s="140" t="str">
        <f t="shared" si="37"/>
        <v>K</v>
      </c>
      <c r="W75" s="140" t="str">
        <f t="shared" si="37"/>
        <v>Y</v>
      </c>
      <c r="X75" s="140" t="str">
        <f t="shared" si="37"/>
        <v>H</v>
      </c>
      <c r="Y75" s="140" t="str">
        <f t="shared" si="37"/>
        <v>N</v>
      </c>
      <c r="Z75" s="140" t="str">
        <f t="shared" si="37"/>
        <v>P</v>
      </c>
      <c r="AA75" s="140" t="str">
        <f t="shared" si="37"/>
        <v>B</v>
      </c>
      <c r="AB75" s="140" t="str">
        <f t="shared" si="37"/>
        <v>Z</v>
      </c>
      <c r="AC75" s="140" t="str">
        <f t="shared" si="37"/>
        <v>W</v>
      </c>
      <c r="AD75" s="206" t="str">
        <f t="shared" si="37"/>
        <v>L</v>
      </c>
      <c r="AE75" s="207" t="str">
        <f t="shared" si="37"/>
        <v>W</v>
      </c>
      <c r="AF75" s="207" t="str">
        <f t="shared" si="37"/>
        <v>R</v>
      </c>
      <c r="AG75" s="207" t="str">
        <f t="shared" si="37"/>
        <v>C</v>
      </c>
      <c r="AH75" s="207" t="str">
        <f t="shared" si="37"/>
        <v>Y</v>
      </c>
      <c r="AI75" s="207" t="str">
        <f t="shared" si="37"/>
        <v>P</v>
      </c>
      <c r="AJ75" s="207" t="str">
        <f t="shared" si="37"/>
        <v>E</v>
      </c>
      <c r="AK75" s="207" t="str">
        <f t="shared" ref="AK75:BP75" si="38">HLOOKUP(AK73,NUMBERS_to_LETTERS,2,FALSE)</f>
        <v>I</v>
      </c>
      <c r="AL75" s="208" t="str">
        <f t="shared" si="38"/>
        <v>R</v>
      </c>
      <c r="AM75" s="140" t="str">
        <f t="shared" si="38"/>
        <v>I</v>
      </c>
      <c r="AN75" s="140" t="str">
        <f t="shared" si="38"/>
        <v>J</v>
      </c>
      <c r="AO75" s="140" t="str">
        <f t="shared" si="38"/>
        <v>F</v>
      </c>
      <c r="AP75" s="140" t="str">
        <f t="shared" si="38"/>
        <v>J</v>
      </c>
      <c r="AQ75" s="140" t="str">
        <f t="shared" si="38"/>
        <v>K</v>
      </c>
      <c r="AR75" s="140" t="str">
        <f t="shared" si="38"/>
        <v>I</v>
      </c>
      <c r="AS75" s="140" t="str">
        <f t="shared" si="38"/>
        <v>I</v>
      </c>
      <c r="AT75" s="140" t="str">
        <f t="shared" si="38"/>
        <v>B</v>
      </c>
      <c r="AU75" s="140" t="str">
        <f t="shared" si="38"/>
        <v>E</v>
      </c>
      <c r="AV75" s="140" t="str">
        <f t="shared" si="38"/>
        <v>P</v>
      </c>
      <c r="AW75" s="140" t="str">
        <f t="shared" si="38"/>
        <v>D</v>
      </c>
      <c r="AX75" s="140" t="str">
        <f t="shared" si="38"/>
        <v>K</v>
      </c>
      <c r="AY75" s="140" t="str">
        <f t="shared" si="38"/>
        <v>B</v>
      </c>
      <c r="AZ75" s="140" t="str">
        <f t="shared" si="38"/>
        <v>I</v>
      </c>
      <c r="BA75" s="140" t="str">
        <f t="shared" si="38"/>
        <v>T</v>
      </c>
      <c r="BB75" s="140" t="str">
        <f t="shared" si="38"/>
        <v>Q</v>
      </c>
      <c r="BC75" s="140" t="str">
        <f t="shared" si="38"/>
        <v>E</v>
      </c>
      <c r="BD75" s="140" t="str">
        <f t="shared" si="38"/>
        <v>M</v>
      </c>
      <c r="BE75" s="140" t="str">
        <f t="shared" si="38"/>
        <v>Q</v>
      </c>
      <c r="BF75" s="205" t="str">
        <f t="shared" si="38"/>
        <v>L</v>
      </c>
      <c r="BG75" s="140" t="str">
        <f t="shared" si="38"/>
        <v>Y</v>
      </c>
      <c r="BH75" s="140" t="str">
        <f t="shared" si="38"/>
        <v>Y</v>
      </c>
      <c r="BI75" s="140" t="str">
        <f t="shared" si="38"/>
        <v>W</v>
      </c>
      <c r="BJ75" s="140" t="str">
        <f t="shared" si="38"/>
        <v>F</v>
      </c>
      <c r="BK75" s="140" t="str">
        <f t="shared" si="38"/>
        <v>H</v>
      </c>
      <c r="BL75" s="140" t="str">
        <f t="shared" si="38"/>
        <v>S</v>
      </c>
      <c r="BM75" s="140" t="str">
        <f t="shared" si="38"/>
        <v>Z</v>
      </c>
      <c r="BN75" s="140" t="str">
        <f t="shared" si="38"/>
        <v>E</v>
      </c>
      <c r="BO75" s="140" t="str">
        <f t="shared" si="38"/>
        <v>A</v>
      </c>
      <c r="BP75" s="206" t="str">
        <f t="shared" si="38"/>
        <v>V</v>
      </c>
      <c r="BQ75" s="207" t="str">
        <f t="shared" ref="BQ75:CW75" si="39">HLOOKUP(BQ73,NUMBERS_to_LETTERS,2,FALSE)</f>
        <v>A</v>
      </c>
      <c r="BR75" s="207" t="str">
        <f t="shared" si="39"/>
        <v>N</v>
      </c>
      <c r="BS75" s="207" t="str">
        <f t="shared" si="39"/>
        <v>J</v>
      </c>
      <c r="BT75" s="207" t="str">
        <f t="shared" si="39"/>
        <v>O</v>
      </c>
      <c r="BU75" s="207" t="str">
        <f t="shared" si="39"/>
        <v>Y</v>
      </c>
      <c r="BV75" s="207" t="str">
        <f t="shared" si="39"/>
        <v>B</v>
      </c>
      <c r="BW75" s="207" t="str">
        <f t="shared" si="39"/>
        <v>M</v>
      </c>
      <c r="BX75" s="207" t="str">
        <f t="shared" si="39"/>
        <v>P</v>
      </c>
      <c r="BY75" s="207" t="str">
        <f t="shared" si="39"/>
        <v>L</v>
      </c>
      <c r="BZ75" s="208" t="str">
        <f t="shared" si="39"/>
        <v>U</v>
      </c>
      <c r="CA75" s="140" t="str">
        <f t="shared" si="39"/>
        <v>I</v>
      </c>
      <c r="CB75" s="140" t="str">
        <f t="shared" si="39"/>
        <v>B</v>
      </c>
      <c r="CC75" s="140" t="str">
        <f t="shared" si="39"/>
        <v>S</v>
      </c>
      <c r="CD75" s="140" t="str">
        <f t="shared" si="39"/>
        <v>S</v>
      </c>
      <c r="CE75" s="140" t="str">
        <f t="shared" si="39"/>
        <v>S</v>
      </c>
      <c r="CF75" s="140" t="str">
        <f t="shared" si="39"/>
        <v>N</v>
      </c>
      <c r="CG75" s="140" t="str">
        <f t="shared" si="39"/>
        <v>Q</v>
      </c>
      <c r="CH75" s="140" t="str">
        <f t="shared" si="39"/>
        <v>N</v>
      </c>
      <c r="CI75" s="140" t="str">
        <f t="shared" si="39"/>
        <v>O</v>
      </c>
      <c r="CJ75" s="140" t="str">
        <f t="shared" si="39"/>
        <v>V</v>
      </c>
      <c r="CK75" s="140" t="str">
        <f t="shared" si="39"/>
        <v>X</v>
      </c>
      <c r="CL75" s="140" t="str">
        <f t="shared" si="39"/>
        <v>C</v>
      </c>
      <c r="CM75" s="140" t="str">
        <f t="shared" si="39"/>
        <v>P</v>
      </c>
      <c r="CN75" s="140" t="str">
        <f t="shared" si="39"/>
        <v>E</v>
      </c>
      <c r="CO75" s="140" t="str">
        <f t="shared" si="39"/>
        <v>G</v>
      </c>
      <c r="CP75" s="140" t="str">
        <f t="shared" si="39"/>
        <v>Q</v>
      </c>
      <c r="CQ75" s="140" t="str">
        <f t="shared" si="39"/>
        <v>P</v>
      </c>
      <c r="CR75" s="140" t="str">
        <f t="shared" si="39"/>
        <v>N</v>
      </c>
      <c r="CS75" s="140" t="str">
        <f t="shared" si="39"/>
        <v>R</v>
      </c>
      <c r="CT75" s="140" t="str">
        <f t="shared" si="39"/>
        <v>I</v>
      </c>
      <c r="CU75" s="140" t="str">
        <f t="shared" si="39"/>
        <v>G</v>
      </c>
      <c r="CV75" s="140" t="str">
        <f t="shared" si="39"/>
        <v>X</v>
      </c>
      <c r="CW75" s="140" t="str">
        <f t="shared" si="39"/>
        <v>W</v>
      </c>
      <c r="CX75" s="34"/>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c r="EI75" s="33"/>
      <c r="EJ75" s="33"/>
      <c r="EK75" s="33"/>
      <c r="EL75" s="33"/>
      <c r="EM75" s="33"/>
      <c r="EN75" s="33"/>
      <c r="EO75" s="33"/>
      <c r="EP75" s="33"/>
      <c r="EQ75" s="33"/>
      <c r="ER75" s="33"/>
      <c r="ES75" s="33"/>
      <c r="ET75" s="33"/>
      <c r="EU75" s="33"/>
      <c r="EV75" s="33"/>
      <c r="EW75" s="33"/>
      <c r="EX75" s="33"/>
      <c r="EY75" s="33"/>
      <c r="EZ75" s="33"/>
      <c r="FA75" s="33"/>
      <c r="FB75" s="33"/>
      <c r="FC75" s="33"/>
      <c r="FD75" s="33"/>
      <c r="FE75" s="33"/>
      <c r="FF75" s="33"/>
      <c r="FG75" s="33"/>
      <c r="FH75" s="33"/>
      <c r="FI75" s="33"/>
      <c r="FJ75" s="33"/>
      <c r="FK75" s="33"/>
      <c r="FL75" s="33"/>
      <c r="FM75" s="33"/>
      <c r="FN75" s="33"/>
      <c r="FO75" s="33"/>
      <c r="FP75" s="33"/>
      <c r="FQ75" s="33"/>
      <c r="FR75" s="33"/>
      <c r="FS75" s="33"/>
      <c r="FT75" s="33"/>
      <c r="FU75" s="33"/>
      <c r="FV75" s="33"/>
      <c r="FW75" s="33"/>
      <c r="FX75" s="33"/>
      <c r="FY75" s="33"/>
      <c r="FZ75" s="33"/>
      <c r="GA75" s="33"/>
      <c r="GB75" s="33"/>
      <c r="GC75" s="33"/>
      <c r="GD75" s="33"/>
      <c r="GE75" s="33"/>
      <c r="GF75" s="33"/>
      <c r="GG75" s="33"/>
      <c r="GH75" s="33"/>
      <c r="GI75" s="33"/>
      <c r="GJ75" s="33"/>
      <c r="GK75" s="33"/>
      <c r="GL75" s="33"/>
      <c r="GM75" s="33"/>
      <c r="GN75" s="33"/>
      <c r="GO75" s="33"/>
      <c r="GP75" s="33"/>
      <c r="GQ75" s="33"/>
      <c r="GR75" s="33"/>
      <c r="GS75" s="33"/>
      <c r="GT75" s="33"/>
      <c r="GU75" s="33"/>
      <c r="GV75" s="33"/>
      <c r="GW75" s="33"/>
      <c r="GX75" s="33"/>
      <c r="GY75" s="33"/>
      <c r="GZ75" s="33"/>
      <c r="HA75" s="33"/>
      <c r="HB75" s="33"/>
      <c r="HC75" s="33"/>
      <c r="HD75" s="33"/>
      <c r="HE75" s="33"/>
      <c r="HF75" s="33"/>
      <c r="HG75" s="33"/>
      <c r="HH75" s="33"/>
      <c r="HI75" s="33"/>
      <c r="HJ75" s="33"/>
      <c r="HK75" s="33"/>
      <c r="HL75" s="33"/>
      <c r="HM75" s="33"/>
      <c r="HN75" s="33"/>
      <c r="HO75" s="33"/>
      <c r="HP75" s="33"/>
      <c r="HQ75" s="33"/>
      <c r="HR75" s="33"/>
      <c r="HS75" s="33"/>
      <c r="HT75" s="33"/>
      <c r="HU75" s="33"/>
      <c r="HV75" s="33"/>
      <c r="HW75" s="33"/>
      <c r="HX75" s="33"/>
      <c r="HY75" s="33"/>
      <c r="HZ75" s="33"/>
      <c r="IA75" s="33"/>
      <c r="IB75" s="33"/>
      <c r="IC75" s="33"/>
      <c r="ID75" s="33"/>
      <c r="IE75" s="33"/>
      <c r="IF75" s="33"/>
      <c r="IG75" s="33"/>
      <c r="IH75" s="33"/>
      <c r="II75" s="33"/>
      <c r="IJ75" s="33"/>
      <c r="IK75" s="33"/>
      <c r="IL75" s="33"/>
      <c r="IM75" s="33"/>
      <c r="IN75" s="33"/>
      <c r="IO75" s="33"/>
      <c r="IP75" s="33"/>
      <c r="IQ75" s="33"/>
      <c r="IR75" s="33"/>
      <c r="IS75" s="33"/>
      <c r="IT75" s="33"/>
      <c r="IU75" s="33"/>
      <c r="IV75" s="33"/>
      <c r="IW75" s="33"/>
      <c r="IX75" s="33"/>
      <c r="IY75" s="33"/>
      <c r="IZ75" s="33"/>
      <c r="JA75" s="33"/>
      <c r="JB75" s="33"/>
      <c r="JC75" s="33"/>
      <c r="JD75" s="33"/>
      <c r="JE75" s="33"/>
      <c r="JF75" s="33"/>
      <c r="JG75" s="33"/>
      <c r="JH75" s="33"/>
      <c r="JI75" s="33"/>
      <c r="JJ75" s="33"/>
      <c r="JK75" s="33"/>
      <c r="JL75" s="33"/>
      <c r="JM75" s="33"/>
      <c r="JN75" s="33"/>
      <c r="JO75" s="33"/>
      <c r="JP75" s="33"/>
      <c r="JQ75" s="33"/>
      <c r="JR75" s="33"/>
      <c r="JS75" s="33"/>
      <c r="JT75" s="33"/>
      <c r="JU75" s="33"/>
      <c r="JV75" s="33"/>
      <c r="JW75" s="33"/>
      <c r="JX75" s="33"/>
      <c r="JY75" s="33"/>
      <c r="JZ75" s="33"/>
      <c r="KA75" s="33"/>
      <c r="KB75" s="33"/>
    </row>
    <row r="76" spans="1:288" ht="16.5" x14ac:dyDescent="0.3">
      <c r="A76" s="105"/>
      <c r="B76" s="105"/>
      <c r="C76" s="105"/>
      <c r="D76" s="105"/>
      <c r="E76" s="105"/>
      <c r="F76" s="105"/>
      <c r="G76" s="105"/>
      <c r="H76" s="105"/>
      <c r="I76" s="105"/>
      <c r="J76" s="105"/>
      <c r="K76" s="105"/>
      <c r="L76" s="105"/>
      <c r="M76" s="105"/>
      <c r="N76" s="105"/>
      <c r="O76" s="201"/>
      <c r="P76" s="105"/>
      <c r="Q76" s="105"/>
      <c r="R76" s="105"/>
      <c r="S76" s="105"/>
      <c r="T76" s="105"/>
      <c r="U76" s="105"/>
      <c r="V76" s="105"/>
      <c r="W76" s="105"/>
      <c r="X76" s="105"/>
      <c r="Y76" s="105"/>
      <c r="Z76" s="105"/>
      <c r="AA76" s="105"/>
      <c r="AB76" s="105"/>
      <c r="AC76" s="105"/>
      <c r="AD76" s="202"/>
      <c r="AE76" s="203"/>
      <c r="AF76" s="203"/>
      <c r="AG76" s="203"/>
      <c r="AH76" s="203"/>
      <c r="AI76" s="203"/>
      <c r="AJ76" s="203"/>
      <c r="AK76" s="203"/>
      <c r="AL76" s="204"/>
      <c r="AM76" s="105"/>
      <c r="AN76" s="105"/>
      <c r="AO76" s="105"/>
      <c r="AP76" s="105"/>
      <c r="AQ76" s="105"/>
      <c r="AR76" s="105"/>
      <c r="AS76" s="105"/>
      <c r="AT76" s="105"/>
      <c r="AU76" s="105"/>
      <c r="AV76" s="105"/>
      <c r="AW76" s="105"/>
      <c r="AX76" s="105"/>
      <c r="AY76" s="105"/>
      <c r="AZ76" s="105"/>
      <c r="BA76" s="105"/>
      <c r="BB76" s="105"/>
      <c r="BC76" s="105"/>
      <c r="BD76" s="105"/>
      <c r="BE76" s="105"/>
      <c r="BF76" s="201"/>
      <c r="BG76" s="105"/>
      <c r="BH76" s="105"/>
      <c r="BI76" s="105"/>
      <c r="BJ76" s="105"/>
      <c r="BK76" s="105"/>
      <c r="BL76" s="105"/>
      <c r="BM76" s="105"/>
      <c r="BN76" s="105"/>
      <c r="BO76" s="105"/>
      <c r="BP76" s="202"/>
      <c r="BQ76" s="203"/>
      <c r="BR76" s="203"/>
      <c r="BS76" s="203"/>
      <c r="BT76" s="203"/>
      <c r="BU76" s="203"/>
      <c r="BV76" s="203"/>
      <c r="BW76" s="203"/>
      <c r="BX76" s="203"/>
      <c r="BY76" s="203"/>
      <c r="BZ76" s="204"/>
      <c r="CA76" s="105"/>
      <c r="CB76" s="105"/>
      <c r="CC76" s="105"/>
      <c r="CD76" s="105"/>
      <c r="CE76" s="105"/>
      <c r="CF76" s="105"/>
      <c r="CG76" s="105"/>
      <c r="CH76" s="105"/>
      <c r="CI76" s="105"/>
      <c r="CJ76" s="105"/>
      <c r="CK76" s="105"/>
      <c r="CL76" s="105"/>
      <c r="CM76" s="105"/>
      <c r="CN76" s="105"/>
      <c r="CO76" s="105"/>
      <c r="CP76" s="105"/>
      <c r="CQ76" s="105"/>
      <c r="CR76" s="105"/>
      <c r="CS76" s="105"/>
      <c r="CT76" s="105"/>
      <c r="CU76" s="105"/>
      <c r="CV76" s="105"/>
      <c r="CW76" s="105"/>
      <c r="CX76" s="35"/>
    </row>
    <row r="77" spans="1:288" ht="17.25" x14ac:dyDescent="0.35">
      <c r="A77" s="105"/>
      <c r="B77" s="105"/>
      <c r="C77" s="105"/>
      <c r="D77" s="105"/>
      <c r="E77" s="209">
        <v>1</v>
      </c>
      <c r="F77" s="209">
        <v>2</v>
      </c>
      <c r="G77" s="209">
        <v>3</v>
      </c>
      <c r="H77" s="209">
        <v>4</v>
      </c>
      <c r="I77" s="209">
        <v>5</v>
      </c>
      <c r="J77" s="209">
        <v>6</v>
      </c>
      <c r="K77" s="209">
        <v>7</v>
      </c>
      <c r="L77" s="209">
        <v>8</v>
      </c>
      <c r="M77" s="209">
        <v>9</v>
      </c>
      <c r="N77" s="210">
        <v>10</v>
      </c>
      <c r="O77" s="211">
        <v>11</v>
      </c>
      <c r="P77" s="212">
        <v>12</v>
      </c>
      <c r="Q77" s="209">
        <v>13</v>
      </c>
      <c r="R77" s="209">
        <v>14</v>
      </c>
      <c r="S77" s="209">
        <v>15</v>
      </c>
      <c r="T77" s="209">
        <v>16</v>
      </c>
      <c r="U77" s="209">
        <v>17</v>
      </c>
      <c r="V77" s="209">
        <v>18</v>
      </c>
      <c r="W77" s="209">
        <v>19</v>
      </c>
      <c r="X77" s="209">
        <v>20</v>
      </c>
      <c r="Y77" s="209">
        <v>21</v>
      </c>
      <c r="Z77" s="209">
        <v>22</v>
      </c>
      <c r="AA77" s="209">
        <v>23</v>
      </c>
      <c r="AB77" s="209">
        <v>24</v>
      </c>
      <c r="AC77" s="213">
        <v>25</v>
      </c>
      <c r="AD77" s="214">
        <v>26</v>
      </c>
      <c r="AE77" s="215">
        <v>27</v>
      </c>
      <c r="AF77" s="215">
        <v>28</v>
      </c>
      <c r="AG77" s="215">
        <v>29</v>
      </c>
      <c r="AH77" s="215">
        <v>30</v>
      </c>
      <c r="AI77" s="215">
        <v>31</v>
      </c>
      <c r="AJ77" s="215">
        <v>32</v>
      </c>
      <c r="AK77" s="215">
        <v>33</v>
      </c>
      <c r="AL77" s="216">
        <v>34</v>
      </c>
      <c r="AM77" s="217">
        <v>35</v>
      </c>
      <c r="AN77" s="209">
        <v>36</v>
      </c>
      <c r="AO77" s="209">
        <v>37</v>
      </c>
      <c r="AP77" s="209">
        <v>38</v>
      </c>
      <c r="AQ77" s="209">
        <v>39</v>
      </c>
      <c r="AR77" s="209">
        <v>40</v>
      </c>
      <c r="AS77" s="209">
        <v>41</v>
      </c>
      <c r="AT77" s="209">
        <v>42</v>
      </c>
      <c r="AU77" s="209">
        <v>43</v>
      </c>
      <c r="AV77" s="209">
        <v>44</v>
      </c>
      <c r="AW77" s="209">
        <v>45</v>
      </c>
      <c r="AX77" s="209">
        <v>46</v>
      </c>
      <c r="AY77" s="209">
        <v>47</v>
      </c>
      <c r="AZ77" s="209">
        <v>48</v>
      </c>
      <c r="BA77" s="209">
        <v>49</v>
      </c>
      <c r="BB77" s="209">
        <v>50</v>
      </c>
      <c r="BC77" s="209">
        <v>51</v>
      </c>
      <c r="BD77" s="209">
        <v>52</v>
      </c>
      <c r="BE77" s="210">
        <v>53</v>
      </c>
      <c r="BF77" s="211">
        <v>54</v>
      </c>
      <c r="BG77" s="212">
        <v>55</v>
      </c>
      <c r="BH77" s="209">
        <v>56</v>
      </c>
      <c r="BI77" s="209">
        <v>57</v>
      </c>
      <c r="BJ77" s="209">
        <v>58</v>
      </c>
      <c r="BK77" s="209">
        <v>59</v>
      </c>
      <c r="BL77" s="209">
        <v>60</v>
      </c>
      <c r="BM77" s="209">
        <v>61</v>
      </c>
      <c r="BN77" s="209">
        <v>62</v>
      </c>
      <c r="BO77" s="213">
        <v>63</v>
      </c>
      <c r="BP77" s="214">
        <v>64</v>
      </c>
      <c r="BQ77" s="215">
        <v>65</v>
      </c>
      <c r="BR77" s="215">
        <v>66</v>
      </c>
      <c r="BS77" s="215">
        <v>67</v>
      </c>
      <c r="BT77" s="215">
        <v>68</v>
      </c>
      <c r="BU77" s="215">
        <v>69</v>
      </c>
      <c r="BV77" s="215">
        <v>70</v>
      </c>
      <c r="BW77" s="215">
        <v>71</v>
      </c>
      <c r="BX77" s="215">
        <v>72</v>
      </c>
      <c r="BY77" s="215">
        <v>73</v>
      </c>
      <c r="BZ77" s="216">
        <v>74</v>
      </c>
      <c r="CA77" s="217">
        <v>75</v>
      </c>
      <c r="CB77" s="209">
        <v>76</v>
      </c>
      <c r="CC77" s="209">
        <v>77</v>
      </c>
      <c r="CD77" s="209">
        <v>78</v>
      </c>
      <c r="CE77" s="209">
        <v>79</v>
      </c>
      <c r="CF77" s="209">
        <v>80</v>
      </c>
      <c r="CG77" s="209">
        <v>81</v>
      </c>
      <c r="CH77" s="209">
        <v>82</v>
      </c>
      <c r="CI77" s="209">
        <v>83</v>
      </c>
      <c r="CJ77" s="209">
        <v>84</v>
      </c>
      <c r="CK77" s="209">
        <v>85</v>
      </c>
      <c r="CL77" s="209">
        <v>86</v>
      </c>
      <c r="CM77" s="209">
        <v>87</v>
      </c>
      <c r="CN77" s="209">
        <v>88</v>
      </c>
      <c r="CO77" s="209">
        <v>89</v>
      </c>
      <c r="CP77" s="209">
        <v>90</v>
      </c>
      <c r="CQ77" s="209">
        <v>91</v>
      </c>
      <c r="CR77" s="209">
        <v>92</v>
      </c>
      <c r="CS77" s="209">
        <v>93</v>
      </c>
      <c r="CT77" s="209">
        <v>94</v>
      </c>
      <c r="CU77" s="209">
        <v>95</v>
      </c>
      <c r="CV77" s="209">
        <v>96</v>
      </c>
      <c r="CW77" s="209">
        <v>97</v>
      </c>
      <c r="CX77" s="35"/>
    </row>
    <row r="78" spans="1:288" s="245" customFormat="1" ht="16.5" x14ac:dyDescent="0.25">
      <c r="A78" s="282"/>
      <c r="B78" s="283"/>
      <c r="C78" s="283"/>
      <c r="D78" s="283"/>
      <c r="E78" s="282"/>
      <c r="F78" s="282"/>
      <c r="G78" s="282"/>
      <c r="H78" s="282"/>
      <c r="I78" s="282"/>
      <c r="J78" s="282"/>
      <c r="K78" s="282"/>
      <c r="L78" s="282"/>
      <c r="M78" s="282"/>
      <c r="N78" s="282"/>
      <c r="O78" s="282" t="s">
        <v>29</v>
      </c>
      <c r="P78" s="282"/>
      <c r="Q78" s="282"/>
      <c r="R78" s="282"/>
      <c r="S78" s="282"/>
      <c r="T78" s="282"/>
      <c r="U78" s="282"/>
      <c r="V78" s="282"/>
      <c r="W78" s="282"/>
      <c r="X78" s="282"/>
      <c r="Y78" s="282"/>
      <c r="Z78" s="282"/>
      <c r="AA78" s="282"/>
      <c r="AB78" s="282"/>
      <c r="AC78" s="282"/>
      <c r="AD78" s="282" t="s">
        <v>30</v>
      </c>
      <c r="AE78" s="282" t="s">
        <v>31</v>
      </c>
      <c r="AF78" s="282" t="s">
        <v>32</v>
      </c>
      <c r="AG78" s="282" t="s">
        <v>33</v>
      </c>
      <c r="AH78" s="282" t="s">
        <v>34</v>
      </c>
      <c r="AI78" s="282" t="s">
        <v>35</v>
      </c>
      <c r="AJ78" s="282" t="s">
        <v>36</v>
      </c>
      <c r="AK78" s="282" t="s">
        <v>37</v>
      </c>
      <c r="AL78" s="282" t="s">
        <v>33</v>
      </c>
      <c r="AM78" s="282"/>
      <c r="AN78" s="282"/>
      <c r="AO78" s="282"/>
      <c r="AP78" s="282"/>
      <c r="AQ78" s="282"/>
      <c r="AR78" s="282"/>
      <c r="AS78" s="282"/>
      <c r="AT78" s="282"/>
      <c r="AU78" s="282"/>
      <c r="AV78" s="282"/>
      <c r="AW78" s="282"/>
      <c r="AX78" s="282"/>
      <c r="AY78" s="282"/>
      <c r="AZ78" s="282"/>
      <c r="BA78" s="282"/>
      <c r="BB78" s="282"/>
      <c r="BC78" s="282"/>
      <c r="BD78" s="282"/>
      <c r="BE78" s="282"/>
      <c r="BF78" s="282" t="s">
        <v>38</v>
      </c>
      <c r="BG78" s="282"/>
      <c r="BH78" s="282"/>
      <c r="BI78" s="282"/>
      <c r="BJ78" s="282"/>
      <c r="BK78" s="282"/>
      <c r="BL78" s="282"/>
      <c r="BM78" s="282"/>
      <c r="BN78" s="282"/>
      <c r="BO78" s="282"/>
      <c r="BP78" s="284" t="s">
        <v>39</v>
      </c>
      <c r="BQ78" s="284" t="s">
        <v>35</v>
      </c>
      <c r="BR78" s="284" t="s">
        <v>32</v>
      </c>
      <c r="BS78" s="284" t="s">
        <v>38</v>
      </c>
      <c r="BT78" s="284" t="s">
        <v>40</v>
      </c>
      <c r="BU78" s="284" t="s">
        <v>30</v>
      </c>
      <c r="BV78" s="284" t="s">
        <v>41</v>
      </c>
      <c r="BW78" s="284" t="s">
        <v>38</v>
      </c>
      <c r="BX78" s="284" t="s">
        <v>31</v>
      </c>
      <c r="BY78" s="284" t="s">
        <v>41</v>
      </c>
      <c r="BZ78" s="284" t="s">
        <v>42</v>
      </c>
      <c r="CA78" s="282"/>
      <c r="CB78" s="282"/>
      <c r="CC78" s="282"/>
      <c r="CD78" s="282"/>
      <c r="CE78" s="282"/>
      <c r="CF78" s="282"/>
      <c r="CG78" s="282"/>
      <c r="CH78" s="282"/>
      <c r="CI78" s="282"/>
      <c r="CJ78" s="282"/>
      <c r="CK78" s="282"/>
      <c r="CL78" s="282"/>
      <c r="CM78" s="282"/>
      <c r="CN78" s="282"/>
      <c r="CO78" s="282"/>
      <c r="CP78" s="282"/>
      <c r="CQ78" s="282"/>
      <c r="CR78" s="282"/>
      <c r="CS78" s="282"/>
      <c r="CT78" s="282"/>
      <c r="CU78" s="282"/>
      <c r="CV78" s="282"/>
      <c r="CW78" s="291" t="s">
        <v>151</v>
      </c>
      <c r="CX78" s="246"/>
    </row>
    <row r="79" spans="1:288" ht="16.5" x14ac:dyDescent="0.3">
      <c r="A79" s="105"/>
      <c r="B79" s="203"/>
      <c r="C79" s="203"/>
      <c r="D79" s="252"/>
      <c r="CX79" s="35"/>
    </row>
    <row r="80" spans="1:288" ht="15.75" x14ac:dyDescent="0.3">
      <c r="A80" s="244"/>
      <c r="B80" s="244"/>
      <c r="C80" s="244"/>
      <c r="D80" s="25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c r="CD80" s="42"/>
      <c r="CE80" s="42"/>
      <c r="CF80" s="42"/>
      <c r="CG80" s="42"/>
      <c r="CH80" s="42"/>
      <c r="CI80" s="42"/>
      <c r="CJ80" s="42"/>
      <c r="CK80" s="42"/>
      <c r="CL80" s="42"/>
      <c r="CM80" s="42"/>
      <c r="CN80" s="42"/>
      <c r="CO80" s="42"/>
      <c r="CP80" s="42"/>
      <c r="CQ80" s="42"/>
      <c r="CR80" s="42"/>
      <c r="CS80" s="42"/>
      <c r="CT80" s="42"/>
      <c r="CU80" s="42"/>
      <c r="CV80" s="42"/>
      <c r="CW80" s="42"/>
    </row>
    <row r="81" spans="1:101" ht="15.75" x14ac:dyDescent="0.3">
      <c r="A81" s="244"/>
      <c r="B81" s="244"/>
      <c r="C81" s="244"/>
      <c r="D81" s="25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42"/>
      <c r="CU81" s="42"/>
      <c r="CV81" s="42"/>
      <c r="CW81" s="42"/>
    </row>
    <row r="82" spans="1:101" ht="15.75" x14ac:dyDescent="0.3">
      <c r="A82" s="244"/>
      <c r="B82" s="244"/>
      <c r="C82" s="244"/>
      <c r="D82" s="252" t="s">
        <v>106</v>
      </c>
      <c r="E82" s="285" t="s">
        <v>36</v>
      </c>
      <c r="F82" s="286" t="s">
        <v>39</v>
      </c>
      <c r="G82" s="286" t="s">
        <v>41</v>
      </c>
      <c r="H82" s="286" t="s">
        <v>52</v>
      </c>
      <c r="I82" s="286" t="s">
        <v>35</v>
      </c>
      <c r="J82" s="286" t="s">
        <v>45</v>
      </c>
      <c r="K82" s="286" t="s">
        <v>44</v>
      </c>
      <c r="L82" s="286" t="s">
        <v>34</v>
      </c>
      <c r="M82" s="286" t="s">
        <v>40</v>
      </c>
      <c r="N82" s="286" t="s">
        <v>50</v>
      </c>
      <c r="O82" s="286" t="s">
        <v>42</v>
      </c>
      <c r="P82" s="286" t="s">
        <v>38</v>
      </c>
      <c r="Q82" s="286" t="s">
        <v>54</v>
      </c>
      <c r="R82" s="286" t="s">
        <v>30</v>
      </c>
      <c r="S82" s="286" t="s">
        <v>31</v>
      </c>
      <c r="T82" s="286" t="s">
        <v>49</v>
      </c>
      <c r="U82" s="286" t="s">
        <v>48</v>
      </c>
      <c r="V82" s="286" t="s">
        <v>32</v>
      </c>
      <c r="W82" s="286" t="s">
        <v>37</v>
      </c>
      <c r="X82" s="286" t="s">
        <v>33</v>
      </c>
      <c r="Y82" s="286" t="s">
        <v>29</v>
      </c>
      <c r="Z82" s="286" t="s">
        <v>47</v>
      </c>
      <c r="AA82" s="286" t="s">
        <v>46</v>
      </c>
      <c r="AB82" s="286" t="s">
        <v>43</v>
      </c>
      <c r="AC82" s="286" t="s">
        <v>53</v>
      </c>
      <c r="AD82" s="287" t="s">
        <v>51</v>
      </c>
      <c r="AE82" s="199"/>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c r="BU82" s="42"/>
      <c r="BV82" s="42"/>
      <c r="BW82" s="42"/>
      <c r="BX82" s="42"/>
      <c r="BY82" s="42"/>
      <c r="BZ82" s="42"/>
      <c r="CA82" s="42"/>
      <c r="CB82" s="42"/>
      <c r="CC82" s="42"/>
      <c r="CD82" s="42"/>
      <c r="CE82" s="42"/>
      <c r="CF82" s="42"/>
      <c r="CG82" s="42"/>
      <c r="CH82" s="42"/>
      <c r="CI82" s="42"/>
      <c r="CJ82" s="42"/>
      <c r="CK82" s="42"/>
      <c r="CL82" s="42"/>
      <c r="CM82" s="42"/>
      <c r="CN82" s="42"/>
      <c r="CO82" s="42"/>
      <c r="CP82" s="42"/>
      <c r="CQ82" s="42"/>
      <c r="CR82" s="42"/>
      <c r="CS82" s="42"/>
      <c r="CT82" s="42"/>
      <c r="CU82" s="42"/>
      <c r="CV82" s="42"/>
      <c r="CW82" s="42"/>
    </row>
    <row r="83" spans="1:101" ht="15.75" x14ac:dyDescent="0.3">
      <c r="A83" s="244"/>
      <c r="B83" s="244"/>
      <c r="C83" s="244"/>
      <c r="D83" s="252" t="s">
        <v>107</v>
      </c>
      <c r="E83" s="288">
        <f>COUNTIF(RECONVERSION,E82)</f>
        <v>2</v>
      </c>
      <c r="F83" s="288">
        <f t="shared" ref="F83:AD83" si="40">COUNTIF(RECONVERSION,F82)</f>
        <v>6</v>
      </c>
      <c r="G83" s="288">
        <f t="shared" si="40"/>
        <v>3</v>
      </c>
      <c r="H83" s="288">
        <f t="shared" si="40"/>
        <v>1</v>
      </c>
      <c r="I83" s="288">
        <f t="shared" si="40"/>
        <v>6</v>
      </c>
      <c r="J83" s="288">
        <f t="shared" si="40"/>
        <v>3</v>
      </c>
      <c r="K83" s="288">
        <f t="shared" si="40"/>
        <v>2</v>
      </c>
      <c r="L83" s="288">
        <f t="shared" si="40"/>
        <v>4</v>
      </c>
      <c r="M83" s="288">
        <f t="shared" si="40"/>
        <v>7</v>
      </c>
      <c r="N83" s="288">
        <f t="shared" si="40"/>
        <v>4</v>
      </c>
      <c r="O83" s="288">
        <f t="shared" si="40"/>
        <v>3</v>
      </c>
      <c r="P83" s="288">
        <f t="shared" si="40"/>
        <v>5</v>
      </c>
      <c r="Q83" s="288">
        <f t="shared" si="40"/>
        <v>2</v>
      </c>
      <c r="R83" s="288">
        <f t="shared" si="40"/>
        <v>6</v>
      </c>
      <c r="S83" s="288">
        <f t="shared" si="40"/>
        <v>4</v>
      </c>
      <c r="T83" s="288">
        <f t="shared" si="40"/>
        <v>6</v>
      </c>
      <c r="U83" s="288">
        <f t="shared" si="40"/>
        <v>5</v>
      </c>
      <c r="V83" s="288">
        <f t="shared" si="40"/>
        <v>3</v>
      </c>
      <c r="W83" s="288">
        <f t="shared" si="40"/>
        <v>4</v>
      </c>
      <c r="X83" s="288">
        <f t="shared" si="40"/>
        <v>1</v>
      </c>
      <c r="Y83" s="288">
        <f t="shared" si="40"/>
        <v>3</v>
      </c>
      <c r="Z83" s="288">
        <f t="shared" si="40"/>
        <v>4</v>
      </c>
      <c r="AA83" s="288">
        <f t="shared" si="40"/>
        <v>4</v>
      </c>
      <c r="AB83" s="288">
        <f t="shared" si="40"/>
        <v>2</v>
      </c>
      <c r="AC83" s="288">
        <f t="shared" si="40"/>
        <v>5</v>
      </c>
      <c r="AD83" s="288">
        <f t="shared" si="40"/>
        <v>2</v>
      </c>
      <c r="AE83" s="289">
        <f>SUM(E83:AD83)</f>
        <v>97</v>
      </c>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42"/>
      <c r="CU83" s="42"/>
      <c r="CV83" s="42"/>
      <c r="CW83" s="42"/>
    </row>
    <row r="84" spans="1:101" x14ac:dyDescent="0.25">
      <c r="A84" s="244"/>
      <c r="B84" s="244"/>
      <c r="C84" s="244"/>
      <c r="D84" s="244"/>
      <c r="Q84" s="249"/>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8"/>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row>
    <row r="85" spans="1:101" x14ac:dyDescent="0.25">
      <c r="A85" s="244"/>
      <c r="B85" s="244"/>
      <c r="C85" s="244"/>
      <c r="D85" s="290" t="s">
        <v>137</v>
      </c>
      <c r="E85" s="248" t="s">
        <v>40</v>
      </c>
      <c r="F85" s="248" t="s">
        <v>39</v>
      </c>
      <c r="G85" s="248" t="s">
        <v>35</v>
      </c>
      <c r="H85" s="248" t="s">
        <v>30</v>
      </c>
      <c r="I85" s="248" t="s">
        <v>49</v>
      </c>
      <c r="J85" s="248" t="s">
        <v>38</v>
      </c>
      <c r="K85" s="248" t="s">
        <v>48</v>
      </c>
      <c r="L85" s="248" t="s">
        <v>53</v>
      </c>
      <c r="M85" s="248" t="s">
        <v>34</v>
      </c>
      <c r="N85" s="248" t="s">
        <v>50</v>
      </c>
      <c r="O85" s="248" t="s">
        <v>31</v>
      </c>
      <c r="P85" s="248" t="s">
        <v>37</v>
      </c>
      <c r="Q85" s="248" t="s">
        <v>47</v>
      </c>
      <c r="R85" s="248" t="s">
        <v>46</v>
      </c>
      <c r="S85" s="248" t="s">
        <v>41</v>
      </c>
      <c r="T85" s="248" t="s">
        <v>45</v>
      </c>
      <c r="U85" s="248" t="s">
        <v>42</v>
      </c>
      <c r="V85" s="248" t="s">
        <v>32</v>
      </c>
      <c r="W85" s="248" t="s">
        <v>29</v>
      </c>
      <c r="X85" s="248" t="s">
        <v>36</v>
      </c>
      <c r="Y85" s="248" t="s">
        <v>44</v>
      </c>
      <c r="Z85" s="248" t="s">
        <v>54</v>
      </c>
      <c r="AA85" s="248" t="s">
        <v>43</v>
      </c>
      <c r="AB85" s="248" t="s">
        <v>51</v>
      </c>
      <c r="AC85" s="248" t="s">
        <v>52</v>
      </c>
      <c r="AD85" s="248" t="s">
        <v>33</v>
      </c>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48"/>
      <c r="CA85" s="48"/>
      <c r="CB85" s="48"/>
      <c r="CC85" s="48"/>
      <c r="CD85" s="48"/>
      <c r="CE85" s="48"/>
      <c r="CF85" s="48"/>
      <c r="CG85" s="48"/>
      <c r="CH85" s="48"/>
      <c r="CI85" s="48"/>
      <c r="CJ85" s="48"/>
      <c r="CK85" s="48"/>
      <c r="CL85" s="48"/>
      <c r="CM85" s="48"/>
      <c r="CN85" s="48"/>
      <c r="CO85" s="48"/>
      <c r="CP85" s="48"/>
      <c r="CQ85" s="48"/>
      <c r="CR85" s="48"/>
      <c r="CS85" s="48"/>
      <c r="CT85" s="48"/>
      <c r="CU85" s="48"/>
      <c r="CV85" s="48"/>
      <c r="CW85" s="48"/>
    </row>
    <row r="86" spans="1:101" ht="15.75" x14ac:dyDescent="0.3">
      <c r="A86" s="105"/>
      <c r="B86" s="105"/>
      <c r="C86" s="105"/>
      <c r="D86" s="195" t="s">
        <v>138</v>
      </c>
      <c r="E86" s="247">
        <v>7</v>
      </c>
      <c r="F86" s="247">
        <v>6</v>
      </c>
      <c r="G86" s="247">
        <v>6</v>
      </c>
      <c r="H86" s="247">
        <v>6</v>
      </c>
      <c r="I86" s="247">
        <v>6</v>
      </c>
      <c r="J86" s="247">
        <v>5</v>
      </c>
      <c r="K86" s="247">
        <v>5</v>
      </c>
      <c r="L86" s="247">
        <v>5</v>
      </c>
      <c r="M86" s="247">
        <v>4</v>
      </c>
      <c r="N86" s="247">
        <v>4</v>
      </c>
      <c r="O86" s="247">
        <v>4</v>
      </c>
      <c r="P86" s="247">
        <v>4</v>
      </c>
      <c r="Q86" s="247">
        <v>4</v>
      </c>
      <c r="R86" s="247">
        <v>4</v>
      </c>
      <c r="S86" s="247">
        <v>3</v>
      </c>
      <c r="T86" s="247">
        <v>3</v>
      </c>
      <c r="U86" s="247">
        <v>3</v>
      </c>
      <c r="V86" s="247">
        <v>3</v>
      </c>
      <c r="W86" s="247">
        <v>3</v>
      </c>
      <c r="X86" s="247">
        <v>2</v>
      </c>
      <c r="Y86" s="247">
        <v>2</v>
      </c>
      <c r="Z86" s="247">
        <v>2</v>
      </c>
      <c r="AA86" s="247">
        <v>2</v>
      </c>
      <c r="AB86" s="247">
        <v>2</v>
      </c>
      <c r="AC86" s="247">
        <v>1</v>
      </c>
      <c r="AD86" s="247">
        <v>1</v>
      </c>
      <c r="AE86" s="289">
        <f>SUM(E86:AD86)</f>
        <v>97</v>
      </c>
    </row>
    <row r="87" spans="1:101" x14ac:dyDescent="0.25">
      <c r="AE87" s="36"/>
    </row>
    <row r="88" spans="1:101" x14ac:dyDescent="0.25">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36"/>
    </row>
    <row r="89" spans="1:101" x14ac:dyDescent="0.25">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36"/>
    </row>
  </sheetData>
  <sheetProtection password="8BFA" sheet="1" objects="1" scenarios="1"/>
  <sortState columnSort="1" ref="E85:AD86">
    <sortCondition descending="1" ref="E85:AD85"/>
  </sortState>
  <conditionalFormatting sqref="BP75">
    <cfRule type="cellIs" dxfId="23" priority="13" operator="equal">
      <formula>"B"</formula>
    </cfRule>
  </conditionalFormatting>
  <conditionalFormatting sqref="BQ75 AI75">
    <cfRule type="cellIs" dxfId="22" priority="12" operator="equal">
      <formula>"E"</formula>
    </cfRule>
  </conditionalFormatting>
  <conditionalFormatting sqref="BR75 AF75">
    <cfRule type="cellIs" dxfId="21" priority="11" operator="equal">
      <formula>"R"</formula>
    </cfRule>
  </conditionalFormatting>
  <conditionalFormatting sqref="BS75 BW75">
    <cfRule type="cellIs" dxfId="20" priority="10" operator="equal">
      <formula>"L"</formula>
    </cfRule>
  </conditionalFormatting>
  <conditionalFormatting sqref="BT75">
    <cfRule type="cellIs" dxfId="19" priority="9" operator="equal">
      <formula>"I"</formula>
    </cfRule>
  </conditionalFormatting>
  <conditionalFormatting sqref="BU75 AD75">
    <cfRule type="cellIs" dxfId="18" priority="8" operator="equal">
      <formula>"N"</formula>
    </cfRule>
  </conditionalFormatting>
  <conditionalFormatting sqref="BV75 BY75">
    <cfRule type="cellIs" dxfId="17" priority="7" operator="equal">
      <formula>"C"</formula>
    </cfRule>
  </conditionalFormatting>
  <conditionalFormatting sqref="BX75 AE75">
    <cfRule type="cellIs" dxfId="16" priority="6" operator="equal">
      <formula>"O"</formula>
    </cfRule>
  </conditionalFormatting>
  <conditionalFormatting sqref="BZ75">
    <cfRule type="cellIs" dxfId="15" priority="5" operator="equal">
      <formula>"K"</formula>
    </cfRule>
  </conditionalFormatting>
  <conditionalFormatting sqref="AG75 AL75">
    <cfRule type="cellIs" dxfId="14" priority="4" operator="equal">
      <formula>"T"</formula>
    </cfRule>
  </conditionalFormatting>
  <conditionalFormatting sqref="AH75">
    <cfRule type="cellIs" dxfId="13" priority="3" operator="equal">
      <formula>"H"</formula>
    </cfRule>
  </conditionalFormatting>
  <conditionalFormatting sqref="AJ75">
    <cfRule type="cellIs" priority="2" operator="equal">
      <formula>"A"</formula>
    </cfRule>
  </conditionalFormatting>
  <conditionalFormatting sqref="AK75">
    <cfRule type="cellIs" dxfId="12" priority="1" operator="equal">
      <formula>"S"</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A98"/>
  <sheetViews>
    <sheetView showGridLines="0" tabSelected="1" workbookViewId="0"/>
  </sheetViews>
  <sheetFormatPr defaultColWidth="3.7109375" defaultRowHeight="15" x14ac:dyDescent="0.25"/>
  <cols>
    <col min="1" max="4" width="7" style="1" customWidth="1"/>
    <col min="5" max="416" width="4.42578125" style="1" customWidth="1"/>
    <col min="417" max="16384" width="3.7109375" style="1"/>
  </cols>
  <sheetData>
    <row r="2" spans="2:417" s="11" customFormat="1" x14ac:dyDescent="0.25">
      <c r="B2" s="47"/>
      <c r="C2" s="243" t="s">
        <v>86</v>
      </c>
      <c r="D2" s="250"/>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46"/>
      <c r="CX2" s="46"/>
      <c r="CY2" s="46"/>
      <c r="CZ2" s="46"/>
      <c r="DA2" s="46"/>
      <c r="DB2" s="46"/>
      <c r="DC2" s="46"/>
      <c r="DD2" s="46"/>
      <c r="DE2" s="46"/>
      <c r="DF2" s="46"/>
      <c r="DG2" s="46"/>
      <c r="DH2" s="46"/>
      <c r="DI2" s="46"/>
      <c r="DJ2" s="46"/>
      <c r="DK2" s="46"/>
      <c r="DL2" s="46"/>
      <c r="DM2" s="46"/>
      <c r="DN2" s="46"/>
      <c r="DO2" s="46"/>
      <c r="DP2" s="46"/>
      <c r="DQ2" s="46"/>
      <c r="DR2" s="46"/>
      <c r="DS2" s="46"/>
      <c r="DT2" s="46"/>
      <c r="DU2" s="46"/>
      <c r="DV2" s="46"/>
      <c r="DW2" s="46"/>
      <c r="DX2" s="46"/>
      <c r="DY2" s="46"/>
      <c r="DZ2" s="46"/>
      <c r="EA2" s="46"/>
      <c r="EB2" s="46"/>
      <c r="EC2" s="46"/>
      <c r="ED2" s="46"/>
      <c r="EE2" s="46"/>
      <c r="EF2" s="46"/>
      <c r="EG2" s="46"/>
      <c r="EH2" s="46"/>
      <c r="EI2" s="46"/>
      <c r="EJ2" s="46"/>
      <c r="EK2" s="46"/>
      <c r="EL2" s="46"/>
      <c r="EM2" s="46"/>
      <c r="EN2" s="46"/>
      <c r="EO2" s="46"/>
      <c r="EP2" s="46"/>
      <c r="EQ2" s="46"/>
      <c r="ER2" s="46"/>
      <c r="ES2" s="46"/>
      <c r="ET2" s="46"/>
      <c r="EU2" s="46"/>
      <c r="EV2" s="46"/>
      <c r="EW2" s="46"/>
      <c r="EX2" s="46"/>
      <c r="EY2" s="46"/>
      <c r="EZ2" s="46"/>
      <c r="FA2" s="46"/>
      <c r="FB2" s="46"/>
      <c r="FC2" s="46"/>
      <c r="FD2" s="46"/>
      <c r="FE2" s="46"/>
      <c r="FF2" s="46"/>
      <c r="FG2" s="46"/>
      <c r="FH2" s="46"/>
      <c r="FI2" s="46"/>
      <c r="FJ2" s="46"/>
      <c r="FK2" s="46"/>
      <c r="FL2" s="46"/>
      <c r="FM2" s="46"/>
      <c r="FN2" s="46"/>
      <c r="FO2" s="46"/>
      <c r="FP2" s="46"/>
      <c r="FQ2" s="46"/>
      <c r="FR2" s="46"/>
      <c r="FS2" s="46"/>
      <c r="FT2" s="46"/>
      <c r="FU2" s="46"/>
      <c r="FV2" s="46"/>
      <c r="FW2" s="46"/>
      <c r="FX2" s="46"/>
      <c r="FY2" s="46"/>
      <c r="FZ2" s="46"/>
      <c r="GA2" s="46"/>
      <c r="GB2" s="46"/>
      <c r="GC2" s="46"/>
      <c r="GD2" s="46"/>
      <c r="GE2" s="46"/>
      <c r="GF2" s="46"/>
      <c r="GG2" s="46"/>
      <c r="GH2" s="46"/>
      <c r="GI2" s="46"/>
      <c r="GJ2" s="46"/>
      <c r="GK2" s="46"/>
      <c r="GL2" s="46"/>
      <c r="GM2" s="46"/>
      <c r="GN2" s="46"/>
      <c r="GO2" s="46"/>
      <c r="GP2" s="46"/>
      <c r="GQ2" s="46"/>
      <c r="GR2" s="46"/>
      <c r="GS2" s="46"/>
      <c r="GT2" s="46"/>
      <c r="GU2" s="46"/>
      <c r="GV2" s="46"/>
      <c r="GW2" s="46"/>
      <c r="GX2" s="46"/>
      <c r="GY2" s="46"/>
      <c r="GZ2" s="46"/>
      <c r="HA2" s="46"/>
      <c r="HB2" s="46"/>
      <c r="HC2" s="46"/>
      <c r="HD2" s="46"/>
      <c r="HE2" s="46"/>
      <c r="HF2" s="46"/>
      <c r="HG2" s="46"/>
      <c r="HH2" s="46"/>
      <c r="HI2" s="46"/>
      <c r="HJ2" s="46"/>
      <c r="HK2" s="46"/>
      <c r="HL2" s="46"/>
      <c r="HM2" s="46"/>
      <c r="HN2" s="46"/>
      <c r="HO2" s="46"/>
      <c r="HP2" s="46"/>
      <c r="HQ2" s="46"/>
      <c r="HR2" s="46"/>
      <c r="HS2" s="46"/>
      <c r="HT2" s="46"/>
      <c r="HU2" s="46"/>
      <c r="HV2" s="46"/>
      <c r="HW2" s="46"/>
      <c r="HX2" s="46"/>
      <c r="HY2" s="46"/>
      <c r="HZ2" s="46"/>
      <c r="IA2" s="46"/>
      <c r="IB2" s="46"/>
      <c r="IC2" s="46"/>
      <c r="ID2" s="46"/>
      <c r="IE2" s="46"/>
      <c r="IF2" s="46"/>
      <c r="IG2" s="46"/>
      <c r="IH2" s="46"/>
      <c r="II2" s="46"/>
      <c r="IJ2" s="46"/>
      <c r="IK2" s="46"/>
      <c r="IL2" s="46"/>
      <c r="IM2" s="46"/>
      <c r="IN2" s="46"/>
      <c r="IO2" s="46"/>
      <c r="IP2" s="46"/>
      <c r="IQ2" s="46"/>
      <c r="IR2" s="46"/>
      <c r="IS2" s="46"/>
      <c r="IT2" s="46"/>
      <c r="IU2" s="46"/>
      <c r="IV2" s="46"/>
      <c r="IW2" s="46"/>
      <c r="IX2" s="46"/>
      <c r="IY2" s="46"/>
      <c r="IZ2" s="46"/>
      <c r="JA2" s="46"/>
      <c r="JB2" s="46"/>
      <c r="JC2" s="46"/>
      <c r="JD2" s="46"/>
      <c r="JE2" s="46"/>
      <c r="JF2" s="46"/>
      <c r="JG2" s="46"/>
      <c r="JH2" s="46"/>
      <c r="JI2" s="46"/>
      <c r="JJ2" s="46"/>
      <c r="JK2" s="46"/>
      <c r="JL2" s="46"/>
      <c r="JM2" s="46"/>
      <c r="JN2" s="46"/>
      <c r="JO2" s="46"/>
      <c r="JP2" s="46"/>
      <c r="JQ2" s="46"/>
      <c r="JR2" s="46"/>
      <c r="JS2" s="46"/>
      <c r="JT2" s="46"/>
      <c r="JU2" s="46"/>
      <c r="JV2" s="46"/>
      <c r="JW2" s="46"/>
      <c r="JX2" s="46"/>
      <c r="JY2" s="46"/>
      <c r="JZ2" s="46"/>
      <c r="KA2" s="46"/>
      <c r="KB2" s="46"/>
      <c r="KC2" s="46"/>
      <c r="KD2" s="46"/>
      <c r="KE2" s="46"/>
      <c r="KF2" s="46"/>
      <c r="KG2" s="46"/>
      <c r="KH2" s="46"/>
      <c r="KI2" s="46"/>
      <c r="KJ2" s="46"/>
      <c r="KK2" s="46"/>
      <c r="KL2" s="46"/>
      <c r="KM2" s="46"/>
      <c r="KN2" s="46"/>
      <c r="KO2" s="46"/>
      <c r="KP2" s="46"/>
      <c r="KQ2" s="46"/>
      <c r="KR2" s="46"/>
      <c r="KS2" s="46"/>
    </row>
    <row r="3" spans="2:417" x14ac:dyDescent="0.25">
      <c r="B3" s="48"/>
      <c r="C3" s="244" t="s">
        <v>134</v>
      </c>
      <c r="D3" s="252"/>
      <c r="E3" s="250"/>
      <c r="F3" s="250"/>
      <c r="G3" s="250"/>
      <c r="H3" s="250"/>
      <c r="I3" s="250"/>
      <c r="J3" s="250"/>
      <c r="K3" s="250"/>
      <c r="L3" s="250"/>
      <c r="M3" s="250"/>
      <c r="N3" s="250"/>
      <c r="O3" s="250"/>
      <c r="P3" s="250"/>
      <c r="Q3" s="250"/>
      <c r="R3" s="250"/>
      <c r="S3" s="250"/>
      <c r="T3" s="250"/>
      <c r="U3" s="250"/>
      <c r="V3" s="250"/>
      <c r="W3" s="250"/>
      <c r="X3" s="250"/>
      <c r="Y3" s="250"/>
      <c r="Z3" s="250"/>
      <c r="AA3" s="250"/>
      <c r="AB3" s="250"/>
      <c r="AC3" s="250"/>
      <c r="AD3" s="250"/>
      <c r="AE3" s="250"/>
      <c r="AF3" s="250"/>
      <c r="AG3" s="250"/>
      <c r="AH3" s="250"/>
      <c r="AI3" s="250"/>
      <c r="AJ3" s="250"/>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47"/>
      <c r="DT3" s="47"/>
      <c r="DU3" s="47"/>
      <c r="DV3" s="47"/>
      <c r="DW3" s="47"/>
      <c r="DX3" s="47"/>
      <c r="DY3" s="47"/>
      <c r="DZ3" s="47"/>
      <c r="EA3" s="47"/>
      <c r="EB3" s="47"/>
      <c r="EC3" s="47"/>
      <c r="ED3" s="47"/>
      <c r="EE3" s="47"/>
      <c r="EF3" s="47"/>
      <c r="EG3" s="47"/>
      <c r="EH3" s="47"/>
      <c r="EI3" s="47"/>
      <c r="EJ3" s="47"/>
      <c r="EK3" s="47"/>
      <c r="EL3" s="47"/>
      <c r="EM3" s="47"/>
      <c r="EN3" s="47"/>
      <c r="EO3" s="47"/>
      <c r="EP3" s="47"/>
      <c r="EQ3" s="47"/>
      <c r="ER3" s="47"/>
      <c r="ES3" s="47"/>
      <c r="ET3" s="47"/>
      <c r="EU3" s="47"/>
      <c r="EV3" s="47"/>
      <c r="EW3" s="47"/>
      <c r="EX3" s="47"/>
      <c r="EY3" s="47"/>
      <c r="EZ3" s="47"/>
      <c r="FA3" s="47"/>
      <c r="FB3" s="47"/>
      <c r="FC3" s="47"/>
      <c r="FD3" s="47"/>
      <c r="FE3" s="47"/>
      <c r="FF3" s="47"/>
      <c r="FG3" s="47"/>
      <c r="FH3" s="47"/>
      <c r="FI3" s="47"/>
      <c r="FJ3" s="47"/>
      <c r="FK3" s="47"/>
      <c r="FL3" s="47"/>
      <c r="FM3" s="47"/>
      <c r="FN3" s="47"/>
      <c r="FO3" s="47"/>
      <c r="FP3" s="47"/>
      <c r="FQ3" s="47"/>
      <c r="FR3" s="47"/>
      <c r="FS3" s="47"/>
      <c r="FT3" s="47"/>
      <c r="FU3" s="47"/>
      <c r="FV3" s="47"/>
      <c r="FW3" s="47"/>
      <c r="FX3" s="47"/>
      <c r="FY3" s="47"/>
      <c r="FZ3" s="47"/>
      <c r="GA3" s="47"/>
      <c r="GB3" s="47"/>
      <c r="GC3" s="47"/>
      <c r="GD3" s="47"/>
      <c r="GE3" s="47"/>
      <c r="GF3" s="47"/>
      <c r="GG3" s="47"/>
      <c r="GH3" s="47"/>
      <c r="GI3" s="47"/>
      <c r="GJ3" s="47"/>
      <c r="GK3" s="47"/>
      <c r="GL3" s="47"/>
      <c r="GM3" s="47"/>
      <c r="GN3" s="47"/>
      <c r="GO3" s="47"/>
      <c r="GP3" s="47"/>
      <c r="GQ3" s="47"/>
      <c r="GR3" s="47"/>
      <c r="GS3" s="47"/>
      <c r="GT3" s="47"/>
      <c r="GU3" s="47"/>
      <c r="GV3" s="47"/>
      <c r="GW3" s="47"/>
      <c r="GX3" s="47"/>
      <c r="GY3" s="47"/>
      <c r="GZ3" s="47"/>
      <c r="HA3" s="47"/>
      <c r="HB3" s="47"/>
      <c r="HC3" s="47"/>
      <c r="HD3" s="47"/>
      <c r="HE3" s="47"/>
      <c r="HF3" s="47"/>
      <c r="HG3" s="47"/>
      <c r="HH3" s="47"/>
      <c r="HI3" s="47"/>
      <c r="HJ3" s="47"/>
      <c r="HK3" s="47"/>
      <c r="HL3" s="47"/>
      <c r="HM3" s="47"/>
      <c r="HN3" s="47"/>
      <c r="HO3" s="47"/>
      <c r="HP3" s="47"/>
      <c r="HQ3" s="47"/>
      <c r="HR3" s="47"/>
      <c r="HS3" s="47"/>
      <c r="HT3" s="47"/>
      <c r="HU3" s="47"/>
      <c r="HV3" s="47"/>
      <c r="HW3" s="47"/>
      <c r="HX3" s="47"/>
      <c r="HY3" s="47"/>
      <c r="HZ3" s="47"/>
      <c r="IA3" s="47"/>
      <c r="IB3" s="47"/>
      <c r="IC3" s="47"/>
      <c r="ID3" s="47"/>
      <c r="IE3" s="47"/>
      <c r="IF3" s="47"/>
      <c r="IG3" s="47"/>
      <c r="IH3" s="47"/>
      <c r="II3" s="47"/>
      <c r="IJ3" s="47"/>
      <c r="IK3" s="47"/>
      <c r="IL3" s="47"/>
      <c r="IM3" s="47"/>
      <c r="IN3" s="47"/>
      <c r="IO3" s="47"/>
      <c r="IP3" s="47"/>
      <c r="IQ3" s="47"/>
      <c r="IR3" s="47"/>
      <c r="IS3" s="47"/>
      <c r="IT3" s="47"/>
      <c r="IU3" s="47"/>
      <c r="IV3" s="47"/>
      <c r="IW3" s="47"/>
      <c r="IX3" s="47"/>
      <c r="IY3" s="47"/>
      <c r="IZ3" s="47"/>
      <c r="JA3" s="47"/>
      <c r="JB3" s="47"/>
      <c r="JC3" s="47"/>
      <c r="JD3" s="47"/>
      <c r="JE3" s="47"/>
      <c r="JF3" s="47"/>
      <c r="JG3" s="47"/>
      <c r="JH3" s="47"/>
      <c r="JI3" s="47"/>
      <c r="JJ3" s="47"/>
      <c r="JK3" s="47"/>
      <c r="JL3" s="47"/>
      <c r="JM3" s="47"/>
      <c r="JN3" s="47"/>
      <c r="JO3" s="47"/>
      <c r="JP3" s="47"/>
      <c r="JQ3" s="47"/>
      <c r="JR3" s="47"/>
      <c r="JS3" s="47"/>
      <c r="JT3" s="47"/>
      <c r="JU3" s="47"/>
      <c r="JV3" s="47"/>
      <c r="JW3" s="47"/>
      <c r="JX3" s="47"/>
      <c r="JY3" s="47"/>
      <c r="JZ3" s="47"/>
      <c r="KA3" s="47"/>
      <c r="KB3" s="47"/>
      <c r="KC3" s="47"/>
      <c r="KD3" s="47"/>
      <c r="KE3" s="47"/>
      <c r="KF3" s="47"/>
      <c r="KG3" s="47"/>
      <c r="KH3" s="47"/>
      <c r="KI3" s="47"/>
      <c r="KJ3" s="47"/>
      <c r="KK3" s="47"/>
      <c r="KL3" s="47"/>
      <c r="KM3" s="47"/>
      <c r="KN3" s="47"/>
      <c r="KO3" s="47"/>
      <c r="KP3" s="47"/>
      <c r="KQ3" s="47"/>
      <c r="KR3" s="47"/>
      <c r="KS3" s="47"/>
      <c r="PA3" s="11"/>
    </row>
    <row r="4" spans="2:417" x14ac:dyDescent="0.25">
      <c r="B4" s="48"/>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c r="DB4" s="47"/>
      <c r="DC4" s="47"/>
      <c r="DD4" s="47"/>
      <c r="DE4" s="47"/>
      <c r="DF4" s="47"/>
      <c r="DG4" s="47"/>
      <c r="DH4" s="47"/>
      <c r="DI4" s="47"/>
      <c r="DJ4" s="47"/>
      <c r="DK4" s="47"/>
      <c r="DL4" s="47"/>
      <c r="DM4" s="47"/>
      <c r="DN4" s="47"/>
      <c r="DO4" s="47"/>
      <c r="DP4" s="47"/>
      <c r="DQ4" s="47"/>
      <c r="DR4" s="47"/>
      <c r="DS4" s="47"/>
      <c r="DT4" s="47"/>
      <c r="DU4" s="47"/>
      <c r="DV4" s="47"/>
      <c r="DW4" s="47"/>
      <c r="DX4" s="47"/>
      <c r="DY4" s="47"/>
      <c r="DZ4" s="47"/>
      <c r="EA4" s="47"/>
      <c r="EB4" s="47"/>
      <c r="EC4" s="47"/>
      <c r="ED4" s="47"/>
      <c r="EE4" s="47"/>
      <c r="EF4" s="47"/>
      <c r="EG4" s="47"/>
      <c r="EH4" s="47"/>
      <c r="EI4" s="47"/>
      <c r="EJ4" s="47"/>
      <c r="EK4" s="47"/>
      <c r="EL4" s="47"/>
      <c r="EM4" s="47"/>
      <c r="EN4" s="47"/>
      <c r="EO4" s="47"/>
      <c r="EP4" s="47"/>
      <c r="EQ4" s="47"/>
      <c r="ER4" s="47"/>
      <c r="ES4" s="47"/>
      <c r="ET4" s="47"/>
      <c r="EU4" s="47"/>
      <c r="EV4" s="47"/>
      <c r="EW4" s="47"/>
      <c r="EX4" s="47"/>
      <c r="EY4" s="47"/>
      <c r="EZ4" s="47"/>
      <c r="FA4" s="47"/>
      <c r="FB4" s="47"/>
      <c r="FC4" s="47"/>
      <c r="FD4" s="47"/>
      <c r="FE4" s="47"/>
      <c r="FF4" s="47"/>
      <c r="FG4" s="47"/>
      <c r="FH4" s="47"/>
      <c r="FI4" s="47"/>
      <c r="FJ4" s="47"/>
      <c r="FK4" s="47"/>
      <c r="FL4" s="47"/>
      <c r="FM4" s="47"/>
      <c r="FN4" s="47"/>
      <c r="FO4" s="47"/>
      <c r="FP4" s="47"/>
      <c r="FQ4" s="47"/>
      <c r="FR4" s="47"/>
      <c r="FS4" s="47"/>
      <c r="FT4" s="47"/>
      <c r="FU4" s="47"/>
      <c r="FV4" s="47"/>
      <c r="FW4" s="47"/>
      <c r="FX4" s="47"/>
      <c r="FY4" s="47"/>
      <c r="FZ4" s="47"/>
      <c r="GA4" s="47"/>
      <c r="GB4" s="47"/>
      <c r="GC4" s="47"/>
      <c r="GD4" s="47"/>
      <c r="GE4" s="47"/>
      <c r="GF4" s="47"/>
      <c r="GG4" s="47"/>
      <c r="GH4" s="47"/>
      <c r="GI4" s="47"/>
      <c r="GJ4" s="47"/>
      <c r="GK4" s="47"/>
      <c r="GL4" s="47"/>
      <c r="GM4" s="47"/>
      <c r="GN4" s="47"/>
      <c r="GO4" s="47"/>
      <c r="GP4" s="47"/>
      <c r="GQ4" s="47"/>
      <c r="GR4" s="47"/>
      <c r="GS4" s="47"/>
      <c r="GT4" s="47"/>
      <c r="GU4" s="47"/>
      <c r="GV4" s="47"/>
      <c r="GW4" s="47"/>
      <c r="GX4" s="47"/>
      <c r="GY4" s="47"/>
      <c r="GZ4" s="47"/>
      <c r="HA4" s="47"/>
      <c r="HB4" s="47"/>
      <c r="HC4" s="47"/>
      <c r="HD4" s="47"/>
      <c r="HE4" s="47"/>
      <c r="HF4" s="47"/>
      <c r="HG4" s="47"/>
      <c r="HH4" s="47"/>
      <c r="HI4" s="47"/>
      <c r="HJ4" s="47"/>
      <c r="HK4" s="47"/>
      <c r="HL4" s="47"/>
      <c r="HM4" s="47"/>
      <c r="HN4" s="47"/>
      <c r="HO4" s="47"/>
      <c r="HP4" s="47"/>
      <c r="HQ4" s="47"/>
      <c r="HR4" s="47"/>
      <c r="HS4" s="47"/>
      <c r="HT4" s="47"/>
      <c r="HU4" s="47"/>
      <c r="HV4" s="47"/>
      <c r="HW4" s="47"/>
      <c r="HX4" s="47"/>
      <c r="HY4" s="47"/>
      <c r="HZ4" s="47"/>
      <c r="IA4" s="47"/>
      <c r="IB4" s="47"/>
      <c r="IC4" s="47"/>
      <c r="ID4" s="47"/>
      <c r="IE4" s="47"/>
      <c r="IF4" s="47"/>
      <c r="IG4" s="47"/>
      <c r="IH4" s="47"/>
      <c r="II4" s="47"/>
      <c r="IJ4" s="47"/>
      <c r="IK4" s="47"/>
      <c r="IL4" s="47"/>
      <c r="IM4" s="47"/>
      <c r="IN4" s="47"/>
      <c r="IO4" s="47"/>
      <c r="IP4" s="47"/>
      <c r="IQ4" s="47"/>
      <c r="IR4" s="47"/>
      <c r="IS4" s="47"/>
      <c r="IT4" s="47"/>
      <c r="IU4" s="47"/>
      <c r="IV4" s="47"/>
      <c r="IW4" s="47"/>
      <c r="IX4" s="47"/>
      <c r="IY4" s="47"/>
      <c r="IZ4" s="47"/>
      <c r="JA4" s="47"/>
      <c r="JB4" s="47"/>
      <c r="JC4" s="47"/>
      <c r="JD4" s="47"/>
      <c r="JE4" s="47"/>
      <c r="JF4" s="47"/>
      <c r="JG4" s="47"/>
      <c r="JH4" s="47"/>
      <c r="JI4" s="47"/>
      <c r="JJ4" s="47"/>
      <c r="JK4" s="47"/>
      <c r="JL4" s="47"/>
      <c r="JM4" s="47"/>
      <c r="JN4" s="47"/>
      <c r="JO4" s="47"/>
      <c r="JP4" s="47"/>
      <c r="JQ4" s="47"/>
      <c r="JR4" s="47"/>
      <c r="JS4" s="47"/>
      <c r="JT4" s="47"/>
      <c r="JU4" s="47"/>
      <c r="JV4" s="47"/>
      <c r="JW4" s="47"/>
      <c r="JX4" s="47"/>
      <c r="JY4" s="47"/>
      <c r="JZ4" s="47"/>
      <c r="KA4" s="47"/>
      <c r="KB4" s="47"/>
      <c r="KC4" s="47"/>
      <c r="KD4" s="47"/>
      <c r="KE4" s="47"/>
      <c r="KF4" s="47"/>
      <c r="KG4" s="47"/>
      <c r="KH4" s="47"/>
      <c r="KI4" s="47"/>
      <c r="KJ4" s="47"/>
      <c r="KK4" s="47"/>
      <c r="KL4" s="47"/>
      <c r="KM4" s="47"/>
      <c r="KN4" s="47"/>
      <c r="KO4" s="47"/>
      <c r="KP4" s="47"/>
      <c r="KQ4" s="47"/>
      <c r="KR4" s="47"/>
      <c r="KS4" s="47"/>
      <c r="PA4" s="11"/>
    </row>
    <row r="5" spans="2:417" x14ac:dyDescent="0.25">
      <c r="C5" s="244" t="s">
        <v>139</v>
      </c>
      <c r="D5" s="252"/>
      <c r="E5" s="105"/>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PA5" s="11"/>
    </row>
    <row r="6" spans="2:417" x14ac:dyDescent="0.25">
      <c r="C6" s="105" t="s">
        <v>140</v>
      </c>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PA6" s="11"/>
    </row>
    <row r="7" spans="2:417" x14ac:dyDescent="0.25">
      <c r="PA7" s="11"/>
    </row>
    <row r="8" spans="2:417" x14ac:dyDescent="0.25">
      <c r="C8" s="105" t="s">
        <v>141</v>
      </c>
      <c r="D8" s="105"/>
      <c r="E8" s="105"/>
      <c r="F8" s="105"/>
      <c r="G8" s="105"/>
      <c r="H8" s="105"/>
      <c r="I8" s="105"/>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PA8" s="11"/>
    </row>
    <row r="9" spans="2:417" x14ac:dyDescent="0.25">
      <c r="C9" s="105" t="s">
        <v>145</v>
      </c>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PA9" s="11"/>
    </row>
    <row r="10" spans="2:417" x14ac:dyDescent="0.25">
      <c r="C10" s="105" t="s">
        <v>149</v>
      </c>
      <c r="D10" s="105"/>
      <c r="E10" s="105"/>
      <c r="F10" s="105"/>
      <c r="G10" s="105"/>
      <c r="H10" s="105"/>
      <c r="I10" s="105"/>
      <c r="J10" s="105"/>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c r="AI10" s="105"/>
      <c r="AJ10" s="105"/>
      <c r="PA10" s="11"/>
    </row>
    <row r="11" spans="2:417" x14ac:dyDescent="0.25">
      <c r="C11" s="105" t="s">
        <v>142</v>
      </c>
      <c r="D11" s="105"/>
      <c r="E11" s="105"/>
      <c r="F11" s="105"/>
      <c r="G11" s="105"/>
      <c r="H11" s="105"/>
      <c r="I11" s="105"/>
      <c r="J11" s="105"/>
      <c r="K11" s="105"/>
      <c r="L11" s="105"/>
      <c r="M11" s="105"/>
      <c r="N11" s="105"/>
      <c r="O11" s="105"/>
      <c r="P11" s="105"/>
      <c r="Q11" s="105"/>
      <c r="R11" s="105"/>
      <c r="S11" s="105"/>
      <c r="T11" s="105"/>
      <c r="U11" s="105"/>
      <c r="V11" s="105"/>
      <c r="W11" s="105"/>
      <c r="X11" s="105"/>
      <c r="Y11" s="105"/>
      <c r="Z11" s="105"/>
      <c r="AA11" s="105"/>
      <c r="AB11" s="105"/>
      <c r="AC11" s="105"/>
      <c r="AD11" s="105"/>
      <c r="AE11" s="105"/>
      <c r="AF11" s="105"/>
      <c r="AG11" s="105"/>
      <c r="AH11" s="105"/>
      <c r="AI11" s="105"/>
      <c r="AJ11" s="105"/>
      <c r="PA11" s="11"/>
    </row>
    <row r="12" spans="2:417" x14ac:dyDescent="0.25">
      <c r="C12" s="105" t="s">
        <v>143</v>
      </c>
      <c r="D12" s="105"/>
      <c r="E12" s="105"/>
      <c r="F12" s="105"/>
      <c r="G12" s="105"/>
      <c r="H12" s="105"/>
      <c r="I12" s="105"/>
      <c r="J12" s="105"/>
      <c r="K12" s="105"/>
      <c r="L12" s="105"/>
      <c r="M12" s="105"/>
      <c r="N12" s="105"/>
      <c r="O12" s="105"/>
      <c r="P12" s="105"/>
      <c r="Q12" s="105"/>
      <c r="R12" s="105"/>
      <c r="S12" s="105"/>
      <c r="T12" s="105"/>
      <c r="U12" s="105"/>
      <c r="V12" s="105"/>
      <c r="W12" s="105"/>
      <c r="X12" s="105"/>
      <c r="Y12" s="105"/>
      <c r="Z12" s="105"/>
      <c r="AA12" s="105"/>
      <c r="AB12" s="105"/>
      <c r="AC12" s="105"/>
      <c r="AD12" s="105"/>
      <c r="AE12" s="105"/>
      <c r="AF12" s="105"/>
      <c r="AG12" s="105"/>
      <c r="AH12" s="105"/>
      <c r="AI12" s="105"/>
      <c r="AJ12" s="105"/>
      <c r="PA12" s="11"/>
    </row>
    <row r="13" spans="2:417" x14ac:dyDescent="0.25">
      <c r="C13" s="105" t="s">
        <v>144</v>
      </c>
      <c r="D13" s="105"/>
      <c r="E13" s="105"/>
      <c r="F13" s="105"/>
      <c r="G13" s="105"/>
      <c r="H13" s="105"/>
      <c r="I13" s="105"/>
      <c r="J13" s="105"/>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5"/>
      <c r="AI13" s="105"/>
      <c r="AJ13" s="105"/>
      <c r="PA13" s="11"/>
    </row>
    <row r="14" spans="2:417" x14ac:dyDescent="0.25">
      <c r="C14" s="105" t="s">
        <v>150</v>
      </c>
      <c r="D14" s="105"/>
      <c r="E14" s="105"/>
      <c r="F14" s="105"/>
      <c r="G14" s="105"/>
      <c r="H14" s="105"/>
      <c r="I14" s="105"/>
      <c r="J14" s="105"/>
      <c r="K14" s="105"/>
      <c r="L14" s="105"/>
      <c r="M14" s="105"/>
      <c r="N14" s="105"/>
      <c r="O14" s="105"/>
      <c r="P14" s="105"/>
      <c r="Q14" s="105"/>
      <c r="R14" s="105"/>
      <c r="S14" s="105"/>
      <c r="T14" s="105"/>
      <c r="U14" s="105"/>
      <c r="V14" s="105"/>
      <c r="W14" s="105"/>
      <c r="X14" s="105"/>
      <c r="Y14" s="105"/>
      <c r="Z14" s="105"/>
      <c r="AA14" s="105"/>
      <c r="AB14" s="105"/>
      <c r="AC14" s="105"/>
      <c r="AD14" s="105"/>
      <c r="AE14" s="105"/>
      <c r="AF14" s="105"/>
      <c r="AG14" s="105"/>
      <c r="AH14" s="105"/>
      <c r="AI14" s="105"/>
      <c r="AJ14" s="105"/>
      <c r="PA14" s="11"/>
    </row>
    <row r="15" spans="2:417" x14ac:dyDescent="0.25">
      <c r="PA15" s="11"/>
    </row>
    <row r="16" spans="2:417" s="43" customFormat="1" ht="11.25" x14ac:dyDescent="0.2">
      <c r="C16" s="253"/>
      <c r="D16" s="253"/>
      <c r="E16" s="253">
        <v>400</v>
      </c>
      <c r="F16" s="253">
        <v>399</v>
      </c>
      <c r="G16" s="253">
        <v>398</v>
      </c>
      <c r="H16" s="253">
        <v>397</v>
      </c>
      <c r="I16" s="253">
        <v>396</v>
      </c>
      <c r="J16" s="253">
        <v>395</v>
      </c>
      <c r="K16" s="253">
        <v>394</v>
      </c>
      <c r="L16" s="253">
        <v>393</v>
      </c>
      <c r="M16" s="253">
        <v>392</v>
      </c>
      <c r="N16" s="253">
        <v>391</v>
      </c>
      <c r="O16" s="253">
        <v>390</v>
      </c>
      <c r="P16" s="253">
        <v>389</v>
      </c>
      <c r="Q16" s="253">
        <v>388</v>
      </c>
      <c r="R16" s="253">
        <v>387</v>
      </c>
      <c r="S16" s="253">
        <v>386</v>
      </c>
      <c r="T16" s="253">
        <v>385</v>
      </c>
      <c r="U16" s="253">
        <v>384</v>
      </c>
      <c r="V16" s="253">
        <v>383</v>
      </c>
      <c r="W16" s="253">
        <v>382</v>
      </c>
      <c r="X16" s="253">
        <v>381</v>
      </c>
      <c r="Y16" s="253">
        <v>380</v>
      </c>
      <c r="Z16" s="253">
        <v>379</v>
      </c>
      <c r="AA16" s="253">
        <v>378</v>
      </c>
      <c r="AB16" s="253">
        <v>377</v>
      </c>
      <c r="AC16" s="253">
        <v>376</v>
      </c>
      <c r="AD16" s="253">
        <v>375</v>
      </c>
      <c r="AE16" s="253">
        <v>374</v>
      </c>
      <c r="AF16" s="253">
        <v>373</v>
      </c>
      <c r="AG16" s="253">
        <v>372</v>
      </c>
      <c r="AH16" s="253">
        <v>371</v>
      </c>
      <c r="AI16" s="253">
        <v>370</v>
      </c>
      <c r="AJ16" s="253">
        <v>369</v>
      </c>
      <c r="AK16" s="253">
        <v>368</v>
      </c>
      <c r="AL16" s="253">
        <v>367</v>
      </c>
      <c r="AM16" s="253">
        <v>366</v>
      </c>
      <c r="AN16" s="253">
        <v>365</v>
      </c>
      <c r="AO16" s="253">
        <v>364</v>
      </c>
      <c r="AP16" s="253">
        <v>363</v>
      </c>
      <c r="AQ16" s="253">
        <v>362</v>
      </c>
      <c r="AR16" s="253">
        <v>361</v>
      </c>
      <c r="AS16" s="253">
        <v>360</v>
      </c>
      <c r="AT16" s="253">
        <v>359</v>
      </c>
      <c r="AU16" s="253">
        <v>358</v>
      </c>
      <c r="AV16" s="253">
        <v>357</v>
      </c>
      <c r="AW16" s="253">
        <v>356</v>
      </c>
      <c r="AX16" s="253">
        <v>355</v>
      </c>
      <c r="AY16" s="253">
        <v>354</v>
      </c>
      <c r="AZ16" s="253">
        <v>353</v>
      </c>
      <c r="BA16" s="253">
        <v>352</v>
      </c>
      <c r="BB16" s="253">
        <v>351</v>
      </c>
      <c r="BC16" s="253">
        <v>350</v>
      </c>
      <c r="BD16" s="253">
        <v>349</v>
      </c>
      <c r="BE16" s="253">
        <v>348</v>
      </c>
      <c r="BF16" s="253">
        <v>347</v>
      </c>
      <c r="BG16" s="253">
        <v>346</v>
      </c>
      <c r="BH16" s="253">
        <v>345</v>
      </c>
      <c r="BI16" s="253">
        <v>344</v>
      </c>
      <c r="BJ16" s="253">
        <v>343</v>
      </c>
      <c r="BK16" s="253">
        <v>342</v>
      </c>
      <c r="BL16" s="253">
        <v>341</v>
      </c>
      <c r="BM16" s="253">
        <v>340</v>
      </c>
      <c r="BN16" s="253">
        <v>339</v>
      </c>
      <c r="BO16" s="253">
        <v>338</v>
      </c>
      <c r="BP16" s="253">
        <v>337</v>
      </c>
      <c r="BQ16" s="253">
        <v>336</v>
      </c>
      <c r="BR16" s="253">
        <v>335</v>
      </c>
      <c r="BS16" s="253">
        <v>334</v>
      </c>
      <c r="BT16" s="253">
        <v>333</v>
      </c>
      <c r="BU16" s="253">
        <v>332</v>
      </c>
      <c r="BV16" s="253">
        <v>331</v>
      </c>
      <c r="BW16" s="253">
        <v>330</v>
      </c>
      <c r="BX16" s="253">
        <v>329</v>
      </c>
      <c r="BY16" s="253">
        <v>328</v>
      </c>
      <c r="BZ16" s="253">
        <v>327</v>
      </c>
      <c r="CA16" s="253">
        <v>326</v>
      </c>
      <c r="CB16" s="253">
        <v>325</v>
      </c>
      <c r="CC16" s="253">
        <v>324</v>
      </c>
      <c r="CD16" s="253">
        <v>323</v>
      </c>
      <c r="CE16" s="253">
        <v>322</v>
      </c>
      <c r="CF16" s="253">
        <v>321</v>
      </c>
      <c r="CG16" s="253">
        <v>320</v>
      </c>
      <c r="CH16" s="253">
        <v>319</v>
      </c>
      <c r="CI16" s="253">
        <v>318</v>
      </c>
      <c r="CJ16" s="253">
        <v>317</v>
      </c>
      <c r="CK16" s="253">
        <v>316</v>
      </c>
      <c r="CL16" s="253">
        <v>315</v>
      </c>
      <c r="CM16" s="253">
        <v>314</v>
      </c>
      <c r="CN16" s="253">
        <v>313</v>
      </c>
      <c r="CO16" s="253">
        <v>312</v>
      </c>
      <c r="CP16" s="253">
        <v>311</v>
      </c>
      <c r="CQ16" s="253">
        <v>310</v>
      </c>
      <c r="CR16" s="253">
        <v>309</v>
      </c>
      <c r="CS16" s="253">
        <v>308</v>
      </c>
      <c r="CT16" s="253">
        <v>307</v>
      </c>
      <c r="CU16" s="253">
        <v>306</v>
      </c>
      <c r="CV16" s="253">
        <v>305</v>
      </c>
      <c r="CW16" s="253">
        <v>304</v>
      </c>
      <c r="CX16" s="253">
        <v>303</v>
      </c>
      <c r="CY16" s="253">
        <v>302</v>
      </c>
      <c r="CZ16" s="253">
        <v>301</v>
      </c>
      <c r="DA16" s="253">
        <v>300</v>
      </c>
      <c r="DB16" s="253">
        <v>299</v>
      </c>
      <c r="DC16" s="253">
        <v>298</v>
      </c>
      <c r="DD16" s="253">
        <v>297</v>
      </c>
      <c r="DE16" s="253">
        <v>296</v>
      </c>
      <c r="DF16" s="253">
        <v>295</v>
      </c>
      <c r="DG16" s="253">
        <v>294</v>
      </c>
      <c r="DH16" s="253">
        <v>293</v>
      </c>
      <c r="DI16" s="253">
        <v>292</v>
      </c>
      <c r="DJ16" s="253">
        <v>291</v>
      </c>
      <c r="DK16" s="253">
        <v>290</v>
      </c>
      <c r="DL16" s="253">
        <v>289</v>
      </c>
      <c r="DM16" s="253">
        <v>288</v>
      </c>
      <c r="DN16" s="253">
        <v>287</v>
      </c>
      <c r="DO16" s="253">
        <v>286</v>
      </c>
      <c r="DP16" s="253">
        <v>285</v>
      </c>
      <c r="DQ16" s="253">
        <v>284</v>
      </c>
      <c r="DR16" s="253">
        <v>283</v>
      </c>
      <c r="DS16" s="253">
        <v>282</v>
      </c>
      <c r="DT16" s="253">
        <v>281</v>
      </c>
      <c r="DU16" s="253">
        <v>280</v>
      </c>
      <c r="DV16" s="253">
        <v>279</v>
      </c>
      <c r="DW16" s="253">
        <v>278</v>
      </c>
      <c r="DX16" s="253">
        <v>277</v>
      </c>
      <c r="DY16" s="253">
        <v>276</v>
      </c>
      <c r="DZ16" s="253">
        <v>275</v>
      </c>
      <c r="EA16" s="253">
        <v>274</v>
      </c>
      <c r="EB16" s="253">
        <v>273</v>
      </c>
      <c r="EC16" s="253">
        <v>272</v>
      </c>
      <c r="ED16" s="253">
        <v>271</v>
      </c>
      <c r="EE16" s="253">
        <v>270</v>
      </c>
      <c r="EF16" s="253">
        <v>269</v>
      </c>
      <c r="EG16" s="253">
        <v>268</v>
      </c>
      <c r="EH16" s="253">
        <v>267</v>
      </c>
      <c r="EI16" s="253">
        <v>266</v>
      </c>
      <c r="EJ16" s="253">
        <v>265</v>
      </c>
      <c r="EK16" s="253">
        <v>264</v>
      </c>
      <c r="EL16" s="253">
        <v>263</v>
      </c>
      <c r="EM16" s="253">
        <v>262</v>
      </c>
      <c r="EN16" s="253">
        <v>261</v>
      </c>
      <c r="EO16" s="253">
        <v>260</v>
      </c>
      <c r="EP16" s="253">
        <v>259</v>
      </c>
      <c r="EQ16" s="253">
        <v>258</v>
      </c>
      <c r="ER16" s="253">
        <v>257</v>
      </c>
      <c r="ES16" s="253">
        <v>256</v>
      </c>
      <c r="ET16" s="253">
        <v>255</v>
      </c>
      <c r="EU16" s="253">
        <v>254</v>
      </c>
      <c r="EV16" s="253">
        <v>253</v>
      </c>
      <c r="EW16" s="253">
        <v>252</v>
      </c>
      <c r="EX16" s="253">
        <v>251</v>
      </c>
      <c r="EY16" s="253">
        <v>250</v>
      </c>
      <c r="EZ16" s="253">
        <v>249</v>
      </c>
      <c r="FA16" s="253">
        <v>248</v>
      </c>
      <c r="FB16" s="253">
        <v>247</v>
      </c>
      <c r="FC16" s="253">
        <v>246</v>
      </c>
      <c r="FD16" s="253">
        <v>245</v>
      </c>
      <c r="FE16" s="253">
        <v>244</v>
      </c>
      <c r="FF16" s="253">
        <v>243</v>
      </c>
      <c r="FG16" s="253">
        <v>242</v>
      </c>
      <c r="FH16" s="253">
        <v>241</v>
      </c>
      <c r="FI16" s="253">
        <v>240</v>
      </c>
      <c r="FJ16" s="253">
        <v>239</v>
      </c>
      <c r="FK16" s="253">
        <v>238</v>
      </c>
      <c r="FL16" s="253">
        <v>237</v>
      </c>
      <c r="FM16" s="253">
        <v>236</v>
      </c>
      <c r="FN16" s="253">
        <v>235</v>
      </c>
      <c r="FO16" s="253">
        <v>234</v>
      </c>
      <c r="FP16" s="253">
        <v>233</v>
      </c>
      <c r="FQ16" s="253">
        <v>232</v>
      </c>
      <c r="FR16" s="253">
        <v>231</v>
      </c>
      <c r="FS16" s="253">
        <v>230</v>
      </c>
      <c r="FT16" s="253">
        <v>229</v>
      </c>
      <c r="FU16" s="253">
        <v>228</v>
      </c>
      <c r="FV16" s="253">
        <v>227</v>
      </c>
      <c r="FW16" s="253">
        <v>226</v>
      </c>
      <c r="FX16" s="253">
        <v>225</v>
      </c>
      <c r="FY16" s="253">
        <v>224</v>
      </c>
      <c r="FZ16" s="253">
        <v>223</v>
      </c>
      <c r="GA16" s="253">
        <v>222</v>
      </c>
      <c r="GB16" s="253">
        <v>221</v>
      </c>
      <c r="GC16" s="253">
        <v>220</v>
      </c>
      <c r="GD16" s="253">
        <v>219</v>
      </c>
      <c r="GE16" s="253">
        <v>218</v>
      </c>
      <c r="GF16" s="253">
        <v>217</v>
      </c>
      <c r="GG16" s="253">
        <v>216</v>
      </c>
      <c r="GH16" s="253">
        <v>215</v>
      </c>
      <c r="GI16" s="253">
        <v>214</v>
      </c>
      <c r="GJ16" s="253">
        <v>213</v>
      </c>
      <c r="GK16" s="253">
        <v>212</v>
      </c>
      <c r="GL16" s="253">
        <v>211</v>
      </c>
      <c r="GM16" s="253">
        <v>210</v>
      </c>
      <c r="GN16" s="253">
        <v>209</v>
      </c>
      <c r="GO16" s="253">
        <v>208</v>
      </c>
      <c r="GP16" s="253">
        <v>207</v>
      </c>
      <c r="GQ16" s="253">
        <v>206</v>
      </c>
      <c r="GR16" s="253">
        <v>205</v>
      </c>
      <c r="GS16" s="253">
        <v>204</v>
      </c>
      <c r="GT16" s="253">
        <v>203</v>
      </c>
      <c r="GU16" s="253">
        <v>202</v>
      </c>
      <c r="GV16" s="254">
        <v>201</v>
      </c>
      <c r="GW16" s="255">
        <v>200</v>
      </c>
      <c r="GX16" s="253">
        <v>199</v>
      </c>
      <c r="GY16" s="253">
        <v>198</v>
      </c>
      <c r="GZ16" s="253">
        <v>197</v>
      </c>
      <c r="HA16" s="253">
        <v>196</v>
      </c>
      <c r="HB16" s="253">
        <v>195</v>
      </c>
      <c r="HC16" s="253">
        <v>194</v>
      </c>
      <c r="HD16" s="253">
        <v>193</v>
      </c>
      <c r="HE16" s="253">
        <v>192</v>
      </c>
      <c r="HF16" s="253">
        <v>191</v>
      </c>
      <c r="HG16" s="253">
        <v>190</v>
      </c>
      <c r="HH16" s="253">
        <v>189</v>
      </c>
      <c r="HI16" s="253">
        <v>188</v>
      </c>
      <c r="HJ16" s="253">
        <v>187</v>
      </c>
      <c r="HK16" s="253">
        <v>186</v>
      </c>
      <c r="HL16" s="253">
        <v>185</v>
      </c>
      <c r="HM16" s="253">
        <v>184</v>
      </c>
      <c r="HN16" s="253">
        <v>183</v>
      </c>
      <c r="HO16" s="253">
        <v>182</v>
      </c>
      <c r="HP16" s="253">
        <v>181</v>
      </c>
      <c r="HQ16" s="253">
        <v>180</v>
      </c>
      <c r="HR16" s="253">
        <v>179</v>
      </c>
      <c r="HS16" s="253">
        <v>178</v>
      </c>
      <c r="HT16" s="253">
        <v>177</v>
      </c>
      <c r="HU16" s="253">
        <v>176</v>
      </c>
      <c r="HV16" s="253">
        <v>175</v>
      </c>
      <c r="HW16" s="253">
        <v>174</v>
      </c>
      <c r="HX16" s="253">
        <v>173</v>
      </c>
      <c r="HY16" s="253">
        <v>172</v>
      </c>
      <c r="HZ16" s="253">
        <v>171</v>
      </c>
      <c r="IA16" s="253">
        <v>170</v>
      </c>
      <c r="IB16" s="253">
        <v>169</v>
      </c>
      <c r="IC16" s="253">
        <v>168</v>
      </c>
      <c r="ID16" s="253">
        <v>167</v>
      </c>
      <c r="IE16" s="253">
        <v>166</v>
      </c>
      <c r="IF16" s="253">
        <v>165</v>
      </c>
      <c r="IG16" s="253">
        <v>164</v>
      </c>
      <c r="IH16" s="253">
        <v>163</v>
      </c>
      <c r="II16" s="253">
        <v>162</v>
      </c>
      <c r="IJ16" s="253">
        <v>161</v>
      </c>
      <c r="IK16" s="253">
        <v>160</v>
      </c>
      <c r="IL16" s="253">
        <v>159</v>
      </c>
      <c r="IM16" s="253">
        <v>158</v>
      </c>
      <c r="IN16" s="253">
        <v>157</v>
      </c>
      <c r="IO16" s="253">
        <v>156</v>
      </c>
      <c r="IP16" s="253">
        <v>155</v>
      </c>
      <c r="IQ16" s="253">
        <v>154</v>
      </c>
      <c r="IR16" s="253">
        <v>153</v>
      </c>
      <c r="IS16" s="253">
        <v>152</v>
      </c>
      <c r="IT16" s="253">
        <v>151</v>
      </c>
      <c r="IU16" s="253">
        <v>150</v>
      </c>
      <c r="IV16" s="253">
        <v>149</v>
      </c>
      <c r="IW16" s="253">
        <v>148</v>
      </c>
      <c r="IX16" s="253">
        <v>147</v>
      </c>
      <c r="IY16" s="253">
        <v>146</v>
      </c>
      <c r="IZ16" s="253">
        <v>145</v>
      </c>
      <c r="JA16" s="253">
        <v>144</v>
      </c>
      <c r="JB16" s="253">
        <v>143</v>
      </c>
      <c r="JC16" s="253">
        <v>142</v>
      </c>
      <c r="JD16" s="253">
        <v>141</v>
      </c>
      <c r="JE16" s="253">
        <v>140</v>
      </c>
      <c r="JF16" s="253">
        <v>139</v>
      </c>
      <c r="JG16" s="253">
        <v>138</v>
      </c>
      <c r="JH16" s="253">
        <v>137</v>
      </c>
      <c r="JI16" s="253">
        <v>136</v>
      </c>
      <c r="JJ16" s="253">
        <v>135</v>
      </c>
      <c r="JK16" s="253">
        <v>134</v>
      </c>
      <c r="JL16" s="253">
        <v>133</v>
      </c>
      <c r="JM16" s="253">
        <v>132</v>
      </c>
      <c r="JN16" s="253">
        <v>131</v>
      </c>
      <c r="JO16" s="253">
        <v>130</v>
      </c>
      <c r="JP16" s="253">
        <v>129</v>
      </c>
      <c r="JQ16" s="253">
        <v>128</v>
      </c>
      <c r="JR16" s="253">
        <v>127</v>
      </c>
      <c r="JS16" s="253">
        <v>126</v>
      </c>
      <c r="JT16" s="253">
        <v>125</v>
      </c>
      <c r="JU16" s="253">
        <v>124</v>
      </c>
      <c r="JV16" s="253">
        <v>123</v>
      </c>
      <c r="JW16" s="253">
        <v>122</v>
      </c>
      <c r="JX16" s="253">
        <v>121</v>
      </c>
      <c r="JY16" s="253">
        <v>120</v>
      </c>
      <c r="JZ16" s="253">
        <v>119</v>
      </c>
      <c r="KA16" s="253">
        <v>118</v>
      </c>
      <c r="KB16" s="253">
        <v>117</v>
      </c>
      <c r="KC16" s="253">
        <v>116</v>
      </c>
      <c r="KD16" s="253">
        <v>115</v>
      </c>
      <c r="KE16" s="253">
        <v>114</v>
      </c>
      <c r="KF16" s="253">
        <v>113</v>
      </c>
      <c r="KG16" s="253">
        <v>112</v>
      </c>
      <c r="KH16" s="253">
        <v>111</v>
      </c>
      <c r="KI16" s="253">
        <v>110</v>
      </c>
      <c r="KJ16" s="253">
        <v>109</v>
      </c>
      <c r="KK16" s="253">
        <v>108</v>
      </c>
      <c r="KL16" s="253">
        <v>107</v>
      </c>
      <c r="KM16" s="253">
        <v>106</v>
      </c>
      <c r="KN16" s="253">
        <v>105</v>
      </c>
      <c r="KO16" s="253">
        <v>104</v>
      </c>
      <c r="KP16" s="253">
        <v>103</v>
      </c>
      <c r="KQ16" s="253">
        <v>102</v>
      </c>
      <c r="KR16" s="253">
        <v>101</v>
      </c>
      <c r="KS16" s="253">
        <v>100</v>
      </c>
      <c r="KT16" s="253">
        <v>99</v>
      </c>
      <c r="KU16" s="253">
        <v>98</v>
      </c>
      <c r="KV16" s="253">
        <v>97</v>
      </c>
      <c r="KW16" s="253">
        <v>96</v>
      </c>
      <c r="KX16" s="253">
        <v>95</v>
      </c>
      <c r="KY16" s="253">
        <v>94</v>
      </c>
      <c r="KZ16" s="253">
        <v>93</v>
      </c>
      <c r="LA16" s="253">
        <v>92</v>
      </c>
      <c r="LB16" s="253">
        <v>91</v>
      </c>
      <c r="LC16" s="253">
        <v>90</v>
      </c>
      <c r="LD16" s="253">
        <v>89</v>
      </c>
      <c r="LE16" s="253">
        <v>88</v>
      </c>
      <c r="LF16" s="253">
        <v>87</v>
      </c>
      <c r="LG16" s="253">
        <v>86</v>
      </c>
      <c r="LH16" s="253">
        <v>85</v>
      </c>
      <c r="LI16" s="253">
        <v>84</v>
      </c>
      <c r="LJ16" s="253">
        <v>83</v>
      </c>
      <c r="LK16" s="253">
        <v>82</v>
      </c>
      <c r="LL16" s="253">
        <v>81</v>
      </c>
      <c r="LM16" s="253">
        <v>80</v>
      </c>
      <c r="LN16" s="253">
        <v>79</v>
      </c>
      <c r="LO16" s="253">
        <v>78</v>
      </c>
      <c r="LP16" s="253">
        <v>77</v>
      </c>
      <c r="LQ16" s="253">
        <v>76</v>
      </c>
      <c r="LR16" s="253">
        <v>75</v>
      </c>
      <c r="LS16" s="253">
        <v>74</v>
      </c>
      <c r="LT16" s="253">
        <v>73</v>
      </c>
      <c r="LU16" s="253">
        <v>72</v>
      </c>
      <c r="LV16" s="253">
        <v>71</v>
      </c>
      <c r="LW16" s="253">
        <v>70</v>
      </c>
      <c r="LX16" s="253">
        <v>69</v>
      </c>
      <c r="LY16" s="253">
        <v>68</v>
      </c>
      <c r="LZ16" s="253">
        <v>67</v>
      </c>
      <c r="MA16" s="253">
        <v>66</v>
      </c>
      <c r="MB16" s="253">
        <v>65</v>
      </c>
      <c r="MC16" s="253">
        <v>64</v>
      </c>
      <c r="MD16" s="253">
        <v>63</v>
      </c>
      <c r="ME16" s="253">
        <v>62</v>
      </c>
      <c r="MF16" s="253">
        <v>61</v>
      </c>
      <c r="MG16" s="253">
        <v>60</v>
      </c>
      <c r="MH16" s="253">
        <v>59</v>
      </c>
      <c r="MI16" s="253">
        <v>58</v>
      </c>
      <c r="MJ16" s="253">
        <v>57</v>
      </c>
      <c r="MK16" s="253">
        <v>56</v>
      </c>
      <c r="ML16" s="253">
        <v>55</v>
      </c>
      <c r="MM16" s="253">
        <v>54</v>
      </c>
      <c r="MN16" s="253">
        <v>53</v>
      </c>
      <c r="MO16" s="253">
        <v>52</v>
      </c>
      <c r="MP16" s="253">
        <v>51</v>
      </c>
      <c r="MQ16" s="253">
        <v>50</v>
      </c>
      <c r="MR16" s="253">
        <v>49</v>
      </c>
      <c r="MS16" s="253">
        <v>48</v>
      </c>
      <c r="MT16" s="253">
        <v>47</v>
      </c>
      <c r="MU16" s="253">
        <v>46</v>
      </c>
      <c r="MV16" s="253">
        <v>45</v>
      </c>
      <c r="MW16" s="253">
        <v>44</v>
      </c>
      <c r="MX16" s="253">
        <v>43</v>
      </c>
      <c r="MY16" s="253">
        <v>42</v>
      </c>
      <c r="MZ16" s="253">
        <v>41</v>
      </c>
      <c r="NA16" s="253">
        <v>40</v>
      </c>
      <c r="NB16" s="253">
        <v>39</v>
      </c>
      <c r="NC16" s="253">
        <v>38</v>
      </c>
      <c r="ND16" s="253">
        <v>37</v>
      </c>
      <c r="NE16" s="253">
        <v>36</v>
      </c>
      <c r="NF16" s="253">
        <v>35</v>
      </c>
      <c r="NG16" s="253">
        <v>34</v>
      </c>
      <c r="NH16" s="253">
        <v>33</v>
      </c>
      <c r="NI16" s="253">
        <v>32</v>
      </c>
      <c r="NJ16" s="253">
        <v>31</v>
      </c>
      <c r="NK16" s="253">
        <v>30</v>
      </c>
      <c r="NL16" s="253">
        <v>29</v>
      </c>
      <c r="NM16" s="253">
        <v>28</v>
      </c>
      <c r="NN16" s="253">
        <v>27</v>
      </c>
      <c r="NO16" s="253">
        <v>26</v>
      </c>
      <c r="NP16" s="253">
        <v>25</v>
      </c>
      <c r="NQ16" s="253">
        <v>24</v>
      </c>
      <c r="NR16" s="253">
        <v>23</v>
      </c>
      <c r="NS16" s="253">
        <v>22</v>
      </c>
      <c r="NT16" s="253">
        <v>21</v>
      </c>
      <c r="NU16" s="253">
        <v>20</v>
      </c>
      <c r="NV16" s="253">
        <v>19</v>
      </c>
      <c r="NW16" s="253">
        <v>18</v>
      </c>
      <c r="NX16" s="253">
        <v>17</v>
      </c>
      <c r="NY16" s="253">
        <v>16</v>
      </c>
      <c r="NZ16" s="253">
        <v>15</v>
      </c>
      <c r="OA16" s="253">
        <v>14</v>
      </c>
      <c r="OB16" s="253">
        <v>13</v>
      </c>
      <c r="OC16" s="253">
        <v>12</v>
      </c>
      <c r="OD16" s="253">
        <v>11</v>
      </c>
      <c r="OE16" s="253">
        <v>10</v>
      </c>
      <c r="OF16" s="253">
        <v>9</v>
      </c>
      <c r="OG16" s="253">
        <v>8</v>
      </c>
      <c r="OH16" s="253">
        <v>7</v>
      </c>
      <c r="OI16" s="253">
        <v>6</v>
      </c>
      <c r="OJ16" s="253">
        <v>5</v>
      </c>
      <c r="OK16" s="253">
        <v>4</v>
      </c>
      <c r="OL16" s="253">
        <v>3</v>
      </c>
      <c r="OM16" s="253">
        <v>2</v>
      </c>
      <c r="ON16" s="253">
        <v>1</v>
      </c>
    </row>
    <row r="17" spans="1:417" x14ac:dyDescent="0.25">
      <c r="C17" s="105"/>
      <c r="D17" s="195" t="s">
        <v>62</v>
      </c>
      <c r="E17" s="683"/>
      <c r="F17" s="684"/>
      <c r="G17" s="684"/>
      <c r="H17" s="684"/>
      <c r="I17" s="684"/>
      <c r="J17" s="684"/>
      <c r="K17" s="684"/>
      <c r="L17" s="684"/>
      <c r="M17" s="684"/>
      <c r="N17" s="684"/>
      <c r="O17" s="684"/>
      <c r="P17" s="684"/>
      <c r="Q17" s="684"/>
      <c r="R17" s="684"/>
      <c r="S17" s="684"/>
      <c r="T17" s="684"/>
      <c r="U17" s="684"/>
      <c r="V17" s="684"/>
      <c r="W17" s="684"/>
      <c r="X17" s="684"/>
      <c r="Y17" s="684"/>
      <c r="Z17" s="684"/>
      <c r="AA17" s="684"/>
      <c r="AB17" s="684"/>
      <c r="AC17" s="684"/>
      <c r="AD17" s="684"/>
      <c r="AE17" s="684"/>
      <c r="AF17" s="684"/>
      <c r="AG17" s="684"/>
      <c r="AH17" s="684"/>
      <c r="AI17" s="684"/>
      <c r="AJ17" s="684"/>
      <c r="AK17" s="684"/>
      <c r="AL17" s="684"/>
      <c r="AM17" s="684"/>
      <c r="AN17" s="684"/>
      <c r="AO17" s="684"/>
      <c r="AP17" s="684"/>
      <c r="AQ17" s="684"/>
      <c r="AR17" s="684"/>
      <c r="AS17" s="684"/>
      <c r="AT17" s="684"/>
      <c r="AU17" s="684"/>
      <c r="AV17" s="684"/>
      <c r="AW17" s="684"/>
      <c r="AX17" s="684"/>
      <c r="AY17" s="684"/>
      <c r="AZ17" s="684"/>
      <c r="BA17" s="684"/>
      <c r="BB17" s="684"/>
      <c r="BC17" s="684"/>
      <c r="BD17" s="684"/>
      <c r="BE17" s="684"/>
      <c r="BF17" s="684"/>
      <c r="BG17" s="684"/>
      <c r="BH17" s="684"/>
      <c r="BI17" s="684"/>
      <c r="BJ17" s="684"/>
      <c r="BK17" s="684"/>
      <c r="BL17" s="684"/>
      <c r="BM17" s="684"/>
      <c r="BN17" s="684"/>
      <c r="BO17" s="684"/>
      <c r="BP17" s="684"/>
      <c r="BQ17" s="684"/>
      <c r="BR17" s="684"/>
      <c r="BS17" s="684"/>
      <c r="BT17" s="684"/>
      <c r="BU17" s="684"/>
      <c r="BV17" s="684"/>
      <c r="BW17" s="684"/>
      <c r="BX17" s="684"/>
      <c r="BY17" s="684"/>
      <c r="BZ17" s="684"/>
      <c r="CA17" s="684"/>
      <c r="CB17" s="684"/>
      <c r="CC17" s="684"/>
      <c r="CD17" s="684"/>
      <c r="CE17" s="684"/>
      <c r="CF17" s="684"/>
      <c r="CG17" s="684"/>
      <c r="CH17" s="684"/>
      <c r="CI17" s="684"/>
      <c r="CJ17" s="684"/>
      <c r="CK17" s="684"/>
      <c r="CL17" s="684"/>
      <c r="CM17" s="684"/>
      <c r="CN17" s="684"/>
      <c r="CO17" s="684"/>
      <c r="CP17" s="684"/>
      <c r="CQ17" s="684"/>
      <c r="CR17" s="684"/>
      <c r="CS17" s="684"/>
      <c r="CT17" s="684"/>
      <c r="CU17" s="684"/>
      <c r="CV17" s="684"/>
      <c r="CW17" s="684"/>
      <c r="CX17" s="684"/>
      <c r="CY17" s="684"/>
      <c r="CZ17" s="684"/>
      <c r="DA17" s="684"/>
      <c r="DB17" s="684"/>
      <c r="DC17" s="684"/>
      <c r="DD17" s="684"/>
      <c r="DE17" s="684"/>
      <c r="DF17" s="684"/>
      <c r="DG17" s="684"/>
      <c r="DH17" s="684"/>
      <c r="DI17" s="684"/>
      <c r="DJ17" s="684"/>
      <c r="DK17" s="684"/>
      <c r="DL17" s="684"/>
      <c r="DM17" s="684"/>
      <c r="DN17" s="684"/>
      <c r="DO17" s="684"/>
      <c r="DP17" s="684"/>
      <c r="DQ17" s="684"/>
      <c r="DR17" s="684"/>
      <c r="DS17" s="684"/>
      <c r="DT17" s="684"/>
      <c r="DU17" s="684"/>
      <c r="DV17" s="684"/>
      <c r="DW17" s="684" t="s">
        <v>53</v>
      </c>
      <c r="DX17" s="684" t="s">
        <v>36</v>
      </c>
      <c r="DY17" s="684" t="s">
        <v>34</v>
      </c>
      <c r="DZ17" s="684" t="s">
        <v>32</v>
      </c>
      <c r="EA17" s="684" t="s">
        <v>31</v>
      </c>
      <c r="EB17" s="684" t="s">
        <v>34</v>
      </c>
      <c r="EC17" s="684" t="s">
        <v>30</v>
      </c>
      <c r="ED17" s="684" t="s">
        <v>38</v>
      </c>
      <c r="EE17" s="684" t="s">
        <v>37</v>
      </c>
      <c r="EF17" s="684" t="s">
        <v>32</v>
      </c>
      <c r="EG17" s="684" t="s">
        <v>34</v>
      </c>
      <c r="EH17" s="684" t="s">
        <v>35</v>
      </c>
      <c r="EI17" s="684" t="s">
        <v>31</v>
      </c>
      <c r="EJ17" s="684" t="s">
        <v>41</v>
      </c>
      <c r="EK17" s="684" t="s">
        <v>49</v>
      </c>
      <c r="EL17" s="684" t="s">
        <v>33</v>
      </c>
      <c r="EM17" s="684" t="s">
        <v>35</v>
      </c>
      <c r="EN17" s="684" t="s">
        <v>31</v>
      </c>
      <c r="EO17" s="684" t="s">
        <v>40</v>
      </c>
      <c r="EP17" s="684" t="s">
        <v>39</v>
      </c>
      <c r="EQ17" s="684" t="s">
        <v>40</v>
      </c>
      <c r="ER17" s="684" t="s">
        <v>52</v>
      </c>
      <c r="ES17" s="684" t="s">
        <v>53</v>
      </c>
      <c r="ET17" s="684" t="s">
        <v>37</v>
      </c>
      <c r="EU17" s="684" t="s">
        <v>34</v>
      </c>
      <c r="EV17" s="684" t="s">
        <v>30</v>
      </c>
      <c r="EW17" s="684" t="s">
        <v>36</v>
      </c>
      <c r="EX17" s="684" t="s">
        <v>40</v>
      </c>
      <c r="EY17" s="684" t="s">
        <v>36</v>
      </c>
      <c r="EZ17" s="684" t="s">
        <v>41</v>
      </c>
      <c r="FA17" s="684" t="s">
        <v>34</v>
      </c>
      <c r="FB17" s="684" t="s">
        <v>33</v>
      </c>
      <c r="FC17" s="684" t="s">
        <v>30</v>
      </c>
      <c r="FD17" s="684" t="s">
        <v>32</v>
      </c>
      <c r="FE17" s="684" t="s">
        <v>35</v>
      </c>
      <c r="FF17" s="684" t="s">
        <v>53</v>
      </c>
      <c r="FG17" s="684" t="s">
        <v>29</v>
      </c>
      <c r="FH17" s="684" t="s">
        <v>38</v>
      </c>
      <c r="FI17" s="684" t="s">
        <v>52</v>
      </c>
      <c r="FJ17" s="684" t="s">
        <v>37</v>
      </c>
      <c r="FK17" s="684" t="s">
        <v>38</v>
      </c>
      <c r="FL17" s="684" t="s">
        <v>38</v>
      </c>
      <c r="FM17" s="684" t="s">
        <v>37</v>
      </c>
      <c r="FN17" s="684" t="s">
        <v>38</v>
      </c>
      <c r="FO17" s="684" t="s">
        <v>38</v>
      </c>
      <c r="FP17" s="684" t="s">
        <v>30</v>
      </c>
      <c r="FQ17" s="684" t="s">
        <v>31</v>
      </c>
      <c r="FR17" s="684" t="s">
        <v>34</v>
      </c>
      <c r="FS17" s="684" t="s">
        <v>37</v>
      </c>
      <c r="FT17" s="684" t="s">
        <v>30</v>
      </c>
      <c r="FU17" s="684" t="s">
        <v>31</v>
      </c>
      <c r="FV17" s="684" t="s">
        <v>37</v>
      </c>
      <c r="FW17" s="684" t="s">
        <v>54</v>
      </c>
      <c r="FX17" s="684" t="s">
        <v>32</v>
      </c>
      <c r="FY17" s="684" t="s">
        <v>46</v>
      </c>
      <c r="FZ17" s="684" t="s">
        <v>43</v>
      </c>
      <c r="GA17" s="684" t="s">
        <v>54</v>
      </c>
      <c r="GB17" s="684" t="s">
        <v>30</v>
      </c>
      <c r="GC17" s="684" t="s">
        <v>35</v>
      </c>
      <c r="GD17" s="684" t="s">
        <v>33</v>
      </c>
      <c r="GE17" s="684" t="s">
        <v>49</v>
      </c>
      <c r="GF17" s="684" t="s">
        <v>32</v>
      </c>
      <c r="GG17" s="684" t="s">
        <v>30</v>
      </c>
      <c r="GH17" s="684" t="s">
        <v>44</v>
      </c>
      <c r="GI17" s="684" t="s">
        <v>36</v>
      </c>
      <c r="GJ17" s="684" t="s">
        <v>33</v>
      </c>
      <c r="GK17" s="684" t="s">
        <v>40</v>
      </c>
      <c r="GL17" s="684" t="s">
        <v>34</v>
      </c>
      <c r="GM17" s="684" t="s">
        <v>30</v>
      </c>
      <c r="GN17" s="684" t="s">
        <v>32</v>
      </c>
      <c r="GO17" s="684" t="s">
        <v>36</v>
      </c>
      <c r="GP17" s="684" t="s">
        <v>32</v>
      </c>
      <c r="GQ17" s="684" t="s">
        <v>49</v>
      </c>
      <c r="GR17" s="684" t="s">
        <v>35</v>
      </c>
      <c r="GS17" s="684" t="s">
        <v>37</v>
      </c>
      <c r="GT17" s="684" t="s">
        <v>38</v>
      </c>
      <c r="GU17" s="684" t="s">
        <v>30</v>
      </c>
      <c r="GV17" s="685" t="s">
        <v>30</v>
      </c>
      <c r="GW17" s="686" t="s">
        <v>35</v>
      </c>
      <c r="GX17" s="684" t="s">
        <v>38</v>
      </c>
      <c r="GY17" s="684" t="s">
        <v>35</v>
      </c>
      <c r="GZ17" s="684" t="s">
        <v>39</v>
      </c>
      <c r="HA17" s="684" t="s">
        <v>38</v>
      </c>
      <c r="HB17" s="684" t="s">
        <v>49</v>
      </c>
      <c r="HC17" s="684" t="s">
        <v>40</v>
      </c>
      <c r="HD17" s="684" t="s">
        <v>40</v>
      </c>
      <c r="HE17" s="684" t="s">
        <v>36</v>
      </c>
      <c r="HF17" s="684" t="s">
        <v>41</v>
      </c>
      <c r="HG17" s="684" t="s">
        <v>36</v>
      </c>
      <c r="HH17" s="684" t="s">
        <v>35</v>
      </c>
      <c r="HI17" s="684" t="s">
        <v>46</v>
      </c>
      <c r="HJ17" s="684" t="s">
        <v>54</v>
      </c>
      <c r="HK17" s="684" t="s">
        <v>33</v>
      </c>
      <c r="HL17" s="684" t="s">
        <v>46</v>
      </c>
      <c r="HM17" s="684" t="s">
        <v>30</v>
      </c>
      <c r="HN17" s="684" t="s">
        <v>52</v>
      </c>
      <c r="HO17" s="684" t="s">
        <v>40</v>
      </c>
      <c r="HP17" s="684" t="s">
        <v>33</v>
      </c>
      <c r="HQ17" s="684" t="s">
        <v>35</v>
      </c>
      <c r="HR17" s="684" t="s">
        <v>35</v>
      </c>
      <c r="HS17" s="684" t="s">
        <v>30</v>
      </c>
      <c r="HT17" s="684" t="s">
        <v>32</v>
      </c>
      <c r="HU17" s="684" t="s">
        <v>36</v>
      </c>
      <c r="HV17" s="684" t="s">
        <v>34</v>
      </c>
      <c r="HW17" s="684" t="s">
        <v>41</v>
      </c>
      <c r="HX17" s="684" t="s">
        <v>33</v>
      </c>
      <c r="HY17" s="684" t="s">
        <v>35</v>
      </c>
      <c r="HZ17" s="684" t="s">
        <v>30</v>
      </c>
      <c r="IA17" s="684" t="s">
        <v>35</v>
      </c>
      <c r="IB17" s="684" t="s">
        <v>29</v>
      </c>
      <c r="IC17" s="684" t="s">
        <v>52</v>
      </c>
      <c r="ID17" s="684" t="s">
        <v>32</v>
      </c>
      <c r="IE17" s="684" t="s">
        <v>35</v>
      </c>
      <c r="IF17" s="684" t="s">
        <v>33</v>
      </c>
      <c r="IG17" s="684" t="s">
        <v>30</v>
      </c>
      <c r="IH17" s="684" t="s">
        <v>34</v>
      </c>
      <c r="II17" s="684" t="s">
        <v>36</v>
      </c>
      <c r="IJ17" s="684" t="s">
        <v>35</v>
      </c>
      <c r="IK17" s="684" t="s">
        <v>31</v>
      </c>
      <c r="IL17" s="684" t="s">
        <v>35</v>
      </c>
      <c r="IM17" s="684" t="s">
        <v>33</v>
      </c>
      <c r="IN17" s="684" t="s">
        <v>45</v>
      </c>
      <c r="IO17" s="684" t="s">
        <v>31</v>
      </c>
      <c r="IP17" s="684" t="s">
        <v>38</v>
      </c>
      <c r="IQ17" s="684" t="s">
        <v>37</v>
      </c>
      <c r="IR17" s="684" t="s">
        <v>35</v>
      </c>
      <c r="IS17" s="684" t="s">
        <v>52</v>
      </c>
      <c r="IT17" s="684" t="s">
        <v>33</v>
      </c>
      <c r="IU17" s="684" t="s">
        <v>40</v>
      </c>
      <c r="IV17" s="684" t="s">
        <v>46</v>
      </c>
      <c r="IW17" s="684" t="s">
        <v>35</v>
      </c>
      <c r="IX17" s="684" t="s">
        <v>30</v>
      </c>
      <c r="IY17" s="684" t="s">
        <v>34</v>
      </c>
      <c r="IZ17" s="684" t="s">
        <v>36</v>
      </c>
      <c r="JA17" s="684" t="s">
        <v>35</v>
      </c>
      <c r="JB17" s="684" t="s">
        <v>40</v>
      </c>
      <c r="JC17" s="684" t="s">
        <v>31</v>
      </c>
      <c r="JD17" s="684" t="s">
        <v>53</v>
      </c>
      <c r="JE17" s="684" t="s">
        <v>33</v>
      </c>
      <c r="JF17" s="684" t="s">
        <v>35</v>
      </c>
      <c r="JG17" s="684" t="s">
        <v>53</v>
      </c>
      <c r="JH17" s="684" t="s">
        <v>48</v>
      </c>
      <c r="JI17" s="684" t="s">
        <v>34</v>
      </c>
      <c r="JJ17" s="684" t="s">
        <v>35</v>
      </c>
      <c r="JK17" s="684" t="s">
        <v>35</v>
      </c>
      <c r="JL17" s="684" t="s">
        <v>30</v>
      </c>
      <c r="JM17" s="684" t="s">
        <v>41</v>
      </c>
      <c r="JN17" s="684" t="s">
        <v>33</v>
      </c>
      <c r="JO17" s="684" t="s">
        <v>36</v>
      </c>
      <c r="JP17" s="684" t="s">
        <v>53</v>
      </c>
      <c r="JQ17" s="684" t="s">
        <v>41</v>
      </c>
      <c r="JR17" s="684" t="s">
        <v>32</v>
      </c>
      <c r="JS17" s="684" t="s">
        <v>35</v>
      </c>
      <c r="JT17" s="684" t="s">
        <v>40</v>
      </c>
      <c r="JU17" s="684" t="s">
        <v>45</v>
      </c>
      <c r="JV17" s="687" t="s">
        <v>33</v>
      </c>
      <c r="JW17" s="684" t="s">
        <v>39</v>
      </c>
      <c r="JX17" s="687" t="s">
        <v>32</v>
      </c>
      <c r="JY17" s="684" t="s">
        <v>37</v>
      </c>
      <c r="JZ17" s="684" t="s">
        <v>49</v>
      </c>
      <c r="KA17" s="684" t="s">
        <v>36</v>
      </c>
      <c r="KB17" s="684" t="s">
        <v>54</v>
      </c>
      <c r="KC17" s="684" t="s">
        <v>34</v>
      </c>
      <c r="KD17" s="684" t="s">
        <v>34</v>
      </c>
      <c r="KE17" s="684" t="s">
        <v>35</v>
      </c>
      <c r="KF17" s="684" t="s">
        <v>46</v>
      </c>
      <c r="KG17" s="684" t="s">
        <v>35</v>
      </c>
      <c r="KH17" s="684" t="s">
        <v>30</v>
      </c>
      <c r="KI17" s="684" t="s">
        <v>36</v>
      </c>
      <c r="KJ17" s="684" t="s">
        <v>33</v>
      </c>
      <c r="KK17" s="684" t="s">
        <v>36</v>
      </c>
      <c r="KL17" s="684" t="s">
        <v>54</v>
      </c>
      <c r="KM17" s="684" t="s">
        <v>36</v>
      </c>
      <c r="KN17" s="684" t="s">
        <v>33</v>
      </c>
      <c r="KO17" s="684" t="s">
        <v>35</v>
      </c>
      <c r="KP17" s="684" t="s">
        <v>44</v>
      </c>
      <c r="KQ17" s="684" t="s">
        <v>53</v>
      </c>
      <c r="KR17" s="684" t="s">
        <v>35</v>
      </c>
      <c r="KS17" s="684" t="s">
        <v>35</v>
      </c>
      <c r="KT17" s="684" t="s">
        <v>32</v>
      </c>
      <c r="KU17" s="684" t="s">
        <v>38</v>
      </c>
      <c r="KV17" s="684" t="s">
        <v>39</v>
      </c>
      <c r="KW17" s="684" t="s">
        <v>33</v>
      </c>
      <c r="KX17" s="684" t="s">
        <v>35</v>
      </c>
      <c r="KY17" s="684" t="s">
        <v>35</v>
      </c>
      <c r="KZ17" s="684" t="s">
        <v>45</v>
      </c>
      <c r="LA17" s="684" t="s">
        <v>31</v>
      </c>
      <c r="LB17" s="684" t="s">
        <v>36</v>
      </c>
      <c r="LC17" s="684" t="s">
        <v>37</v>
      </c>
      <c r="LD17" s="684" t="s">
        <v>45</v>
      </c>
      <c r="LE17" s="684" t="s">
        <v>40</v>
      </c>
      <c r="LF17" s="684" t="s">
        <v>31</v>
      </c>
      <c r="LG17" s="684" t="s">
        <v>33</v>
      </c>
      <c r="LH17" s="684" t="s">
        <v>29</v>
      </c>
      <c r="LI17" s="684" t="s">
        <v>35</v>
      </c>
      <c r="LJ17" s="684" t="s">
        <v>33</v>
      </c>
      <c r="LK17" s="684" t="s">
        <v>29</v>
      </c>
      <c r="LL17" s="684" t="s">
        <v>36</v>
      </c>
      <c r="LM17" s="684" t="s">
        <v>35</v>
      </c>
      <c r="LN17" s="684" t="s">
        <v>31</v>
      </c>
      <c r="LO17" s="684" t="s">
        <v>33</v>
      </c>
      <c r="LP17" s="684" t="s">
        <v>31</v>
      </c>
      <c r="LQ17" s="684" t="s">
        <v>36</v>
      </c>
      <c r="LR17" s="684" t="s">
        <v>32</v>
      </c>
      <c r="LS17" s="684" t="s">
        <v>54</v>
      </c>
      <c r="LT17" s="684" t="s">
        <v>36</v>
      </c>
      <c r="LU17" s="684" t="s">
        <v>35</v>
      </c>
      <c r="LV17" s="684" t="s">
        <v>35</v>
      </c>
      <c r="LW17" s="684" t="s">
        <v>32</v>
      </c>
      <c r="LX17" s="684" t="s">
        <v>33</v>
      </c>
      <c r="LY17" s="684" t="s">
        <v>30</v>
      </c>
      <c r="LZ17" s="684" t="s">
        <v>32</v>
      </c>
      <c r="MA17" s="684" t="s">
        <v>33</v>
      </c>
      <c r="MB17" s="684" t="s">
        <v>40</v>
      </c>
      <c r="MC17" s="684" t="s">
        <v>39</v>
      </c>
      <c r="MD17" s="684" t="s">
        <v>37</v>
      </c>
      <c r="ME17" s="684" t="s">
        <v>35</v>
      </c>
      <c r="MF17" s="684" t="s">
        <v>52</v>
      </c>
      <c r="MG17" s="684" t="s">
        <v>52</v>
      </c>
      <c r="MH17" s="684" t="s">
        <v>30</v>
      </c>
      <c r="MI17" s="684" t="s">
        <v>40</v>
      </c>
      <c r="MJ17" s="684" t="s">
        <v>36</v>
      </c>
      <c r="MK17" s="684" t="s">
        <v>36</v>
      </c>
      <c r="ML17" s="684" t="s">
        <v>34</v>
      </c>
      <c r="MM17" s="684" t="s">
        <v>33</v>
      </c>
      <c r="MN17" s="684" t="s">
        <v>33</v>
      </c>
      <c r="MO17" s="684" t="s">
        <v>54</v>
      </c>
      <c r="MP17" s="684" t="s">
        <v>37</v>
      </c>
      <c r="MQ17" s="684" t="s">
        <v>33</v>
      </c>
      <c r="MR17" s="684" t="s">
        <v>35</v>
      </c>
      <c r="MS17" s="684" t="s">
        <v>46</v>
      </c>
      <c r="MT17" s="684" t="s">
        <v>49</v>
      </c>
      <c r="MU17" s="684" t="s">
        <v>40</v>
      </c>
      <c r="MV17" s="684" t="s">
        <v>35</v>
      </c>
      <c r="MW17" s="684" t="s">
        <v>32</v>
      </c>
      <c r="MX17" s="684" t="s">
        <v>31</v>
      </c>
      <c r="MY17" s="684" t="s">
        <v>36</v>
      </c>
      <c r="MZ17" s="684" t="s">
        <v>44</v>
      </c>
      <c r="NA17" s="684" t="s">
        <v>32</v>
      </c>
      <c r="NB17" s="684" t="s">
        <v>40</v>
      </c>
      <c r="NC17" s="684" t="s">
        <v>35</v>
      </c>
      <c r="ND17" s="684" t="s">
        <v>46</v>
      </c>
      <c r="NE17" s="684" t="s">
        <v>45</v>
      </c>
      <c r="NF17" s="684" t="s">
        <v>35</v>
      </c>
      <c r="NG17" s="684" t="s">
        <v>39</v>
      </c>
      <c r="NH17" s="684" t="s">
        <v>36</v>
      </c>
      <c r="NI17" s="684" t="s">
        <v>35</v>
      </c>
      <c r="NJ17" s="684" t="s">
        <v>41</v>
      </c>
      <c r="NK17" s="684" t="s">
        <v>33</v>
      </c>
      <c r="NL17" s="684" t="s">
        <v>52</v>
      </c>
      <c r="NM17" s="684" t="s">
        <v>52</v>
      </c>
      <c r="NN17" s="684" t="s">
        <v>34</v>
      </c>
      <c r="NO17" s="684" t="s">
        <v>40</v>
      </c>
      <c r="NP17" s="684" t="s">
        <v>38</v>
      </c>
      <c r="NQ17" s="684" t="s">
        <v>41</v>
      </c>
      <c r="NR17" s="684" t="s">
        <v>35</v>
      </c>
      <c r="NS17" s="684" t="s">
        <v>40</v>
      </c>
      <c r="NT17" s="684" t="s">
        <v>34</v>
      </c>
      <c r="NU17" s="684" t="s">
        <v>37</v>
      </c>
      <c r="NV17" s="684" t="s">
        <v>40</v>
      </c>
      <c r="NW17" s="684" t="s">
        <v>33</v>
      </c>
      <c r="NX17" s="684" t="s">
        <v>35</v>
      </c>
      <c r="NY17" s="684" t="s">
        <v>44</v>
      </c>
      <c r="NZ17" s="684" t="s">
        <v>31</v>
      </c>
      <c r="OA17" s="684" t="s">
        <v>35</v>
      </c>
      <c r="OB17" s="684" t="s">
        <v>36</v>
      </c>
      <c r="OC17" s="684" t="s">
        <v>31</v>
      </c>
      <c r="OD17" s="684" t="s">
        <v>37</v>
      </c>
      <c r="OE17" s="684" t="s">
        <v>52</v>
      </c>
      <c r="OF17" s="684" t="s">
        <v>52</v>
      </c>
      <c r="OG17" s="684" t="s">
        <v>32</v>
      </c>
      <c r="OH17" s="684" t="s">
        <v>53</v>
      </c>
      <c r="OI17" s="684" t="s">
        <v>52</v>
      </c>
      <c r="OJ17" s="684" t="s">
        <v>38</v>
      </c>
      <c r="OK17" s="684" t="s">
        <v>31</v>
      </c>
      <c r="OL17" s="684" t="s">
        <v>32</v>
      </c>
      <c r="OM17" s="684" t="s">
        <v>40</v>
      </c>
      <c r="ON17" s="684" t="s">
        <v>33</v>
      </c>
      <c r="PA17" s="11"/>
    </row>
    <row r="18" spans="1:417" x14ac:dyDescent="0.25">
      <c r="C18" s="105"/>
      <c r="D18" s="195" t="s">
        <v>63</v>
      </c>
      <c r="E18" s="49" t="str">
        <f>ON17</f>
        <v>T</v>
      </c>
      <c r="F18" s="50" t="str">
        <f>OM17</f>
        <v>I</v>
      </c>
      <c r="G18" s="50" t="str">
        <f>OL17</f>
        <v>R</v>
      </c>
      <c r="H18" s="50" t="str">
        <f>OK17</f>
        <v>O</v>
      </c>
      <c r="I18" s="50" t="str">
        <f>OJ17</f>
        <v>L</v>
      </c>
      <c r="J18" s="50" t="str">
        <f>OI17</f>
        <v>D</v>
      </c>
      <c r="K18" s="50" t="str">
        <f>OH17</f>
        <v>Y</v>
      </c>
      <c r="L18" s="50" t="str">
        <f>OG17</f>
        <v>R</v>
      </c>
      <c r="M18" s="50" t="str">
        <f>OF17</f>
        <v>D</v>
      </c>
      <c r="N18" s="50" t="str">
        <f>OE17</f>
        <v>D</v>
      </c>
      <c r="O18" s="50" t="str">
        <f>OD17</f>
        <v>S</v>
      </c>
      <c r="P18" s="50" t="str">
        <f>OC17</f>
        <v>O</v>
      </c>
      <c r="Q18" s="50" t="str">
        <f>OB17</f>
        <v>A</v>
      </c>
      <c r="R18" s="50" t="str">
        <f>OA17</f>
        <v>E</v>
      </c>
      <c r="S18" s="50" t="str">
        <f>NZ17</f>
        <v>O</v>
      </c>
      <c r="T18" s="50" t="str">
        <f>NY17</f>
        <v>G</v>
      </c>
      <c r="U18" s="50" t="str">
        <f>NX17</f>
        <v>E</v>
      </c>
      <c r="V18" s="50" t="str">
        <f>NW17</f>
        <v>T</v>
      </c>
      <c r="W18" s="50" t="str">
        <f>NV17</f>
        <v>I</v>
      </c>
      <c r="X18" s="50" t="str">
        <f>NU17</f>
        <v>S</v>
      </c>
      <c r="Y18" s="50" t="str">
        <f>NT17</f>
        <v>H</v>
      </c>
      <c r="Z18" s="50" t="str">
        <f>NS17</f>
        <v>I</v>
      </c>
      <c r="AA18" s="50" t="str">
        <f>NR17</f>
        <v>E</v>
      </c>
      <c r="AB18" s="50" t="str">
        <f>NQ17</f>
        <v>C</v>
      </c>
      <c r="AC18" s="50" t="str">
        <f>NP17</f>
        <v>L</v>
      </c>
      <c r="AD18" s="50" t="str">
        <f>NO17</f>
        <v>I</v>
      </c>
      <c r="AE18" s="50" t="str">
        <f>NN17</f>
        <v>H</v>
      </c>
      <c r="AF18" s="50" t="str">
        <f>NM17</f>
        <v>D</v>
      </c>
      <c r="AG18" s="50" t="str">
        <f>NL17</f>
        <v>D</v>
      </c>
      <c r="AH18" s="50" t="str">
        <f>NK17</f>
        <v>T</v>
      </c>
      <c r="AI18" s="50" t="str">
        <f>NJ17</f>
        <v>C</v>
      </c>
      <c r="AJ18" s="50" t="str">
        <f>NI17</f>
        <v>E</v>
      </c>
      <c r="AK18" s="50" t="str">
        <f>NH17</f>
        <v>A</v>
      </c>
      <c r="AL18" s="50" t="str">
        <f>NG17</f>
        <v>B</v>
      </c>
      <c r="AM18" s="50" t="str">
        <f>NF17</f>
        <v>E</v>
      </c>
      <c r="AN18" s="50" t="str">
        <f>NE17</f>
        <v>F</v>
      </c>
      <c r="AO18" s="50" t="str">
        <f>ND17</f>
        <v>W</v>
      </c>
      <c r="AP18" s="50" t="str">
        <f>NC17</f>
        <v>E</v>
      </c>
      <c r="AQ18" s="50" t="str">
        <f>NB17</f>
        <v>I</v>
      </c>
      <c r="AR18" s="50" t="str">
        <f>NA17</f>
        <v>R</v>
      </c>
      <c r="AS18" s="50" t="str">
        <f>MZ17</f>
        <v>G</v>
      </c>
      <c r="AT18" s="50" t="str">
        <f>MY17</f>
        <v>A</v>
      </c>
      <c r="AU18" s="50" t="str">
        <f>MX17</f>
        <v>O</v>
      </c>
      <c r="AV18" s="50" t="str">
        <f>MW17</f>
        <v>R</v>
      </c>
      <c r="AW18" s="50" t="str">
        <f>MV17</f>
        <v>E</v>
      </c>
      <c r="AX18" s="50" t="str">
        <f>MU17</f>
        <v>I</v>
      </c>
      <c r="AY18" s="50" t="str">
        <f>MT17</f>
        <v>P</v>
      </c>
      <c r="AZ18" s="50" t="str">
        <f>MS17</f>
        <v>W</v>
      </c>
      <c r="BA18" s="50" t="str">
        <f>MR17</f>
        <v>E</v>
      </c>
      <c r="BB18" s="50" t="str">
        <f>MQ17</f>
        <v>T</v>
      </c>
      <c r="BC18" s="50" t="str">
        <f>MP17</f>
        <v>S</v>
      </c>
      <c r="BD18" s="50" t="str">
        <f>MO17</f>
        <v>M</v>
      </c>
      <c r="BE18" s="50" t="str">
        <f>MN17</f>
        <v>T</v>
      </c>
      <c r="BF18" s="50" t="str">
        <f>MM17</f>
        <v>T</v>
      </c>
      <c r="BG18" s="50" t="str">
        <f>ML17</f>
        <v>H</v>
      </c>
      <c r="BH18" s="50" t="str">
        <f>MK17</f>
        <v>A</v>
      </c>
      <c r="BI18" s="50" t="str">
        <f>MJ17</f>
        <v>A</v>
      </c>
      <c r="BJ18" s="50" t="str">
        <f>MI17</f>
        <v>I</v>
      </c>
      <c r="BK18" s="50" t="str">
        <f>MH17</f>
        <v>N</v>
      </c>
      <c r="BL18" s="50" t="str">
        <f>MG17</f>
        <v>D</v>
      </c>
      <c r="BM18" s="50" t="str">
        <f>MF17</f>
        <v>D</v>
      </c>
      <c r="BN18" s="50" t="str">
        <f>ME17</f>
        <v>E</v>
      </c>
      <c r="BO18" s="50" t="str">
        <f>MD17</f>
        <v>S</v>
      </c>
      <c r="BP18" s="50" t="str">
        <f>MC17</f>
        <v>B</v>
      </c>
      <c r="BQ18" s="50" t="str">
        <f>MB17</f>
        <v>I</v>
      </c>
      <c r="BR18" s="50" t="str">
        <f>MA17</f>
        <v>T</v>
      </c>
      <c r="BS18" s="50" t="str">
        <f>LZ17</f>
        <v>R</v>
      </c>
      <c r="BT18" s="50" t="str">
        <f>LY17</f>
        <v>N</v>
      </c>
      <c r="BU18" s="50" t="str">
        <f>LX17</f>
        <v>T</v>
      </c>
      <c r="BV18" s="50" t="str">
        <f>LW17</f>
        <v>R</v>
      </c>
      <c r="BW18" s="50" t="str">
        <f>LV17</f>
        <v>E</v>
      </c>
      <c r="BX18" s="50" t="str">
        <f>LU17</f>
        <v>E</v>
      </c>
      <c r="BY18" s="50" t="str">
        <f>LT17</f>
        <v>A</v>
      </c>
      <c r="BZ18" s="50" t="str">
        <f>LS17</f>
        <v>M</v>
      </c>
      <c r="CA18" s="50" t="str">
        <f>LR17</f>
        <v>R</v>
      </c>
      <c r="CB18" s="50" t="str">
        <f>LQ17</f>
        <v>A</v>
      </c>
      <c r="CC18" s="50" t="str">
        <f>LP17</f>
        <v>O</v>
      </c>
      <c r="CD18" s="50" t="str">
        <f>LO17</f>
        <v>T</v>
      </c>
      <c r="CE18" s="50" t="str">
        <f>LN17</f>
        <v>O</v>
      </c>
      <c r="CF18" s="50" t="str">
        <f>LM17</f>
        <v>E</v>
      </c>
      <c r="CG18" s="50" t="str">
        <f>LL17</f>
        <v>A</v>
      </c>
      <c r="CH18" s="50" t="str">
        <f>LK17</f>
        <v>U</v>
      </c>
      <c r="CI18" s="50" t="str">
        <f>LJ17</f>
        <v>T</v>
      </c>
      <c r="CJ18" s="50" t="str">
        <f>LI17</f>
        <v>E</v>
      </c>
      <c r="CK18" s="50" t="str">
        <f>LH17</f>
        <v>U</v>
      </c>
      <c r="CL18" s="50" t="str">
        <f>LG17</f>
        <v>T</v>
      </c>
      <c r="CM18" s="50" t="str">
        <f>LF17</f>
        <v>O</v>
      </c>
      <c r="CN18" s="50" t="str">
        <f>LE17</f>
        <v>I</v>
      </c>
      <c r="CO18" s="50" t="str">
        <f>LD17</f>
        <v>F</v>
      </c>
      <c r="CP18" s="50" t="str">
        <f>LC17</f>
        <v>S</v>
      </c>
      <c r="CQ18" s="50" t="str">
        <f>LB17</f>
        <v>A</v>
      </c>
      <c r="CR18" s="50" t="str">
        <f>LA17</f>
        <v>O</v>
      </c>
      <c r="CS18" s="50" t="str">
        <f>KZ17</f>
        <v>F</v>
      </c>
      <c r="CT18" s="50" t="str">
        <f>KY17</f>
        <v>E</v>
      </c>
      <c r="CU18" s="50" t="str">
        <f>KX17</f>
        <v>E</v>
      </c>
      <c r="CV18" s="50" t="str">
        <f>KW17</f>
        <v>T</v>
      </c>
      <c r="CW18" s="50" t="str">
        <f>KV17</f>
        <v>B</v>
      </c>
      <c r="CX18" s="50" t="str">
        <f>KU17</f>
        <v>L</v>
      </c>
      <c r="CY18" s="50" t="str">
        <f>KT17</f>
        <v>R</v>
      </c>
      <c r="CZ18" s="50" t="str">
        <f>KS17</f>
        <v>E</v>
      </c>
      <c r="DA18" s="50" t="str">
        <f>KR17</f>
        <v>E</v>
      </c>
      <c r="DB18" s="50" t="str">
        <f>KQ17</f>
        <v>Y</v>
      </c>
      <c r="DC18" s="50" t="str">
        <f>KP17</f>
        <v>G</v>
      </c>
      <c r="DD18" s="50" t="str">
        <f>KO17</f>
        <v>E</v>
      </c>
      <c r="DE18" s="50" t="str">
        <f>KN17</f>
        <v>T</v>
      </c>
      <c r="DF18" s="50" t="str">
        <f>KM17</f>
        <v>A</v>
      </c>
      <c r="DG18" s="50" t="str">
        <f>KL17</f>
        <v>M</v>
      </c>
      <c r="DH18" s="50" t="str">
        <f>KK17</f>
        <v>A</v>
      </c>
      <c r="DI18" s="50" t="str">
        <f>KJ17</f>
        <v>T</v>
      </c>
      <c r="DJ18" s="50" t="str">
        <f>KI17</f>
        <v>A</v>
      </c>
      <c r="DK18" s="50" t="str">
        <f>KH17</f>
        <v>N</v>
      </c>
      <c r="DL18" s="50" t="str">
        <f>KG17</f>
        <v>E</v>
      </c>
      <c r="DM18" s="50" t="str">
        <f>KF17</f>
        <v>W</v>
      </c>
      <c r="DN18" s="50" t="str">
        <f>KE17</f>
        <v>E</v>
      </c>
      <c r="DO18" s="50" t="str">
        <f>KD17</f>
        <v>H</v>
      </c>
      <c r="DP18" s="50" t="str">
        <f>KC17</f>
        <v>H</v>
      </c>
      <c r="DQ18" s="50" t="str">
        <f>KB17</f>
        <v>M</v>
      </c>
      <c r="DR18" s="50" t="str">
        <f>KA17</f>
        <v>A</v>
      </c>
      <c r="DS18" s="50" t="str">
        <f>JZ17</f>
        <v>P</v>
      </c>
      <c r="DT18" s="50" t="str">
        <f>JY17</f>
        <v>S</v>
      </c>
      <c r="DU18" s="50" t="str">
        <f>JX17</f>
        <v>R</v>
      </c>
      <c r="DV18" s="50" t="str">
        <f>JW17</f>
        <v>B</v>
      </c>
      <c r="DW18" s="50" t="str">
        <f>JV17</f>
        <v>T</v>
      </c>
      <c r="DX18" s="50" t="str">
        <f>JU17</f>
        <v>F</v>
      </c>
      <c r="DY18" s="50" t="str">
        <f>JT17</f>
        <v>I</v>
      </c>
      <c r="DZ18" s="50" t="str">
        <f>JS17</f>
        <v>E</v>
      </c>
      <c r="EA18" s="50" t="str">
        <f>JR17</f>
        <v>R</v>
      </c>
      <c r="EB18" s="50" t="str">
        <f>JQ17</f>
        <v>C</v>
      </c>
      <c r="EC18" s="50" t="str">
        <f>JP17</f>
        <v>Y</v>
      </c>
      <c r="ED18" s="50" t="str">
        <f>JO17</f>
        <v>A</v>
      </c>
      <c r="EE18" s="50" t="str">
        <f>JN17</f>
        <v>T</v>
      </c>
      <c r="EF18" s="50" t="str">
        <f>JM17</f>
        <v>C</v>
      </c>
      <c r="EG18" s="50" t="str">
        <f>JL17</f>
        <v>N</v>
      </c>
      <c r="EH18" s="50" t="str">
        <f>JK17</f>
        <v>E</v>
      </c>
      <c r="EI18" s="50" t="str">
        <f>JJ17</f>
        <v>E</v>
      </c>
      <c r="EJ18" s="50" t="str">
        <f>JI17</f>
        <v>H</v>
      </c>
      <c r="EK18" s="50" t="str">
        <f>JH17</f>
        <v>Q</v>
      </c>
      <c r="EL18" s="50" t="str">
        <f>JG17</f>
        <v>Y</v>
      </c>
      <c r="EM18" s="50" t="str">
        <f>JF17</f>
        <v>E</v>
      </c>
      <c r="EN18" s="50" t="str">
        <f>JE17</f>
        <v>T</v>
      </c>
      <c r="EO18" s="50" t="str">
        <f>JD17</f>
        <v>Y</v>
      </c>
      <c r="EP18" s="50" t="str">
        <f>JC17</f>
        <v>O</v>
      </c>
      <c r="EQ18" s="50" t="str">
        <f>JB17</f>
        <v>I</v>
      </c>
      <c r="ER18" s="50" t="str">
        <f>JA17</f>
        <v>E</v>
      </c>
      <c r="ES18" s="50" t="str">
        <f>IZ17</f>
        <v>A</v>
      </c>
      <c r="ET18" s="50" t="str">
        <f>IY17</f>
        <v>H</v>
      </c>
      <c r="EU18" s="50" t="str">
        <f>IX17</f>
        <v>N</v>
      </c>
      <c r="EV18" s="50" t="str">
        <f>IW17</f>
        <v>E</v>
      </c>
      <c r="EW18" s="50" t="str">
        <f>IV17</f>
        <v>W</v>
      </c>
      <c r="EX18" s="50" t="str">
        <f>IU17</f>
        <v>I</v>
      </c>
      <c r="EY18" s="50" t="str">
        <f>IT17</f>
        <v>T</v>
      </c>
      <c r="EZ18" s="50" t="str">
        <f>IS17</f>
        <v>D</v>
      </c>
      <c r="FA18" s="50" t="str">
        <f>IR17</f>
        <v>E</v>
      </c>
      <c r="FB18" s="50" t="str">
        <f>IQ17</f>
        <v>S</v>
      </c>
      <c r="FC18" s="50" t="str">
        <f>IP17</f>
        <v>L</v>
      </c>
      <c r="FD18" s="50" t="str">
        <f>IO17</f>
        <v>O</v>
      </c>
      <c r="FE18" s="50" t="str">
        <f>IN17</f>
        <v>F</v>
      </c>
      <c r="FF18" s="50" t="str">
        <f>IM17</f>
        <v>T</v>
      </c>
      <c r="FG18" s="50" t="str">
        <f>IL17</f>
        <v>E</v>
      </c>
      <c r="FH18" s="50" t="str">
        <f>IK17</f>
        <v>O</v>
      </c>
      <c r="FI18" s="50" t="str">
        <f>IJ17</f>
        <v>E</v>
      </c>
      <c r="FJ18" s="50" t="str">
        <f>II17</f>
        <v>A</v>
      </c>
      <c r="FK18" s="50" t="str">
        <f>IH17</f>
        <v>H</v>
      </c>
      <c r="FL18" s="50" t="str">
        <f>IG17</f>
        <v>N</v>
      </c>
      <c r="FM18" s="50" t="str">
        <f>IF17</f>
        <v>T</v>
      </c>
      <c r="FN18" s="50" t="str">
        <f>IE17</f>
        <v>E</v>
      </c>
      <c r="FO18" s="50" t="str">
        <f>ID17</f>
        <v>R</v>
      </c>
      <c r="FP18" s="50" t="str">
        <f>IC17</f>
        <v>D</v>
      </c>
      <c r="FQ18" s="50" t="str">
        <f>IB17</f>
        <v>U</v>
      </c>
      <c r="FR18" s="50" t="str">
        <f>IA17</f>
        <v>E</v>
      </c>
      <c r="FS18" s="50" t="str">
        <f>HZ17</f>
        <v>N</v>
      </c>
      <c r="FT18" s="50" t="str">
        <f>HY17</f>
        <v>E</v>
      </c>
      <c r="FU18" s="50" t="str">
        <f>HX17</f>
        <v>T</v>
      </c>
      <c r="FV18" s="50" t="str">
        <f>HW17</f>
        <v>C</v>
      </c>
      <c r="FW18" s="50" t="str">
        <f>HV17</f>
        <v>H</v>
      </c>
      <c r="FX18" s="50" t="str">
        <f>HU17</f>
        <v>A</v>
      </c>
      <c r="FY18" s="50" t="str">
        <f>HT17</f>
        <v>R</v>
      </c>
      <c r="FZ18" s="50" t="str">
        <f>HS17</f>
        <v>N</v>
      </c>
      <c r="GA18" s="50" t="str">
        <f>HR17</f>
        <v>E</v>
      </c>
      <c r="GB18" s="50" t="str">
        <f>HQ17</f>
        <v>E</v>
      </c>
      <c r="GC18" s="50" t="str">
        <f>HP17</f>
        <v>T</v>
      </c>
      <c r="GD18" s="50" t="str">
        <f>HO17</f>
        <v>I</v>
      </c>
      <c r="GE18" s="50" t="str">
        <f>HN17</f>
        <v>D</v>
      </c>
      <c r="GF18" s="50" t="str">
        <f>HM17</f>
        <v>N</v>
      </c>
      <c r="GG18" s="50" t="str">
        <f>HL17</f>
        <v>W</v>
      </c>
      <c r="GH18" s="50" t="str">
        <f>HK17</f>
        <v>T</v>
      </c>
      <c r="GI18" s="50" t="str">
        <f>HJ17</f>
        <v>M</v>
      </c>
      <c r="GJ18" s="50" t="str">
        <f>HI17</f>
        <v>W</v>
      </c>
      <c r="GK18" s="50" t="str">
        <f>HH17</f>
        <v>E</v>
      </c>
      <c r="GL18" s="50" t="str">
        <f>HG17</f>
        <v>A</v>
      </c>
      <c r="GM18" s="50" t="str">
        <f>HF17</f>
        <v>C</v>
      </c>
      <c r="GN18" s="50" t="str">
        <f>HE17</f>
        <v>A</v>
      </c>
      <c r="GO18" s="50" t="str">
        <f>HD17</f>
        <v>I</v>
      </c>
      <c r="GP18" s="50" t="str">
        <f>HC17</f>
        <v>I</v>
      </c>
      <c r="GQ18" s="50" t="str">
        <f>HB17</f>
        <v>P</v>
      </c>
      <c r="GR18" s="50" t="str">
        <f>HA17</f>
        <v>L</v>
      </c>
      <c r="GS18" s="50" t="str">
        <f>GZ17</f>
        <v>B</v>
      </c>
      <c r="GT18" s="50" t="str">
        <f>GY17</f>
        <v>E</v>
      </c>
      <c r="GU18" s="50" t="str">
        <f>GX17</f>
        <v>L</v>
      </c>
      <c r="GV18" s="53" t="str">
        <f>GW17</f>
        <v>E</v>
      </c>
      <c r="GW18" s="54" t="str">
        <f>GV17</f>
        <v>N</v>
      </c>
      <c r="GX18" s="50" t="str">
        <f>GU17</f>
        <v>N</v>
      </c>
      <c r="GY18" s="50" t="str">
        <f>GT17</f>
        <v>L</v>
      </c>
      <c r="GZ18" s="50" t="str">
        <f>GS17</f>
        <v>S</v>
      </c>
      <c r="HA18" s="50" t="str">
        <f>GR17</f>
        <v>E</v>
      </c>
      <c r="HB18" s="50" t="str">
        <f>GQ17</f>
        <v>P</v>
      </c>
      <c r="HC18" s="50" t="str">
        <f>GP17</f>
        <v>R</v>
      </c>
      <c r="HD18" s="50" t="str">
        <f>GO17</f>
        <v>A</v>
      </c>
      <c r="HE18" s="50" t="str">
        <f>GN17</f>
        <v>R</v>
      </c>
      <c r="HF18" s="50" t="str">
        <f>GM17</f>
        <v>N</v>
      </c>
      <c r="HG18" s="50" t="str">
        <f>GL17</f>
        <v>H</v>
      </c>
      <c r="HH18" s="50" t="str">
        <f>GK17</f>
        <v>I</v>
      </c>
      <c r="HI18" s="50" t="str">
        <f>GJ17</f>
        <v>T</v>
      </c>
      <c r="HJ18" s="50" t="str">
        <f>GI17</f>
        <v>A</v>
      </c>
      <c r="HK18" s="50" t="str">
        <f>GH17</f>
        <v>G</v>
      </c>
      <c r="HL18" s="50" t="str">
        <f>GG17</f>
        <v>N</v>
      </c>
      <c r="HM18" s="50" t="str">
        <f>GF17</f>
        <v>R</v>
      </c>
      <c r="HN18" s="50" t="str">
        <f>GE17</f>
        <v>P</v>
      </c>
      <c r="HO18" s="50" t="str">
        <f>GD17</f>
        <v>T</v>
      </c>
      <c r="HP18" s="50" t="str">
        <f>GC17</f>
        <v>E</v>
      </c>
      <c r="HQ18" s="50" t="str">
        <f>GB17</f>
        <v>N</v>
      </c>
      <c r="HR18" s="50" t="str">
        <f>GA17</f>
        <v>M</v>
      </c>
      <c r="HS18" s="50" t="str">
        <f>FZ17</f>
        <v>X</v>
      </c>
      <c r="HT18" s="50" t="str">
        <f>FY17</f>
        <v>W</v>
      </c>
      <c r="HU18" s="50" t="str">
        <f>FX17</f>
        <v>R</v>
      </c>
      <c r="HV18" s="50" t="str">
        <f>FW17</f>
        <v>M</v>
      </c>
      <c r="HW18" s="50" t="str">
        <f>FV17</f>
        <v>S</v>
      </c>
      <c r="HX18" s="50" t="str">
        <f>FU17</f>
        <v>O</v>
      </c>
      <c r="HY18" s="50" t="str">
        <f>FT17</f>
        <v>N</v>
      </c>
      <c r="HZ18" s="50" t="str">
        <f>FS17</f>
        <v>S</v>
      </c>
      <c r="IA18" s="50" t="str">
        <f>FR17</f>
        <v>H</v>
      </c>
      <c r="IB18" s="50" t="str">
        <f>FQ17</f>
        <v>O</v>
      </c>
      <c r="IC18" s="50" t="str">
        <f>FP17</f>
        <v>N</v>
      </c>
      <c r="ID18" s="50" t="str">
        <f>FO17</f>
        <v>L</v>
      </c>
      <c r="IE18" s="50" t="str">
        <f>FN17</f>
        <v>L</v>
      </c>
      <c r="IF18" s="50" t="str">
        <f>FM17</f>
        <v>S</v>
      </c>
      <c r="IG18" s="50" t="str">
        <f>FL17</f>
        <v>L</v>
      </c>
      <c r="IH18" s="50" t="str">
        <f>FK17</f>
        <v>L</v>
      </c>
      <c r="II18" s="50" t="str">
        <f>FJ17</f>
        <v>S</v>
      </c>
      <c r="IJ18" s="50" t="str">
        <f>FI17</f>
        <v>D</v>
      </c>
      <c r="IK18" s="50" t="str">
        <f>FH17</f>
        <v>L</v>
      </c>
      <c r="IL18" s="50" t="str">
        <f>FG17</f>
        <v>U</v>
      </c>
      <c r="IM18" s="50" t="str">
        <f>FF17</f>
        <v>Y</v>
      </c>
      <c r="IN18" s="50" t="str">
        <f>FE17</f>
        <v>E</v>
      </c>
      <c r="IO18" s="50" t="str">
        <f>FD17</f>
        <v>R</v>
      </c>
      <c r="IP18" s="50" t="str">
        <f>FC17</f>
        <v>N</v>
      </c>
      <c r="IQ18" s="50" t="str">
        <f>FB17</f>
        <v>T</v>
      </c>
      <c r="IR18" s="50" t="str">
        <f>FA17</f>
        <v>H</v>
      </c>
      <c r="IS18" s="50" t="str">
        <f>EZ17</f>
        <v>C</v>
      </c>
      <c r="IT18" s="50" t="str">
        <f>EY17</f>
        <v>A</v>
      </c>
      <c r="IU18" s="50" t="str">
        <f>EX17</f>
        <v>I</v>
      </c>
      <c r="IV18" s="50" t="str">
        <f>EW17</f>
        <v>A</v>
      </c>
      <c r="IW18" s="50" t="str">
        <f>EV17</f>
        <v>N</v>
      </c>
      <c r="IX18" s="50" t="str">
        <f>EU17</f>
        <v>H</v>
      </c>
      <c r="IY18" s="50" t="str">
        <f>ET17</f>
        <v>S</v>
      </c>
      <c r="IZ18" s="50" t="str">
        <f>ES17</f>
        <v>Y</v>
      </c>
      <c r="JA18" s="50" t="str">
        <f>ER17</f>
        <v>D</v>
      </c>
      <c r="JB18" s="50" t="str">
        <f>EQ17</f>
        <v>I</v>
      </c>
      <c r="JC18" s="50" t="str">
        <f>EP17</f>
        <v>B</v>
      </c>
      <c r="JD18" s="50" t="str">
        <f>EO17</f>
        <v>I</v>
      </c>
      <c r="JE18" s="50" t="str">
        <f>EN17</f>
        <v>O</v>
      </c>
      <c r="JF18" s="50" t="str">
        <f>EM17</f>
        <v>E</v>
      </c>
      <c r="JG18" s="50" t="str">
        <f>EL17</f>
        <v>T</v>
      </c>
      <c r="JH18" s="50" t="str">
        <f>EK17</f>
        <v>P</v>
      </c>
      <c r="JI18" s="50" t="str">
        <f>EJ17</f>
        <v>C</v>
      </c>
      <c r="JJ18" s="50" t="str">
        <f>EI17</f>
        <v>O</v>
      </c>
      <c r="JK18" s="50" t="str">
        <f>EH17</f>
        <v>E</v>
      </c>
      <c r="JL18" s="50" t="str">
        <f>EG17</f>
        <v>H</v>
      </c>
      <c r="JM18" s="50" t="str">
        <f>EF17</f>
        <v>R</v>
      </c>
      <c r="JN18" s="50" t="str">
        <f>EE17</f>
        <v>S</v>
      </c>
      <c r="JO18" s="50" t="str">
        <f>ED17</f>
        <v>L</v>
      </c>
      <c r="JP18" s="50" t="str">
        <f>EC17</f>
        <v>N</v>
      </c>
      <c r="JQ18" s="50" t="str">
        <f>EB17</f>
        <v>H</v>
      </c>
      <c r="JR18" s="50" t="str">
        <f>EA17</f>
        <v>O</v>
      </c>
      <c r="JS18" s="50" t="str">
        <f>DZ17</f>
        <v>R</v>
      </c>
      <c r="JT18" s="50" t="str">
        <f>DY17</f>
        <v>H</v>
      </c>
      <c r="JU18" s="50" t="str">
        <f>DX17</f>
        <v>A</v>
      </c>
      <c r="JV18" s="52" t="str">
        <f>DW17</f>
        <v>Y</v>
      </c>
      <c r="JW18" s="50">
        <f>DV17</f>
        <v>0</v>
      </c>
      <c r="JX18" s="52">
        <f>DU17</f>
        <v>0</v>
      </c>
      <c r="JY18" s="50">
        <f>DT17</f>
        <v>0</v>
      </c>
      <c r="JZ18" s="50">
        <f>DS17</f>
        <v>0</v>
      </c>
      <c r="KA18" s="50">
        <f>DR17</f>
        <v>0</v>
      </c>
      <c r="KB18" s="50">
        <f>DQ17</f>
        <v>0</v>
      </c>
      <c r="KC18" s="50">
        <f>DP17</f>
        <v>0</v>
      </c>
      <c r="KD18" s="50">
        <f>DO17</f>
        <v>0</v>
      </c>
      <c r="KE18" s="50">
        <f>DN17</f>
        <v>0</v>
      </c>
      <c r="KF18" s="50">
        <f>DM17</f>
        <v>0</v>
      </c>
      <c r="KG18" s="50">
        <f>DL17</f>
        <v>0</v>
      </c>
      <c r="KH18" s="50">
        <f>DK17</f>
        <v>0</v>
      </c>
      <c r="KI18" s="50">
        <f>DJ17</f>
        <v>0</v>
      </c>
      <c r="KJ18" s="50">
        <f>DI17</f>
        <v>0</v>
      </c>
      <c r="KK18" s="50">
        <f>DH17</f>
        <v>0</v>
      </c>
      <c r="KL18" s="50">
        <f>DG17</f>
        <v>0</v>
      </c>
      <c r="KM18" s="50">
        <f>DF17</f>
        <v>0</v>
      </c>
      <c r="KN18" s="50">
        <f>DE17</f>
        <v>0</v>
      </c>
      <c r="KO18" s="50">
        <f>DD17</f>
        <v>0</v>
      </c>
      <c r="KP18" s="50">
        <f>DC17</f>
        <v>0</v>
      </c>
      <c r="KQ18" s="50">
        <f>DB17</f>
        <v>0</v>
      </c>
      <c r="KR18" s="50">
        <f>DA17</f>
        <v>0</v>
      </c>
      <c r="KS18" s="50">
        <f>CZ17</f>
        <v>0</v>
      </c>
      <c r="KT18" s="50">
        <f>CY17</f>
        <v>0</v>
      </c>
      <c r="KU18" s="50">
        <f>CX17</f>
        <v>0</v>
      </c>
      <c r="KV18" s="50">
        <f>CW17</f>
        <v>0</v>
      </c>
      <c r="KW18" s="50">
        <f>CV17</f>
        <v>0</v>
      </c>
      <c r="KX18" s="50">
        <f>CU17</f>
        <v>0</v>
      </c>
      <c r="KY18" s="50">
        <f>CT17</f>
        <v>0</v>
      </c>
      <c r="KZ18" s="50">
        <f>CS17</f>
        <v>0</v>
      </c>
      <c r="LA18" s="50">
        <f>CR17</f>
        <v>0</v>
      </c>
      <c r="LB18" s="50">
        <f>CQ17</f>
        <v>0</v>
      </c>
      <c r="LC18" s="50">
        <f>CP17</f>
        <v>0</v>
      </c>
      <c r="LD18" s="50">
        <f>CO17</f>
        <v>0</v>
      </c>
      <c r="LE18" s="50">
        <f>CN17</f>
        <v>0</v>
      </c>
      <c r="LF18" s="50">
        <f>CM17</f>
        <v>0</v>
      </c>
      <c r="LG18" s="50">
        <f>CL17</f>
        <v>0</v>
      </c>
      <c r="LH18" s="50">
        <f>CK17</f>
        <v>0</v>
      </c>
      <c r="LI18" s="50">
        <f>CJ17</f>
        <v>0</v>
      </c>
      <c r="LJ18" s="50">
        <f>CI17</f>
        <v>0</v>
      </c>
      <c r="LK18" s="50">
        <f>CH17</f>
        <v>0</v>
      </c>
      <c r="LL18" s="50">
        <f>CG17</f>
        <v>0</v>
      </c>
      <c r="LM18" s="50">
        <f>CF17</f>
        <v>0</v>
      </c>
      <c r="LN18" s="50">
        <f>CE17</f>
        <v>0</v>
      </c>
      <c r="LO18" s="50">
        <f>CD17</f>
        <v>0</v>
      </c>
      <c r="LP18" s="50">
        <f>CC17</f>
        <v>0</v>
      </c>
      <c r="LQ18" s="50">
        <f>CB17</f>
        <v>0</v>
      </c>
      <c r="LR18" s="50">
        <f>CA17</f>
        <v>0</v>
      </c>
      <c r="LS18" s="50">
        <f>BZ17</f>
        <v>0</v>
      </c>
      <c r="LT18" s="50">
        <f>BY17</f>
        <v>0</v>
      </c>
      <c r="LU18" s="50">
        <f>BX17</f>
        <v>0</v>
      </c>
      <c r="LV18" s="50">
        <f>BW17</f>
        <v>0</v>
      </c>
      <c r="LW18" s="50">
        <f>BV17</f>
        <v>0</v>
      </c>
      <c r="LX18" s="50">
        <f>BU17</f>
        <v>0</v>
      </c>
      <c r="LY18" s="50">
        <f>BT17</f>
        <v>0</v>
      </c>
      <c r="LZ18" s="50">
        <f>BS17</f>
        <v>0</v>
      </c>
      <c r="MA18" s="50">
        <f>BR17</f>
        <v>0</v>
      </c>
      <c r="MB18" s="50">
        <f>BQ17</f>
        <v>0</v>
      </c>
      <c r="MC18" s="50">
        <f>BP17</f>
        <v>0</v>
      </c>
      <c r="MD18" s="50">
        <f>BO17</f>
        <v>0</v>
      </c>
      <c r="ME18" s="50">
        <f>BN17</f>
        <v>0</v>
      </c>
      <c r="MF18" s="50">
        <f>BM17</f>
        <v>0</v>
      </c>
      <c r="MG18" s="50">
        <f>BL17</f>
        <v>0</v>
      </c>
      <c r="MH18" s="50">
        <f>BK17</f>
        <v>0</v>
      </c>
      <c r="MI18" s="50">
        <f>BJ17</f>
        <v>0</v>
      </c>
      <c r="MJ18" s="50">
        <f>BI17</f>
        <v>0</v>
      </c>
      <c r="MK18" s="50">
        <f>BH17</f>
        <v>0</v>
      </c>
      <c r="ML18" s="50">
        <f>BG17</f>
        <v>0</v>
      </c>
      <c r="MM18" s="50">
        <f>BF17</f>
        <v>0</v>
      </c>
      <c r="MN18" s="50">
        <f>BE17</f>
        <v>0</v>
      </c>
      <c r="MO18" s="50">
        <f>BD17</f>
        <v>0</v>
      </c>
      <c r="MP18" s="50">
        <f>BC17</f>
        <v>0</v>
      </c>
      <c r="MQ18" s="50">
        <f>BB17</f>
        <v>0</v>
      </c>
      <c r="MR18" s="50">
        <f>BA17</f>
        <v>0</v>
      </c>
      <c r="MS18" s="50">
        <f>AZ17</f>
        <v>0</v>
      </c>
      <c r="MT18" s="50">
        <f>AY17</f>
        <v>0</v>
      </c>
      <c r="MU18" s="50">
        <f>AX17</f>
        <v>0</v>
      </c>
      <c r="MV18" s="50">
        <f>AW17</f>
        <v>0</v>
      </c>
      <c r="MW18" s="50">
        <f>AV17</f>
        <v>0</v>
      </c>
      <c r="MX18" s="50">
        <f>AU17</f>
        <v>0</v>
      </c>
      <c r="MY18" s="50">
        <f>AT17</f>
        <v>0</v>
      </c>
      <c r="MZ18" s="50">
        <f>AS17</f>
        <v>0</v>
      </c>
      <c r="NA18" s="50">
        <f>AR17</f>
        <v>0</v>
      </c>
      <c r="NB18" s="50">
        <f>AQ17</f>
        <v>0</v>
      </c>
      <c r="NC18" s="50">
        <f>AP17</f>
        <v>0</v>
      </c>
      <c r="ND18" s="50">
        <f>AO17</f>
        <v>0</v>
      </c>
      <c r="NE18" s="50">
        <f>AN17</f>
        <v>0</v>
      </c>
      <c r="NF18" s="50">
        <f>AM17</f>
        <v>0</v>
      </c>
      <c r="NG18" s="50">
        <f>AL17</f>
        <v>0</v>
      </c>
      <c r="NH18" s="50">
        <f>AK17</f>
        <v>0</v>
      </c>
      <c r="NI18" s="50">
        <f>AJ17</f>
        <v>0</v>
      </c>
      <c r="NJ18" s="50">
        <f>AI17</f>
        <v>0</v>
      </c>
      <c r="NK18" s="50">
        <f>AH17</f>
        <v>0</v>
      </c>
      <c r="NL18" s="50">
        <f>AG17</f>
        <v>0</v>
      </c>
      <c r="NM18" s="50">
        <f>AF17</f>
        <v>0</v>
      </c>
      <c r="NN18" s="50">
        <f>AE17</f>
        <v>0</v>
      </c>
      <c r="NO18" s="50">
        <f>AD17</f>
        <v>0</v>
      </c>
      <c r="NP18" s="50">
        <f>AC17</f>
        <v>0</v>
      </c>
      <c r="NQ18" s="50">
        <f>AB17</f>
        <v>0</v>
      </c>
      <c r="NR18" s="50">
        <f>AA17</f>
        <v>0</v>
      </c>
      <c r="NS18" s="50">
        <f>Z17</f>
        <v>0</v>
      </c>
      <c r="NT18" s="52">
        <f>Y17</f>
        <v>0</v>
      </c>
      <c r="NU18" s="50">
        <f>X17</f>
        <v>0</v>
      </c>
      <c r="NV18" s="50">
        <f>W17</f>
        <v>0</v>
      </c>
      <c r="NW18" s="50">
        <f>V17</f>
        <v>0</v>
      </c>
      <c r="NX18" s="50">
        <f>U17</f>
        <v>0</v>
      </c>
      <c r="NY18" s="50">
        <f>T17</f>
        <v>0</v>
      </c>
      <c r="NZ18" s="50">
        <f>S17</f>
        <v>0</v>
      </c>
      <c r="OA18" s="50">
        <f>R17</f>
        <v>0</v>
      </c>
      <c r="OB18" s="50">
        <f>Q17</f>
        <v>0</v>
      </c>
      <c r="OC18" s="50">
        <f>P17</f>
        <v>0</v>
      </c>
      <c r="OD18" s="50">
        <f>O17</f>
        <v>0</v>
      </c>
      <c r="OE18" s="50">
        <f>N17</f>
        <v>0</v>
      </c>
      <c r="OF18" s="50">
        <f>M17</f>
        <v>0</v>
      </c>
      <c r="OG18" s="50">
        <f>L17</f>
        <v>0</v>
      </c>
      <c r="OH18" s="50">
        <f>K17</f>
        <v>0</v>
      </c>
      <c r="OI18" s="50">
        <f>J17</f>
        <v>0</v>
      </c>
      <c r="OJ18" s="50">
        <f>I17</f>
        <v>0</v>
      </c>
      <c r="OK18" s="50">
        <f>H17</f>
        <v>0</v>
      </c>
      <c r="OL18" s="50">
        <f>G17</f>
        <v>0</v>
      </c>
      <c r="OM18" s="50">
        <f>F17</f>
        <v>0</v>
      </c>
      <c r="ON18" s="51">
        <f>E17</f>
        <v>0</v>
      </c>
      <c r="PA18" s="11"/>
    </row>
    <row r="19" spans="1:417" x14ac:dyDescent="0.25">
      <c r="E19" s="260">
        <v>1</v>
      </c>
      <c r="F19" s="260">
        <v>2</v>
      </c>
      <c r="G19" s="260">
        <v>3</v>
      </c>
      <c r="H19" s="260">
        <v>4</v>
      </c>
      <c r="I19" s="260">
        <v>5</v>
      </c>
      <c r="J19" s="260">
        <v>6</v>
      </c>
      <c r="K19" s="260">
        <v>7</v>
      </c>
      <c r="L19" s="260">
        <v>8</v>
      </c>
      <c r="M19" s="260">
        <v>9</v>
      </c>
      <c r="N19" s="260">
        <v>10</v>
      </c>
      <c r="O19" s="260">
        <v>11</v>
      </c>
      <c r="P19" s="260">
        <v>12</v>
      </c>
      <c r="Q19" s="260">
        <v>13</v>
      </c>
      <c r="R19" s="260">
        <v>14</v>
      </c>
      <c r="S19" s="260">
        <v>15</v>
      </c>
      <c r="T19" s="260">
        <v>16</v>
      </c>
      <c r="U19" s="260">
        <v>17</v>
      </c>
      <c r="V19" s="260">
        <v>18</v>
      </c>
      <c r="W19" s="260">
        <v>19</v>
      </c>
      <c r="X19" s="260">
        <v>20</v>
      </c>
      <c r="Y19" s="260">
        <v>21</v>
      </c>
      <c r="Z19" s="260">
        <v>22</v>
      </c>
      <c r="AA19" s="260">
        <v>23</v>
      </c>
      <c r="AB19" s="260">
        <v>24</v>
      </c>
      <c r="AC19" s="260">
        <v>25</v>
      </c>
      <c r="AD19" s="260">
        <v>26</v>
      </c>
      <c r="AE19" s="260">
        <v>27</v>
      </c>
      <c r="AF19" s="260">
        <v>28</v>
      </c>
      <c r="AG19" s="260">
        <v>29</v>
      </c>
      <c r="AH19" s="260">
        <v>30</v>
      </c>
      <c r="AI19" s="260">
        <v>31</v>
      </c>
      <c r="AJ19" s="260">
        <v>32</v>
      </c>
      <c r="AK19" s="260">
        <v>33</v>
      </c>
      <c r="AL19" s="260">
        <v>34</v>
      </c>
      <c r="AM19" s="260">
        <v>35</v>
      </c>
      <c r="AN19" s="260">
        <v>36</v>
      </c>
      <c r="AO19" s="260">
        <v>37</v>
      </c>
      <c r="AP19" s="260">
        <v>38</v>
      </c>
      <c r="AQ19" s="260">
        <v>39</v>
      </c>
      <c r="AR19" s="260">
        <v>40</v>
      </c>
      <c r="AS19" s="260">
        <v>41</v>
      </c>
      <c r="AT19" s="260">
        <v>42</v>
      </c>
      <c r="AU19" s="260">
        <v>43</v>
      </c>
      <c r="AV19" s="260">
        <v>44</v>
      </c>
      <c r="AW19" s="260">
        <v>45</v>
      </c>
      <c r="AX19" s="260">
        <v>46</v>
      </c>
      <c r="AY19" s="260">
        <v>47</v>
      </c>
      <c r="AZ19" s="260">
        <v>48</v>
      </c>
      <c r="BA19" s="260">
        <v>49</v>
      </c>
      <c r="BB19" s="260">
        <v>50</v>
      </c>
      <c r="BC19" s="260">
        <v>51</v>
      </c>
      <c r="BD19" s="260">
        <v>52</v>
      </c>
      <c r="BE19" s="260">
        <v>53</v>
      </c>
      <c r="BF19" s="260">
        <v>54</v>
      </c>
      <c r="BG19" s="260">
        <v>55</v>
      </c>
      <c r="BH19" s="260">
        <v>56</v>
      </c>
      <c r="BI19" s="260">
        <v>57</v>
      </c>
      <c r="BJ19" s="260">
        <v>58</v>
      </c>
      <c r="BK19" s="260">
        <v>59</v>
      </c>
      <c r="BL19" s="260">
        <v>60</v>
      </c>
      <c r="BM19" s="260">
        <v>61</v>
      </c>
      <c r="BN19" s="260">
        <v>62</v>
      </c>
      <c r="BO19" s="260">
        <v>63</v>
      </c>
      <c r="BP19" s="260">
        <v>64</v>
      </c>
      <c r="BQ19" s="260">
        <v>65</v>
      </c>
      <c r="BR19" s="260">
        <v>66</v>
      </c>
      <c r="BS19" s="260">
        <v>67</v>
      </c>
      <c r="BT19" s="260">
        <v>68</v>
      </c>
      <c r="BU19" s="260">
        <v>69</v>
      </c>
      <c r="BV19" s="260">
        <v>70</v>
      </c>
      <c r="BW19" s="260">
        <v>71</v>
      </c>
      <c r="BX19" s="260">
        <v>72</v>
      </c>
      <c r="BY19" s="260">
        <v>73</v>
      </c>
      <c r="BZ19" s="260">
        <v>74</v>
      </c>
      <c r="CA19" s="260">
        <v>75</v>
      </c>
      <c r="CB19" s="260">
        <v>76</v>
      </c>
      <c r="CC19" s="260">
        <v>77</v>
      </c>
      <c r="CD19" s="260">
        <v>78</v>
      </c>
      <c r="CE19" s="260">
        <v>79</v>
      </c>
      <c r="CF19" s="260">
        <v>80</v>
      </c>
      <c r="CG19" s="260">
        <v>81</v>
      </c>
      <c r="CH19" s="260">
        <v>82</v>
      </c>
      <c r="CI19" s="260">
        <v>83</v>
      </c>
      <c r="CJ19" s="260">
        <v>84</v>
      </c>
      <c r="CK19" s="260">
        <v>85</v>
      </c>
      <c r="CL19" s="260">
        <v>86</v>
      </c>
      <c r="CM19" s="260">
        <v>87</v>
      </c>
      <c r="CN19" s="260">
        <v>88</v>
      </c>
      <c r="CO19" s="260">
        <v>89</v>
      </c>
      <c r="CP19" s="260">
        <v>90</v>
      </c>
      <c r="CQ19" s="260">
        <v>91</v>
      </c>
      <c r="CR19" s="260">
        <v>92</v>
      </c>
      <c r="CS19" s="260">
        <v>93</v>
      </c>
      <c r="CT19" s="260">
        <v>94</v>
      </c>
      <c r="CU19" s="260">
        <v>95</v>
      </c>
      <c r="CV19" s="260">
        <v>96</v>
      </c>
      <c r="CW19" s="260">
        <v>97</v>
      </c>
      <c r="CX19" s="260">
        <v>98</v>
      </c>
      <c r="CY19" s="260">
        <v>99</v>
      </c>
      <c r="CZ19" s="260">
        <v>100</v>
      </c>
      <c r="DA19" s="260">
        <v>101</v>
      </c>
      <c r="DB19" s="260">
        <v>102</v>
      </c>
      <c r="DC19" s="260">
        <v>103</v>
      </c>
      <c r="DD19" s="260">
        <v>104</v>
      </c>
      <c r="DE19" s="260">
        <v>105</v>
      </c>
      <c r="DF19" s="260">
        <v>106</v>
      </c>
      <c r="DG19" s="260">
        <v>107</v>
      </c>
      <c r="DH19" s="260">
        <v>108</v>
      </c>
      <c r="DI19" s="260">
        <v>109</v>
      </c>
      <c r="DJ19" s="260">
        <v>110</v>
      </c>
      <c r="DK19" s="260">
        <v>111</v>
      </c>
      <c r="DL19" s="260">
        <v>112</v>
      </c>
      <c r="DM19" s="260">
        <v>113</v>
      </c>
      <c r="DN19" s="260">
        <v>114</v>
      </c>
      <c r="DO19" s="260">
        <v>115</v>
      </c>
      <c r="DP19" s="260">
        <v>116</v>
      </c>
      <c r="DQ19" s="260">
        <v>117</v>
      </c>
      <c r="DR19" s="260">
        <v>118</v>
      </c>
      <c r="DS19" s="260">
        <v>119</v>
      </c>
      <c r="DT19" s="260">
        <v>120</v>
      </c>
      <c r="DU19" s="260">
        <v>121</v>
      </c>
      <c r="DV19" s="260">
        <v>122</v>
      </c>
      <c r="DW19" s="260">
        <v>123</v>
      </c>
      <c r="DX19" s="260">
        <v>124</v>
      </c>
      <c r="DY19" s="260">
        <v>125</v>
      </c>
      <c r="DZ19" s="260">
        <v>126</v>
      </c>
      <c r="EA19" s="260">
        <v>127</v>
      </c>
      <c r="EB19" s="260">
        <v>128</v>
      </c>
      <c r="EC19" s="260">
        <v>129</v>
      </c>
      <c r="ED19" s="260">
        <v>130</v>
      </c>
      <c r="EE19" s="260">
        <v>131</v>
      </c>
      <c r="EF19" s="260">
        <v>132</v>
      </c>
      <c r="EG19" s="260">
        <v>133</v>
      </c>
      <c r="EH19" s="260">
        <v>134</v>
      </c>
      <c r="EI19" s="260">
        <v>135</v>
      </c>
      <c r="EJ19" s="260">
        <v>136</v>
      </c>
      <c r="EK19" s="260">
        <v>137</v>
      </c>
      <c r="EL19" s="260">
        <v>138</v>
      </c>
      <c r="EM19" s="260">
        <v>139</v>
      </c>
      <c r="EN19" s="260">
        <v>140</v>
      </c>
      <c r="EO19" s="260">
        <v>141</v>
      </c>
      <c r="EP19" s="260">
        <v>142</v>
      </c>
      <c r="EQ19" s="260">
        <v>143</v>
      </c>
      <c r="ER19" s="260">
        <v>144</v>
      </c>
      <c r="ES19" s="260">
        <v>145</v>
      </c>
      <c r="ET19" s="260">
        <v>146</v>
      </c>
      <c r="EU19" s="260">
        <v>147</v>
      </c>
      <c r="EV19" s="260">
        <v>148</v>
      </c>
      <c r="EW19" s="260">
        <v>149</v>
      </c>
      <c r="EX19" s="260">
        <v>150</v>
      </c>
      <c r="EY19" s="260">
        <v>151</v>
      </c>
      <c r="EZ19" s="260">
        <v>152</v>
      </c>
      <c r="FA19" s="260">
        <v>153</v>
      </c>
      <c r="FB19" s="260">
        <v>154</v>
      </c>
      <c r="FC19" s="260">
        <v>155</v>
      </c>
      <c r="FD19" s="260">
        <v>156</v>
      </c>
      <c r="FE19" s="260">
        <v>157</v>
      </c>
      <c r="FF19" s="260">
        <v>158</v>
      </c>
      <c r="FG19" s="260">
        <v>159</v>
      </c>
      <c r="FH19" s="260">
        <v>160</v>
      </c>
      <c r="FI19" s="260">
        <v>161</v>
      </c>
      <c r="FJ19" s="260">
        <v>162</v>
      </c>
      <c r="FK19" s="260">
        <v>163</v>
      </c>
      <c r="FL19" s="260">
        <v>164</v>
      </c>
      <c r="FM19" s="260">
        <v>165</v>
      </c>
      <c r="FN19" s="260">
        <v>166</v>
      </c>
      <c r="FO19" s="260">
        <v>167</v>
      </c>
      <c r="FP19" s="260">
        <v>168</v>
      </c>
      <c r="FQ19" s="260">
        <v>169</v>
      </c>
      <c r="FR19" s="260">
        <v>170</v>
      </c>
      <c r="FS19" s="260">
        <v>171</v>
      </c>
      <c r="FT19" s="260">
        <v>172</v>
      </c>
      <c r="FU19" s="260">
        <v>173</v>
      </c>
      <c r="FV19" s="260">
        <v>174</v>
      </c>
      <c r="FW19" s="260">
        <v>175</v>
      </c>
      <c r="FX19" s="260">
        <v>176</v>
      </c>
      <c r="FY19" s="260">
        <v>177</v>
      </c>
      <c r="FZ19" s="260">
        <v>178</v>
      </c>
      <c r="GA19" s="260">
        <v>179</v>
      </c>
      <c r="GB19" s="260">
        <v>180</v>
      </c>
      <c r="GC19" s="260">
        <v>181</v>
      </c>
      <c r="GD19" s="260">
        <v>182</v>
      </c>
      <c r="GE19" s="260">
        <v>183</v>
      </c>
      <c r="GF19" s="260">
        <v>184</v>
      </c>
      <c r="GG19" s="260">
        <v>185</v>
      </c>
      <c r="GH19" s="260">
        <v>186</v>
      </c>
      <c r="GI19" s="260">
        <v>187</v>
      </c>
      <c r="GJ19" s="260">
        <v>188</v>
      </c>
      <c r="GK19" s="260">
        <v>189</v>
      </c>
      <c r="GL19" s="260">
        <v>190</v>
      </c>
      <c r="GM19" s="260">
        <v>191</v>
      </c>
      <c r="GN19" s="260">
        <v>192</v>
      </c>
      <c r="GO19" s="260">
        <v>193</v>
      </c>
      <c r="GP19" s="260">
        <v>194</v>
      </c>
      <c r="GQ19" s="260">
        <v>195</v>
      </c>
      <c r="GR19" s="260">
        <v>196</v>
      </c>
      <c r="GS19" s="260">
        <v>197</v>
      </c>
      <c r="GT19" s="260">
        <v>198</v>
      </c>
      <c r="GU19" s="260">
        <v>199</v>
      </c>
      <c r="GV19" s="260">
        <v>200</v>
      </c>
      <c r="GW19" s="260">
        <v>201</v>
      </c>
      <c r="GX19" s="260">
        <v>202</v>
      </c>
      <c r="GY19" s="260">
        <v>203</v>
      </c>
      <c r="GZ19" s="260">
        <v>204</v>
      </c>
      <c r="HA19" s="260">
        <v>205</v>
      </c>
      <c r="HB19" s="260">
        <v>206</v>
      </c>
      <c r="HC19" s="260">
        <v>207</v>
      </c>
      <c r="HD19" s="260">
        <v>208</v>
      </c>
      <c r="HE19" s="260">
        <v>209</v>
      </c>
      <c r="HF19" s="260">
        <v>210</v>
      </c>
      <c r="HG19" s="260">
        <v>211</v>
      </c>
      <c r="HH19" s="260">
        <v>212</v>
      </c>
      <c r="HI19" s="260">
        <v>213</v>
      </c>
      <c r="HJ19" s="260">
        <v>214</v>
      </c>
      <c r="HK19" s="260">
        <v>215</v>
      </c>
      <c r="HL19" s="260">
        <v>216</v>
      </c>
      <c r="HM19" s="260">
        <v>217</v>
      </c>
      <c r="HN19" s="260">
        <v>218</v>
      </c>
      <c r="HO19" s="260">
        <v>219</v>
      </c>
      <c r="HP19" s="260">
        <v>220</v>
      </c>
      <c r="HQ19" s="260">
        <v>221</v>
      </c>
      <c r="HR19" s="260">
        <v>222</v>
      </c>
      <c r="HS19" s="260">
        <v>223</v>
      </c>
      <c r="HT19" s="260">
        <v>224</v>
      </c>
      <c r="HU19" s="260">
        <v>225</v>
      </c>
      <c r="HV19" s="260">
        <v>226</v>
      </c>
      <c r="HW19" s="260">
        <v>227</v>
      </c>
      <c r="HX19" s="260">
        <v>228</v>
      </c>
      <c r="HY19" s="260">
        <v>229</v>
      </c>
      <c r="HZ19" s="260">
        <v>230</v>
      </c>
      <c r="IA19" s="260">
        <v>231</v>
      </c>
      <c r="IB19" s="260">
        <v>232</v>
      </c>
      <c r="IC19" s="260">
        <v>233</v>
      </c>
      <c r="ID19" s="260">
        <v>234</v>
      </c>
      <c r="IE19" s="260">
        <v>235</v>
      </c>
      <c r="IF19" s="260">
        <v>236</v>
      </c>
      <c r="IG19" s="260">
        <v>237</v>
      </c>
      <c r="IH19" s="260">
        <v>238</v>
      </c>
      <c r="II19" s="260">
        <v>239</v>
      </c>
      <c r="IJ19" s="260">
        <v>240</v>
      </c>
      <c r="IK19" s="260">
        <v>241</v>
      </c>
      <c r="IL19" s="260">
        <v>242</v>
      </c>
      <c r="IM19" s="260">
        <v>243</v>
      </c>
      <c r="IN19" s="260">
        <v>244</v>
      </c>
      <c r="IO19" s="260">
        <v>245</v>
      </c>
      <c r="IP19" s="260">
        <v>246</v>
      </c>
      <c r="IQ19" s="260">
        <v>247</v>
      </c>
      <c r="IR19" s="260">
        <v>248</v>
      </c>
      <c r="IS19" s="260">
        <v>249</v>
      </c>
      <c r="IT19" s="260">
        <v>250</v>
      </c>
      <c r="IU19" s="260">
        <v>251</v>
      </c>
      <c r="IV19" s="260">
        <v>252</v>
      </c>
      <c r="IW19" s="260">
        <v>253</v>
      </c>
      <c r="IX19" s="260">
        <v>254</v>
      </c>
      <c r="IY19" s="260">
        <v>255</v>
      </c>
      <c r="IZ19" s="260">
        <v>256</v>
      </c>
      <c r="JA19" s="260">
        <v>257</v>
      </c>
      <c r="JB19" s="260">
        <v>258</v>
      </c>
      <c r="JC19" s="260">
        <v>259</v>
      </c>
      <c r="JD19" s="260">
        <v>260</v>
      </c>
      <c r="JE19" s="260">
        <v>261</v>
      </c>
      <c r="JF19" s="260">
        <v>262</v>
      </c>
      <c r="JG19" s="260">
        <v>263</v>
      </c>
      <c r="JH19" s="260">
        <v>264</v>
      </c>
      <c r="JI19" s="260">
        <v>265</v>
      </c>
      <c r="JJ19" s="260">
        <v>266</v>
      </c>
      <c r="JK19" s="260">
        <v>267</v>
      </c>
      <c r="JL19" s="260">
        <v>268</v>
      </c>
      <c r="JM19" s="260">
        <v>269</v>
      </c>
      <c r="JN19" s="260">
        <v>270</v>
      </c>
      <c r="JO19" s="260">
        <v>271</v>
      </c>
      <c r="JP19" s="260">
        <v>272</v>
      </c>
      <c r="JQ19" s="260">
        <v>273</v>
      </c>
      <c r="JR19" s="260">
        <v>274</v>
      </c>
      <c r="JS19" s="260">
        <v>275</v>
      </c>
      <c r="JT19" s="260">
        <v>276</v>
      </c>
      <c r="JU19" s="260">
        <v>277</v>
      </c>
      <c r="JV19" s="260">
        <v>278</v>
      </c>
      <c r="JW19" s="260">
        <v>279</v>
      </c>
      <c r="JX19" s="260">
        <v>280</v>
      </c>
      <c r="JY19" s="260">
        <v>281</v>
      </c>
      <c r="JZ19" s="260">
        <v>282</v>
      </c>
      <c r="KA19" s="260">
        <v>283</v>
      </c>
      <c r="KB19" s="260">
        <v>284</v>
      </c>
      <c r="KC19" s="260">
        <v>285</v>
      </c>
      <c r="KD19" s="260">
        <v>286</v>
      </c>
      <c r="KE19" s="260">
        <v>287</v>
      </c>
      <c r="KF19" s="260">
        <v>288</v>
      </c>
      <c r="KG19" s="260">
        <v>289</v>
      </c>
      <c r="KH19" s="260">
        <v>290</v>
      </c>
      <c r="KI19" s="260">
        <v>291</v>
      </c>
      <c r="KJ19" s="260">
        <v>292</v>
      </c>
      <c r="KK19" s="260">
        <v>293</v>
      </c>
      <c r="KL19" s="260">
        <v>294</v>
      </c>
      <c r="KM19" s="260">
        <v>295</v>
      </c>
      <c r="KN19" s="260">
        <v>296</v>
      </c>
      <c r="KO19" s="260">
        <v>297</v>
      </c>
      <c r="KP19" s="260">
        <v>298</v>
      </c>
      <c r="KQ19" s="260">
        <v>299</v>
      </c>
      <c r="KR19" s="260">
        <v>300</v>
      </c>
      <c r="KS19" s="260">
        <v>301</v>
      </c>
      <c r="KT19" s="260">
        <v>302</v>
      </c>
      <c r="KU19" s="260">
        <v>303</v>
      </c>
      <c r="KV19" s="260">
        <v>304</v>
      </c>
      <c r="KW19" s="260">
        <v>305</v>
      </c>
      <c r="KX19" s="260">
        <v>306</v>
      </c>
      <c r="KY19" s="260">
        <v>307</v>
      </c>
      <c r="KZ19" s="260">
        <v>308</v>
      </c>
      <c r="LA19" s="260">
        <v>309</v>
      </c>
      <c r="LB19" s="260">
        <v>310</v>
      </c>
      <c r="LC19" s="260">
        <v>311</v>
      </c>
      <c r="LD19" s="260">
        <v>312</v>
      </c>
      <c r="LE19" s="260">
        <v>313</v>
      </c>
      <c r="LF19" s="260">
        <v>314</v>
      </c>
      <c r="LG19" s="260">
        <v>315</v>
      </c>
      <c r="LH19" s="260">
        <v>316</v>
      </c>
      <c r="LI19" s="260">
        <v>317</v>
      </c>
      <c r="LJ19" s="260">
        <v>318</v>
      </c>
      <c r="LK19" s="260">
        <v>319</v>
      </c>
      <c r="LL19" s="260">
        <v>320</v>
      </c>
      <c r="LM19" s="260">
        <v>321</v>
      </c>
      <c r="LN19" s="260">
        <v>322</v>
      </c>
      <c r="LO19" s="260">
        <v>323</v>
      </c>
      <c r="LP19" s="260">
        <v>324</v>
      </c>
      <c r="LQ19" s="260">
        <v>325</v>
      </c>
      <c r="LR19" s="260">
        <v>326</v>
      </c>
      <c r="LS19" s="260">
        <v>327</v>
      </c>
      <c r="LT19" s="260">
        <v>328</v>
      </c>
      <c r="LU19" s="260">
        <v>329</v>
      </c>
      <c r="LV19" s="260">
        <v>330</v>
      </c>
      <c r="LW19" s="260">
        <v>331</v>
      </c>
      <c r="LX19" s="260">
        <v>332</v>
      </c>
      <c r="LY19" s="260">
        <v>333</v>
      </c>
      <c r="LZ19" s="260">
        <v>334</v>
      </c>
      <c r="MA19" s="260">
        <v>335</v>
      </c>
      <c r="MB19" s="260">
        <v>336</v>
      </c>
      <c r="MC19" s="260">
        <v>337</v>
      </c>
      <c r="MD19" s="260">
        <v>338</v>
      </c>
      <c r="ME19" s="260">
        <v>339</v>
      </c>
      <c r="MF19" s="260">
        <v>340</v>
      </c>
      <c r="MG19" s="260">
        <v>341</v>
      </c>
      <c r="MH19" s="260">
        <v>342</v>
      </c>
      <c r="MI19" s="260">
        <v>343</v>
      </c>
      <c r="MJ19" s="260">
        <v>344</v>
      </c>
      <c r="MK19" s="260">
        <v>345</v>
      </c>
      <c r="ML19" s="260">
        <v>346</v>
      </c>
      <c r="MM19" s="260">
        <v>347</v>
      </c>
      <c r="MN19" s="260">
        <v>348</v>
      </c>
      <c r="MO19" s="260">
        <v>349</v>
      </c>
      <c r="MP19" s="260">
        <v>350</v>
      </c>
      <c r="MQ19" s="260">
        <v>351</v>
      </c>
      <c r="MR19" s="260">
        <v>352</v>
      </c>
      <c r="MS19" s="260">
        <v>353</v>
      </c>
      <c r="MT19" s="260">
        <v>354</v>
      </c>
      <c r="MU19" s="260">
        <v>355</v>
      </c>
      <c r="MV19" s="260">
        <v>356</v>
      </c>
      <c r="MW19" s="260">
        <v>357</v>
      </c>
      <c r="MX19" s="260">
        <v>358</v>
      </c>
      <c r="MY19" s="260">
        <v>359</v>
      </c>
      <c r="MZ19" s="260">
        <v>360</v>
      </c>
      <c r="NA19" s="260">
        <v>361</v>
      </c>
      <c r="NB19" s="260">
        <v>362</v>
      </c>
      <c r="NC19" s="260">
        <v>363</v>
      </c>
      <c r="ND19" s="260">
        <v>364</v>
      </c>
      <c r="NE19" s="260">
        <v>365</v>
      </c>
      <c r="NF19" s="260">
        <v>366</v>
      </c>
      <c r="NG19" s="260">
        <v>367</v>
      </c>
      <c r="NH19" s="260">
        <v>368</v>
      </c>
      <c r="NI19" s="260">
        <v>369</v>
      </c>
      <c r="NJ19" s="260">
        <v>370</v>
      </c>
      <c r="NK19" s="260">
        <v>371</v>
      </c>
      <c r="NL19" s="260">
        <v>372</v>
      </c>
      <c r="NM19" s="260">
        <v>373</v>
      </c>
      <c r="NN19" s="260">
        <v>374</v>
      </c>
      <c r="NO19" s="260">
        <v>375</v>
      </c>
      <c r="NP19" s="260">
        <v>376</v>
      </c>
      <c r="NQ19" s="260">
        <v>377</v>
      </c>
      <c r="NR19" s="260">
        <v>378</v>
      </c>
      <c r="NS19" s="260">
        <v>379</v>
      </c>
      <c r="NT19" s="260">
        <v>380</v>
      </c>
      <c r="NU19" s="260">
        <v>381</v>
      </c>
      <c r="NV19" s="260">
        <v>382</v>
      </c>
      <c r="NW19" s="260">
        <v>383</v>
      </c>
      <c r="NX19" s="260">
        <v>384</v>
      </c>
      <c r="NY19" s="260">
        <v>385</v>
      </c>
      <c r="NZ19" s="260">
        <v>386</v>
      </c>
      <c r="OA19" s="260">
        <v>387</v>
      </c>
      <c r="OB19" s="260">
        <v>388</v>
      </c>
      <c r="OC19" s="260">
        <v>389</v>
      </c>
      <c r="OD19" s="260">
        <v>390</v>
      </c>
      <c r="OE19" s="260">
        <v>391</v>
      </c>
      <c r="OF19" s="260">
        <v>392</v>
      </c>
      <c r="OG19" s="260">
        <v>393</v>
      </c>
      <c r="OH19" s="260">
        <v>394</v>
      </c>
      <c r="OI19" s="260">
        <v>395</v>
      </c>
      <c r="OJ19" s="260">
        <v>396</v>
      </c>
      <c r="OK19" s="260">
        <v>397</v>
      </c>
      <c r="OL19" s="260">
        <v>398</v>
      </c>
      <c r="OM19" s="260">
        <v>399</v>
      </c>
      <c r="ON19" s="260">
        <v>400</v>
      </c>
      <c r="PA19" s="11"/>
    </row>
    <row r="20" spans="1:417" s="11" customFormat="1" x14ac:dyDescent="0.25">
      <c r="C20" s="256"/>
      <c r="D20" s="195" t="s">
        <v>83</v>
      </c>
      <c r="E20" s="230"/>
      <c r="F20" s="231"/>
      <c r="G20" s="231"/>
      <c r="H20" s="231"/>
      <c r="I20" s="231"/>
      <c r="J20" s="231"/>
      <c r="K20" s="231"/>
      <c r="L20" s="231"/>
      <c r="M20" s="231"/>
      <c r="N20" s="231"/>
      <c r="O20" s="231"/>
      <c r="P20" s="231"/>
      <c r="Q20" s="231"/>
      <c r="R20" s="231"/>
      <c r="S20" s="231"/>
      <c r="T20" s="231"/>
      <c r="U20" s="231"/>
      <c r="V20" s="231"/>
      <c r="W20" s="231"/>
      <c r="X20" s="231"/>
      <c r="Y20" s="231"/>
      <c r="Z20" s="231"/>
      <c r="AA20" s="231"/>
      <c r="AB20" s="231"/>
      <c r="AC20" s="231"/>
      <c r="AD20" s="231"/>
      <c r="AE20" s="231"/>
      <c r="AF20" s="231"/>
      <c r="AG20" s="231"/>
      <c r="AH20" s="231"/>
      <c r="AI20" s="231"/>
      <c r="AJ20" s="231"/>
      <c r="AK20" s="231"/>
      <c r="AL20" s="231"/>
      <c r="AM20" s="231"/>
      <c r="AN20" s="231"/>
      <c r="AO20" s="231"/>
      <c r="AP20" s="231"/>
      <c r="AQ20" s="231"/>
      <c r="AR20" s="231"/>
      <c r="AS20" s="231"/>
      <c r="AT20" s="231"/>
      <c r="AU20" s="231"/>
      <c r="AV20" s="231"/>
      <c r="AW20" s="231"/>
      <c r="AX20" s="231"/>
      <c r="AY20" s="231"/>
      <c r="AZ20" s="231"/>
      <c r="BA20" s="231"/>
      <c r="BB20" s="231"/>
      <c r="BC20" s="231"/>
      <c r="BD20" s="231"/>
      <c r="BE20" s="231"/>
      <c r="BF20" s="231"/>
      <c r="BG20" s="231"/>
      <c r="BH20" s="231"/>
      <c r="BI20" s="231"/>
      <c r="BJ20" s="231"/>
      <c r="BK20" s="231"/>
      <c r="BL20" s="231"/>
      <c r="BM20" s="231"/>
      <c r="BN20" s="231"/>
      <c r="BO20" s="231"/>
      <c r="BP20" s="231"/>
      <c r="BQ20" s="231"/>
      <c r="BR20" s="231"/>
      <c r="BS20" s="231"/>
      <c r="BT20" s="231"/>
      <c r="BU20" s="231"/>
      <c r="BV20" s="231"/>
      <c r="BW20" s="231"/>
      <c r="BX20" s="231"/>
      <c r="BY20" s="231"/>
      <c r="BZ20" s="231"/>
      <c r="CA20" s="231"/>
      <c r="CB20" s="231"/>
      <c r="CC20" s="231"/>
      <c r="CD20" s="231"/>
      <c r="CE20" s="231"/>
      <c r="CF20" s="231"/>
      <c r="CG20" s="231"/>
      <c r="CH20" s="231"/>
      <c r="CI20" s="231"/>
      <c r="CJ20" s="231"/>
      <c r="CK20" s="231"/>
      <c r="CL20" s="231"/>
      <c r="CM20" s="231"/>
      <c r="CN20" s="231"/>
      <c r="CO20" s="231"/>
      <c r="CP20" s="231"/>
      <c r="CQ20" s="231"/>
      <c r="CR20" s="231"/>
      <c r="CS20" s="231"/>
      <c r="CT20" s="231"/>
      <c r="CU20" s="231"/>
      <c r="CV20" s="231"/>
      <c r="CW20" s="231"/>
      <c r="CX20" s="231"/>
      <c r="CY20" s="231"/>
      <c r="CZ20" s="231"/>
      <c r="DA20" s="231"/>
      <c r="DB20" s="231"/>
      <c r="DC20" s="231"/>
      <c r="DD20" s="231"/>
      <c r="DE20" s="231"/>
      <c r="DF20" s="231"/>
      <c r="DG20" s="231"/>
      <c r="DH20" s="231"/>
      <c r="DI20" s="231"/>
      <c r="DJ20" s="231"/>
      <c r="DK20" s="231"/>
      <c r="DL20" s="231"/>
      <c r="DM20" s="231"/>
      <c r="DN20" s="231"/>
      <c r="DO20" s="231"/>
      <c r="DP20" s="231"/>
      <c r="DQ20" s="231"/>
      <c r="DR20" s="231"/>
      <c r="DS20" s="231"/>
      <c r="DT20" s="231"/>
      <c r="DU20" s="231"/>
      <c r="DV20" s="231"/>
      <c r="DW20" s="231"/>
      <c r="DX20" s="231"/>
      <c r="DY20" s="231"/>
      <c r="DZ20" s="231"/>
      <c r="EA20" s="231"/>
      <c r="EB20" s="231"/>
      <c r="EC20" s="231"/>
      <c r="ED20" s="231"/>
      <c r="EE20" s="231"/>
      <c r="EF20" s="231"/>
      <c r="EG20" s="231"/>
      <c r="EH20" s="231"/>
      <c r="EI20" s="231"/>
      <c r="EJ20" s="231"/>
      <c r="EK20" s="231"/>
      <c r="EL20" s="231"/>
      <c r="EM20" s="231"/>
      <c r="EN20" s="231"/>
      <c r="EO20" s="231"/>
      <c r="EP20" s="231"/>
      <c r="EQ20" s="231"/>
      <c r="ER20" s="231"/>
      <c r="ES20" s="231"/>
      <c r="ET20" s="231"/>
      <c r="EU20" s="231"/>
      <c r="EV20" s="231"/>
      <c r="EW20" s="231"/>
      <c r="EX20" s="231"/>
      <c r="EY20" s="231"/>
      <c r="EZ20" s="231"/>
      <c r="FA20" s="231"/>
      <c r="FB20" s="231"/>
      <c r="FC20" s="231"/>
      <c r="FD20" s="231"/>
      <c r="FE20" s="231"/>
      <c r="FF20" s="231"/>
      <c r="FG20" s="231"/>
      <c r="FH20" s="231"/>
      <c r="FI20" s="231"/>
      <c r="FJ20" s="231"/>
      <c r="FK20" s="231"/>
      <c r="FL20" s="231"/>
      <c r="FM20" s="231"/>
      <c r="FN20" s="231"/>
      <c r="FO20" s="231"/>
      <c r="FP20" s="231"/>
      <c r="FQ20" s="231"/>
      <c r="FR20" s="231"/>
      <c r="FS20" s="231"/>
      <c r="FT20" s="231"/>
      <c r="FU20" s="231"/>
      <c r="FV20" s="231"/>
      <c r="FW20" s="231"/>
      <c r="FX20" s="231"/>
      <c r="FY20" s="231"/>
      <c r="FZ20" s="231"/>
      <c r="GA20" s="231"/>
      <c r="GB20" s="231"/>
      <c r="GC20" s="231"/>
      <c r="GD20" s="231"/>
      <c r="GE20" s="231"/>
      <c r="GF20" s="231"/>
      <c r="GG20" s="231"/>
      <c r="GH20" s="231"/>
      <c r="GI20" s="231"/>
      <c r="GJ20" s="231"/>
      <c r="GK20" s="231"/>
      <c r="GL20" s="231"/>
      <c r="GM20" s="231"/>
      <c r="GN20" s="231"/>
      <c r="GO20" s="231"/>
      <c r="GP20" s="231"/>
      <c r="GQ20" s="231"/>
      <c r="GR20" s="231"/>
      <c r="GS20" s="231"/>
      <c r="GT20" s="231"/>
      <c r="GU20" s="231"/>
      <c r="GV20" s="231"/>
      <c r="GW20" s="231"/>
      <c r="GX20" s="231"/>
      <c r="GY20" s="231"/>
      <c r="GZ20" s="231"/>
      <c r="HA20" s="231"/>
      <c r="HB20" s="231"/>
      <c r="HC20" s="231"/>
      <c r="HD20" s="231"/>
      <c r="HE20" s="231"/>
      <c r="HF20" s="231"/>
      <c r="HG20" s="231"/>
      <c r="HH20" s="231"/>
      <c r="HI20" s="231"/>
      <c r="HJ20" s="231"/>
      <c r="HK20" s="231"/>
      <c r="HL20" s="231"/>
      <c r="HM20" s="231"/>
      <c r="HN20" s="231"/>
      <c r="HO20" s="231"/>
      <c r="HP20" s="231"/>
      <c r="HQ20" s="231"/>
      <c r="HR20" s="231"/>
      <c r="HS20" s="231"/>
      <c r="HT20" s="231"/>
      <c r="HU20" s="231"/>
      <c r="HV20" s="231"/>
      <c r="HW20" s="231"/>
      <c r="HX20" s="231"/>
      <c r="HY20" s="231"/>
      <c r="HZ20" s="231"/>
      <c r="IA20" s="231"/>
      <c r="IB20" s="231"/>
      <c r="IC20" s="231"/>
      <c r="ID20" s="231"/>
      <c r="IE20" s="231"/>
      <c r="IF20" s="231"/>
      <c r="IG20" s="231"/>
      <c r="IH20" s="231"/>
      <c r="II20" s="231"/>
      <c r="IJ20" s="231"/>
      <c r="IK20" s="231"/>
      <c r="IL20" s="231"/>
      <c r="IM20" s="231"/>
      <c r="IN20" s="231"/>
      <c r="IO20" s="231"/>
      <c r="IP20" s="231"/>
      <c r="IQ20" s="231"/>
      <c r="IR20" s="231"/>
      <c r="IS20" s="231"/>
      <c r="IT20" s="231"/>
      <c r="IU20" s="231"/>
      <c r="IV20" s="231"/>
      <c r="IW20" s="231"/>
      <c r="IX20" s="231"/>
      <c r="IY20" s="231"/>
      <c r="IZ20" s="231"/>
      <c r="JA20" s="231"/>
      <c r="JB20" s="231"/>
      <c r="JC20" s="231"/>
      <c r="JD20" s="231"/>
      <c r="JE20" s="231"/>
      <c r="JF20" s="231"/>
      <c r="JG20" s="231"/>
      <c r="JH20" s="231"/>
      <c r="JI20" s="231"/>
      <c r="JJ20" s="231"/>
      <c r="JK20" s="231"/>
      <c r="JL20" s="231"/>
      <c r="JM20" s="231"/>
      <c r="JN20" s="231"/>
      <c r="JO20" s="231"/>
      <c r="JP20" s="231"/>
      <c r="JQ20" s="231"/>
      <c r="JR20" s="231"/>
      <c r="JS20" s="231"/>
      <c r="JT20" s="231"/>
      <c r="JU20" s="231"/>
      <c r="JV20" s="231"/>
      <c r="JW20" s="231"/>
      <c r="JX20" s="231"/>
      <c r="JY20" s="231"/>
      <c r="JZ20" s="231"/>
      <c r="KA20" s="231"/>
      <c r="KB20" s="231"/>
      <c r="KC20" s="231"/>
      <c r="KD20" s="231"/>
      <c r="KE20" s="231"/>
      <c r="KF20" s="231"/>
      <c r="KG20" s="231"/>
      <c r="KH20" s="231"/>
      <c r="KI20" s="231"/>
      <c r="KJ20" s="231"/>
      <c r="KK20" s="231"/>
      <c r="KL20" s="231"/>
      <c r="KM20" s="231"/>
      <c r="KN20" s="231"/>
      <c r="KO20" s="231"/>
      <c r="KP20" s="231"/>
      <c r="KQ20" s="231"/>
      <c r="KR20" s="231"/>
      <c r="KS20" s="231"/>
      <c r="KT20" s="231"/>
      <c r="KU20" s="231"/>
      <c r="KV20" s="231"/>
      <c r="KW20" s="231"/>
      <c r="KX20" s="231"/>
      <c r="KY20" s="231"/>
      <c r="KZ20" s="231"/>
      <c r="LA20" s="231"/>
      <c r="LB20" s="231"/>
      <c r="LC20" s="231"/>
      <c r="LD20" s="231"/>
      <c r="LE20" s="231"/>
      <c r="LF20" s="231"/>
      <c r="LG20" s="231"/>
      <c r="LH20" s="231"/>
      <c r="LI20" s="231"/>
      <c r="LJ20" s="231"/>
      <c r="LK20" s="231"/>
      <c r="LL20" s="231"/>
      <c r="LM20" s="231"/>
      <c r="LN20" s="231"/>
      <c r="LO20" s="231"/>
      <c r="LP20" s="231"/>
      <c r="LQ20" s="231"/>
      <c r="LR20" s="231"/>
      <c r="LS20" s="231"/>
      <c r="LT20" s="231"/>
      <c r="LU20" s="231"/>
      <c r="LV20" s="231"/>
      <c r="LW20" s="231"/>
      <c r="LX20" s="231"/>
      <c r="LY20" s="231"/>
      <c r="LZ20" s="231"/>
      <c r="MA20" s="231"/>
      <c r="MB20" s="231"/>
      <c r="MC20" s="231"/>
      <c r="MD20" s="231"/>
      <c r="ME20" s="231"/>
      <c r="MF20" s="231"/>
      <c r="MG20" s="231"/>
      <c r="MH20" s="231"/>
      <c r="MI20" s="231"/>
      <c r="MJ20" s="231"/>
      <c r="MK20" s="231"/>
      <c r="ML20" s="231"/>
      <c r="MM20" s="231"/>
      <c r="MN20" s="231"/>
      <c r="MO20" s="231"/>
      <c r="MP20" s="231"/>
      <c r="MQ20" s="231"/>
      <c r="MR20" s="231"/>
      <c r="MS20" s="231"/>
      <c r="MT20" s="231"/>
      <c r="MU20" s="231"/>
      <c r="MV20" s="231"/>
      <c r="MW20" s="231"/>
      <c r="MX20" s="231"/>
      <c r="MY20" s="231"/>
      <c r="MZ20" s="231"/>
      <c r="NA20" s="231"/>
      <c r="NB20" s="231"/>
      <c r="NC20" s="231"/>
      <c r="ND20" s="231"/>
      <c r="NE20" s="231"/>
      <c r="NF20" s="231"/>
      <c r="NG20" s="231"/>
      <c r="NH20" s="231"/>
      <c r="NI20" s="231"/>
      <c r="NJ20" s="231"/>
      <c r="NK20" s="231"/>
      <c r="NL20" s="231"/>
      <c r="NM20" s="231"/>
      <c r="NN20" s="231"/>
      <c r="NO20" s="231"/>
      <c r="NP20" s="231"/>
      <c r="NQ20" s="231"/>
      <c r="NR20" s="231"/>
      <c r="NS20" s="231"/>
      <c r="NT20" s="231"/>
      <c r="NU20" s="231"/>
      <c r="NV20" s="231"/>
      <c r="NW20" s="231"/>
      <c r="NX20" s="231"/>
      <c r="NY20" s="231"/>
      <c r="NZ20" s="231"/>
      <c r="OA20" s="231"/>
      <c r="OB20" s="231"/>
      <c r="OC20" s="231"/>
      <c r="OD20" s="231"/>
      <c r="OE20" s="231"/>
      <c r="OF20" s="231"/>
      <c r="OG20" s="231"/>
      <c r="OH20" s="231"/>
      <c r="OI20" s="231"/>
      <c r="OJ20" s="231"/>
      <c r="OK20" s="231"/>
      <c r="OL20" s="231"/>
      <c r="OM20" s="231"/>
      <c r="ON20" s="232"/>
    </row>
    <row r="21" spans="1:417" x14ac:dyDescent="0.25">
      <c r="PA21" s="11"/>
    </row>
    <row r="22" spans="1:417" ht="15.75" x14ac:dyDescent="0.25">
      <c r="C22" s="105"/>
      <c r="D22" s="105"/>
      <c r="E22" s="105"/>
      <c r="F22" s="105"/>
      <c r="G22" s="105"/>
      <c r="H22" s="257"/>
      <c r="I22" s="105"/>
      <c r="J22" s="105"/>
      <c r="K22" s="105"/>
      <c r="L22" s="105"/>
      <c r="M22" s="105"/>
      <c r="N22" s="105"/>
      <c r="O22" s="258"/>
      <c r="P22" s="105"/>
      <c r="Q22" s="105"/>
      <c r="R22" s="105"/>
      <c r="S22" s="105"/>
      <c r="T22" s="105"/>
      <c r="U22" s="105"/>
      <c r="V22" s="105"/>
      <c r="W22" s="105"/>
      <c r="X22" s="105"/>
      <c r="Y22" s="105"/>
      <c r="Z22" s="105"/>
      <c r="AA22" s="105"/>
      <c r="AB22" s="105"/>
      <c r="AC22" s="105"/>
      <c r="AD22" s="259" t="s">
        <v>30</v>
      </c>
      <c r="AE22" s="259" t="s">
        <v>31</v>
      </c>
      <c r="AF22" s="259" t="s">
        <v>32</v>
      </c>
      <c r="AG22" s="259" t="s">
        <v>33</v>
      </c>
      <c r="AH22" s="259" t="s">
        <v>34</v>
      </c>
      <c r="AI22" s="259" t="s">
        <v>35</v>
      </c>
      <c r="AJ22" s="259" t="s">
        <v>36</v>
      </c>
      <c r="AK22" s="689" t="s">
        <v>37</v>
      </c>
      <c r="AL22" s="259" t="s">
        <v>33</v>
      </c>
      <c r="AM22" s="105"/>
      <c r="AN22" s="105"/>
      <c r="AO22" s="105"/>
      <c r="AP22" s="105"/>
      <c r="AQ22" s="105"/>
      <c r="AR22" s="105"/>
      <c r="AS22" s="105"/>
      <c r="AT22" s="105"/>
      <c r="AU22" s="105"/>
      <c r="AV22" s="689" t="s">
        <v>37</v>
      </c>
      <c r="AW22" s="105"/>
      <c r="AX22" s="105"/>
      <c r="AY22" s="105"/>
      <c r="AZ22" s="105"/>
      <c r="BA22" s="105"/>
      <c r="BB22" s="105"/>
      <c r="BC22" s="105"/>
      <c r="BD22" s="105"/>
      <c r="BE22" s="105"/>
      <c r="BF22" s="258"/>
      <c r="BG22" s="105"/>
      <c r="BH22" s="105"/>
      <c r="BI22" s="105"/>
      <c r="BJ22" s="105"/>
      <c r="BK22" s="105"/>
      <c r="BL22" s="105"/>
      <c r="BM22" s="105"/>
      <c r="BN22" s="105"/>
      <c r="BO22" s="105"/>
      <c r="BP22" s="259" t="s">
        <v>39</v>
      </c>
      <c r="BQ22" s="259" t="s">
        <v>35</v>
      </c>
      <c r="BR22" s="259" t="s">
        <v>32</v>
      </c>
      <c r="BS22" s="259" t="s">
        <v>38</v>
      </c>
      <c r="BT22" s="259" t="s">
        <v>40</v>
      </c>
      <c r="BU22" s="259" t="s">
        <v>30</v>
      </c>
      <c r="BV22" s="259" t="s">
        <v>41</v>
      </c>
      <c r="BW22" s="259" t="s">
        <v>38</v>
      </c>
      <c r="BX22" s="259" t="s">
        <v>31</v>
      </c>
      <c r="BY22" s="259" t="s">
        <v>41</v>
      </c>
      <c r="BZ22" s="259" t="s">
        <v>42</v>
      </c>
      <c r="CA22" s="105"/>
      <c r="CB22" s="105"/>
      <c r="CC22" s="105"/>
      <c r="CD22" s="105"/>
      <c r="CE22" s="105"/>
      <c r="CF22" s="105"/>
      <c r="CG22" s="105"/>
      <c r="CH22" s="105"/>
      <c r="CI22" s="105"/>
      <c r="CJ22" s="105"/>
      <c r="CK22" s="105"/>
      <c r="CL22" s="105"/>
      <c r="CM22" s="689" t="s">
        <v>42</v>
      </c>
      <c r="CN22" s="105"/>
      <c r="CO22" s="105"/>
      <c r="CP22" s="105"/>
      <c r="CQ22" s="105"/>
      <c r="CR22" s="105"/>
      <c r="CS22" s="105"/>
      <c r="CT22" s="105"/>
      <c r="CU22" s="105"/>
      <c r="CV22" s="105"/>
      <c r="CW22" s="105"/>
      <c r="EA22" s="3"/>
      <c r="KB22" s="4"/>
      <c r="PA22" s="11"/>
    </row>
    <row r="23" spans="1:417" ht="15.75" x14ac:dyDescent="0.25">
      <c r="A23" s="2"/>
      <c r="B23" s="2"/>
      <c r="C23" s="257"/>
      <c r="D23" s="55" t="s">
        <v>59</v>
      </c>
      <c r="E23" s="56" t="s">
        <v>31</v>
      </c>
      <c r="F23" s="57" t="s">
        <v>39</v>
      </c>
      <c r="G23" s="57" t="s">
        <v>42</v>
      </c>
      <c r="H23" s="58" t="s">
        <v>32</v>
      </c>
      <c r="I23" s="59" t="s">
        <v>29</v>
      </c>
      <c r="J23" s="57" t="s">
        <v>31</v>
      </c>
      <c r="K23" s="57" t="s">
        <v>43</v>
      </c>
      <c r="L23" s="57" t="s">
        <v>31</v>
      </c>
      <c r="M23" s="57" t="s">
        <v>44</v>
      </c>
      <c r="N23" s="57" t="s">
        <v>34</v>
      </c>
      <c r="O23" s="57" t="s">
        <v>29</v>
      </c>
      <c r="P23" s="57" t="s">
        <v>38</v>
      </c>
      <c r="Q23" s="57" t="s">
        <v>39</v>
      </c>
      <c r="R23" s="57" t="s">
        <v>37</v>
      </c>
      <c r="S23" s="57" t="s">
        <v>31</v>
      </c>
      <c r="T23" s="57" t="s">
        <v>38</v>
      </c>
      <c r="U23" s="57" t="s">
        <v>40</v>
      </c>
      <c r="V23" s="57" t="s">
        <v>45</v>
      </c>
      <c r="W23" s="57" t="s">
        <v>39</v>
      </c>
      <c r="X23" s="57" t="s">
        <v>39</v>
      </c>
      <c r="Y23" s="57" t="s">
        <v>46</v>
      </c>
      <c r="Z23" s="57" t="s">
        <v>45</v>
      </c>
      <c r="AA23" s="57" t="s">
        <v>38</v>
      </c>
      <c r="AB23" s="57" t="s">
        <v>32</v>
      </c>
      <c r="AC23" s="57" t="s">
        <v>47</v>
      </c>
      <c r="AD23" s="57" t="s">
        <v>48</v>
      </c>
      <c r="AE23" s="57" t="s">
        <v>48</v>
      </c>
      <c r="AF23" s="57" t="s">
        <v>49</v>
      </c>
      <c r="AG23" s="57" t="s">
        <v>32</v>
      </c>
      <c r="AH23" s="57" t="s">
        <v>30</v>
      </c>
      <c r="AI23" s="57" t="s">
        <v>44</v>
      </c>
      <c r="AJ23" s="57" t="s">
        <v>42</v>
      </c>
      <c r="AK23" s="57" t="s">
        <v>37</v>
      </c>
      <c r="AL23" s="57" t="s">
        <v>37</v>
      </c>
      <c r="AM23" s="58" t="s">
        <v>31</v>
      </c>
      <c r="AN23" s="59" t="s">
        <v>33</v>
      </c>
      <c r="AO23" s="57" t="s">
        <v>46</v>
      </c>
      <c r="AP23" s="57" t="s">
        <v>33</v>
      </c>
      <c r="AQ23" s="57" t="s">
        <v>48</v>
      </c>
      <c r="AR23" s="57" t="s">
        <v>37</v>
      </c>
      <c r="AS23" s="57" t="s">
        <v>50</v>
      </c>
      <c r="AT23" s="57" t="s">
        <v>48</v>
      </c>
      <c r="AU23" s="57" t="s">
        <v>37</v>
      </c>
      <c r="AV23" s="57" t="s">
        <v>37</v>
      </c>
      <c r="AW23" s="57" t="s">
        <v>35</v>
      </c>
      <c r="AX23" s="57" t="s">
        <v>42</v>
      </c>
      <c r="AY23" s="57" t="s">
        <v>51</v>
      </c>
      <c r="AZ23" s="57" t="s">
        <v>51</v>
      </c>
      <c r="BA23" s="57" t="s">
        <v>46</v>
      </c>
      <c r="BB23" s="57" t="s">
        <v>36</v>
      </c>
      <c r="BC23" s="57" t="s">
        <v>33</v>
      </c>
      <c r="BD23" s="57" t="s">
        <v>50</v>
      </c>
      <c r="BE23" s="57" t="s">
        <v>42</v>
      </c>
      <c r="BF23" s="57" t="s">
        <v>38</v>
      </c>
      <c r="BG23" s="57" t="s">
        <v>29</v>
      </c>
      <c r="BH23" s="57" t="s">
        <v>52</v>
      </c>
      <c r="BI23" s="57" t="s">
        <v>40</v>
      </c>
      <c r="BJ23" s="57" t="s">
        <v>36</v>
      </c>
      <c r="BK23" s="57" t="s">
        <v>46</v>
      </c>
      <c r="BL23" s="57" t="s">
        <v>40</v>
      </c>
      <c r="BM23" s="57" t="s">
        <v>30</v>
      </c>
      <c r="BN23" s="57" t="s">
        <v>45</v>
      </c>
      <c r="BO23" s="57" t="s">
        <v>39</v>
      </c>
      <c r="BP23" s="57" t="s">
        <v>30</v>
      </c>
      <c r="BQ23" s="57" t="s">
        <v>53</v>
      </c>
      <c r="BR23" s="58" t="s">
        <v>49</v>
      </c>
      <c r="BS23" s="60" t="s">
        <v>47</v>
      </c>
      <c r="BT23" s="57" t="s">
        <v>33</v>
      </c>
      <c r="BU23" s="57" t="s">
        <v>33</v>
      </c>
      <c r="BV23" s="57" t="s">
        <v>54</v>
      </c>
      <c r="BW23" s="57" t="s">
        <v>51</v>
      </c>
      <c r="BX23" s="57" t="s">
        <v>45</v>
      </c>
      <c r="BY23" s="57" t="s">
        <v>49</v>
      </c>
      <c r="BZ23" s="57" t="s">
        <v>42</v>
      </c>
      <c r="CA23" s="57" t="s">
        <v>46</v>
      </c>
      <c r="CB23" s="57" t="s">
        <v>44</v>
      </c>
      <c r="CC23" s="57" t="s">
        <v>52</v>
      </c>
      <c r="CD23" s="57" t="s">
        <v>42</v>
      </c>
      <c r="CE23" s="57" t="s">
        <v>51</v>
      </c>
      <c r="CF23" s="57" t="s">
        <v>43</v>
      </c>
      <c r="CG23" s="57" t="s">
        <v>33</v>
      </c>
      <c r="CH23" s="57" t="s">
        <v>50</v>
      </c>
      <c r="CI23" s="57" t="s">
        <v>41</v>
      </c>
      <c r="CJ23" s="57" t="s">
        <v>52</v>
      </c>
      <c r="CK23" s="57" t="s">
        <v>40</v>
      </c>
      <c r="CL23" s="57" t="s">
        <v>44</v>
      </c>
      <c r="CM23" s="57" t="s">
        <v>42</v>
      </c>
      <c r="CN23" s="57" t="s">
        <v>29</v>
      </c>
      <c r="CO23" s="57" t="s">
        <v>34</v>
      </c>
      <c r="CP23" s="57" t="s">
        <v>29</v>
      </c>
      <c r="CQ23" s="57" t="s">
        <v>36</v>
      </c>
      <c r="CR23" s="57" t="s">
        <v>29</v>
      </c>
      <c r="CS23" s="57" t="s">
        <v>35</v>
      </c>
      <c r="CT23" s="57" t="s">
        <v>42</v>
      </c>
      <c r="CU23" s="57" t="s">
        <v>41</v>
      </c>
      <c r="CV23" s="57" t="s">
        <v>36</v>
      </c>
      <c r="CW23" s="61" t="s">
        <v>32</v>
      </c>
      <c r="CX23" s="5"/>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7"/>
      <c r="EA23" s="8"/>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R23" s="2"/>
      <c r="JS23" s="2"/>
      <c r="JT23" s="2"/>
      <c r="JU23" s="2"/>
      <c r="JV23" s="2"/>
      <c r="JW23" s="2"/>
      <c r="JX23" s="2"/>
      <c r="JY23" s="2"/>
      <c r="JZ23" s="2"/>
      <c r="KA23" s="2"/>
      <c r="KB23" s="4"/>
      <c r="PA23" s="11"/>
    </row>
    <row r="24" spans="1:417" ht="15.75" x14ac:dyDescent="0.25">
      <c r="A24" s="2"/>
      <c r="B24" s="2"/>
      <c r="C24" s="257"/>
      <c r="D24" s="55" t="s">
        <v>60</v>
      </c>
      <c r="E24" s="62"/>
      <c r="F24" s="63"/>
      <c r="G24" s="63"/>
      <c r="H24" s="64"/>
      <c r="I24" s="65"/>
      <c r="J24" s="63"/>
      <c r="K24" s="63"/>
      <c r="L24" s="63"/>
      <c r="M24" s="63"/>
      <c r="N24" s="63"/>
      <c r="O24" s="63">
        <v>21</v>
      </c>
      <c r="P24" s="63"/>
      <c r="Q24" s="63"/>
      <c r="R24" s="63"/>
      <c r="S24" s="63"/>
      <c r="T24" s="63"/>
      <c r="U24" s="63"/>
      <c r="V24" s="63"/>
      <c r="W24" s="63"/>
      <c r="X24" s="63"/>
      <c r="Y24" s="63"/>
      <c r="Z24" s="63"/>
      <c r="AA24" s="63"/>
      <c r="AB24" s="63"/>
      <c r="AC24" s="63"/>
      <c r="AD24" s="63">
        <v>14</v>
      </c>
      <c r="AE24" s="63">
        <v>15</v>
      </c>
      <c r="AF24" s="63">
        <v>18</v>
      </c>
      <c r="AG24" s="63">
        <v>20</v>
      </c>
      <c r="AH24" s="63">
        <v>8</v>
      </c>
      <c r="AI24" s="63">
        <v>5</v>
      </c>
      <c r="AJ24" s="63">
        <v>1</v>
      </c>
      <c r="AK24" s="63">
        <v>19</v>
      </c>
      <c r="AL24" s="63">
        <v>20</v>
      </c>
      <c r="AM24" s="64"/>
      <c r="AN24" s="65"/>
      <c r="AO24" s="63"/>
      <c r="AP24" s="63"/>
      <c r="AQ24" s="63"/>
      <c r="AR24" s="63"/>
      <c r="AS24" s="63"/>
      <c r="AT24" s="63"/>
      <c r="AU24" s="63"/>
      <c r="AV24" s="63"/>
      <c r="AW24" s="63"/>
      <c r="AX24" s="63"/>
      <c r="AY24" s="63"/>
      <c r="AZ24" s="63"/>
      <c r="BA24" s="63"/>
      <c r="BB24" s="63"/>
      <c r="BC24" s="63"/>
      <c r="BD24" s="63"/>
      <c r="BE24" s="63"/>
      <c r="BF24" s="63">
        <v>12</v>
      </c>
      <c r="BG24" s="63"/>
      <c r="BH24" s="63"/>
      <c r="BI24" s="63"/>
      <c r="BJ24" s="63"/>
      <c r="BK24" s="63"/>
      <c r="BL24" s="63"/>
      <c r="BM24" s="63"/>
      <c r="BN24" s="63"/>
      <c r="BO24" s="63"/>
      <c r="BP24" s="63">
        <v>2</v>
      </c>
      <c r="BQ24" s="63">
        <v>5</v>
      </c>
      <c r="BR24" s="64">
        <v>18</v>
      </c>
      <c r="BS24" s="66">
        <v>12</v>
      </c>
      <c r="BT24" s="63">
        <v>9</v>
      </c>
      <c r="BU24" s="63">
        <v>14</v>
      </c>
      <c r="BV24" s="63">
        <v>3</v>
      </c>
      <c r="BW24" s="63">
        <v>12</v>
      </c>
      <c r="BX24" s="63">
        <v>15</v>
      </c>
      <c r="BY24" s="63">
        <v>3</v>
      </c>
      <c r="BZ24" s="63">
        <v>11</v>
      </c>
      <c r="CA24" s="63"/>
      <c r="CB24" s="63"/>
      <c r="CC24" s="63"/>
      <c r="CD24" s="63"/>
      <c r="CE24" s="63"/>
      <c r="CF24" s="63"/>
      <c r="CG24" s="63"/>
      <c r="CH24" s="63"/>
      <c r="CI24" s="63"/>
      <c r="CJ24" s="63"/>
      <c r="CK24" s="63"/>
      <c r="CL24" s="63"/>
      <c r="CM24" s="63"/>
      <c r="CN24" s="63"/>
      <c r="CO24" s="63"/>
      <c r="CP24" s="63"/>
      <c r="CQ24" s="63"/>
      <c r="CR24" s="63"/>
      <c r="CS24" s="63"/>
      <c r="CT24" s="63"/>
      <c r="CU24" s="63"/>
      <c r="CV24" s="63"/>
      <c r="CW24" s="67"/>
      <c r="CX24" s="5"/>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7"/>
      <c r="EA24" s="8"/>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R24" s="2"/>
      <c r="JS24" s="2"/>
      <c r="JT24" s="2"/>
      <c r="JU24" s="2"/>
      <c r="JV24" s="2"/>
      <c r="JW24" s="2"/>
      <c r="JX24" s="2"/>
      <c r="JY24" s="2"/>
      <c r="JZ24" s="2"/>
      <c r="KA24" s="2"/>
      <c r="KB24" s="4"/>
      <c r="PA24" s="11"/>
    </row>
    <row r="25" spans="1:417" ht="15.75" x14ac:dyDescent="0.25">
      <c r="A25" s="2"/>
      <c r="B25" s="2"/>
      <c r="C25" s="257"/>
      <c r="D25" s="55" t="s">
        <v>61</v>
      </c>
      <c r="E25" s="68">
        <v>15</v>
      </c>
      <c r="F25" s="69">
        <v>2</v>
      </c>
      <c r="G25" s="69">
        <v>11</v>
      </c>
      <c r="H25" s="70">
        <v>18</v>
      </c>
      <c r="I25" s="71">
        <v>21</v>
      </c>
      <c r="J25" s="69">
        <v>15</v>
      </c>
      <c r="K25" s="69">
        <v>24</v>
      </c>
      <c r="L25" s="69">
        <v>15</v>
      </c>
      <c r="M25" s="69">
        <v>7</v>
      </c>
      <c r="N25" s="69">
        <v>8</v>
      </c>
      <c r="O25" s="69">
        <v>21</v>
      </c>
      <c r="P25" s="69">
        <v>12</v>
      </c>
      <c r="Q25" s="69">
        <v>2</v>
      </c>
      <c r="R25" s="69">
        <v>19</v>
      </c>
      <c r="S25" s="69">
        <v>15</v>
      </c>
      <c r="T25" s="69">
        <v>12</v>
      </c>
      <c r="U25" s="69">
        <v>9</v>
      </c>
      <c r="V25" s="69">
        <v>6</v>
      </c>
      <c r="W25" s="69">
        <v>2</v>
      </c>
      <c r="X25" s="69">
        <v>2</v>
      </c>
      <c r="Y25" s="69">
        <v>23</v>
      </c>
      <c r="Z25" s="69">
        <v>6</v>
      </c>
      <c r="AA25" s="69">
        <v>12</v>
      </c>
      <c r="AB25" s="69">
        <v>18</v>
      </c>
      <c r="AC25" s="69">
        <v>22</v>
      </c>
      <c r="AD25" s="72">
        <v>17</v>
      </c>
      <c r="AE25" s="72">
        <v>17</v>
      </c>
      <c r="AF25" s="72">
        <v>16</v>
      </c>
      <c r="AG25" s="72">
        <v>18</v>
      </c>
      <c r="AH25" s="73">
        <v>14</v>
      </c>
      <c r="AI25" s="73">
        <v>7</v>
      </c>
      <c r="AJ25" s="73">
        <v>11</v>
      </c>
      <c r="AK25" s="73">
        <v>19</v>
      </c>
      <c r="AL25" s="73">
        <v>19</v>
      </c>
      <c r="AM25" s="74">
        <v>15</v>
      </c>
      <c r="AN25" s="75">
        <v>20</v>
      </c>
      <c r="AO25" s="76">
        <v>23</v>
      </c>
      <c r="AP25" s="76">
        <v>20</v>
      </c>
      <c r="AQ25" s="76">
        <v>17</v>
      </c>
      <c r="AR25" s="76">
        <v>19</v>
      </c>
      <c r="AS25" s="76">
        <v>10</v>
      </c>
      <c r="AT25" s="76">
        <v>17</v>
      </c>
      <c r="AU25" s="76">
        <v>19</v>
      </c>
      <c r="AV25" s="73">
        <v>19</v>
      </c>
      <c r="AW25" s="76">
        <v>5</v>
      </c>
      <c r="AX25" s="76">
        <v>11</v>
      </c>
      <c r="AY25" s="76">
        <v>0</v>
      </c>
      <c r="AZ25" s="76">
        <v>0</v>
      </c>
      <c r="BA25" s="76">
        <v>23</v>
      </c>
      <c r="BB25" s="76">
        <v>1</v>
      </c>
      <c r="BC25" s="76">
        <v>20</v>
      </c>
      <c r="BD25" s="76">
        <v>10</v>
      </c>
      <c r="BE25" s="76">
        <v>11</v>
      </c>
      <c r="BF25" s="76">
        <v>12</v>
      </c>
      <c r="BG25" s="76">
        <v>21</v>
      </c>
      <c r="BH25" s="76">
        <v>4</v>
      </c>
      <c r="BI25" s="76">
        <v>9</v>
      </c>
      <c r="BJ25" s="76">
        <v>1</v>
      </c>
      <c r="BK25" s="76">
        <v>23</v>
      </c>
      <c r="BL25" s="76">
        <v>9</v>
      </c>
      <c r="BM25" s="76">
        <v>14</v>
      </c>
      <c r="BN25" s="76">
        <v>6</v>
      </c>
      <c r="BO25" s="76">
        <v>2</v>
      </c>
      <c r="BP25" s="73">
        <v>14</v>
      </c>
      <c r="BQ25" s="73">
        <v>25</v>
      </c>
      <c r="BR25" s="77">
        <v>16</v>
      </c>
      <c r="BS25" s="78">
        <v>22</v>
      </c>
      <c r="BT25" s="73">
        <v>20</v>
      </c>
      <c r="BU25" s="73">
        <v>20</v>
      </c>
      <c r="BV25" s="73">
        <v>13</v>
      </c>
      <c r="BW25" s="73">
        <v>0</v>
      </c>
      <c r="BX25" s="73">
        <v>6</v>
      </c>
      <c r="BY25" s="73">
        <v>16</v>
      </c>
      <c r="BZ25" s="73">
        <v>11</v>
      </c>
      <c r="CA25" s="76">
        <v>23</v>
      </c>
      <c r="CB25" s="76">
        <v>7</v>
      </c>
      <c r="CC25" s="76">
        <v>4</v>
      </c>
      <c r="CD25" s="76">
        <v>11</v>
      </c>
      <c r="CE25" s="76">
        <v>0</v>
      </c>
      <c r="CF25" s="76">
        <v>24</v>
      </c>
      <c r="CG25" s="76">
        <v>20</v>
      </c>
      <c r="CH25" s="76">
        <v>10</v>
      </c>
      <c r="CI25" s="76">
        <v>3</v>
      </c>
      <c r="CJ25" s="76">
        <v>4</v>
      </c>
      <c r="CK25" s="76">
        <v>9</v>
      </c>
      <c r="CL25" s="76">
        <v>7</v>
      </c>
      <c r="CM25" s="73">
        <v>11</v>
      </c>
      <c r="CN25" s="76">
        <v>21</v>
      </c>
      <c r="CO25" s="76">
        <v>8</v>
      </c>
      <c r="CP25" s="76">
        <v>21</v>
      </c>
      <c r="CQ25" s="76">
        <v>1</v>
      </c>
      <c r="CR25" s="76">
        <v>21</v>
      </c>
      <c r="CS25" s="76">
        <v>5</v>
      </c>
      <c r="CT25" s="76">
        <v>11</v>
      </c>
      <c r="CU25" s="76">
        <v>3</v>
      </c>
      <c r="CV25" s="76">
        <v>1</v>
      </c>
      <c r="CW25" s="79">
        <v>18</v>
      </c>
      <c r="CX25" s="9"/>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8"/>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Y25" s="2"/>
      <c r="JZ25" s="2"/>
      <c r="KA25" s="2"/>
      <c r="PA25" s="11"/>
    </row>
    <row r="26" spans="1:417" ht="15.75" x14ac:dyDescent="0.25">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FN26" s="280"/>
      <c r="FO26" s="280"/>
      <c r="FP26" s="280"/>
      <c r="FQ26" s="38"/>
      <c r="FR26" s="48"/>
      <c r="FS26" s="48"/>
      <c r="FT26" s="48"/>
      <c r="FU26" s="38"/>
      <c r="FV26" s="280"/>
      <c r="FW26" s="48"/>
      <c r="FX26" s="48"/>
      <c r="FY26" s="48"/>
      <c r="FZ26" s="38"/>
      <c r="PA26" s="11"/>
    </row>
    <row r="27" spans="1:417" x14ac:dyDescent="0.25">
      <c r="AG27" s="105"/>
      <c r="AH27" s="105"/>
      <c r="AI27" s="105"/>
      <c r="AJ27" s="260">
        <v>1</v>
      </c>
      <c r="AK27" s="260">
        <v>2</v>
      </c>
      <c r="AL27" s="260">
        <v>3</v>
      </c>
      <c r="AM27" s="260">
        <v>4</v>
      </c>
      <c r="AN27" s="260">
        <v>5</v>
      </c>
      <c r="AO27" s="260">
        <v>6</v>
      </c>
      <c r="AP27" s="260">
        <v>7</v>
      </c>
      <c r="AQ27" s="260">
        <v>8</v>
      </c>
      <c r="AR27" s="260">
        <v>9</v>
      </c>
      <c r="AS27" s="260">
        <v>10</v>
      </c>
      <c r="AT27" s="260">
        <v>11</v>
      </c>
      <c r="AU27" s="260">
        <v>12</v>
      </c>
      <c r="AV27" s="260">
        <v>13</v>
      </c>
      <c r="AW27" s="260">
        <v>14</v>
      </c>
      <c r="AX27" s="260">
        <v>15</v>
      </c>
      <c r="AY27" s="260">
        <v>16</v>
      </c>
      <c r="AZ27" s="260">
        <v>17</v>
      </c>
      <c r="BA27" s="260">
        <v>18</v>
      </c>
      <c r="BB27" s="260">
        <v>19</v>
      </c>
      <c r="BC27" s="260">
        <v>20</v>
      </c>
      <c r="BD27" s="260">
        <v>21</v>
      </c>
      <c r="BE27" s="260">
        <v>22</v>
      </c>
      <c r="BF27" s="260">
        <v>23</v>
      </c>
      <c r="BG27" s="260">
        <v>24</v>
      </c>
      <c r="BH27" s="260">
        <v>25</v>
      </c>
      <c r="BI27" s="260">
        <v>26</v>
      </c>
      <c r="BJ27" s="260">
        <v>27</v>
      </c>
      <c r="BK27" s="260">
        <v>28</v>
      </c>
      <c r="BL27" s="260">
        <v>29</v>
      </c>
      <c r="BM27" s="260">
        <v>30</v>
      </c>
      <c r="BN27" s="260">
        <v>31</v>
      </c>
      <c r="BO27" s="261">
        <v>32</v>
      </c>
      <c r="BP27" s="262">
        <v>33</v>
      </c>
      <c r="BQ27" s="260">
        <v>34</v>
      </c>
      <c r="BR27" s="260">
        <v>35</v>
      </c>
      <c r="BS27" s="260">
        <v>36</v>
      </c>
      <c r="BT27" s="260">
        <v>37</v>
      </c>
      <c r="BU27" s="260">
        <v>38</v>
      </c>
      <c r="BV27" s="260">
        <v>39</v>
      </c>
      <c r="BW27" s="260">
        <v>40</v>
      </c>
      <c r="BX27" s="260">
        <v>41</v>
      </c>
      <c r="BY27" s="260">
        <v>42</v>
      </c>
      <c r="BZ27" s="260">
        <v>43</v>
      </c>
      <c r="CA27" s="260">
        <v>44</v>
      </c>
      <c r="CB27" s="260">
        <v>45</v>
      </c>
      <c r="CC27" s="260">
        <v>46</v>
      </c>
      <c r="CD27" s="260">
        <v>47</v>
      </c>
      <c r="CE27" s="260">
        <v>48</v>
      </c>
      <c r="CF27" s="260">
        <v>49</v>
      </c>
      <c r="CG27" s="260">
        <v>50</v>
      </c>
      <c r="CH27" s="260">
        <v>51</v>
      </c>
      <c r="CI27" s="260">
        <v>52</v>
      </c>
      <c r="CJ27" s="260">
        <v>53</v>
      </c>
      <c r="CK27" s="260">
        <v>54</v>
      </c>
      <c r="CL27" s="260">
        <v>55</v>
      </c>
      <c r="CM27" s="260">
        <v>56</v>
      </c>
      <c r="CN27" s="260">
        <v>57</v>
      </c>
      <c r="CO27" s="260">
        <v>58</v>
      </c>
      <c r="CP27" s="260">
        <v>59</v>
      </c>
      <c r="CQ27" s="260">
        <v>60</v>
      </c>
      <c r="CR27" s="260">
        <v>61</v>
      </c>
      <c r="CS27" s="260">
        <v>62</v>
      </c>
      <c r="CT27" s="260">
        <v>63</v>
      </c>
      <c r="CU27" s="260">
        <v>64</v>
      </c>
      <c r="CV27" s="260">
        <v>65</v>
      </c>
      <c r="CW27" s="260">
        <v>66</v>
      </c>
      <c r="CX27" s="260">
        <v>67</v>
      </c>
      <c r="CY27" s="260">
        <v>68</v>
      </c>
      <c r="CZ27" s="260">
        <v>69</v>
      </c>
      <c r="DA27" s="260">
        <v>70</v>
      </c>
      <c r="DB27" s="260">
        <v>71</v>
      </c>
      <c r="DC27" s="260">
        <v>72</v>
      </c>
      <c r="DD27" s="260">
        <v>73</v>
      </c>
      <c r="DE27" s="260">
        <v>74</v>
      </c>
      <c r="DF27" s="260">
        <v>75</v>
      </c>
      <c r="DG27" s="260">
        <v>76</v>
      </c>
      <c r="DH27" s="260">
        <v>77</v>
      </c>
      <c r="DI27" s="260">
        <v>78</v>
      </c>
      <c r="DJ27" s="260">
        <v>79</v>
      </c>
      <c r="DK27" s="260">
        <v>80</v>
      </c>
      <c r="DL27" s="260">
        <v>81</v>
      </c>
      <c r="DM27" s="260">
        <v>82</v>
      </c>
      <c r="DN27" s="260">
        <v>83</v>
      </c>
      <c r="DO27" s="260">
        <v>84</v>
      </c>
      <c r="DP27" s="260">
        <v>85</v>
      </c>
      <c r="DQ27" s="260">
        <v>86</v>
      </c>
      <c r="DR27" s="260">
        <v>87</v>
      </c>
      <c r="DS27" s="260">
        <v>88</v>
      </c>
      <c r="DT27" s="260">
        <v>89</v>
      </c>
      <c r="DU27" s="260">
        <v>90</v>
      </c>
      <c r="DV27" s="260">
        <v>91</v>
      </c>
      <c r="DW27" s="260">
        <v>92</v>
      </c>
      <c r="DX27" s="260">
        <v>93</v>
      </c>
      <c r="DY27" s="260">
        <v>94</v>
      </c>
      <c r="DZ27" s="260">
        <v>95</v>
      </c>
      <c r="EA27" s="261">
        <v>96</v>
      </c>
      <c r="EB27" s="262">
        <v>97</v>
      </c>
      <c r="EC27" s="260"/>
      <c r="EG27" s="48"/>
      <c r="EH27" s="48"/>
      <c r="EI27" s="48"/>
      <c r="EJ27" s="38"/>
      <c r="EK27" s="48"/>
      <c r="EL27" s="48"/>
      <c r="EM27" s="48"/>
      <c r="EN27" s="38"/>
      <c r="EO27" s="48"/>
      <c r="EP27" s="48"/>
      <c r="EQ27" s="48"/>
      <c r="ER27" s="48"/>
      <c r="ES27" s="38"/>
      <c r="PA27" s="11"/>
    </row>
    <row r="28" spans="1:417" ht="16.5" x14ac:dyDescent="0.3">
      <c r="A28" s="105"/>
      <c r="B28" s="105"/>
      <c r="C28" s="105"/>
      <c r="D28" s="195" t="s">
        <v>147</v>
      </c>
      <c r="E28" s="80" t="s">
        <v>36</v>
      </c>
      <c r="F28" s="81" t="s">
        <v>39</v>
      </c>
      <c r="G28" s="81" t="s">
        <v>41</v>
      </c>
      <c r="H28" s="81" t="s">
        <v>52</v>
      </c>
      <c r="I28" s="81" t="s">
        <v>35</v>
      </c>
      <c r="J28" s="81" t="s">
        <v>45</v>
      </c>
      <c r="K28" s="81" t="s">
        <v>44</v>
      </c>
      <c r="L28" s="81" t="s">
        <v>34</v>
      </c>
      <c r="M28" s="81" t="s">
        <v>40</v>
      </c>
      <c r="N28" s="81" t="s">
        <v>50</v>
      </c>
      <c r="O28" s="81" t="s">
        <v>42</v>
      </c>
      <c r="P28" s="81" t="s">
        <v>38</v>
      </c>
      <c r="Q28" s="81" t="s">
        <v>54</v>
      </c>
      <c r="R28" s="81" t="s">
        <v>30</v>
      </c>
      <c r="S28" s="81" t="s">
        <v>31</v>
      </c>
      <c r="T28" s="81" t="s">
        <v>49</v>
      </c>
      <c r="U28" s="81" t="s">
        <v>48</v>
      </c>
      <c r="V28" s="81" t="s">
        <v>32</v>
      </c>
      <c r="W28" s="81" t="s">
        <v>37</v>
      </c>
      <c r="X28" s="81" t="s">
        <v>33</v>
      </c>
      <c r="Y28" s="81" t="s">
        <v>29</v>
      </c>
      <c r="Z28" s="81" t="s">
        <v>47</v>
      </c>
      <c r="AA28" s="81" t="s">
        <v>46</v>
      </c>
      <c r="AB28" s="81" t="s">
        <v>43</v>
      </c>
      <c r="AC28" s="81" t="s">
        <v>53</v>
      </c>
      <c r="AD28" s="82" t="s">
        <v>51</v>
      </c>
      <c r="AE28" s="105"/>
      <c r="AF28" s="105"/>
      <c r="AG28" s="105"/>
      <c r="AH28" s="105"/>
      <c r="AI28" s="263" t="s">
        <v>55</v>
      </c>
      <c r="AJ28" s="264">
        <v>32</v>
      </c>
      <c r="AK28" s="265">
        <v>33</v>
      </c>
      <c r="AL28" s="265">
        <v>34</v>
      </c>
      <c r="AM28" s="265">
        <v>35</v>
      </c>
      <c r="AN28" s="265">
        <v>36</v>
      </c>
      <c r="AO28" s="265">
        <v>37</v>
      </c>
      <c r="AP28" s="265">
        <v>38</v>
      </c>
      <c r="AQ28" s="265">
        <v>39</v>
      </c>
      <c r="AR28" s="265">
        <v>40</v>
      </c>
      <c r="AS28" s="265">
        <v>41</v>
      </c>
      <c r="AT28" s="265">
        <v>42</v>
      </c>
      <c r="AU28" s="265">
        <v>43</v>
      </c>
      <c r="AV28" s="265">
        <v>44</v>
      </c>
      <c r="AW28" s="265">
        <v>45</v>
      </c>
      <c r="AX28" s="265">
        <v>46</v>
      </c>
      <c r="AY28" s="265">
        <v>47</v>
      </c>
      <c r="AZ28" s="265">
        <v>48</v>
      </c>
      <c r="BA28" s="265">
        <v>49</v>
      </c>
      <c r="BB28" s="265">
        <v>50</v>
      </c>
      <c r="BC28" s="265">
        <v>51</v>
      </c>
      <c r="BD28" s="265">
        <v>52</v>
      </c>
      <c r="BE28" s="265">
        <v>53</v>
      </c>
      <c r="BF28" s="265">
        <v>54</v>
      </c>
      <c r="BG28" s="265">
        <v>55</v>
      </c>
      <c r="BH28" s="265">
        <v>56</v>
      </c>
      <c r="BI28" s="265">
        <v>57</v>
      </c>
      <c r="BJ28" s="265">
        <v>58</v>
      </c>
      <c r="BK28" s="265">
        <v>59</v>
      </c>
      <c r="BL28" s="265">
        <v>60</v>
      </c>
      <c r="BM28" s="265">
        <v>61</v>
      </c>
      <c r="BN28" s="265">
        <v>62</v>
      </c>
      <c r="BO28" s="266">
        <v>63</v>
      </c>
      <c r="BP28" s="264">
        <v>64</v>
      </c>
      <c r="BQ28" s="265">
        <v>65</v>
      </c>
      <c r="BR28" s="265">
        <v>66</v>
      </c>
      <c r="BS28" s="265">
        <v>67</v>
      </c>
      <c r="BT28" s="265">
        <v>68</v>
      </c>
      <c r="BU28" s="265">
        <v>69</v>
      </c>
      <c r="BV28" s="265">
        <v>70</v>
      </c>
      <c r="BW28" s="265">
        <v>71</v>
      </c>
      <c r="BX28" s="265">
        <v>72</v>
      </c>
      <c r="BY28" s="265">
        <v>73</v>
      </c>
      <c r="BZ28" s="265">
        <v>74</v>
      </c>
      <c r="CA28" s="265">
        <v>75</v>
      </c>
      <c r="CB28" s="265">
        <v>76</v>
      </c>
      <c r="CC28" s="265">
        <v>77</v>
      </c>
      <c r="CD28" s="265">
        <v>78</v>
      </c>
      <c r="CE28" s="265">
        <v>79</v>
      </c>
      <c r="CF28" s="265">
        <v>80</v>
      </c>
      <c r="CG28" s="265">
        <v>81</v>
      </c>
      <c r="CH28" s="265">
        <v>82</v>
      </c>
      <c r="CI28" s="265">
        <v>83</v>
      </c>
      <c r="CJ28" s="265">
        <v>84</v>
      </c>
      <c r="CK28" s="265">
        <v>85</v>
      </c>
      <c r="CL28" s="265">
        <v>86</v>
      </c>
      <c r="CM28" s="265">
        <v>87</v>
      </c>
      <c r="CN28" s="265">
        <v>88</v>
      </c>
      <c r="CO28" s="265">
        <v>89</v>
      </c>
      <c r="CP28" s="265">
        <v>90</v>
      </c>
      <c r="CQ28" s="265">
        <v>91</v>
      </c>
      <c r="CR28" s="265">
        <v>92</v>
      </c>
      <c r="CS28" s="265">
        <v>93</v>
      </c>
      <c r="CT28" s="265">
        <v>94</v>
      </c>
      <c r="CU28" s="265">
        <v>95</v>
      </c>
      <c r="CV28" s="265">
        <v>96</v>
      </c>
      <c r="CW28" s="265">
        <v>97</v>
      </c>
      <c r="CX28" s="265">
        <v>98</v>
      </c>
      <c r="CY28" s="265">
        <v>99</v>
      </c>
      <c r="CZ28" s="265">
        <v>100</v>
      </c>
      <c r="DA28" s="265">
        <v>101</v>
      </c>
      <c r="DB28" s="265">
        <v>102</v>
      </c>
      <c r="DC28" s="265">
        <v>103</v>
      </c>
      <c r="DD28" s="265">
        <v>104</v>
      </c>
      <c r="DE28" s="265">
        <v>105</v>
      </c>
      <c r="DF28" s="265">
        <v>106</v>
      </c>
      <c r="DG28" s="265">
        <v>107</v>
      </c>
      <c r="DH28" s="265">
        <v>108</v>
      </c>
      <c r="DI28" s="265">
        <v>109</v>
      </c>
      <c r="DJ28" s="265">
        <v>110</v>
      </c>
      <c r="DK28" s="265">
        <v>111</v>
      </c>
      <c r="DL28" s="265">
        <v>112</v>
      </c>
      <c r="DM28" s="265">
        <v>113</v>
      </c>
      <c r="DN28" s="265">
        <v>114</v>
      </c>
      <c r="DO28" s="265">
        <v>115</v>
      </c>
      <c r="DP28" s="265">
        <v>116</v>
      </c>
      <c r="DQ28" s="265">
        <v>117</v>
      </c>
      <c r="DR28" s="265">
        <v>118</v>
      </c>
      <c r="DS28" s="265">
        <v>119</v>
      </c>
      <c r="DT28" s="265">
        <v>120</v>
      </c>
      <c r="DU28" s="265">
        <v>121</v>
      </c>
      <c r="DV28" s="265">
        <v>122</v>
      </c>
      <c r="DW28" s="265">
        <v>123</v>
      </c>
      <c r="DX28" s="265">
        <v>124</v>
      </c>
      <c r="DY28" s="265">
        <v>125</v>
      </c>
      <c r="DZ28" s="265">
        <v>126</v>
      </c>
      <c r="EA28" s="266">
        <v>127</v>
      </c>
      <c r="EB28" s="267">
        <v>128</v>
      </c>
      <c r="EC28" s="268"/>
      <c r="EG28" s="38"/>
      <c r="EH28" s="48"/>
      <c r="EI28" s="48"/>
      <c r="EJ28" s="48"/>
      <c r="EK28" s="38"/>
      <c r="EL28" s="48"/>
      <c r="EM28" s="48"/>
      <c r="EN28" s="48"/>
      <c r="EO28" s="48"/>
      <c r="EP28" s="38"/>
      <c r="EQ28" s="48"/>
      <c r="ER28" s="48"/>
      <c r="ES28" s="48"/>
      <c r="PA28" s="11"/>
    </row>
    <row r="29" spans="1:417" ht="16.5" x14ac:dyDescent="0.3">
      <c r="A29" s="105"/>
      <c r="B29" s="105"/>
      <c r="C29" s="105"/>
      <c r="D29" s="195" t="s">
        <v>146</v>
      </c>
      <c r="E29" s="83">
        <v>1</v>
      </c>
      <c r="F29" s="84">
        <v>2</v>
      </c>
      <c r="G29" s="84">
        <v>3</v>
      </c>
      <c r="H29" s="84">
        <v>4</v>
      </c>
      <c r="I29" s="84">
        <v>5</v>
      </c>
      <c r="J29" s="84">
        <v>6</v>
      </c>
      <c r="K29" s="84">
        <v>7</v>
      </c>
      <c r="L29" s="84">
        <v>8</v>
      </c>
      <c r="M29" s="84">
        <v>9</v>
      </c>
      <c r="N29" s="84">
        <v>10</v>
      </c>
      <c r="O29" s="84">
        <v>11</v>
      </c>
      <c r="P29" s="84">
        <v>12</v>
      </c>
      <c r="Q29" s="84">
        <v>13</v>
      </c>
      <c r="R29" s="84">
        <v>14</v>
      </c>
      <c r="S29" s="84">
        <v>15</v>
      </c>
      <c r="T29" s="84">
        <v>16</v>
      </c>
      <c r="U29" s="84">
        <v>17</v>
      </c>
      <c r="V29" s="84">
        <v>18</v>
      </c>
      <c r="W29" s="84">
        <v>19</v>
      </c>
      <c r="X29" s="84">
        <v>20</v>
      </c>
      <c r="Y29" s="84">
        <v>21</v>
      </c>
      <c r="Z29" s="84">
        <v>22</v>
      </c>
      <c r="AA29" s="84">
        <v>23</v>
      </c>
      <c r="AB29" s="84">
        <v>24</v>
      </c>
      <c r="AC29" s="84">
        <v>25</v>
      </c>
      <c r="AD29" s="85">
        <v>0</v>
      </c>
      <c r="AE29" s="105"/>
      <c r="AF29" s="105"/>
      <c r="AG29" s="105"/>
      <c r="AH29" s="105"/>
      <c r="AI29" s="269" t="s">
        <v>56</v>
      </c>
      <c r="AJ29" s="270">
        <v>4</v>
      </c>
      <c r="AK29" s="271">
        <v>3</v>
      </c>
      <c r="AL29" s="271">
        <v>2</v>
      </c>
      <c r="AM29" s="271">
        <v>3</v>
      </c>
      <c r="AN29" s="271">
        <v>2</v>
      </c>
      <c r="AO29" s="271">
        <v>1</v>
      </c>
      <c r="AP29" s="271">
        <v>2</v>
      </c>
      <c r="AQ29" s="271">
        <v>3</v>
      </c>
      <c r="AR29" s="271">
        <v>2</v>
      </c>
      <c r="AS29" s="271">
        <v>1</v>
      </c>
      <c r="AT29" s="271">
        <v>0</v>
      </c>
      <c r="AU29" s="271">
        <v>1</v>
      </c>
      <c r="AV29" s="271">
        <v>2</v>
      </c>
      <c r="AW29" s="271">
        <v>1</v>
      </c>
      <c r="AX29" s="271">
        <v>2</v>
      </c>
      <c r="AY29" s="271">
        <v>3</v>
      </c>
      <c r="AZ29" s="271">
        <v>4</v>
      </c>
      <c r="BA29" s="271">
        <v>3</v>
      </c>
      <c r="BB29" s="271">
        <v>2</v>
      </c>
      <c r="BC29" s="271">
        <v>3</v>
      </c>
      <c r="BD29" s="271">
        <v>2</v>
      </c>
      <c r="BE29" s="271">
        <v>1</v>
      </c>
      <c r="BF29" s="271">
        <v>2</v>
      </c>
      <c r="BG29" s="271">
        <v>3</v>
      </c>
      <c r="BH29" s="271">
        <v>4</v>
      </c>
      <c r="BI29" s="271">
        <v>3</v>
      </c>
      <c r="BJ29" s="271">
        <v>2</v>
      </c>
      <c r="BK29" s="271">
        <v>3</v>
      </c>
      <c r="BL29" s="271">
        <v>4</v>
      </c>
      <c r="BM29" s="271">
        <v>3</v>
      </c>
      <c r="BN29" s="271">
        <v>4</v>
      </c>
      <c r="BO29" s="272">
        <v>5</v>
      </c>
      <c r="BP29" s="270">
        <v>5</v>
      </c>
      <c r="BQ29" s="271">
        <v>4</v>
      </c>
      <c r="BR29" s="271">
        <v>3</v>
      </c>
      <c r="BS29" s="271">
        <v>4</v>
      </c>
      <c r="BT29" s="271">
        <v>3</v>
      </c>
      <c r="BU29" s="271">
        <v>2</v>
      </c>
      <c r="BV29" s="271">
        <v>3</v>
      </c>
      <c r="BW29" s="271">
        <v>4</v>
      </c>
      <c r="BX29" s="271">
        <v>3</v>
      </c>
      <c r="BY29" s="271">
        <v>2</v>
      </c>
      <c r="BZ29" s="271">
        <v>1</v>
      </c>
      <c r="CA29" s="271">
        <v>2</v>
      </c>
      <c r="CB29" s="271">
        <v>3</v>
      </c>
      <c r="CC29" s="271">
        <v>2</v>
      </c>
      <c r="CD29" s="271">
        <v>3</v>
      </c>
      <c r="CE29" s="271">
        <v>4</v>
      </c>
      <c r="CF29" s="271">
        <v>3</v>
      </c>
      <c r="CG29" s="271">
        <v>2</v>
      </c>
      <c r="CH29" s="271">
        <v>1</v>
      </c>
      <c r="CI29" s="271">
        <v>2</v>
      </c>
      <c r="CJ29" s="271">
        <v>1</v>
      </c>
      <c r="CK29" s="271">
        <v>0</v>
      </c>
      <c r="CL29" s="271">
        <v>1</v>
      </c>
      <c r="CM29" s="271">
        <v>2</v>
      </c>
      <c r="CN29" s="271">
        <v>3</v>
      </c>
      <c r="CO29" s="271">
        <v>2</v>
      </c>
      <c r="CP29" s="271">
        <v>1</v>
      </c>
      <c r="CQ29" s="271">
        <v>2</v>
      </c>
      <c r="CR29" s="271">
        <v>3</v>
      </c>
      <c r="CS29" s="271">
        <v>2</v>
      </c>
      <c r="CT29" s="271">
        <v>3</v>
      </c>
      <c r="CU29" s="271">
        <v>4</v>
      </c>
      <c r="CV29" s="271">
        <v>5</v>
      </c>
      <c r="CW29" s="271">
        <v>4</v>
      </c>
      <c r="CX29" s="271">
        <v>3</v>
      </c>
      <c r="CY29" s="271">
        <v>4</v>
      </c>
      <c r="CZ29" s="271">
        <v>3</v>
      </c>
      <c r="DA29" s="271">
        <v>2</v>
      </c>
      <c r="DB29" s="271">
        <v>3</v>
      </c>
      <c r="DC29" s="271">
        <v>4</v>
      </c>
      <c r="DD29" s="271">
        <v>3</v>
      </c>
      <c r="DE29" s="271">
        <v>2</v>
      </c>
      <c r="DF29" s="271">
        <v>1</v>
      </c>
      <c r="DG29" s="271">
        <v>2</v>
      </c>
      <c r="DH29" s="271">
        <v>3</v>
      </c>
      <c r="DI29" s="271">
        <v>2</v>
      </c>
      <c r="DJ29" s="271">
        <v>3</v>
      </c>
      <c r="DK29" s="271">
        <v>4</v>
      </c>
      <c r="DL29" s="271">
        <v>5</v>
      </c>
      <c r="DM29" s="271">
        <v>4</v>
      </c>
      <c r="DN29" s="271">
        <v>3</v>
      </c>
      <c r="DO29" s="271">
        <v>4</v>
      </c>
      <c r="DP29" s="271">
        <v>3</v>
      </c>
      <c r="DQ29" s="271">
        <v>2</v>
      </c>
      <c r="DR29" s="271">
        <v>3</v>
      </c>
      <c r="DS29" s="271">
        <v>4</v>
      </c>
      <c r="DT29" s="271">
        <v>5</v>
      </c>
      <c r="DU29" s="271">
        <v>4</v>
      </c>
      <c r="DV29" s="271">
        <v>3</v>
      </c>
      <c r="DW29" s="271">
        <v>4</v>
      </c>
      <c r="DX29" s="271">
        <v>5</v>
      </c>
      <c r="DY29" s="271">
        <v>4</v>
      </c>
      <c r="DZ29" s="271">
        <v>5</v>
      </c>
      <c r="EA29" s="272">
        <v>6</v>
      </c>
      <c r="EB29" s="273">
        <v>6</v>
      </c>
      <c r="EC29" s="274">
        <f>SUM(AJ29:EB29)</f>
        <v>278</v>
      </c>
      <c r="EG29" s="38"/>
      <c r="EH29" s="48"/>
      <c r="EI29" s="48"/>
      <c r="EJ29" s="48"/>
      <c r="EK29" s="38"/>
      <c r="EL29" s="48"/>
      <c r="EM29" s="48"/>
      <c r="EN29" s="48"/>
      <c r="EO29" s="48"/>
      <c r="EP29" s="38"/>
      <c r="EQ29" s="48"/>
      <c r="ER29" s="48"/>
      <c r="ES29" s="48"/>
      <c r="IT29" s="4"/>
      <c r="PA29" s="11"/>
    </row>
    <row r="30" spans="1:417" ht="16.5" x14ac:dyDescent="0.3">
      <c r="A30" s="105"/>
      <c r="B30" s="105"/>
      <c r="C30" s="105"/>
      <c r="D30" s="195" t="s">
        <v>148</v>
      </c>
      <c r="E30" s="86" t="s">
        <v>36</v>
      </c>
      <c r="F30" s="87" t="s">
        <v>39</v>
      </c>
      <c r="G30" s="87" t="s">
        <v>41</v>
      </c>
      <c r="H30" s="87" t="s">
        <v>52</v>
      </c>
      <c r="I30" s="87" t="s">
        <v>35</v>
      </c>
      <c r="J30" s="87" t="s">
        <v>45</v>
      </c>
      <c r="K30" s="87" t="s">
        <v>44</v>
      </c>
      <c r="L30" s="87" t="s">
        <v>34</v>
      </c>
      <c r="M30" s="87" t="s">
        <v>40</v>
      </c>
      <c r="N30" s="87" t="s">
        <v>50</v>
      </c>
      <c r="O30" s="87" t="s">
        <v>42</v>
      </c>
      <c r="P30" s="87" t="s">
        <v>38</v>
      </c>
      <c r="Q30" s="87" t="s">
        <v>54</v>
      </c>
      <c r="R30" s="87" t="s">
        <v>30</v>
      </c>
      <c r="S30" s="87" t="s">
        <v>31</v>
      </c>
      <c r="T30" s="87" t="s">
        <v>49</v>
      </c>
      <c r="U30" s="87" t="s">
        <v>48</v>
      </c>
      <c r="V30" s="87" t="s">
        <v>32</v>
      </c>
      <c r="W30" s="87" t="s">
        <v>37</v>
      </c>
      <c r="X30" s="87" t="s">
        <v>33</v>
      </c>
      <c r="Y30" s="87" t="s">
        <v>29</v>
      </c>
      <c r="Z30" s="87" t="s">
        <v>47</v>
      </c>
      <c r="AA30" s="87" t="s">
        <v>46</v>
      </c>
      <c r="AB30" s="87" t="s">
        <v>43</v>
      </c>
      <c r="AC30" s="87" t="s">
        <v>53</v>
      </c>
      <c r="AD30" s="88" t="s">
        <v>51</v>
      </c>
      <c r="AE30" s="105"/>
      <c r="AF30" s="105"/>
      <c r="AG30" s="105"/>
      <c r="AH30" s="105"/>
      <c r="AI30" s="263" t="s">
        <v>57</v>
      </c>
      <c r="AJ30" s="275">
        <v>48</v>
      </c>
      <c r="AK30" s="276">
        <v>49</v>
      </c>
      <c r="AL30" s="276">
        <v>51</v>
      </c>
      <c r="AM30" s="276">
        <v>50</v>
      </c>
      <c r="AN30" s="276">
        <v>54</v>
      </c>
      <c r="AO30" s="276">
        <v>55</v>
      </c>
      <c r="AP30" s="276">
        <v>53</v>
      </c>
      <c r="AQ30" s="276">
        <v>52</v>
      </c>
      <c r="AR30" s="276">
        <v>60</v>
      </c>
      <c r="AS30" s="276">
        <v>61</v>
      </c>
      <c r="AT30" s="276">
        <v>63</v>
      </c>
      <c r="AU30" s="276">
        <v>62</v>
      </c>
      <c r="AV30" s="276">
        <v>58</v>
      </c>
      <c r="AW30" s="276">
        <v>59</v>
      </c>
      <c r="AX30" s="276">
        <v>57</v>
      </c>
      <c r="AY30" s="276">
        <v>56</v>
      </c>
      <c r="AZ30" s="276">
        <v>40</v>
      </c>
      <c r="BA30" s="276">
        <v>41</v>
      </c>
      <c r="BB30" s="276">
        <v>43</v>
      </c>
      <c r="BC30" s="276">
        <v>42</v>
      </c>
      <c r="BD30" s="276">
        <v>46</v>
      </c>
      <c r="BE30" s="276">
        <v>47</v>
      </c>
      <c r="BF30" s="276">
        <v>45</v>
      </c>
      <c r="BG30" s="276">
        <v>44</v>
      </c>
      <c r="BH30" s="276">
        <v>36</v>
      </c>
      <c r="BI30" s="276">
        <v>37</v>
      </c>
      <c r="BJ30" s="276">
        <v>39</v>
      </c>
      <c r="BK30" s="276">
        <v>38</v>
      </c>
      <c r="BL30" s="276">
        <v>34</v>
      </c>
      <c r="BM30" s="276">
        <v>35</v>
      </c>
      <c r="BN30" s="276">
        <v>33</v>
      </c>
      <c r="BO30" s="277">
        <v>32</v>
      </c>
      <c r="BP30" s="275">
        <v>96</v>
      </c>
      <c r="BQ30" s="276">
        <v>97</v>
      </c>
      <c r="BR30" s="276">
        <v>99</v>
      </c>
      <c r="BS30" s="276">
        <v>98</v>
      </c>
      <c r="BT30" s="276">
        <v>102</v>
      </c>
      <c r="BU30" s="276">
        <v>103</v>
      </c>
      <c r="BV30" s="276">
        <v>101</v>
      </c>
      <c r="BW30" s="276">
        <v>100</v>
      </c>
      <c r="BX30" s="276">
        <v>108</v>
      </c>
      <c r="BY30" s="276">
        <v>109</v>
      </c>
      <c r="BZ30" s="276">
        <v>111</v>
      </c>
      <c r="CA30" s="276">
        <v>110</v>
      </c>
      <c r="CB30" s="276">
        <v>106</v>
      </c>
      <c r="CC30" s="276">
        <v>107</v>
      </c>
      <c r="CD30" s="276">
        <v>105</v>
      </c>
      <c r="CE30" s="276">
        <v>104</v>
      </c>
      <c r="CF30" s="276">
        <v>120</v>
      </c>
      <c r="CG30" s="276">
        <v>121</v>
      </c>
      <c r="CH30" s="276">
        <v>123</v>
      </c>
      <c r="CI30" s="276">
        <v>122</v>
      </c>
      <c r="CJ30" s="276">
        <v>126</v>
      </c>
      <c r="CK30" s="276">
        <v>127</v>
      </c>
      <c r="CL30" s="276">
        <v>125</v>
      </c>
      <c r="CM30" s="276">
        <v>124</v>
      </c>
      <c r="CN30" s="276">
        <v>116</v>
      </c>
      <c r="CO30" s="276">
        <v>117</v>
      </c>
      <c r="CP30" s="276">
        <v>119</v>
      </c>
      <c r="CQ30" s="276">
        <v>118</v>
      </c>
      <c r="CR30" s="276">
        <v>114</v>
      </c>
      <c r="CS30" s="276">
        <v>115</v>
      </c>
      <c r="CT30" s="276">
        <v>113</v>
      </c>
      <c r="CU30" s="276">
        <v>112</v>
      </c>
      <c r="CV30" s="276">
        <v>80</v>
      </c>
      <c r="CW30" s="276">
        <v>81</v>
      </c>
      <c r="CX30" s="276">
        <v>83</v>
      </c>
      <c r="CY30" s="276">
        <v>82</v>
      </c>
      <c r="CZ30" s="276">
        <v>86</v>
      </c>
      <c r="DA30" s="276">
        <v>87</v>
      </c>
      <c r="DB30" s="276">
        <v>85</v>
      </c>
      <c r="DC30" s="276">
        <v>84</v>
      </c>
      <c r="DD30" s="276">
        <v>92</v>
      </c>
      <c r="DE30" s="276">
        <v>93</v>
      </c>
      <c r="DF30" s="276">
        <v>95</v>
      </c>
      <c r="DG30" s="276">
        <v>94</v>
      </c>
      <c r="DH30" s="276">
        <v>90</v>
      </c>
      <c r="DI30" s="276">
        <v>91</v>
      </c>
      <c r="DJ30" s="276">
        <v>89</v>
      </c>
      <c r="DK30" s="276">
        <v>88</v>
      </c>
      <c r="DL30" s="276">
        <v>72</v>
      </c>
      <c r="DM30" s="276">
        <v>73</v>
      </c>
      <c r="DN30" s="276">
        <v>75</v>
      </c>
      <c r="DO30" s="276">
        <v>74</v>
      </c>
      <c r="DP30" s="276">
        <v>78</v>
      </c>
      <c r="DQ30" s="276">
        <v>79</v>
      </c>
      <c r="DR30" s="276">
        <v>77</v>
      </c>
      <c r="DS30" s="276">
        <v>76</v>
      </c>
      <c r="DT30" s="276">
        <v>68</v>
      </c>
      <c r="DU30" s="276">
        <v>69</v>
      </c>
      <c r="DV30" s="276">
        <v>71</v>
      </c>
      <c r="DW30" s="276">
        <v>70</v>
      </c>
      <c r="DX30" s="276">
        <v>66</v>
      </c>
      <c r="DY30" s="276">
        <v>67</v>
      </c>
      <c r="DZ30" s="276">
        <v>65</v>
      </c>
      <c r="EA30" s="277">
        <v>64</v>
      </c>
      <c r="EB30" s="278">
        <v>192</v>
      </c>
      <c r="EC30" s="268"/>
      <c r="EG30" s="48"/>
      <c r="EH30" s="48"/>
      <c r="EI30" s="48"/>
      <c r="EJ30" s="48"/>
      <c r="EK30" s="48"/>
      <c r="EL30" s="48"/>
      <c r="EM30" s="48"/>
      <c r="EN30" s="48"/>
      <c r="EO30" s="48"/>
      <c r="EP30" s="48"/>
      <c r="EQ30" s="48"/>
      <c r="ER30" s="48"/>
      <c r="ES30" s="48"/>
      <c r="PA30" s="11"/>
    </row>
    <row r="31" spans="1:417" ht="16.5" x14ac:dyDescent="0.3">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I31" s="39"/>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c r="CV31" s="44"/>
      <c r="CW31" s="44"/>
      <c r="CX31" s="44"/>
      <c r="CY31" s="44"/>
      <c r="CZ31" s="44"/>
      <c r="DA31" s="44"/>
      <c r="DB31" s="44"/>
      <c r="DC31" s="44"/>
      <c r="DD31" s="44"/>
      <c r="DE31" s="44"/>
      <c r="DF31" s="44"/>
      <c r="DG31" s="44"/>
      <c r="DH31" s="44"/>
      <c r="DI31" s="44"/>
      <c r="DJ31" s="44"/>
      <c r="DK31" s="44"/>
      <c r="DL31" s="44"/>
      <c r="DM31" s="44"/>
      <c r="DN31" s="44"/>
      <c r="DO31" s="44"/>
      <c r="DP31" s="44"/>
      <c r="DQ31" s="44"/>
      <c r="DR31" s="44"/>
      <c r="DS31" s="44"/>
      <c r="DT31" s="44"/>
      <c r="DU31" s="44"/>
      <c r="DV31" s="44"/>
      <c r="DW31" s="44"/>
      <c r="DX31" s="44"/>
      <c r="DY31" s="44"/>
      <c r="DZ31" s="44"/>
      <c r="EA31" s="44"/>
      <c r="EB31" s="44"/>
      <c r="EC31" s="40"/>
      <c r="PA31" s="11"/>
    </row>
    <row r="32" spans="1:417" x14ac:dyDescent="0.25">
      <c r="C32" s="105"/>
      <c r="D32" s="105"/>
      <c r="E32" s="132">
        <v>1</v>
      </c>
      <c r="F32" s="132">
        <v>2</v>
      </c>
      <c r="G32" s="132">
        <v>3</v>
      </c>
      <c r="H32" s="132">
        <v>4</v>
      </c>
      <c r="I32" s="132">
        <v>5</v>
      </c>
      <c r="J32" s="132">
        <v>6</v>
      </c>
      <c r="K32" s="132">
        <v>7</v>
      </c>
      <c r="L32" s="132">
        <v>8</v>
      </c>
      <c r="M32" s="132">
        <v>9</v>
      </c>
      <c r="N32" s="132">
        <v>10</v>
      </c>
      <c r="O32" s="132">
        <v>11</v>
      </c>
      <c r="P32" s="132">
        <v>12</v>
      </c>
      <c r="Q32" s="132">
        <v>13</v>
      </c>
      <c r="R32" s="132">
        <v>14</v>
      </c>
      <c r="S32" s="132">
        <v>15</v>
      </c>
      <c r="T32" s="132">
        <v>16</v>
      </c>
      <c r="U32" s="132">
        <v>17</v>
      </c>
      <c r="V32" s="132">
        <v>18</v>
      </c>
      <c r="W32" s="132">
        <v>19</v>
      </c>
      <c r="X32" s="132">
        <v>20</v>
      </c>
      <c r="Y32" s="132">
        <v>21</v>
      </c>
      <c r="Z32" s="132">
        <v>22</v>
      </c>
      <c r="AA32" s="132">
        <v>23</v>
      </c>
      <c r="AB32" s="132">
        <v>24</v>
      </c>
      <c r="AC32" s="132">
        <v>25</v>
      </c>
      <c r="AD32" s="132">
        <v>26</v>
      </c>
      <c r="AE32" s="132">
        <v>27</v>
      </c>
      <c r="AF32" s="132">
        <v>28</v>
      </c>
      <c r="AG32" s="132">
        <v>29</v>
      </c>
      <c r="AH32" s="132">
        <v>30</v>
      </c>
      <c r="AI32" s="132">
        <v>31</v>
      </c>
      <c r="AJ32" s="132">
        <v>32</v>
      </c>
      <c r="AK32" s="132">
        <v>33</v>
      </c>
      <c r="AL32" s="132">
        <v>34</v>
      </c>
      <c r="AM32" s="132">
        <v>35</v>
      </c>
      <c r="AN32" s="132">
        <v>36</v>
      </c>
      <c r="AO32" s="132">
        <v>37</v>
      </c>
      <c r="AP32" s="132">
        <v>38</v>
      </c>
      <c r="AQ32" s="132">
        <v>39</v>
      </c>
      <c r="AR32" s="132">
        <v>40</v>
      </c>
      <c r="AS32" s="132">
        <v>41</v>
      </c>
      <c r="AT32" s="132">
        <v>42</v>
      </c>
      <c r="AU32" s="132">
        <v>43</v>
      </c>
      <c r="AV32" s="132">
        <v>44</v>
      </c>
      <c r="AW32" s="132">
        <v>45</v>
      </c>
      <c r="AX32" s="132">
        <v>46</v>
      </c>
      <c r="AY32" s="132">
        <v>47</v>
      </c>
      <c r="AZ32" s="132">
        <v>48</v>
      </c>
      <c r="BA32" s="132">
        <v>49</v>
      </c>
      <c r="BB32" s="132">
        <v>50</v>
      </c>
      <c r="BC32" s="132">
        <v>51</v>
      </c>
      <c r="BD32" s="132">
        <v>52</v>
      </c>
      <c r="BE32" s="132">
        <v>53</v>
      </c>
      <c r="BF32" s="132">
        <v>54</v>
      </c>
      <c r="BG32" s="132">
        <v>55</v>
      </c>
      <c r="BH32" s="132">
        <v>56</v>
      </c>
      <c r="BI32" s="132">
        <v>57</v>
      </c>
      <c r="BJ32" s="132">
        <v>58</v>
      </c>
      <c r="BK32" s="132">
        <v>59</v>
      </c>
      <c r="BL32" s="132">
        <v>60</v>
      </c>
      <c r="BM32" s="132">
        <v>61</v>
      </c>
      <c r="BN32" s="132">
        <v>62</v>
      </c>
      <c r="BO32" s="132">
        <v>63</v>
      </c>
      <c r="BP32" s="132">
        <v>64</v>
      </c>
      <c r="BQ32" s="132">
        <v>65</v>
      </c>
      <c r="BR32" s="132">
        <v>66</v>
      </c>
      <c r="BS32" s="132">
        <v>67</v>
      </c>
      <c r="BT32" s="132">
        <v>68</v>
      </c>
      <c r="BU32" s="132">
        <v>69</v>
      </c>
      <c r="BV32" s="132">
        <v>70</v>
      </c>
      <c r="BW32" s="132">
        <v>71</v>
      </c>
      <c r="BX32" s="132">
        <v>72</v>
      </c>
      <c r="BY32" s="132">
        <v>73</v>
      </c>
      <c r="BZ32" s="132">
        <v>74</v>
      </c>
      <c r="CA32" s="132">
        <v>75</v>
      </c>
      <c r="CB32" s="132">
        <v>76</v>
      </c>
      <c r="CC32" s="132">
        <v>77</v>
      </c>
      <c r="CD32" s="132">
        <v>78</v>
      </c>
      <c r="CE32" s="132">
        <v>79</v>
      </c>
      <c r="CF32" s="132">
        <v>80</v>
      </c>
      <c r="CG32" s="132">
        <v>81</v>
      </c>
      <c r="CH32" s="132">
        <v>82</v>
      </c>
      <c r="CI32" s="132">
        <v>83</v>
      </c>
      <c r="CJ32" s="132">
        <v>84</v>
      </c>
      <c r="CK32" s="132">
        <v>85</v>
      </c>
      <c r="CL32" s="132">
        <v>86</v>
      </c>
      <c r="CM32" s="132">
        <v>87</v>
      </c>
      <c r="CN32" s="132">
        <v>88</v>
      </c>
      <c r="CO32" s="132">
        <v>89</v>
      </c>
      <c r="CP32" s="132">
        <v>90</v>
      </c>
      <c r="CQ32" s="132">
        <v>91</v>
      </c>
      <c r="CR32" s="132">
        <v>92</v>
      </c>
      <c r="CS32" s="132">
        <v>93</v>
      </c>
      <c r="CT32" s="132">
        <v>94</v>
      </c>
      <c r="CU32" s="132">
        <v>95</v>
      </c>
      <c r="CV32" s="132">
        <v>96</v>
      </c>
      <c r="CW32" s="132">
        <v>97</v>
      </c>
      <c r="CX32" s="132">
        <v>98</v>
      </c>
      <c r="CY32" s="132">
        <v>99</v>
      </c>
      <c r="CZ32" s="132">
        <v>100</v>
      </c>
      <c r="DA32" s="132">
        <v>101</v>
      </c>
      <c r="DB32" s="132">
        <v>102</v>
      </c>
      <c r="DC32" s="132">
        <v>103</v>
      </c>
      <c r="DD32" s="132">
        <v>104</v>
      </c>
      <c r="DE32" s="132">
        <v>105</v>
      </c>
      <c r="DF32" s="132">
        <v>106</v>
      </c>
      <c r="DG32" s="132">
        <v>107</v>
      </c>
      <c r="DH32" s="132">
        <v>108</v>
      </c>
      <c r="DI32" s="132">
        <v>109</v>
      </c>
      <c r="DJ32" s="132">
        <v>110</v>
      </c>
      <c r="DK32" s="132">
        <v>111</v>
      </c>
      <c r="DL32" s="132">
        <v>112</v>
      </c>
      <c r="DM32" s="132">
        <v>113</v>
      </c>
      <c r="DN32" s="132">
        <v>114</v>
      </c>
      <c r="DO32" s="132">
        <v>115</v>
      </c>
      <c r="DP32" s="132">
        <v>116</v>
      </c>
      <c r="DQ32" s="132">
        <v>117</v>
      </c>
      <c r="DR32" s="132">
        <v>118</v>
      </c>
      <c r="DS32" s="132">
        <v>119</v>
      </c>
      <c r="DT32" s="132">
        <v>120</v>
      </c>
      <c r="DU32" s="132">
        <v>121</v>
      </c>
      <c r="DV32" s="132">
        <v>122</v>
      </c>
      <c r="DW32" s="132">
        <v>123</v>
      </c>
      <c r="DX32" s="132">
        <v>124</v>
      </c>
      <c r="DY32" s="132">
        <v>125</v>
      </c>
      <c r="DZ32" s="132">
        <v>126</v>
      </c>
      <c r="EA32" s="132">
        <v>127</v>
      </c>
      <c r="EB32" s="132">
        <v>128</v>
      </c>
      <c r="EC32" s="132">
        <v>129</v>
      </c>
      <c r="ED32" s="132">
        <v>130</v>
      </c>
      <c r="EE32" s="132">
        <v>131</v>
      </c>
      <c r="EF32" s="132">
        <v>132</v>
      </c>
      <c r="EG32" s="132">
        <v>133</v>
      </c>
      <c r="EH32" s="132">
        <v>134</v>
      </c>
      <c r="EI32" s="132">
        <v>135</v>
      </c>
      <c r="EJ32" s="132">
        <v>136</v>
      </c>
      <c r="EK32" s="132">
        <v>137</v>
      </c>
      <c r="EL32" s="132">
        <v>138</v>
      </c>
      <c r="EM32" s="132">
        <v>139</v>
      </c>
      <c r="EN32" s="132">
        <v>140</v>
      </c>
      <c r="EO32" s="132">
        <v>141</v>
      </c>
      <c r="EP32" s="524">
        <v>1</v>
      </c>
      <c r="EQ32" s="524">
        <v>2</v>
      </c>
      <c r="ER32" s="524">
        <v>3</v>
      </c>
      <c r="ES32" s="524">
        <v>4</v>
      </c>
      <c r="ET32" s="524">
        <v>5</v>
      </c>
      <c r="EU32" s="524">
        <v>6</v>
      </c>
      <c r="EV32" s="524">
        <v>7</v>
      </c>
      <c r="EW32" s="524">
        <v>8</v>
      </c>
      <c r="EX32" s="524">
        <v>9</v>
      </c>
      <c r="EY32" s="524">
        <v>10</v>
      </c>
      <c r="EZ32" s="524">
        <v>11</v>
      </c>
      <c r="FA32" s="524">
        <v>12</v>
      </c>
      <c r="FB32" s="524">
        <v>13</v>
      </c>
      <c r="FC32" s="524">
        <v>14</v>
      </c>
      <c r="FD32" s="524">
        <v>15</v>
      </c>
      <c r="FE32" s="524">
        <v>16</v>
      </c>
      <c r="FF32" s="524">
        <v>17</v>
      </c>
      <c r="FG32" s="524">
        <v>18</v>
      </c>
      <c r="FH32" s="524">
        <v>19</v>
      </c>
      <c r="FI32" s="524">
        <v>20</v>
      </c>
      <c r="FJ32" s="524">
        <v>21</v>
      </c>
      <c r="FK32" s="524">
        <v>22</v>
      </c>
      <c r="FL32" s="524">
        <v>23</v>
      </c>
      <c r="FM32" s="524">
        <v>24</v>
      </c>
      <c r="FN32" s="524">
        <v>25</v>
      </c>
      <c r="FO32" s="524">
        <v>26</v>
      </c>
      <c r="FP32" s="524">
        <v>27</v>
      </c>
      <c r="FQ32" s="524">
        <v>28</v>
      </c>
      <c r="FR32" s="524">
        <v>29</v>
      </c>
      <c r="FS32" s="524">
        <v>30</v>
      </c>
      <c r="FT32" s="524">
        <v>31</v>
      </c>
      <c r="FU32" s="524">
        <v>32</v>
      </c>
      <c r="FV32" s="524">
        <v>33</v>
      </c>
      <c r="FW32" s="524">
        <v>34</v>
      </c>
      <c r="FX32" s="524">
        <v>35</v>
      </c>
      <c r="FY32" s="524">
        <v>36</v>
      </c>
      <c r="FZ32" s="524">
        <v>37</v>
      </c>
      <c r="GA32" s="524">
        <v>38</v>
      </c>
      <c r="GB32" s="524">
        <v>39</v>
      </c>
      <c r="GC32" s="524">
        <v>40</v>
      </c>
      <c r="GD32" s="524">
        <v>41</v>
      </c>
      <c r="GE32" s="524">
        <v>42</v>
      </c>
      <c r="GF32" s="524">
        <v>43</v>
      </c>
      <c r="GG32" s="524">
        <v>44</v>
      </c>
      <c r="GH32" s="524">
        <v>45</v>
      </c>
      <c r="GI32" s="524">
        <v>46</v>
      </c>
      <c r="GJ32" s="524">
        <v>47</v>
      </c>
      <c r="GK32" s="524">
        <v>48</v>
      </c>
      <c r="GL32" s="524">
        <v>49</v>
      </c>
      <c r="GM32" s="524">
        <v>50</v>
      </c>
      <c r="GN32" s="524">
        <v>51</v>
      </c>
      <c r="GO32" s="524">
        <v>52</v>
      </c>
      <c r="GP32" s="524">
        <v>53</v>
      </c>
      <c r="GQ32" s="524">
        <v>54</v>
      </c>
      <c r="GR32" s="524">
        <v>55</v>
      </c>
      <c r="GS32" s="524">
        <v>56</v>
      </c>
      <c r="GT32" s="524">
        <v>57</v>
      </c>
      <c r="GU32" s="524">
        <v>58</v>
      </c>
      <c r="GV32" s="524">
        <v>59</v>
      </c>
      <c r="GW32" s="524">
        <v>60</v>
      </c>
      <c r="GX32" s="524">
        <v>61</v>
      </c>
      <c r="GY32" s="524">
        <v>62</v>
      </c>
      <c r="GZ32" s="524">
        <v>63</v>
      </c>
      <c r="HA32" s="524">
        <v>64</v>
      </c>
      <c r="HB32" s="524">
        <v>65</v>
      </c>
      <c r="HC32" s="524">
        <v>66</v>
      </c>
      <c r="HD32" s="524">
        <v>67</v>
      </c>
      <c r="HE32" s="524">
        <v>68</v>
      </c>
      <c r="HF32" s="524">
        <v>69</v>
      </c>
      <c r="HG32" s="524">
        <v>70</v>
      </c>
      <c r="HH32" s="524">
        <v>71</v>
      </c>
      <c r="HI32" s="524">
        <v>72</v>
      </c>
      <c r="HJ32" s="524">
        <v>73</v>
      </c>
      <c r="HK32" s="524">
        <v>74</v>
      </c>
      <c r="HL32" s="524">
        <v>75</v>
      </c>
      <c r="HM32" s="524">
        <v>76</v>
      </c>
      <c r="HN32" s="524">
        <v>77</v>
      </c>
      <c r="HO32" s="524">
        <v>78</v>
      </c>
      <c r="HP32" s="524">
        <v>79</v>
      </c>
      <c r="HQ32" s="524">
        <v>80</v>
      </c>
      <c r="HR32" s="524">
        <v>81</v>
      </c>
      <c r="HS32" s="524">
        <v>82</v>
      </c>
      <c r="HT32" s="524">
        <v>83</v>
      </c>
      <c r="HU32" s="524">
        <v>84</v>
      </c>
      <c r="HV32" s="524">
        <v>85</v>
      </c>
      <c r="HW32" s="524">
        <v>86</v>
      </c>
      <c r="HX32" s="524">
        <v>87</v>
      </c>
      <c r="HY32" s="524">
        <v>88</v>
      </c>
      <c r="HZ32" s="524">
        <v>89</v>
      </c>
      <c r="IA32" s="524">
        <v>90</v>
      </c>
      <c r="IB32" s="524">
        <v>91</v>
      </c>
      <c r="IC32" s="524">
        <v>92</v>
      </c>
      <c r="ID32" s="524">
        <v>93</v>
      </c>
      <c r="IE32" s="524">
        <v>94</v>
      </c>
      <c r="IF32" s="524">
        <v>95</v>
      </c>
      <c r="IG32" s="524">
        <v>96</v>
      </c>
      <c r="IH32" s="524">
        <v>97</v>
      </c>
      <c r="II32" s="524">
        <v>98</v>
      </c>
      <c r="IJ32" s="524">
        <v>99</v>
      </c>
      <c r="IK32" s="524">
        <v>100</v>
      </c>
      <c r="IL32" s="524">
        <v>101</v>
      </c>
      <c r="IM32" s="524">
        <v>102</v>
      </c>
      <c r="IN32" s="524">
        <v>103</v>
      </c>
      <c r="IO32" s="524">
        <v>104</v>
      </c>
      <c r="IP32" s="524">
        <v>105</v>
      </c>
      <c r="IQ32" s="524">
        <v>106</v>
      </c>
      <c r="IR32" s="524">
        <v>107</v>
      </c>
      <c r="IS32" s="524">
        <v>108</v>
      </c>
      <c r="IT32" s="524">
        <v>109</v>
      </c>
      <c r="IU32" s="524">
        <v>110</v>
      </c>
      <c r="IV32" s="524">
        <v>111</v>
      </c>
      <c r="IW32" s="524">
        <v>112</v>
      </c>
      <c r="IX32" s="524">
        <v>113</v>
      </c>
      <c r="IY32" s="524">
        <v>114</v>
      </c>
      <c r="IZ32" s="133">
        <v>1</v>
      </c>
      <c r="JA32" s="133">
        <v>2</v>
      </c>
      <c r="JB32" s="133">
        <v>3</v>
      </c>
      <c r="JC32" s="133">
        <v>4</v>
      </c>
      <c r="JD32" s="133">
        <v>5</v>
      </c>
      <c r="JE32" s="133">
        <v>6</v>
      </c>
      <c r="JF32" s="133">
        <v>7</v>
      </c>
      <c r="JG32" s="133">
        <v>8</v>
      </c>
      <c r="JH32" s="133">
        <v>9</v>
      </c>
      <c r="JI32" s="133">
        <v>10</v>
      </c>
      <c r="JJ32" s="133">
        <v>11</v>
      </c>
      <c r="JK32" s="133">
        <v>12</v>
      </c>
      <c r="JL32" s="133">
        <v>13</v>
      </c>
      <c r="JM32" s="133">
        <v>14</v>
      </c>
      <c r="JN32" s="133">
        <v>15</v>
      </c>
      <c r="JO32" s="133">
        <v>16</v>
      </c>
      <c r="JP32" s="133">
        <v>17</v>
      </c>
      <c r="JQ32" s="133">
        <v>18</v>
      </c>
      <c r="JR32" s="133">
        <v>19</v>
      </c>
      <c r="JS32" s="133">
        <v>20</v>
      </c>
      <c r="JT32" s="133">
        <v>21</v>
      </c>
      <c r="JU32" s="133">
        <v>22</v>
      </c>
      <c r="JV32" s="133">
        <v>23</v>
      </c>
      <c r="JW32" s="105"/>
      <c r="JX32" s="105"/>
      <c r="KB32" s="33"/>
      <c r="PA32" s="11"/>
    </row>
    <row r="33" spans="1:417" ht="15.75" x14ac:dyDescent="0.3">
      <c r="C33" s="105"/>
      <c r="D33" s="233" t="s">
        <v>84</v>
      </c>
      <c r="E33" s="226" t="e">
        <f>HLOOKUP(E20,LETTERS_to_NUMBERS,2,FALSE)</f>
        <v>#N/A</v>
      </c>
      <c r="F33" s="226" t="e">
        <f t="shared" ref="F33:BP33" si="0">HLOOKUP(F20,LETTERS_to_NUMBERS,2,FALSE)</f>
        <v>#N/A</v>
      </c>
      <c r="G33" s="226" t="e">
        <f t="shared" si="0"/>
        <v>#N/A</v>
      </c>
      <c r="H33" s="226" t="e">
        <f t="shared" si="0"/>
        <v>#N/A</v>
      </c>
      <c r="I33" s="226" t="e">
        <f t="shared" si="0"/>
        <v>#N/A</v>
      </c>
      <c r="J33" s="226" t="e">
        <f t="shared" si="0"/>
        <v>#N/A</v>
      </c>
      <c r="K33" s="226" t="e">
        <f t="shared" si="0"/>
        <v>#N/A</v>
      </c>
      <c r="L33" s="226" t="e">
        <f t="shared" si="0"/>
        <v>#N/A</v>
      </c>
      <c r="M33" s="226" t="e">
        <f t="shared" si="0"/>
        <v>#N/A</v>
      </c>
      <c r="N33" s="226" t="e">
        <f t="shared" si="0"/>
        <v>#N/A</v>
      </c>
      <c r="O33" s="226" t="e">
        <f t="shared" si="0"/>
        <v>#N/A</v>
      </c>
      <c r="P33" s="226" t="e">
        <f t="shared" si="0"/>
        <v>#N/A</v>
      </c>
      <c r="Q33" s="226" t="e">
        <f t="shared" si="0"/>
        <v>#N/A</v>
      </c>
      <c r="R33" s="226" t="e">
        <f t="shared" si="0"/>
        <v>#N/A</v>
      </c>
      <c r="S33" s="226" t="e">
        <f t="shared" si="0"/>
        <v>#N/A</v>
      </c>
      <c r="T33" s="226" t="e">
        <f t="shared" si="0"/>
        <v>#N/A</v>
      </c>
      <c r="U33" s="226" t="e">
        <f t="shared" si="0"/>
        <v>#N/A</v>
      </c>
      <c r="V33" s="226" t="e">
        <f t="shared" si="0"/>
        <v>#N/A</v>
      </c>
      <c r="W33" s="226" t="e">
        <f t="shared" si="0"/>
        <v>#N/A</v>
      </c>
      <c r="X33" s="226" t="e">
        <f t="shared" si="0"/>
        <v>#N/A</v>
      </c>
      <c r="Y33" s="226" t="e">
        <f t="shared" si="0"/>
        <v>#N/A</v>
      </c>
      <c r="Z33" s="226" t="e">
        <f t="shared" si="0"/>
        <v>#N/A</v>
      </c>
      <c r="AA33" s="226" t="e">
        <f t="shared" si="0"/>
        <v>#N/A</v>
      </c>
      <c r="AB33" s="226" t="e">
        <f t="shared" si="0"/>
        <v>#N/A</v>
      </c>
      <c r="AC33" s="226" t="e">
        <f t="shared" si="0"/>
        <v>#N/A</v>
      </c>
      <c r="AD33" s="226" t="e">
        <f t="shared" si="0"/>
        <v>#N/A</v>
      </c>
      <c r="AE33" s="226" t="e">
        <f t="shared" si="0"/>
        <v>#N/A</v>
      </c>
      <c r="AF33" s="226" t="e">
        <f t="shared" si="0"/>
        <v>#N/A</v>
      </c>
      <c r="AG33" s="226" t="e">
        <f t="shared" si="0"/>
        <v>#N/A</v>
      </c>
      <c r="AH33" s="226" t="e">
        <f t="shared" si="0"/>
        <v>#N/A</v>
      </c>
      <c r="AI33" s="226" t="e">
        <f t="shared" si="0"/>
        <v>#N/A</v>
      </c>
      <c r="AJ33" s="226" t="e">
        <f t="shared" si="0"/>
        <v>#N/A</v>
      </c>
      <c r="AK33" s="226" t="e">
        <f t="shared" si="0"/>
        <v>#N/A</v>
      </c>
      <c r="AL33" s="226" t="e">
        <f t="shared" si="0"/>
        <v>#N/A</v>
      </c>
      <c r="AM33" s="226" t="e">
        <f t="shared" si="0"/>
        <v>#N/A</v>
      </c>
      <c r="AN33" s="226" t="e">
        <f t="shared" si="0"/>
        <v>#N/A</v>
      </c>
      <c r="AO33" s="226" t="e">
        <f t="shared" si="0"/>
        <v>#N/A</v>
      </c>
      <c r="AP33" s="226" t="e">
        <f t="shared" si="0"/>
        <v>#N/A</v>
      </c>
      <c r="AQ33" s="226" t="e">
        <f t="shared" si="0"/>
        <v>#N/A</v>
      </c>
      <c r="AR33" s="226" t="e">
        <f t="shared" si="0"/>
        <v>#N/A</v>
      </c>
      <c r="AS33" s="226" t="e">
        <f t="shared" si="0"/>
        <v>#N/A</v>
      </c>
      <c r="AT33" s="226" t="e">
        <f t="shared" si="0"/>
        <v>#N/A</v>
      </c>
      <c r="AU33" s="226" t="e">
        <f t="shared" si="0"/>
        <v>#N/A</v>
      </c>
      <c r="AV33" s="226" t="e">
        <f t="shared" si="0"/>
        <v>#N/A</v>
      </c>
      <c r="AW33" s="226" t="e">
        <f t="shared" si="0"/>
        <v>#N/A</v>
      </c>
      <c r="AX33" s="226" t="e">
        <f t="shared" si="0"/>
        <v>#N/A</v>
      </c>
      <c r="AY33" s="226" t="e">
        <f t="shared" si="0"/>
        <v>#N/A</v>
      </c>
      <c r="AZ33" s="226" t="e">
        <f t="shared" si="0"/>
        <v>#N/A</v>
      </c>
      <c r="BA33" s="226" t="e">
        <f t="shared" si="0"/>
        <v>#N/A</v>
      </c>
      <c r="BB33" s="226" t="e">
        <f t="shared" si="0"/>
        <v>#N/A</v>
      </c>
      <c r="BC33" s="226" t="e">
        <f t="shared" si="0"/>
        <v>#N/A</v>
      </c>
      <c r="BD33" s="226" t="e">
        <f t="shared" si="0"/>
        <v>#N/A</v>
      </c>
      <c r="BE33" s="226" t="e">
        <f t="shared" si="0"/>
        <v>#N/A</v>
      </c>
      <c r="BF33" s="226" t="e">
        <f t="shared" si="0"/>
        <v>#N/A</v>
      </c>
      <c r="BG33" s="226" t="e">
        <f t="shared" si="0"/>
        <v>#N/A</v>
      </c>
      <c r="BH33" s="226" t="e">
        <f t="shared" si="0"/>
        <v>#N/A</v>
      </c>
      <c r="BI33" s="226" t="e">
        <f t="shared" si="0"/>
        <v>#N/A</v>
      </c>
      <c r="BJ33" s="226" t="e">
        <f t="shared" si="0"/>
        <v>#N/A</v>
      </c>
      <c r="BK33" s="226" t="e">
        <f t="shared" si="0"/>
        <v>#N/A</v>
      </c>
      <c r="BL33" s="226" t="e">
        <f t="shared" si="0"/>
        <v>#N/A</v>
      </c>
      <c r="BM33" s="226" t="e">
        <f t="shared" si="0"/>
        <v>#N/A</v>
      </c>
      <c r="BN33" s="226" t="e">
        <f t="shared" si="0"/>
        <v>#N/A</v>
      </c>
      <c r="BO33" s="226" t="e">
        <f t="shared" si="0"/>
        <v>#N/A</v>
      </c>
      <c r="BP33" s="226" t="e">
        <f t="shared" si="0"/>
        <v>#N/A</v>
      </c>
      <c r="BQ33" s="226" t="e">
        <f t="shared" ref="BQ33:EB33" si="1">HLOOKUP(BQ20,LETTERS_to_NUMBERS,2,FALSE)</f>
        <v>#N/A</v>
      </c>
      <c r="BR33" s="226" t="e">
        <f t="shared" si="1"/>
        <v>#N/A</v>
      </c>
      <c r="BS33" s="226" t="e">
        <f t="shared" si="1"/>
        <v>#N/A</v>
      </c>
      <c r="BT33" s="226" t="e">
        <f t="shared" si="1"/>
        <v>#N/A</v>
      </c>
      <c r="BU33" s="226" t="e">
        <f t="shared" si="1"/>
        <v>#N/A</v>
      </c>
      <c r="BV33" s="226" t="e">
        <f t="shared" si="1"/>
        <v>#N/A</v>
      </c>
      <c r="BW33" s="226" t="e">
        <f t="shared" si="1"/>
        <v>#N/A</v>
      </c>
      <c r="BX33" s="226" t="e">
        <f t="shared" si="1"/>
        <v>#N/A</v>
      </c>
      <c r="BY33" s="226" t="e">
        <f t="shared" si="1"/>
        <v>#N/A</v>
      </c>
      <c r="BZ33" s="226" t="e">
        <f t="shared" si="1"/>
        <v>#N/A</v>
      </c>
      <c r="CA33" s="226" t="e">
        <f t="shared" si="1"/>
        <v>#N/A</v>
      </c>
      <c r="CB33" s="226" t="e">
        <f t="shared" si="1"/>
        <v>#N/A</v>
      </c>
      <c r="CC33" s="226" t="e">
        <f t="shared" si="1"/>
        <v>#N/A</v>
      </c>
      <c r="CD33" s="226" t="e">
        <f t="shared" si="1"/>
        <v>#N/A</v>
      </c>
      <c r="CE33" s="226" t="e">
        <f t="shared" si="1"/>
        <v>#N/A</v>
      </c>
      <c r="CF33" s="226" t="e">
        <f t="shared" si="1"/>
        <v>#N/A</v>
      </c>
      <c r="CG33" s="226" t="e">
        <f t="shared" si="1"/>
        <v>#N/A</v>
      </c>
      <c r="CH33" s="226" t="e">
        <f t="shared" si="1"/>
        <v>#N/A</v>
      </c>
      <c r="CI33" s="226" t="e">
        <f t="shared" si="1"/>
        <v>#N/A</v>
      </c>
      <c r="CJ33" s="226" t="e">
        <f t="shared" si="1"/>
        <v>#N/A</v>
      </c>
      <c r="CK33" s="226" t="e">
        <f t="shared" si="1"/>
        <v>#N/A</v>
      </c>
      <c r="CL33" s="226" t="e">
        <f t="shared" si="1"/>
        <v>#N/A</v>
      </c>
      <c r="CM33" s="226" t="e">
        <f t="shared" si="1"/>
        <v>#N/A</v>
      </c>
      <c r="CN33" s="226" t="e">
        <f t="shared" si="1"/>
        <v>#N/A</v>
      </c>
      <c r="CO33" s="226" t="e">
        <f t="shared" si="1"/>
        <v>#N/A</v>
      </c>
      <c r="CP33" s="226" t="e">
        <f t="shared" si="1"/>
        <v>#N/A</v>
      </c>
      <c r="CQ33" s="226" t="e">
        <f t="shared" si="1"/>
        <v>#N/A</v>
      </c>
      <c r="CR33" s="226" t="e">
        <f t="shared" si="1"/>
        <v>#N/A</v>
      </c>
      <c r="CS33" s="226" t="e">
        <f t="shared" si="1"/>
        <v>#N/A</v>
      </c>
      <c r="CT33" s="226" t="e">
        <f t="shared" si="1"/>
        <v>#N/A</v>
      </c>
      <c r="CU33" s="226" t="e">
        <f t="shared" si="1"/>
        <v>#N/A</v>
      </c>
      <c r="CV33" s="226" t="e">
        <f t="shared" si="1"/>
        <v>#N/A</v>
      </c>
      <c r="CW33" s="226" t="e">
        <f t="shared" si="1"/>
        <v>#N/A</v>
      </c>
      <c r="CX33" s="226" t="e">
        <f t="shared" si="1"/>
        <v>#N/A</v>
      </c>
      <c r="CY33" s="226" t="e">
        <f t="shared" si="1"/>
        <v>#N/A</v>
      </c>
      <c r="CZ33" s="226" t="e">
        <f t="shared" si="1"/>
        <v>#N/A</v>
      </c>
      <c r="DA33" s="226" t="e">
        <f t="shared" si="1"/>
        <v>#N/A</v>
      </c>
      <c r="DB33" s="226" t="e">
        <f t="shared" si="1"/>
        <v>#N/A</v>
      </c>
      <c r="DC33" s="226" t="e">
        <f t="shared" si="1"/>
        <v>#N/A</v>
      </c>
      <c r="DD33" s="226" t="e">
        <f t="shared" si="1"/>
        <v>#N/A</v>
      </c>
      <c r="DE33" s="226" t="e">
        <f t="shared" si="1"/>
        <v>#N/A</v>
      </c>
      <c r="DF33" s="226" t="e">
        <f t="shared" si="1"/>
        <v>#N/A</v>
      </c>
      <c r="DG33" s="226" t="e">
        <f t="shared" si="1"/>
        <v>#N/A</v>
      </c>
      <c r="DH33" s="226" t="e">
        <f t="shared" si="1"/>
        <v>#N/A</v>
      </c>
      <c r="DI33" s="226" t="e">
        <f t="shared" si="1"/>
        <v>#N/A</v>
      </c>
      <c r="DJ33" s="226" t="e">
        <f t="shared" si="1"/>
        <v>#N/A</v>
      </c>
      <c r="DK33" s="226" t="e">
        <f t="shared" si="1"/>
        <v>#N/A</v>
      </c>
      <c r="DL33" s="226" t="e">
        <f t="shared" si="1"/>
        <v>#N/A</v>
      </c>
      <c r="DM33" s="226" t="e">
        <f t="shared" si="1"/>
        <v>#N/A</v>
      </c>
      <c r="DN33" s="226" t="e">
        <f t="shared" si="1"/>
        <v>#N/A</v>
      </c>
      <c r="DO33" s="226" t="e">
        <f t="shared" si="1"/>
        <v>#N/A</v>
      </c>
      <c r="DP33" s="226" t="e">
        <f t="shared" si="1"/>
        <v>#N/A</v>
      </c>
      <c r="DQ33" s="226" t="e">
        <f t="shared" si="1"/>
        <v>#N/A</v>
      </c>
      <c r="DR33" s="226" t="e">
        <f t="shared" si="1"/>
        <v>#N/A</v>
      </c>
      <c r="DS33" s="226" t="e">
        <f t="shared" si="1"/>
        <v>#N/A</v>
      </c>
      <c r="DT33" s="226" t="e">
        <f t="shared" si="1"/>
        <v>#N/A</v>
      </c>
      <c r="DU33" s="226" t="e">
        <f t="shared" si="1"/>
        <v>#N/A</v>
      </c>
      <c r="DV33" s="226" t="e">
        <f t="shared" si="1"/>
        <v>#N/A</v>
      </c>
      <c r="DW33" s="226" t="e">
        <f t="shared" si="1"/>
        <v>#N/A</v>
      </c>
      <c r="DX33" s="226" t="e">
        <f t="shared" si="1"/>
        <v>#N/A</v>
      </c>
      <c r="DY33" s="226" t="e">
        <f t="shared" si="1"/>
        <v>#N/A</v>
      </c>
      <c r="DZ33" s="226" t="e">
        <f t="shared" si="1"/>
        <v>#N/A</v>
      </c>
      <c r="EA33" s="226" t="e">
        <f t="shared" si="1"/>
        <v>#N/A</v>
      </c>
      <c r="EB33" s="226" t="e">
        <f t="shared" si="1"/>
        <v>#N/A</v>
      </c>
      <c r="EC33" s="226" t="e">
        <f t="shared" ref="EC33:GN33" si="2">HLOOKUP(EC20,LETTERS_to_NUMBERS,2,FALSE)</f>
        <v>#N/A</v>
      </c>
      <c r="ED33" s="226" t="e">
        <f t="shared" si="2"/>
        <v>#N/A</v>
      </c>
      <c r="EE33" s="226" t="e">
        <f t="shared" si="2"/>
        <v>#N/A</v>
      </c>
      <c r="EF33" s="226" t="e">
        <f t="shared" si="2"/>
        <v>#N/A</v>
      </c>
      <c r="EG33" s="226" t="e">
        <f t="shared" si="2"/>
        <v>#N/A</v>
      </c>
      <c r="EH33" s="226" t="e">
        <f t="shared" si="2"/>
        <v>#N/A</v>
      </c>
      <c r="EI33" s="226" t="e">
        <f t="shared" si="2"/>
        <v>#N/A</v>
      </c>
      <c r="EJ33" s="226" t="e">
        <f t="shared" si="2"/>
        <v>#N/A</v>
      </c>
      <c r="EK33" s="226" t="e">
        <f t="shared" si="2"/>
        <v>#N/A</v>
      </c>
      <c r="EL33" s="226" t="e">
        <f t="shared" si="2"/>
        <v>#N/A</v>
      </c>
      <c r="EM33" s="226" t="e">
        <f t="shared" si="2"/>
        <v>#N/A</v>
      </c>
      <c r="EN33" s="226" t="e">
        <f t="shared" si="2"/>
        <v>#N/A</v>
      </c>
      <c r="EO33" s="226" t="e">
        <f t="shared" si="2"/>
        <v>#N/A</v>
      </c>
      <c r="EP33" s="522" t="e">
        <f t="shared" si="2"/>
        <v>#N/A</v>
      </c>
      <c r="EQ33" s="228" t="e">
        <f t="shared" si="2"/>
        <v>#N/A</v>
      </c>
      <c r="ER33" s="228" t="e">
        <f t="shared" si="2"/>
        <v>#N/A</v>
      </c>
      <c r="ES33" s="228" t="e">
        <f t="shared" si="2"/>
        <v>#N/A</v>
      </c>
      <c r="ET33" s="228" t="e">
        <f t="shared" si="2"/>
        <v>#N/A</v>
      </c>
      <c r="EU33" s="228" t="e">
        <f t="shared" si="2"/>
        <v>#N/A</v>
      </c>
      <c r="EV33" s="228" t="e">
        <f t="shared" si="2"/>
        <v>#N/A</v>
      </c>
      <c r="EW33" s="228" t="e">
        <f t="shared" si="2"/>
        <v>#N/A</v>
      </c>
      <c r="EX33" s="228" t="e">
        <f t="shared" si="2"/>
        <v>#N/A</v>
      </c>
      <c r="EY33" s="228" t="e">
        <f t="shared" si="2"/>
        <v>#N/A</v>
      </c>
      <c r="EZ33" s="228" t="e">
        <f t="shared" si="2"/>
        <v>#N/A</v>
      </c>
      <c r="FA33" s="228" t="e">
        <f t="shared" si="2"/>
        <v>#N/A</v>
      </c>
      <c r="FB33" s="228" t="e">
        <f t="shared" si="2"/>
        <v>#N/A</v>
      </c>
      <c r="FC33" s="228" t="e">
        <f t="shared" si="2"/>
        <v>#N/A</v>
      </c>
      <c r="FD33" s="228" t="e">
        <f t="shared" si="2"/>
        <v>#N/A</v>
      </c>
      <c r="FE33" s="228" t="e">
        <f t="shared" si="2"/>
        <v>#N/A</v>
      </c>
      <c r="FF33" s="228" t="e">
        <f t="shared" si="2"/>
        <v>#N/A</v>
      </c>
      <c r="FG33" s="228" t="e">
        <f t="shared" si="2"/>
        <v>#N/A</v>
      </c>
      <c r="FH33" s="228" t="e">
        <f t="shared" si="2"/>
        <v>#N/A</v>
      </c>
      <c r="FI33" s="228" t="e">
        <f t="shared" si="2"/>
        <v>#N/A</v>
      </c>
      <c r="FJ33" s="228" t="e">
        <f t="shared" si="2"/>
        <v>#N/A</v>
      </c>
      <c r="FK33" s="228" t="e">
        <f t="shared" si="2"/>
        <v>#N/A</v>
      </c>
      <c r="FL33" s="228" t="e">
        <f t="shared" si="2"/>
        <v>#N/A</v>
      </c>
      <c r="FM33" s="228" t="e">
        <f t="shared" si="2"/>
        <v>#N/A</v>
      </c>
      <c r="FN33" s="228" t="e">
        <f t="shared" si="2"/>
        <v>#N/A</v>
      </c>
      <c r="FO33" s="228" t="e">
        <f t="shared" si="2"/>
        <v>#N/A</v>
      </c>
      <c r="FP33" s="228" t="e">
        <f t="shared" si="2"/>
        <v>#N/A</v>
      </c>
      <c r="FQ33" s="228" t="e">
        <f t="shared" si="2"/>
        <v>#N/A</v>
      </c>
      <c r="FR33" s="228" t="e">
        <f t="shared" si="2"/>
        <v>#N/A</v>
      </c>
      <c r="FS33" s="228" t="e">
        <f t="shared" si="2"/>
        <v>#N/A</v>
      </c>
      <c r="FT33" s="228" t="e">
        <f t="shared" si="2"/>
        <v>#N/A</v>
      </c>
      <c r="FU33" s="228" t="e">
        <f t="shared" si="2"/>
        <v>#N/A</v>
      </c>
      <c r="FV33" s="228" t="e">
        <f t="shared" si="2"/>
        <v>#N/A</v>
      </c>
      <c r="FW33" s="228" t="e">
        <f t="shared" si="2"/>
        <v>#N/A</v>
      </c>
      <c r="FX33" s="228" t="e">
        <f t="shared" si="2"/>
        <v>#N/A</v>
      </c>
      <c r="FY33" s="228" t="e">
        <f t="shared" si="2"/>
        <v>#N/A</v>
      </c>
      <c r="FZ33" s="228" t="e">
        <f t="shared" si="2"/>
        <v>#N/A</v>
      </c>
      <c r="GA33" s="228" t="e">
        <f t="shared" si="2"/>
        <v>#N/A</v>
      </c>
      <c r="GB33" s="228" t="e">
        <f t="shared" si="2"/>
        <v>#N/A</v>
      </c>
      <c r="GC33" s="228" t="e">
        <f t="shared" si="2"/>
        <v>#N/A</v>
      </c>
      <c r="GD33" s="228" t="e">
        <f t="shared" si="2"/>
        <v>#N/A</v>
      </c>
      <c r="GE33" s="228" t="e">
        <f t="shared" si="2"/>
        <v>#N/A</v>
      </c>
      <c r="GF33" s="228" t="e">
        <f t="shared" si="2"/>
        <v>#N/A</v>
      </c>
      <c r="GG33" s="228" t="e">
        <f t="shared" si="2"/>
        <v>#N/A</v>
      </c>
      <c r="GH33" s="228" t="e">
        <f t="shared" si="2"/>
        <v>#N/A</v>
      </c>
      <c r="GI33" s="228" t="e">
        <f t="shared" si="2"/>
        <v>#N/A</v>
      </c>
      <c r="GJ33" s="228" t="e">
        <f t="shared" si="2"/>
        <v>#N/A</v>
      </c>
      <c r="GK33" s="228" t="e">
        <f t="shared" si="2"/>
        <v>#N/A</v>
      </c>
      <c r="GL33" s="228" t="e">
        <f t="shared" si="2"/>
        <v>#N/A</v>
      </c>
      <c r="GM33" s="228" t="e">
        <f t="shared" si="2"/>
        <v>#N/A</v>
      </c>
      <c r="GN33" s="228" t="e">
        <f t="shared" si="2"/>
        <v>#N/A</v>
      </c>
      <c r="GO33" s="228" t="e">
        <f t="shared" ref="GO33:IZ33" si="3">HLOOKUP(GO20,LETTERS_to_NUMBERS,2,FALSE)</f>
        <v>#N/A</v>
      </c>
      <c r="GP33" s="228" t="e">
        <f t="shared" si="3"/>
        <v>#N/A</v>
      </c>
      <c r="GQ33" s="228" t="e">
        <f t="shared" si="3"/>
        <v>#N/A</v>
      </c>
      <c r="GR33" s="228" t="e">
        <f t="shared" si="3"/>
        <v>#N/A</v>
      </c>
      <c r="GS33" s="228" t="e">
        <f t="shared" si="3"/>
        <v>#N/A</v>
      </c>
      <c r="GT33" s="228" t="e">
        <f t="shared" si="3"/>
        <v>#N/A</v>
      </c>
      <c r="GU33" s="228" t="e">
        <f t="shared" si="3"/>
        <v>#N/A</v>
      </c>
      <c r="GV33" s="228" t="e">
        <f t="shared" si="3"/>
        <v>#N/A</v>
      </c>
      <c r="GW33" s="228" t="e">
        <f t="shared" si="3"/>
        <v>#N/A</v>
      </c>
      <c r="GX33" s="228" t="e">
        <f t="shared" si="3"/>
        <v>#N/A</v>
      </c>
      <c r="GY33" s="228" t="e">
        <f t="shared" si="3"/>
        <v>#N/A</v>
      </c>
      <c r="GZ33" s="228" t="e">
        <f t="shared" si="3"/>
        <v>#N/A</v>
      </c>
      <c r="HA33" s="228" t="e">
        <f t="shared" si="3"/>
        <v>#N/A</v>
      </c>
      <c r="HB33" s="228" t="e">
        <f t="shared" si="3"/>
        <v>#N/A</v>
      </c>
      <c r="HC33" s="228" t="e">
        <f t="shared" si="3"/>
        <v>#N/A</v>
      </c>
      <c r="HD33" s="228" t="e">
        <f t="shared" si="3"/>
        <v>#N/A</v>
      </c>
      <c r="HE33" s="228" t="e">
        <f t="shared" si="3"/>
        <v>#N/A</v>
      </c>
      <c r="HF33" s="228" t="e">
        <f t="shared" si="3"/>
        <v>#N/A</v>
      </c>
      <c r="HG33" s="228" t="e">
        <f t="shared" si="3"/>
        <v>#N/A</v>
      </c>
      <c r="HH33" s="228" t="e">
        <f t="shared" si="3"/>
        <v>#N/A</v>
      </c>
      <c r="HI33" s="228" t="e">
        <f t="shared" si="3"/>
        <v>#N/A</v>
      </c>
      <c r="HJ33" s="228" t="e">
        <f t="shared" si="3"/>
        <v>#N/A</v>
      </c>
      <c r="HK33" s="228" t="e">
        <f t="shared" si="3"/>
        <v>#N/A</v>
      </c>
      <c r="HL33" s="228" t="e">
        <f t="shared" si="3"/>
        <v>#N/A</v>
      </c>
      <c r="HM33" s="228" t="e">
        <f t="shared" si="3"/>
        <v>#N/A</v>
      </c>
      <c r="HN33" s="228" t="e">
        <f t="shared" si="3"/>
        <v>#N/A</v>
      </c>
      <c r="HO33" s="228" t="e">
        <f t="shared" si="3"/>
        <v>#N/A</v>
      </c>
      <c r="HP33" s="228" t="e">
        <f t="shared" si="3"/>
        <v>#N/A</v>
      </c>
      <c r="HQ33" s="228" t="e">
        <f t="shared" si="3"/>
        <v>#N/A</v>
      </c>
      <c r="HR33" s="228" t="e">
        <f t="shared" si="3"/>
        <v>#N/A</v>
      </c>
      <c r="HS33" s="228" t="e">
        <f t="shared" si="3"/>
        <v>#N/A</v>
      </c>
      <c r="HT33" s="228" t="e">
        <f t="shared" si="3"/>
        <v>#N/A</v>
      </c>
      <c r="HU33" s="228" t="e">
        <f t="shared" si="3"/>
        <v>#N/A</v>
      </c>
      <c r="HV33" s="228" t="e">
        <f t="shared" si="3"/>
        <v>#N/A</v>
      </c>
      <c r="HW33" s="228" t="e">
        <f t="shared" si="3"/>
        <v>#N/A</v>
      </c>
      <c r="HX33" s="228" t="e">
        <f t="shared" si="3"/>
        <v>#N/A</v>
      </c>
      <c r="HY33" s="228" t="e">
        <f t="shared" si="3"/>
        <v>#N/A</v>
      </c>
      <c r="HZ33" s="228" t="e">
        <f t="shared" si="3"/>
        <v>#N/A</v>
      </c>
      <c r="IA33" s="228" t="e">
        <f t="shared" si="3"/>
        <v>#N/A</v>
      </c>
      <c r="IB33" s="228" t="e">
        <f t="shared" si="3"/>
        <v>#N/A</v>
      </c>
      <c r="IC33" s="228" t="e">
        <f t="shared" si="3"/>
        <v>#N/A</v>
      </c>
      <c r="ID33" s="228" t="e">
        <f t="shared" si="3"/>
        <v>#N/A</v>
      </c>
      <c r="IE33" s="228" t="e">
        <f t="shared" si="3"/>
        <v>#N/A</v>
      </c>
      <c r="IF33" s="228" t="e">
        <f t="shared" si="3"/>
        <v>#N/A</v>
      </c>
      <c r="IG33" s="228" t="e">
        <f t="shared" si="3"/>
        <v>#N/A</v>
      </c>
      <c r="IH33" s="228" t="e">
        <f t="shared" si="3"/>
        <v>#N/A</v>
      </c>
      <c r="II33" s="228" t="e">
        <f t="shared" si="3"/>
        <v>#N/A</v>
      </c>
      <c r="IJ33" s="228" t="e">
        <f t="shared" si="3"/>
        <v>#N/A</v>
      </c>
      <c r="IK33" s="228" t="e">
        <f t="shared" si="3"/>
        <v>#N/A</v>
      </c>
      <c r="IL33" s="228" t="e">
        <f t="shared" si="3"/>
        <v>#N/A</v>
      </c>
      <c r="IM33" s="228" t="e">
        <f t="shared" si="3"/>
        <v>#N/A</v>
      </c>
      <c r="IN33" s="228" t="e">
        <f t="shared" si="3"/>
        <v>#N/A</v>
      </c>
      <c r="IO33" s="228" t="e">
        <f t="shared" si="3"/>
        <v>#N/A</v>
      </c>
      <c r="IP33" s="228" t="e">
        <f t="shared" si="3"/>
        <v>#N/A</v>
      </c>
      <c r="IQ33" s="228" t="e">
        <f t="shared" si="3"/>
        <v>#N/A</v>
      </c>
      <c r="IR33" s="228" t="e">
        <f t="shared" si="3"/>
        <v>#N/A</v>
      </c>
      <c r="IS33" s="228" t="e">
        <f t="shared" si="3"/>
        <v>#N/A</v>
      </c>
      <c r="IT33" s="228" t="e">
        <f t="shared" si="3"/>
        <v>#N/A</v>
      </c>
      <c r="IU33" s="228" t="e">
        <f t="shared" si="3"/>
        <v>#N/A</v>
      </c>
      <c r="IV33" s="228" t="e">
        <f t="shared" si="3"/>
        <v>#N/A</v>
      </c>
      <c r="IW33" s="228" t="e">
        <f t="shared" si="3"/>
        <v>#N/A</v>
      </c>
      <c r="IX33" s="228" t="e">
        <f t="shared" si="3"/>
        <v>#N/A</v>
      </c>
      <c r="IY33" s="228" t="e">
        <f t="shared" si="3"/>
        <v>#N/A</v>
      </c>
      <c r="IZ33" s="519" t="e">
        <f t="shared" si="3"/>
        <v>#N/A</v>
      </c>
      <c r="JA33" s="224" t="e">
        <f t="shared" ref="JA33:JV33" si="4">HLOOKUP(JA20,LETTERS_to_NUMBERS,2,FALSE)</f>
        <v>#N/A</v>
      </c>
      <c r="JB33" s="224" t="e">
        <f t="shared" si="4"/>
        <v>#N/A</v>
      </c>
      <c r="JC33" s="224" t="e">
        <f t="shared" si="4"/>
        <v>#N/A</v>
      </c>
      <c r="JD33" s="224" t="e">
        <f t="shared" si="4"/>
        <v>#N/A</v>
      </c>
      <c r="JE33" s="224" t="e">
        <f t="shared" si="4"/>
        <v>#N/A</v>
      </c>
      <c r="JF33" s="224" t="e">
        <f t="shared" si="4"/>
        <v>#N/A</v>
      </c>
      <c r="JG33" s="224" t="e">
        <f t="shared" si="4"/>
        <v>#N/A</v>
      </c>
      <c r="JH33" s="224" t="e">
        <f t="shared" si="4"/>
        <v>#N/A</v>
      </c>
      <c r="JI33" s="224" t="e">
        <f t="shared" si="4"/>
        <v>#N/A</v>
      </c>
      <c r="JJ33" s="224" t="e">
        <f t="shared" si="4"/>
        <v>#N/A</v>
      </c>
      <c r="JK33" s="224" t="e">
        <f t="shared" si="4"/>
        <v>#N/A</v>
      </c>
      <c r="JL33" s="224" t="e">
        <f t="shared" si="4"/>
        <v>#N/A</v>
      </c>
      <c r="JM33" s="224" t="e">
        <f t="shared" si="4"/>
        <v>#N/A</v>
      </c>
      <c r="JN33" s="224" t="e">
        <f t="shared" si="4"/>
        <v>#N/A</v>
      </c>
      <c r="JO33" s="224" t="e">
        <f t="shared" si="4"/>
        <v>#N/A</v>
      </c>
      <c r="JP33" s="224" t="e">
        <f t="shared" si="4"/>
        <v>#N/A</v>
      </c>
      <c r="JQ33" s="224" t="e">
        <f t="shared" si="4"/>
        <v>#N/A</v>
      </c>
      <c r="JR33" s="224" t="e">
        <f t="shared" si="4"/>
        <v>#N/A</v>
      </c>
      <c r="JS33" s="224" t="e">
        <f t="shared" si="4"/>
        <v>#N/A</v>
      </c>
      <c r="JT33" s="224" t="e">
        <f t="shared" si="4"/>
        <v>#N/A</v>
      </c>
      <c r="JU33" s="224" t="e">
        <f t="shared" si="4"/>
        <v>#N/A</v>
      </c>
      <c r="JV33" s="224" t="e">
        <f t="shared" si="4"/>
        <v>#N/A</v>
      </c>
      <c r="JW33" s="137"/>
      <c r="JX33" s="138"/>
      <c r="KB33" s="33"/>
      <c r="PA33" s="11"/>
    </row>
    <row r="34" spans="1:417" ht="15.75" x14ac:dyDescent="0.3">
      <c r="C34" s="105"/>
      <c r="D34" s="233" t="s">
        <v>85</v>
      </c>
      <c r="E34" s="136">
        <f>HLOOKUP(E18,LETTERS_to_NUMBERS,2,FALSE)</f>
        <v>20</v>
      </c>
      <c r="F34" s="136">
        <f t="shared" ref="F34:BP34" si="5">HLOOKUP(F18,LETTERS_to_NUMBERS,2,FALSE)</f>
        <v>9</v>
      </c>
      <c r="G34" s="136">
        <f t="shared" si="5"/>
        <v>18</v>
      </c>
      <c r="H34" s="136">
        <f t="shared" si="5"/>
        <v>15</v>
      </c>
      <c r="I34" s="136">
        <f t="shared" si="5"/>
        <v>12</v>
      </c>
      <c r="J34" s="136">
        <f t="shared" si="5"/>
        <v>4</v>
      </c>
      <c r="K34" s="136">
        <f t="shared" si="5"/>
        <v>25</v>
      </c>
      <c r="L34" s="136">
        <f t="shared" si="5"/>
        <v>18</v>
      </c>
      <c r="M34" s="136">
        <f t="shared" si="5"/>
        <v>4</v>
      </c>
      <c r="N34" s="136">
        <f t="shared" si="5"/>
        <v>4</v>
      </c>
      <c r="O34" s="136">
        <f t="shared" si="5"/>
        <v>19</v>
      </c>
      <c r="P34" s="136">
        <f t="shared" si="5"/>
        <v>15</v>
      </c>
      <c r="Q34" s="136">
        <f t="shared" si="5"/>
        <v>1</v>
      </c>
      <c r="R34" s="136">
        <f t="shared" si="5"/>
        <v>5</v>
      </c>
      <c r="S34" s="136">
        <f t="shared" si="5"/>
        <v>15</v>
      </c>
      <c r="T34" s="136">
        <f t="shared" si="5"/>
        <v>7</v>
      </c>
      <c r="U34" s="136">
        <f t="shared" si="5"/>
        <v>5</v>
      </c>
      <c r="V34" s="136">
        <f t="shared" si="5"/>
        <v>20</v>
      </c>
      <c r="W34" s="136">
        <f t="shared" si="5"/>
        <v>9</v>
      </c>
      <c r="X34" s="136">
        <f t="shared" si="5"/>
        <v>19</v>
      </c>
      <c r="Y34" s="136">
        <f t="shared" si="5"/>
        <v>8</v>
      </c>
      <c r="Z34" s="136">
        <f t="shared" si="5"/>
        <v>9</v>
      </c>
      <c r="AA34" s="136">
        <f t="shared" si="5"/>
        <v>5</v>
      </c>
      <c r="AB34" s="136">
        <f t="shared" si="5"/>
        <v>3</v>
      </c>
      <c r="AC34" s="136">
        <f t="shared" si="5"/>
        <v>12</v>
      </c>
      <c r="AD34" s="136">
        <f t="shared" si="5"/>
        <v>9</v>
      </c>
      <c r="AE34" s="136">
        <f t="shared" si="5"/>
        <v>8</v>
      </c>
      <c r="AF34" s="136">
        <f t="shared" si="5"/>
        <v>4</v>
      </c>
      <c r="AG34" s="136">
        <f t="shared" si="5"/>
        <v>4</v>
      </c>
      <c r="AH34" s="136">
        <f t="shared" si="5"/>
        <v>20</v>
      </c>
      <c r="AI34" s="136">
        <f t="shared" si="5"/>
        <v>3</v>
      </c>
      <c r="AJ34" s="136">
        <f t="shared" si="5"/>
        <v>5</v>
      </c>
      <c r="AK34" s="136">
        <f t="shared" si="5"/>
        <v>1</v>
      </c>
      <c r="AL34" s="136">
        <f t="shared" si="5"/>
        <v>2</v>
      </c>
      <c r="AM34" s="136">
        <f t="shared" si="5"/>
        <v>5</v>
      </c>
      <c r="AN34" s="136">
        <f t="shared" si="5"/>
        <v>6</v>
      </c>
      <c r="AO34" s="136">
        <f t="shared" si="5"/>
        <v>23</v>
      </c>
      <c r="AP34" s="136">
        <f t="shared" si="5"/>
        <v>5</v>
      </c>
      <c r="AQ34" s="136">
        <f t="shared" si="5"/>
        <v>9</v>
      </c>
      <c r="AR34" s="136">
        <f t="shared" si="5"/>
        <v>18</v>
      </c>
      <c r="AS34" s="136">
        <f t="shared" si="5"/>
        <v>7</v>
      </c>
      <c r="AT34" s="136">
        <f t="shared" si="5"/>
        <v>1</v>
      </c>
      <c r="AU34" s="136">
        <f t="shared" si="5"/>
        <v>15</v>
      </c>
      <c r="AV34" s="136">
        <f t="shared" si="5"/>
        <v>18</v>
      </c>
      <c r="AW34" s="136">
        <f t="shared" si="5"/>
        <v>5</v>
      </c>
      <c r="AX34" s="136">
        <f t="shared" si="5"/>
        <v>9</v>
      </c>
      <c r="AY34" s="136">
        <f t="shared" si="5"/>
        <v>16</v>
      </c>
      <c r="AZ34" s="136">
        <f t="shared" si="5"/>
        <v>23</v>
      </c>
      <c r="BA34" s="136">
        <f t="shared" si="5"/>
        <v>5</v>
      </c>
      <c r="BB34" s="136">
        <f t="shared" si="5"/>
        <v>20</v>
      </c>
      <c r="BC34" s="136">
        <f t="shared" si="5"/>
        <v>19</v>
      </c>
      <c r="BD34" s="136">
        <f t="shared" si="5"/>
        <v>13</v>
      </c>
      <c r="BE34" s="136">
        <f t="shared" si="5"/>
        <v>20</v>
      </c>
      <c r="BF34" s="136">
        <f t="shared" si="5"/>
        <v>20</v>
      </c>
      <c r="BG34" s="136">
        <f t="shared" si="5"/>
        <v>8</v>
      </c>
      <c r="BH34" s="136">
        <f t="shared" si="5"/>
        <v>1</v>
      </c>
      <c r="BI34" s="136">
        <f t="shared" si="5"/>
        <v>1</v>
      </c>
      <c r="BJ34" s="136">
        <f t="shared" si="5"/>
        <v>9</v>
      </c>
      <c r="BK34" s="136">
        <f t="shared" si="5"/>
        <v>14</v>
      </c>
      <c r="BL34" s="136">
        <f t="shared" si="5"/>
        <v>4</v>
      </c>
      <c r="BM34" s="136">
        <f t="shared" si="5"/>
        <v>4</v>
      </c>
      <c r="BN34" s="136">
        <f t="shared" si="5"/>
        <v>5</v>
      </c>
      <c r="BO34" s="136">
        <f t="shared" si="5"/>
        <v>19</v>
      </c>
      <c r="BP34" s="136">
        <f t="shared" si="5"/>
        <v>2</v>
      </c>
      <c r="BQ34" s="136">
        <f t="shared" ref="BQ34:EB34" si="6">HLOOKUP(BQ18,LETTERS_to_NUMBERS,2,FALSE)</f>
        <v>9</v>
      </c>
      <c r="BR34" s="136">
        <f t="shared" si="6"/>
        <v>20</v>
      </c>
      <c r="BS34" s="136">
        <f t="shared" si="6"/>
        <v>18</v>
      </c>
      <c r="BT34" s="136">
        <f t="shared" si="6"/>
        <v>14</v>
      </c>
      <c r="BU34" s="136">
        <f t="shared" si="6"/>
        <v>20</v>
      </c>
      <c r="BV34" s="136">
        <f t="shared" si="6"/>
        <v>18</v>
      </c>
      <c r="BW34" s="136">
        <f t="shared" si="6"/>
        <v>5</v>
      </c>
      <c r="BX34" s="136">
        <f t="shared" si="6"/>
        <v>5</v>
      </c>
      <c r="BY34" s="136">
        <f t="shared" si="6"/>
        <v>1</v>
      </c>
      <c r="BZ34" s="136">
        <f t="shared" si="6"/>
        <v>13</v>
      </c>
      <c r="CA34" s="136">
        <f t="shared" si="6"/>
        <v>18</v>
      </c>
      <c r="CB34" s="136">
        <f t="shared" si="6"/>
        <v>1</v>
      </c>
      <c r="CC34" s="136">
        <f t="shared" si="6"/>
        <v>15</v>
      </c>
      <c r="CD34" s="136">
        <f t="shared" si="6"/>
        <v>20</v>
      </c>
      <c r="CE34" s="136">
        <f t="shared" si="6"/>
        <v>15</v>
      </c>
      <c r="CF34" s="136">
        <f t="shared" si="6"/>
        <v>5</v>
      </c>
      <c r="CG34" s="136">
        <f t="shared" si="6"/>
        <v>1</v>
      </c>
      <c r="CH34" s="136">
        <f t="shared" si="6"/>
        <v>21</v>
      </c>
      <c r="CI34" s="136">
        <f t="shared" si="6"/>
        <v>20</v>
      </c>
      <c r="CJ34" s="136">
        <f t="shared" si="6"/>
        <v>5</v>
      </c>
      <c r="CK34" s="136">
        <f t="shared" si="6"/>
        <v>21</v>
      </c>
      <c r="CL34" s="136">
        <f t="shared" si="6"/>
        <v>20</v>
      </c>
      <c r="CM34" s="136">
        <f t="shared" si="6"/>
        <v>15</v>
      </c>
      <c r="CN34" s="136">
        <f t="shared" si="6"/>
        <v>9</v>
      </c>
      <c r="CO34" s="136">
        <f t="shared" si="6"/>
        <v>6</v>
      </c>
      <c r="CP34" s="136">
        <f t="shared" si="6"/>
        <v>19</v>
      </c>
      <c r="CQ34" s="136">
        <f t="shared" si="6"/>
        <v>1</v>
      </c>
      <c r="CR34" s="136">
        <f t="shared" si="6"/>
        <v>15</v>
      </c>
      <c r="CS34" s="136">
        <f t="shared" si="6"/>
        <v>6</v>
      </c>
      <c r="CT34" s="136">
        <f t="shared" si="6"/>
        <v>5</v>
      </c>
      <c r="CU34" s="136">
        <f t="shared" si="6"/>
        <v>5</v>
      </c>
      <c r="CV34" s="136">
        <f t="shared" si="6"/>
        <v>20</v>
      </c>
      <c r="CW34" s="136">
        <f t="shared" si="6"/>
        <v>2</v>
      </c>
      <c r="CX34" s="136">
        <f t="shared" si="6"/>
        <v>12</v>
      </c>
      <c r="CY34" s="136">
        <f t="shared" si="6"/>
        <v>18</v>
      </c>
      <c r="CZ34" s="136">
        <f t="shared" si="6"/>
        <v>5</v>
      </c>
      <c r="DA34" s="136">
        <f t="shared" si="6"/>
        <v>5</v>
      </c>
      <c r="DB34" s="136">
        <f t="shared" si="6"/>
        <v>25</v>
      </c>
      <c r="DC34" s="136">
        <f t="shared" si="6"/>
        <v>7</v>
      </c>
      <c r="DD34" s="136">
        <f t="shared" si="6"/>
        <v>5</v>
      </c>
      <c r="DE34" s="136">
        <f t="shared" si="6"/>
        <v>20</v>
      </c>
      <c r="DF34" s="136">
        <f t="shared" si="6"/>
        <v>1</v>
      </c>
      <c r="DG34" s="136">
        <f t="shared" si="6"/>
        <v>13</v>
      </c>
      <c r="DH34" s="136">
        <f t="shared" si="6"/>
        <v>1</v>
      </c>
      <c r="DI34" s="136">
        <f t="shared" si="6"/>
        <v>20</v>
      </c>
      <c r="DJ34" s="136">
        <f t="shared" si="6"/>
        <v>1</v>
      </c>
      <c r="DK34" s="136">
        <f t="shared" si="6"/>
        <v>14</v>
      </c>
      <c r="DL34" s="136">
        <f t="shared" si="6"/>
        <v>5</v>
      </c>
      <c r="DM34" s="136">
        <f t="shared" si="6"/>
        <v>23</v>
      </c>
      <c r="DN34" s="136">
        <f t="shared" si="6"/>
        <v>5</v>
      </c>
      <c r="DO34" s="136">
        <f t="shared" si="6"/>
        <v>8</v>
      </c>
      <c r="DP34" s="136">
        <f t="shared" si="6"/>
        <v>8</v>
      </c>
      <c r="DQ34" s="136">
        <f t="shared" si="6"/>
        <v>13</v>
      </c>
      <c r="DR34" s="136">
        <f t="shared" si="6"/>
        <v>1</v>
      </c>
      <c r="DS34" s="136">
        <f t="shared" si="6"/>
        <v>16</v>
      </c>
      <c r="DT34" s="136">
        <f t="shared" si="6"/>
        <v>19</v>
      </c>
      <c r="DU34" s="136">
        <f t="shared" si="6"/>
        <v>18</v>
      </c>
      <c r="DV34" s="136">
        <f t="shared" si="6"/>
        <v>2</v>
      </c>
      <c r="DW34" s="136">
        <f t="shared" si="6"/>
        <v>20</v>
      </c>
      <c r="DX34" s="136">
        <f t="shared" si="6"/>
        <v>6</v>
      </c>
      <c r="DY34" s="136">
        <f t="shared" si="6"/>
        <v>9</v>
      </c>
      <c r="DZ34" s="136">
        <f t="shared" si="6"/>
        <v>5</v>
      </c>
      <c r="EA34" s="136">
        <f t="shared" si="6"/>
        <v>18</v>
      </c>
      <c r="EB34" s="136">
        <f t="shared" si="6"/>
        <v>3</v>
      </c>
      <c r="EC34" s="136">
        <f t="shared" ref="EC34:EX34" si="7">HLOOKUP(EC18,LETTERS_to_NUMBERS,2,FALSE)</f>
        <v>25</v>
      </c>
      <c r="ED34" s="136">
        <f t="shared" si="7"/>
        <v>1</v>
      </c>
      <c r="EE34" s="136">
        <f t="shared" si="7"/>
        <v>20</v>
      </c>
      <c r="EF34" s="136">
        <f t="shared" si="7"/>
        <v>3</v>
      </c>
      <c r="EG34" s="136">
        <f t="shared" si="7"/>
        <v>14</v>
      </c>
      <c r="EH34" s="136">
        <f t="shared" si="7"/>
        <v>5</v>
      </c>
      <c r="EI34" s="136">
        <f t="shared" si="7"/>
        <v>5</v>
      </c>
      <c r="EJ34" s="136">
        <f t="shared" si="7"/>
        <v>8</v>
      </c>
      <c r="EK34" s="136">
        <f t="shared" si="7"/>
        <v>17</v>
      </c>
      <c r="EL34" s="136">
        <f t="shared" si="7"/>
        <v>25</v>
      </c>
      <c r="EM34" s="136">
        <f t="shared" si="7"/>
        <v>5</v>
      </c>
      <c r="EN34" s="136">
        <f t="shared" si="7"/>
        <v>20</v>
      </c>
      <c r="EO34" s="136">
        <f t="shared" si="7"/>
        <v>25</v>
      </c>
      <c r="EP34" s="523">
        <f>HLOOKUP(EP18,LETTERS_to_NUMBERS,2,FALSE)</f>
        <v>15</v>
      </c>
      <c r="EQ34" s="221">
        <f t="shared" si="7"/>
        <v>9</v>
      </c>
      <c r="ER34" s="221">
        <f t="shared" si="7"/>
        <v>5</v>
      </c>
      <c r="ES34" s="221">
        <f t="shared" si="7"/>
        <v>1</v>
      </c>
      <c r="ET34" s="221">
        <f t="shared" si="7"/>
        <v>8</v>
      </c>
      <c r="EU34" s="221">
        <f t="shared" si="7"/>
        <v>14</v>
      </c>
      <c r="EV34" s="221">
        <f t="shared" si="7"/>
        <v>5</v>
      </c>
      <c r="EW34" s="221">
        <f t="shared" si="7"/>
        <v>23</v>
      </c>
      <c r="EX34" s="221">
        <f t="shared" si="7"/>
        <v>9</v>
      </c>
      <c r="EY34" s="221">
        <f t="shared" ref="EY34:GD34" si="8">HLOOKUP(EY18,LETTERS_to_NUMBERS,2,FALSE)</f>
        <v>20</v>
      </c>
      <c r="EZ34" s="221">
        <f t="shared" si="8"/>
        <v>4</v>
      </c>
      <c r="FA34" s="221">
        <f t="shared" si="8"/>
        <v>5</v>
      </c>
      <c r="FB34" s="221">
        <f t="shared" si="8"/>
        <v>19</v>
      </c>
      <c r="FC34" s="221">
        <f t="shared" si="8"/>
        <v>12</v>
      </c>
      <c r="FD34" s="221">
        <f t="shared" si="8"/>
        <v>15</v>
      </c>
      <c r="FE34" s="221">
        <f t="shared" si="8"/>
        <v>6</v>
      </c>
      <c r="FF34" s="221">
        <f t="shared" si="8"/>
        <v>20</v>
      </c>
      <c r="FG34" s="221">
        <f t="shared" si="8"/>
        <v>5</v>
      </c>
      <c r="FH34" s="221">
        <f t="shared" si="8"/>
        <v>15</v>
      </c>
      <c r="FI34" s="221">
        <f t="shared" si="8"/>
        <v>5</v>
      </c>
      <c r="FJ34" s="221">
        <f t="shared" si="8"/>
        <v>1</v>
      </c>
      <c r="FK34" s="221">
        <f t="shared" si="8"/>
        <v>8</v>
      </c>
      <c r="FL34" s="221">
        <f t="shared" si="8"/>
        <v>14</v>
      </c>
      <c r="FM34" s="221">
        <f t="shared" si="8"/>
        <v>20</v>
      </c>
      <c r="FN34" s="221">
        <f t="shared" si="8"/>
        <v>5</v>
      </c>
      <c r="FO34" s="221">
        <f t="shared" si="8"/>
        <v>18</v>
      </c>
      <c r="FP34" s="221">
        <f t="shared" si="8"/>
        <v>4</v>
      </c>
      <c r="FQ34" s="221">
        <f t="shared" si="8"/>
        <v>21</v>
      </c>
      <c r="FR34" s="221">
        <f t="shared" si="8"/>
        <v>5</v>
      </c>
      <c r="FS34" s="221">
        <f t="shared" si="8"/>
        <v>14</v>
      </c>
      <c r="FT34" s="221">
        <f t="shared" si="8"/>
        <v>5</v>
      </c>
      <c r="FU34" s="221">
        <f t="shared" si="8"/>
        <v>20</v>
      </c>
      <c r="FV34" s="221">
        <f t="shared" si="8"/>
        <v>3</v>
      </c>
      <c r="FW34" s="221">
        <f t="shared" si="8"/>
        <v>8</v>
      </c>
      <c r="FX34" s="221">
        <f t="shared" si="8"/>
        <v>1</v>
      </c>
      <c r="FY34" s="221">
        <f t="shared" si="8"/>
        <v>18</v>
      </c>
      <c r="FZ34" s="221">
        <f t="shared" si="8"/>
        <v>14</v>
      </c>
      <c r="GA34" s="221">
        <f t="shared" si="8"/>
        <v>5</v>
      </c>
      <c r="GB34" s="221">
        <f t="shared" si="8"/>
        <v>5</v>
      </c>
      <c r="GC34" s="221">
        <f t="shared" si="8"/>
        <v>20</v>
      </c>
      <c r="GD34" s="221">
        <f t="shared" si="8"/>
        <v>9</v>
      </c>
      <c r="GE34" s="221">
        <f t="shared" ref="GE34:HJ34" si="9">HLOOKUP(GE18,LETTERS_to_NUMBERS,2,FALSE)</f>
        <v>4</v>
      </c>
      <c r="GF34" s="221">
        <f t="shared" si="9"/>
        <v>14</v>
      </c>
      <c r="GG34" s="221">
        <f t="shared" si="9"/>
        <v>23</v>
      </c>
      <c r="GH34" s="221">
        <f t="shared" si="9"/>
        <v>20</v>
      </c>
      <c r="GI34" s="221">
        <f t="shared" si="9"/>
        <v>13</v>
      </c>
      <c r="GJ34" s="221">
        <f t="shared" si="9"/>
        <v>23</v>
      </c>
      <c r="GK34" s="221">
        <f t="shared" si="9"/>
        <v>5</v>
      </c>
      <c r="GL34" s="221">
        <f t="shared" si="9"/>
        <v>1</v>
      </c>
      <c r="GM34" s="221">
        <f t="shared" si="9"/>
        <v>3</v>
      </c>
      <c r="GN34" s="221">
        <f t="shared" si="9"/>
        <v>1</v>
      </c>
      <c r="GO34" s="221">
        <f t="shared" si="9"/>
        <v>9</v>
      </c>
      <c r="GP34" s="221">
        <f t="shared" si="9"/>
        <v>9</v>
      </c>
      <c r="GQ34" s="221">
        <f t="shared" si="9"/>
        <v>16</v>
      </c>
      <c r="GR34" s="221">
        <f t="shared" si="9"/>
        <v>12</v>
      </c>
      <c r="GS34" s="221">
        <f t="shared" si="9"/>
        <v>2</v>
      </c>
      <c r="GT34" s="221">
        <f t="shared" si="9"/>
        <v>5</v>
      </c>
      <c r="GU34" s="221">
        <f t="shared" si="9"/>
        <v>12</v>
      </c>
      <c r="GV34" s="221">
        <f t="shared" si="9"/>
        <v>5</v>
      </c>
      <c r="GW34" s="221">
        <f t="shared" si="9"/>
        <v>14</v>
      </c>
      <c r="GX34" s="221">
        <f t="shared" si="9"/>
        <v>14</v>
      </c>
      <c r="GY34" s="221">
        <f t="shared" si="9"/>
        <v>12</v>
      </c>
      <c r="GZ34" s="221">
        <f t="shared" si="9"/>
        <v>19</v>
      </c>
      <c r="HA34" s="221">
        <f t="shared" si="9"/>
        <v>5</v>
      </c>
      <c r="HB34" s="221">
        <f t="shared" si="9"/>
        <v>16</v>
      </c>
      <c r="HC34" s="221">
        <f t="shared" si="9"/>
        <v>18</v>
      </c>
      <c r="HD34" s="221">
        <f t="shared" si="9"/>
        <v>1</v>
      </c>
      <c r="HE34" s="221">
        <f t="shared" si="9"/>
        <v>18</v>
      </c>
      <c r="HF34" s="221">
        <f t="shared" si="9"/>
        <v>14</v>
      </c>
      <c r="HG34" s="221">
        <f t="shared" si="9"/>
        <v>8</v>
      </c>
      <c r="HH34" s="221">
        <f t="shared" si="9"/>
        <v>9</v>
      </c>
      <c r="HI34" s="221">
        <f t="shared" si="9"/>
        <v>20</v>
      </c>
      <c r="HJ34" s="221">
        <f t="shared" si="9"/>
        <v>1</v>
      </c>
      <c r="HK34" s="221">
        <f t="shared" ref="HK34:IP34" si="10">HLOOKUP(HK18,LETTERS_to_NUMBERS,2,FALSE)</f>
        <v>7</v>
      </c>
      <c r="HL34" s="221">
        <f t="shared" si="10"/>
        <v>14</v>
      </c>
      <c r="HM34" s="221">
        <f t="shared" si="10"/>
        <v>18</v>
      </c>
      <c r="HN34" s="221">
        <f t="shared" si="10"/>
        <v>16</v>
      </c>
      <c r="HO34" s="221">
        <f t="shared" si="10"/>
        <v>20</v>
      </c>
      <c r="HP34" s="221">
        <f t="shared" si="10"/>
        <v>5</v>
      </c>
      <c r="HQ34" s="221">
        <f t="shared" si="10"/>
        <v>14</v>
      </c>
      <c r="HR34" s="221">
        <f t="shared" si="10"/>
        <v>13</v>
      </c>
      <c r="HS34" s="221">
        <f t="shared" si="10"/>
        <v>24</v>
      </c>
      <c r="HT34" s="221">
        <f t="shared" si="10"/>
        <v>23</v>
      </c>
      <c r="HU34" s="221">
        <f t="shared" si="10"/>
        <v>18</v>
      </c>
      <c r="HV34" s="221">
        <f t="shared" si="10"/>
        <v>13</v>
      </c>
      <c r="HW34" s="221">
        <f t="shared" si="10"/>
        <v>19</v>
      </c>
      <c r="HX34" s="221">
        <f t="shared" si="10"/>
        <v>15</v>
      </c>
      <c r="HY34" s="221">
        <f t="shared" si="10"/>
        <v>14</v>
      </c>
      <c r="HZ34" s="221">
        <f t="shared" si="10"/>
        <v>19</v>
      </c>
      <c r="IA34" s="221">
        <f t="shared" si="10"/>
        <v>8</v>
      </c>
      <c r="IB34" s="221">
        <f t="shared" si="10"/>
        <v>15</v>
      </c>
      <c r="IC34" s="221">
        <f t="shared" si="10"/>
        <v>14</v>
      </c>
      <c r="ID34" s="221">
        <f t="shared" si="10"/>
        <v>12</v>
      </c>
      <c r="IE34" s="221">
        <f t="shared" si="10"/>
        <v>12</v>
      </c>
      <c r="IF34" s="221">
        <f t="shared" si="10"/>
        <v>19</v>
      </c>
      <c r="IG34" s="221">
        <f t="shared" si="10"/>
        <v>12</v>
      </c>
      <c r="IH34" s="221">
        <f t="shared" si="10"/>
        <v>12</v>
      </c>
      <c r="II34" s="221">
        <f t="shared" si="10"/>
        <v>19</v>
      </c>
      <c r="IJ34" s="221">
        <f t="shared" si="10"/>
        <v>4</v>
      </c>
      <c r="IK34" s="221">
        <f t="shared" si="10"/>
        <v>12</v>
      </c>
      <c r="IL34" s="221">
        <f t="shared" si="10"/>
        <v>21</v>
      </c>
      <c r="IM34" s="221">
        <f t="shared" si="10"/>
        <v>25</v>
      </c>
      <c r="IN34" s="221">
        <f t="shared" si="10"/>
        <v>5</v>
      </c>
      <c r="IO34" s="221">
        <f t="shared" si="10"/>
        <v>18</v>
      </c>
      <c r="IP34" s="221">
        <f t="shared" si="10"/>
        <v>14</v>
      </c>
      <c r="IQ34" s="221">
        <f t="shared" ref="IQ34:JV34" si="11">HLOOKUP(IQ18,LETTERS_to_NUMBERS,2,FALSE)</f>
        <v>20</v>
      </c>
      <c r="IR34" s="221">
        <f t="shared" si="11"/>
        <v>8</v>
      </c>
      <c r="IS34" s="221">
        <f t="shared" si="11"/>
        <v>3</v>
      </c>
      <c r="IT34" s="221">
        <f t="shared" si="11"/>
        <v>1</v>
      </c>
      <c r="IU34" s="221">
        <f t="shared" si="11"/>
        <v>9</v>
      </c>
      <c r="IV34" s="221">
        <f t="shared" si="11"/>
        <v>1</v>
      </c>
      <c r="IW34" s="221">
        <f t="shared" si="11"/>
        <v>14</v>
      </c>
      <c r="IX34" s="221">
        <f t="shared" si="11"/>
        <v>8</v>
      </c>
      <c r="IY34" s="221">
        <f t="shared" si="11"/>
        <v>19</v>
      </c>
      <c r="IZ34" s="520">
        <f t="shared" si="11"/>
        <v>25</v>
      </c>
      <c r="JA34" s="521">
        <f t="shared" si="11"/>
        <v>4</v>
      </c>
      <c r="JB34" s="219">
        <f t="shared" si="11"/>
        <v>9</v>
      </c>
      <c r="JC34" s="219">
        <f t="shared" si="11"/>
        <v>2</v>
      </c>
      <c r="JD34" s="219">
        <f t="shared" si="11"/>
        <v>9</v>
      </c>
      <c r="JE34" s="219">
        <f t="shared" si="11"/>
        <v>15</v>
      </c>
      <c r="JF34" s="219">
        <f t="shared" si="11"/>
        <v>5</v>
      </c>
      <c r="JG34" s="219">
        <f t="shared" si="11"/>
        <v>20</v>
      </c>
      <c r="JH34" s="219">
        <f t="shared" si="11"/>
        <v>16</v>
      </c>
      <c r="JI34" s="219">
        <f t="shared" si="11"/>
        <v>3</v>
      </c>
      <c r="JJ34" s="219">
        <f t="shared" si="11"/>
        <v>15</v>
      </c>
      <c r="JK34" s="219">
        <f t="shared" si="11"/>
        <v>5</v>
      </c>
      <c r="JL34" s="219">
        <f t="shared" si="11"/>
        <v>8</v>
      </c>
      <c r="JM34" s="219">
        <f t="shared" si="11"/>
        <v>18</v>
      </c>
      <c r="JN34" s="219">
        <f t="shared" si="11"/>
        <v>19</v>
      </c>
      <c r="JO34" s="219">
        <f t="shared" si="11"/>
        <v>12</v>
      </c>
      <c r="JP34" s="219">
        <f t="shared" si="11"/>
        <v>14</v>
      </c>
      <c r="JQ34" s="219">
        <f t="shared" si="11"/>
        <v>8</v>
      </c>
      <c r="JR34" s="219">
        <f t="shared" si="11"/>
        <v>15</v>
      </c>
      <c r="JS34" s="219">
        <f t="shared" si="11"/>
        <v>18</v>
      </c>
      <c r="JT34" s="219">
        <f t="shared" si="11"/>
        <v>8</v>
      </c>
      <c r="JU34" s="219">
        <f t="shared" si="11"/>
        <v>1</v>
      </c>
      <c r="JV34" s="219">
        <f t="shared" si="11"/>
        <v>25</v>
      </c>
      <c r="JW34" s="137"/>
      <c r="JX34" s="138"/>
      <c r="KB34" s="33"/>
      <c r="PA34" s="11"/>
    </row>
    <row r="35" spans="1:417" ht="15.75" x14ac:dyDescent="0.3">
      <c r="C35" s="105"/>
      <c r="D35" s="233" t="s">
        <v>135</v>
      </c>
      <c r="E35" s="226" t="e">
        <f>E33</f>
        <v>#N/A</v>
      </c>
      <c r="F35" s="226" t="e">
        <f t="shared" ref="F35:AA36" si="12">F33</f>
        <v>#N/A</v>
      </c>
      <c r="G35" s="226" t="e">
        <f t="shared" si="12"/>
        <v>#N/A</v>
      </c>
      <c r="H35" s="226" t="e">
        <f t="shared" si="12"/>
        <v>#N/A</v>
      </c>
      <c r="I35" s="226" t="e">
        <f t="shared" si="12"/>
        <v>#N/A</v>
      </c>
      <c r="J35" s="226" t="e">
        <f t="shared" si="12"/>
        <v>#N/A</v>
      </c>
      <c r="K35" s="226" t="e">
        <f t="shared" si="12"/>
        <v>#N/A</v>
      </c>
      <c r="L35" s="226" t="e">
        <f t="shared" si="12"/>
        <v>#N/A</v>
      </c>
      <c r="M35" s="226" t="e">
        <f t="shared" si="12"/>
        <v>#N/A</v>
      </c>
      <c r="N35" s="226" t="e">
        <f t="shared" si="12"/>
        <v>#N/A</v>
      </c>
      <c r="O35" s="226" t="e">
        <f t="shared" si="12"/>
        <v>#N/A</v>
      </c>
      <c r="P35" s="226" t="e">
        <f t="shared" si="12"/>
        <v>#N/A</v>
      </c>
      <c r="Q35" s="226" t="e">
        <f t="shared" si="12"/>
        <v>#N/A</v>
      </c>
      <c r="R35" s="226" t="e">
        <f t="shared" si="12"/>
        <v>#N/A</v>
      </c>
      <c r="S35" s="226" t="e">
        <f t="shared" si="12"/>
        <v>#N/A</v>
      </c>
      <c r="T35" s="226" t="e">
        <f t="shared" si="12"/>
        <v>#N/A</v>
      </c>
      <c r="U35" s="226" t="e">
        <f t="shared" si="12"/>
        <v>#N/A</v>
      </c>
      <c r="V35" s="226" t="e">
        <f t="shared" si="12"/>
        <v>#N/A</v>
      </c>
      <c r="W35" s="226" t="e">
        <f t="shared" si="12"/>
        <v>#N/A</v>
      </c>
      <c r="X35" s="226" t="e">
        <f t="shared" si="12"/>
        <v>#N/A</v>
      </c>
      <c r="Y35" s="226" t="e">
        <f t="shared" si="12"/>
        <v>#N/A</v>
      </c>
      <c r="Z35" s="226" t="e">
        <f t="shared" si="12"/>
        <v>#N/A</v>
      </c>
      <c r="AA35" s="226" t="e">
        <f t="shared" si="12"/>
        <v>#N/A</v>
      </c>
      <c r="AB35" s="226" t="e">
        <f t="shared" ref="AB35:BG35" si="13">AB33</f>
        <v>#N/A</v>
      </c>
      <c r="AC35" s="226" t="e">
        <f t="shared" si="13"/>
        <v>#N/A</v>
      </c>
      <c r="AD35" s="226" t="e">
        <f t="shared" si="13"/>
        <v>#N/A</v>
      </c>
      <c r="AE35" s="226" t="e">
        <f t="shared" si="13"/>
        <v>#N/A</v>
      </c>
      <c r="AF35" s="226" t="e">
        <f t="shared" si="13"/>
        <v>#N/A</v>
      </c>
      <c r="AG35" s="226" t="e">
        <f t="shared" si="13"/>
        <v>#N/A</v>
      </c>
      <c r="AH35" s="226" t="e">
        <f t="shared" si="13"/>
        <v>#N/A</v>
      </c>
      <c r="AI35" s="226" t="e">
        <f t="shared" si="13"/>
        <v>#N/A</v>
      </c>
      <c r="AJ35" s="226" t="e">
        <f t="shared" si="13"/>
        <v>#N/A</v>
      </c>
      <c r="AK35" s="226" t="e">
        <f t="shared" si="13"/>
        <v>#N/A</v>
      </c>
      <c r="AL35" s="226" t="e">
        <f t="shared" si="13"/>
        <v>#N/A</v>
      </c>
      <c r="AM35" s="226" t="e">
        <f t="shared" si="13"/>
        <v>#N/A</v>
      </c>
      <c r="AN35" s="226" t="e">
        <f t="shared" si="13"/>
        <v>#N/A</v>
      </c>
      <c r="AO35" s="226" t="e">
        <f t="shared" si="13"/>
        <v>#N/A</v>
      </c>
      <c r="AP35" s="226" t="e">
        <f t="shared" si="13"/>
        <v>#N/A</v>
      </c>
      <c r="AQ35" s="226" t="e">
        <f t="shared" si="13"/>
        <v>#N/A</v>
      </c>
      <c r="AR35" s="226" t="e">
        <f t="shared" si="13"/>
        <v>#N/A</v>
      </c>
      <c r="AS35" s="226" t="e">
        <f t="shared" si="13"/>
        <v>#N/A</v>
      </c>
      <c r="AT35" s="226" t="e">
        <f t="shared" si="13"/>
        <v>#N/A</v>
      </c>
      <c r="AU35" s="226" t="e">
        <f t="shared" si="13"/>
        <v>#N/A</v>
      </c>
      <c r="AV35" s="226" t="e">
        <f t="shared" si="13"/>
        <v>#N/A</v>
      </c>
      <c r="AW35" s="226" t="e">
        <f t="shared" si="13"/>
        <v>#N/A</v>
      </c>
      <c r="AX35" s="226" t="e">
        <f t="shared" si="13"/>
        <v>#N/A</v>
      </c>
      <c r="AY35" s="226" t="e">
        <f t="shared" si="13"/>
        <v>#N/A</v>
      </c>
      <c r="AZ35" s="226" t="e">
        <f t="shared" si="13"/>
        <v>#N/A</v>
      </c>
      <c r="BA35" s="226" t="e">
        <f t="shared" si="13"/>
        <v>#N/A</v>
      </c>
      <c r="BB35" s="226" t="e">
        <f t="shared" si="13"/>
        <v>#N/A</v>
      </c>
      <c r="BC35" s="226" t="e">
        <f t="shared" si="13"/>
        <v>#N/A</v>
      </c>
      <c r="BD35" s="226" t="e">
        <f t="shared" si="13"/>
        <v>#N/A</v>
      </c>
      <c r="BE35" s="226" t="e">
        <f t="shared" si="13"/>
        <v>#N/A</v>
      </c>
      <c r="BF35" s="226" t="e">
        <f t="shared" si="13"/>
        <v>#N/A</v>
      </c>
      <c r="BG35" s="226" t="e">
        <f t="shared" si="13"/>
        <v>#N/A</v>
      </c>
      <c r="BH35" s="226" t="e">
        <f t="shared" ref="BH35:CM35" si="14">BH33</f>
        <v>#N/A</v>
      </c>
      <c r="BI35" s="226" t="e">
        <f t="shared" si="14"/>
        <v>#N/A</v>
      </c>
      <c r="BJ35" s="226" t="e">
        <f t="shared" si="14"/>
        <v>#N/A</v>
      </c>
      <c r="BK35" s="226" t="e">
        <f t="shared" si="14"/>
        <v>#N/A</v>
      </c>
      <c r="BL35" s="226" t="e">
        <f t="shared" si="14"/>
        <v>#N/A</v>
      </c>
      <c r="BM35" s="226" t="e">
        <f t="shared" si="14"/>
        <v>#N/A</v>
      </c>
      <c r="BN35" s="226" t="e">
        <f t="shared" si="14"/>
        <v>#N/A</v>
      </c>
      <c r="BO35" s="226" t="e">
        <f t="shared" si="14"/>
        <v>#N/A</v>
      </c>
      <c r="BP35" s="226" t="e">
        <f t="shared" si="14"/>
        <v>#N/A</v>
      </c>
      <c r="BQ35" s="226" t="e">
        <f t="shared" si="14"/>
        <v>#N/A</v>
      </c>
      <c r="BR35" s="226" t="e">
        <f t="shared" si="14"/>
        <v>#N/A</v>
      </c>
      <c r="BS35" s="226" t="e">
        <f t="shared" si="14"/>
        <v>#N/A</v>
      </c>
      <c r="BT35" s="226" t="e">
        <f t="shared" si="14"/>
        <v>#N/A</v>
      </c>
      <c r="BU35" s="226" t="e">
        <f t="shared" si="14"/>
        <v>#N/A</v>
      </c>
      <c r="BV35" s="226" t="e">
        <f t="shared" si="14"/>
        <v>#N/A</v>
      </c>
      <c r="BW35" s="226" t="e">
        <f t="shared" si="14"/>
        <v>#N/A</v>
      </c>
      <c r="BX35" s="226" t="e">
        <f t="shared" si="14"/>
        <v>#N/A</v>
      </c>
      <c r="BY35" s="226" t="e">
        <f t="shared" si="14"/>
        <v>#N/A</v>
      </c>
      <c r="BZ35" s="226" t="e">
        <f t="shared" si="14"/>
        <v>#N/A</v>
      </c>
      <c r="CA35" s="226" t="e">
        <f t="shared" si="14"/>
        <v>#N/A</v>
      </c>
      <c r="CB35" s="226" t="e">
        <f t="shared" si="14"/>
        <v>#N/A</v>
      </c>
      <c r="CC35" s="226" t="e">
        <f t="shared" si="14"/>
        <v>#N/A</v>
      </c>
      <c r="CD35" s="226" t="e">
        <f t="shared" si="14"/>
        <v>#N/A</v>
      </c>
      <c r="CE35" s="226" t="e">
        <f t="shared" si="14"/>
        <v>#N/A</v>
      </c>
      <c r="CF35" s="226" t="e">
        <f t="shared" si="14"/>
        <v>#N/A</v>
      </c>
      <c r="CG35" s="226" t="e">
        <f t="shared" si="14"/>
        <v>#N/A</v>
      </c>
      <c r="CH35" s="226" t="e">
        <f t="shared" si="14"/>
        <v>#N/A</v>
      </c>
      <c r="CI35" s="226" t="e">
        <f t="shared" si="14"/>
        <v>#N/A</v>
      </c>
      <c r="CJ35" s="226" t="e">
        <f t="shared" si="14"/>
        <v>#N/A</v>
      </c>
      <c r="CK35" s="226" t="e">
        <f t="shared" si="14"/>
        <v>#N/A</v>
      </c>
      <c r="CL35" s="226" t="e">
        <f t="shared" si="14"/>
        <v>#N/A</v>
      </c>
      <c r="CM35" s="226" t="e">
        <f t="shared" si="14"/>
        <v>#N/A</v>
      </c>
      <c r="CN35" s="226" t="e">
        <f t="shared" ref="CN35:DS35" si="15">CN33</f>
        <v>#N/A</v>
      </c>
      <c r="CO35" s="226" t="e">
        <f t="shared" si="15"/>
        <v>#N/A</v>
      </c>
      <c r="CP35" s="226" t="e">
        <f t="shared" si="15"/>
        <v>#N/A</v>
      </c>
      <c r="CQ35" s="226" t="e">
        <f t="shared" si="15"/>
        <v>#N/A</v>
      </c>
      <c r="CR35" s="226" t="e">
        <f t="shared" si="15"/>
        <v>#N/A</v>
      </c>
      <c r="CS35" s="226" t="e">
        <f t="shared" si="15"/>
        <v>#N/A</v>
      </c>
      <c r="CT35" s="226" t="e">
        <f t="shared" si="15"/>
        <v>#N/A</v>
      </c>
      <c r="CU35" s="226" t="e">
        <f t="shared" si="15"/>
        <v>#N/A</v>
      </c>
      <c r="CV35" s="226" t="e">
        <f t="shared" si="15"/>
        <v>#N/A</v>
      </c>
      <c r="CW35" s="226" t="e">
        <f t="shared" si="15"/>
        <v>#N/A</v>
      </c>
      <c r="CX35" s="226" t="e">
        <f t="shared" si="15"/>
        <v>#N/A</v>
      </c>
      <c r="CY35" s="226" t="e">
        <f t="shared" si="15"/>
        <v>#N/A</v>
      </c>
      <c r="CZ35" s="226" t="e">
        <f t="shared" si="15"/>
        <v>#N/A</v>
      </c>
      <c r="DA35" s="226" t="e">
        <f t="shared" si="15"/>
        <v>#N/A</v>
      </c>
      <c r="DB35" s="226" t="e">
        <f t="shared" si="15"/>
        <v>#N/A</v>
      </c>
      <c r="DC35" s="226" t="e">
        <f t="shared" si="15"/>
        <v>#N/A</v>
      </c>
      <c r="DD35" s="226" t="e">
        <f t="shared" si="15"/>
        <v>#N/A</v>
      </c>
      <c r="DE35" s="226" t="e">
        <f t="shared" si="15"/>
        <v>#N/A</v>
      </c>
      <c r="DF35" s="226" t="e">
        <f t="shared" si="15"/>
        <v>#N/A</v>
      </c>
      <c r="DG35" s="226" t="e">
        <f t="shared" si="15"/>
        <v>#N/A</v>
      </c>
      <c r="DH35" s="226" t="e">
        <f t="shared" si="15"/>
        <v>#N/A</v>
      </c>
      <c r="DI35" s="226" t="e">
        <f t="shared" si="15"/>
        <v>#N/A</v>
      </c>
      <c r="DJ35" s="226" t="e">
        <f t="shared" si="15"/>
        <v>#N/A</v>
      </c>
      <c r="DK35" s="226" t="e">
        <f t="shared" si="15"/>
        <v>#N/A</v>
      </c>
      <c r="DL35" s="226" t="e">
        <f t="shared" si="15"/>
        <v>#N/A</v>
      </c>
      <c r="DM35" s="226" t="e">
        <f t="shared" si="15"/>
        <v>#N/A</v>
      </c>
      <c r="DN35" s="226" t="e">
        <f t="shared" si="15"/>
        <v>#N/A</v>
      </c>
      <c r="DO35" s="226" t="e">
        <f t="shared" si="15"/>
        <v>#N/A</v>
      </c>
      <c r="DP35" s="226" t="e">
        <f t="shared" si="15"/>
        <v>#N/A</v>
      </c>
      <c r="DQ35" s="226" t="e">
        <f t="shared" si="15"/>
        <v>#N/A</v>
      </c>
      <c r="DR35" s="226" t="e">
        <f t="shared" si="15"/>
        <v>#N/A</v>
      </c>
      <c r="DS35" s="226" t="e">
        <f t="shared" si="15"/>
        <v>#N/A</v>
      </c>
      <c r="DT35" s="226" t="e">
        <f t="shared" ref="DT35:EO35" si="16">DT33</f>
        <v>#N/A</v>
      </c>
      <c r="DU35" s="226" t="e">
        <f t="shared" si="16"/>
        <v>#N/A</v>
      </c>
      <c r="DV35" s="226" t="e">
        <f t="shared" si="16"/>
        <v>#N/A</v>
      </c>
      <c r="DW35" s="226" t="e">
        <f t="shared" si="16"/>
        <v>#N/A</v>
      </c>
      <c r="DX35" s="226" t="e">
        <f t="shared" si="16"/>
        <v>#N/A</v>
      </c>
      <c r="DY35" s="226" t="e">
        <f t="shared" si="16"/>
        <v>#N/A</v>
      </c>
      <c r="DZ35" s="226" t="e">
        <f t="shared" si="16"/>
        <v>#N/A</v>
      </c>
      <c r="EA35" s="226" t="e">
        <f t="shared" si="16"/>
        <v>#N/A</v>
      </c>
      <c r="EB35" s="226" t="e">
        <f t="shared" si="16"/>
        <v>#N/A</v>
      </c>
      <c r="EC35" s="226" t="e">
        <f t="shared" si="16"/>
        <v>#N/A</v>
      </c>
      <c r="ED35" s="226" t="e">
        <f t="shared" si="16"/>
        <v>#N/A</v>
      </c>
      <c r="EE35" s="226" t="e">
        <f t="shared" si="16"/>
        <v>#N/A</v>
      </c>
      <c r="EF35" s="226" t="e">
        <f t="shared" si="16"/>
        <v>#N/A</v>
      </c>
      <c r="EG35" s="226" t="e">
        <f t="shared" si="16"/>
        <v>#N/A</v>
      </c>
      <c r="EH35" s="226" t="e">
        <f t="shared" si="16"/>
        <v>#N/A</v>
      </c>
      <c r="EI35" s="226" t="e">
        <f t="shared" si="16"/>
        <v>#N/A</v>
      </c>
      <c r="EJ35" s="226" t="e">
        <f t="shared" si="16"/>
        <v>#N/A</v>
      </c>
      <c r="EK35" s="226" t="e">
        <f t="shared" si="16"/>
        <v>#N/A</v>
      </c>
      <c r="EL35" s="226" t="e">
        <f t="shared" si="16"/>
        <v>#N/A</v>
      </c>
      <c r="EM35" s="226" t="e">
        <f t="shared" si="16"/>
        <v>#N/A</v>
      </c>
      <c r="EN35" s="226" t="e">
        <f t="shared" si="16"/>
        <v>#N/A</v>
      </c>
      <c r="EO35" s="226" t="e">
        <f t="shared" si="16"/>
        <v>#N/A</v>
      </c>
      <c r="EP35" s="279"/>
      <c r="EQ35" s="228" t="e">
        <f t="shared" ref="EQ35:FV35" si="17">EP33</f>
        <v>#N/A</v>
      </c>
      <c r="ER35" s="228" t="e">
        <f t="shared" si="17"/>
        <v>#N/A</v>
      </c>
      <c r="ES35" s="228" t="e">
        <f t="shared" si="17"/>
        <v>#N/A</v>
      </c>
      <c r="ET35" s="228" t="e">
        <f t="shared" si="17"/>
        <v>#N/A</v>
      </c>
      <c r="EU35" s="228" t="e">
        <f t="shared" si="17"/>
        <v>#N/A</v>
      </c>
      <c r="EV35" s="228" t="e">
        <f t="shared" si="17"/>
        <v>#N/A</v>
      </c>
      <c r="EW35" s="228" t="e">
        <f t="shared" si="17"/>
        <v>#N/A</v>
      </c>
      <c r="EX35" s="228" t="e">
        <f t="shared" si="17"/>
        <v>#N/A</v>
      </c>
      <c r="EY35" s="228" t="e">
        <f t="shared" si="17"/>
        <v>#N/A</v>
      </c>
      <c r="EZ35" s="228" t="e">
        <f t="shared" si="17"/>
        <v>#N/A</v>
      </c>
      <c r="FA35" s="228" t="e">
        <f t="shared" si="17"/>
        <v>#N/A</v>
      </c>
      <c r="FB35" s="228" t="e">
        <f t="shared" si="17"/>
        <v>#N/A</v>
      </c>
      <c r="FC35" s="228" t="e">
        <f t="shared" si="17"/>
        <v>#N/A</v>
      </c>
      <c r="FD35" s="228" t="e">
        <f t="shared" si="17"/>
        <v>#N/A</v>
      </c>
      <c r="FE35" s="228" t="e">
        <f t="shared" si="17"/>
        <v>#N/A</v>
      </c>
      <c r="FF35" s="228" t="e">
        <f t="shared" si="17"/>
        <v>#N/A</v>
      </c>
      <c r="FG35" s="228" t="e">
        <f t="shared" si="17"/>
        <v>#N/A</v>
      </c>
      <c r="FH35" s="228" t="e">
        <f t="shared" si="17"/>
        <v>#N/A</v>
      </c>
      <c r="FI35" s="228" t="e">
        <f t="shared" si="17"/>
        <v>#N/A</v>
      </c>
      <c r="FJ35" s="228" t="e">
        <f t="shared" si="17"/>
        <v>#N/A</v>
      </c>
      <c r="FK35" s="228" t="e">
        <f t="shared" si="17"/>
        <v>#N/A</v>
      </c>
      <c r="FL35" s="228" t="e">
        <f t="shared" si="17"/>
        <v>#N/A</v>
      </c>
      <c r="FM35" s="228" t="e">
        <f t="shared" si="17"/>
        <v>#N/A</v>
      </c>
      <c r="FN35" s="228" t="e">
        <f t="shared" si="17"/>
        <v>#N/A</v>
      </c>
      <c r="FO35" s="228" t="e">
        <f t="shared" si="17"/>
        <v>#N/A</v>
      </c>
      <c r="FP35" s="228" t="e">
        <f t="shared" si="17"/>
        <v>#N/A</v>
      </c>
      <c r="FQ35" s="228" t="e">
        <f t="shared" si="17"/>
        <v>#N/A</v>
      </c>
      <c r="FR35" s="228" t="e">
        <f t="shared" si="17"/>
        <v>#N/A</v>
      </c>
      <c r="FS35" s="228" t="e">
        <f t="shared" si="17"/>
        <v>#N/A</v>
      </c>
      <c r="FT35" s="228" t="e">
        <f t="shared" si="17"/>
        <v>#N/A</v>
      </c>
      <c r="FU35" s="228" t="e">
        <f t="shared" si="17"/>
        <v>#N/A</v>
      </c>
      <c r="FV35" s="228" t="e">
        <f t="shared" si="17"/>
        <v>#N/A</v>
      </c>
      <c r="FW35" s="228" t="e">
        <f t="shared" ref="FW35:HB35" si="18">FV33</f>
        <v>#N/A</v>
      </c>
      <c r="FX35" s="228" t="e">
        <f t="shared" si="18"/>
        <v>#N/A</v>
      </c>
      <c r="FY35" s="228" t="e">
        <f t="shared" si="18"/>
        <v>#N/A</v>
      </c>
      <c r="FZ35" s="228" t="e">
        <f t="shared" si="18"/>
        <v>#N/A</v>
      </c>
      <c r="GA35" s="228" t="e">
        <f t="shared" si="18"/>
        <v>#N/A</v>
      </c>
      <c r="GB35" s="228" t="e">
        <f t="shared" si="18"/>
        <v>#N/A</v>
      </c>
      <c r="GC35" s="228" t="e">
        <f t="shared" si="18"/>
        <v>#N/A</v>
      </c>
      <c r="GD35" s="228" t="e">
        <f t="shared" si="18"/>
        <v>#N/A</v>
      </c>
      <c r="GE35" s="228" t="e">
        <f t="shared" si="18"/>
        <v>#N/A</v>
      </c>
      <c r="GF35" s="228" t="e">
        <f t="shared" si="18"/>
        <v>#N/A</v>
      </c>
      <c r="GG35" s="228" t="e">
        <f t="shared" si="18"/>
        <v>#N/A</v>
      </c>
      <c r="GH35" s="228" t="e">
        <f t="shared" si="18"/>
        <v>#N/A</v>
      </c>
      <c r="GI35" s="228" t="e">
        <f t="shared" si="18"/>
        <v>#N/A</v>
      </c>
      <c r="GJ35" s="228" t="e">
        <f t="shared" si="18"/>
        <v>#N/A</v>
      </c>
      <c r="GK35" s="228" t="e">
        <f t="shared" si="18"/>
        <v>#N/A</v>
      </c>
      <c r="GL35" s="228" t="e">
        <f t="shared" si="18"/>
        <v>#N/A</v>
      </c>
      <c r="GM35" s="228" t="e">
        <f t="shared" si="18"/>
        <v>#N/A</v>
      </c>
      <c r="GN35" s="228" t="e">
        <f t="shared" si="18"/>
        <v>#N/A</v>
      </c>
      <c r="GO35" s="228" t="e">
        <f t="shared" si="18"/>
        <v>#N/A</v>
      </c>
      <c r="GP35" s="228" t="e">
        <f t="shared" si="18"/>
        <v>#N/A</v>
      </c>
      <c r="GQ35" s="228" t="e">
        <f t="shared" si="18"/>
        <v>#N/A</v>
      </c>
      <c r="GR35" s="228" t="e">
        <f t="shared" si="18"/>
        <v>#N/A</v>
      </c>
      <c r="GS35" s="228" t="e">
        <f t="shared" si="18"/>
        <v>#N/A</v>
      </c>
      <c r="GT35" s="228" t="e">
        <f t="shared" si="18"/>
        <v>#N/A</v>
      </c>
      <c r="GU35" s="228" t="e">
        <f t="shared" si="18"/>
        <v>#N/A</v>
      </c>
      <c r="GV35" s="228" t="e">
        <f t="shared" si="18"/>
        <v>#N/A</v>
      </c>
      <c r="GW35" s="228" t="e">
        <f t="shared" si="18"/>
        <v>#N/A</v>
      </c>
      <c r="GX35" s="228" t="e">
        <f t="shared" si="18"/>
        <v>#N/A</v>
      </c>
      <c r="GY35" s="228" t="e">
        <f t="shared" si="18"/>
        <v>#N/A</v>
      </c>
      <c r="GZ35" s="228" t="e">
        <f t="shared" si="18"/>
        <v>#N/A</v>
      </c>
      <c r="HA35" s="228" t="e">
        <f t="shared" si="18"/>
        <v>#N/A</v>
      </c>
      <c r="HB35" s="228" t="e">
        <f t="shared" si="18"/>
        <v>#N/A</v>
      </c>
      <c r="HC35" s="228" t="e">
        <f t="shared" ref="HC35:IH35" si="19">HB33</f>
        <v>#N/A</v>
      </c>
      <c r="HD35" s="228" t="e">
        <f t="shared" si="19"/>
        <v>#N/A</v>
      </c>
      <c r="HE35" s="228" t="e">
        <f t="shared" si="19"/>
        <v>#N/A</v>
      </c>
      <c r="HF35" s="228" t="e">
        <f t="shared" si="19"/>
        <v>#N/A</v>
      </c>
      <c r="HG35" s="228" t="e">
        <f t="shared" si="19"/>
        <v>#N/A</v>
      </c>
      <c r="HH35" s="228" t="e">
        <f t="shared" si="19"/>
        <v>#N/A</v>
      </c>
      <c r="HI35" s="228" t="e">
        <f t="shared" si="19"/>
        <v>#N/A</v>
      </c>
      <c r="HJ35" s="228" t="e">
        <f t="shared" si="19"/>
        <v>#N/A</v>
      </c>
      <c r="HK35" s="228" t="e">
        <f t="shared" si="19"/>
        <v>#N/A</v>
      </c>
      <c r="HL35" s="228" t="e">
        <f t="shared" si="19"/>
        <v>#N/A</v>
      </c>
      <c r="HM35" s="228" t="e">
        <f t="shared" si="19"/>
        <v>#N/A</v>
      </c>
      <c r="HN35" s="228" t="e">
        <f t="shared" si="19"/>
        <v>#N/A</v>
      </c>
      <c r="HO35" s="228" t="e">
        <f t="shared" si="19"/>
        <v>#N/A</v>
      </c>
      <c r="HP35" s="228" t="e">
        <f t="shared" si="19"/>
        <v>#N/A</v>
      </c>
      <c r="HQ35" s="228" t="e">
        <f t="shared" si="19"/>
        <v>#N/A</v>
      </c>
      <c r="HR35" s="228" t="e">
        <f t="shared" si="19"/>
        <v>#N/A</v>
      </c>
      <c r="HS35" s="228" t="e">
        <f t="shared" si="19"/>
        <v>#N/A</v>
      </c>
      <c r="HT35" s="228" t="e">
        <f t="shared" si="19"/>
        <v>#N/A</v>
      </c>
      <c r="HU35" s="228" t="e">
        <f t="shared" si="19"/>
        <v>#N/A</v>
      </c>
      <c r="HV35" s="228" t="e">
        <f t="shared" si="19"/>
        <v>#N/A</v>
      </c>
      <c r="HW35" s="228" t="e">
        <f t="shared" si="19"/>
        <v>#N/A</v>
      </c>
      <c r="HX35" s="228" t="e">
        <f t="shared" si="19"/>
        <v>#N/A</v>
      </c>
      <c r="HY35" s="228" t="e">
        <f t="shared" si="19"/>
        <v>#N/A</v>
      </c>
      <c r="HZ35" s="228" t="e">
        <f t="shared" si="19"/>
        <v>#N/A</v>
      </c>
      <c r="IA35" s="228" t="e">
        <f t="shared" si="19"/>
        <v>#N/A</v>
      </c>
      <c r="IB35" s="228" t="e">
        <f t="shared" si="19"/>
        <v>#N/A</v>
      </c>
      <c r="IC35" s="228" t="e">
        <f t="shared" si="19"/>
        <v>#N/A</v>
      </c>
      <c r="ID35" s="228" t="e">
        <f t="shared" si="19"/>
        <v>#N/A</v>
      </c>
      <c r="IE35" s="228" t="e">
        <f t="shared" si="19"/>
        <v>#N/A</v>
      </c>
      <c r="IF35" s="228" t="e">
        <f t="shared" si="19"/>
        <v>#N/A</v>
      </c>
      <c r="IG35" s="228" t="e">
        <f t="shared" si="19"/>
        <v>#N/A</v>
      </c>
      <c r="IH35" s="228" t="e">
        <f t="shared" si="19"/>
        <v>#N/A</v>
      </c>
      <c r="II35" s="228" t="e">
        <f t="shared" ref="II35:IZ35" si="20">IH33</f>
        <v>#N/A</v>
      </c>
      <c r="IJ35" s="228" t="e">
        <f t="shared" si="20"/>
        <v>#N/A</v>
      </c>
      <c r="IK35" s="228" t="e">
        <f t="shared" si="20"/>
        <v>#N/A</v>
      </c>
      <c r="IL35" s="228" t="e">
        <f t="shared" si="20"/>
        <v>#N/A</v>
      </c>
      <c r="IM35" s="228" t="e">
        <f t="shared" si="20"/>
        <v>#N/A</v>
      </c>
      <c r="IN35" s="228" t="e">
        <f t="shared" si="20"/>
        <v>#N/A</v>
      </c>
      <c r="IO35" s="228" t="e">
        <f t="shared" si="20"/>
        <v>#N/A</v>
      </c>
      <c r="IP35" s="228" t="e">
        <f t="shared" si="20"/>
        <v>#N/A</v>
      </c>
      <c r="IQ35" s="228" t="e">
        <f t="shared" si="20"/>
        <v>#N/A</v>
      </c>
      <c r="IR35" s="228" t="e">
        <f t="shared" si="20"/>
        <v>#N/A</v>
      </c>
      <c r="IS35" s="228" t="e">
        <f t="shared" si="20"/>
        <v>#N/A</v>
      </c>
      <c r="IT35" s="228" t="e">
        <f t="shared" si="20"/>
        <v>#N/A</v>
      </c>
      <c r="IU35" s="228" t="e">
        <f t="shared" si="20"/>
        <v>#N/A</v>
      </c>
      <c r="IV35" s="228" t="e">
        <f t="shared" si="20"/>
        <v>#N/A</v>
      </c>
      <c r="IW35" s="228" t="e">
        <f t="shared" si="20"/>
        <v>#N/A</v>
      </c>
      <c r="IX35" s="228" t="e">
        <f t="shared" si="20"/>
        <v>#N/A</v>
      </c>
      <c r="IY35" s="228" t="e">
        <f t="shared" si="20"/>
        <v>#N/A</v>
      </c>
      <c r="IZ35" s="517" t="e">
        <f t="shared" si="20"/>
        <v>#N/A</v>
      </c>
      <c r="JA35" s="518"/>
      <c r="JB35" s="224" t="e">
        <f t="shared" ref="JB35:JK36" si="21">IZ33</f>
        <v>#N/A</v>
      </c>
      <c r="JC35" s="224" t="e">
        <f t="shared" si="21"/>
        <v>#N/A</v>
      </c>
      <c r="JD35" s="224" t="e">
        <f t="shared" si="21"/>
        <v>#N/A</v>
      </c>
      <c r="JE35" s="224" t="e">
        <f t="shared" si="21"/>
        <v>#N/A</v>
      </c>
      <c r="JF35" s="224" t="e">
        <f t="shared" si="21"/>
        <v>#N/A</v>
      </c>
      <c r="JG35" s="224" t="e">
        <f t="shared" si="21"/>
        <v>#N/A</v>
      </c>
      <c r="JH35" s="224" t="e">
        <f t="shared" si="21"/>
        <v>#N/A</v>
      </c>
      <c r="JI35" s="224" t="e">
        <f t="shared" si="21"/>
        <v>#N/A</v>
      </c>
      <c r="JJ35" s="224" t="e">
        <f t="shared" si="21"/>
        <v>#N/A</v>
      </c>
      <c r="JK35" s="224" t="e">
        <f t="shared" si="21"/>
        <v>#N/A</v>
      </c>
      <c r="JL35" s="224" t="e">
        <f t="shared" ref="JL35:JU36" si="22">JJ33</f>
        <v>#N/A</v>
      </c>
      <c r="JM35" s="224" t="e">
        <f t="shared" si="22"/>
        <v>#N/A</v>
      </c>
      <c r="JN35" s="224" t="e">
        <f t="shared" si="22"/>
        <v>#N/A</v>
      </c>
      <c r="JO35" s="224" t="e">
        <f t="shared" si="22"/>
        <v>#N/A</v>
      </c>
      <c r="JP35" s="224" t="e">
        <f t="shared" si="22"/>
        <v>#N/A</v>
      </c>
      <c r="JQ35" s="224" t="e">
        <f t="shared" si="22"/>
        <v>#N/A</v>
      </c>
      <c r="JR35" s="224" t="e">
        <f t="shared" si="22"/>
        <v>#N/A</v>
      </c>
      <c r="JS35" s="224" t="e">
        <f t="shared" si="22"/>
        <v>#N/A</v>
      </c>
      <c r="JT35" s="224" t="e">
        <f t="shared" si="22"/>
        <v>#N/A</v>
      </c>
      <c r="JU35" s="224" t="e">
        <f t="shared" si="22"/>
        <v>#N/A</v>
      </c>
      <c r="JV35" s="224" t="e">
        <f t="shared" ref="JV35:JX36" si="23">JT33</f>
        <v>#N/A</v>
      </c>
      <c r="JW35" s="224" t="e">
        <f t="shared" si="23"/>
        <v>#N/A</v>
      </c>
      <c r="JX35" s="224" t="e">
        <f t="shared" si="23"/>
        <v>#N/A</v>
      </c>
      <c r="KC35" s="33"/>
      <c r="PA35" s="11"/>
    </row>
    <row r="36" spans="1:417" ht="15.75" x14ac:dyDescent="0.3">
      <c r="C36" s="105"/>
      <c r="D36" s="233" t="s">
        <v>136</v>
      </c>
      <c r="E36" s="136">
        <f>E34</f>
        <v>20</v>
      </c>
      <c r="F36" s="136">
        <f t="shared" si="12"/>
        <v>9</v>
      </c>
      <c r="G36" s="136">
        <f t="shared" si="12"/>
        <v>18</v>
      </c>
      <c r="H36" s="136">
        <f t="shared" si="12"/>
        <v>15</v>
      </c>
      <c r="I36" s="136">
        <f t="shared" si="12"/>
        <v>12</v>
      </c>
      <c r="J36" s="136">
        <f t="shared" si="12"/>
        <v>4</v>
      </c>
      <c r="K36" s="136">
        <f t="shared" si="12"/>
        <v>25</v>
      </c>
      <c r="L36" s="136">
        <f t="shared" si="12"/>
        <v>18</v>
      </c>
      <c r="M36" s="136">
        <f t="shared" si="12"/>
        <v>4</v>
      </c>
      <c r="N36" s="136">
        <f t="shared" si="12"/>
        <v>4</v>
      </c>
      <c r="O36" s="136">
        <f t="shared" si="12"/>
        <v>19</v>
      </c>
      <c r="P36" s="136">
        <f t="shared" si="12"/>
        <v>15</v>
      </c>
      <c r="Q36" s="136">
        <f t="shared" si="12"/>
        <v>1</v>
      </c>
      <c r="R36" s="136">
        <f t="shared" si="12"/>
        <v>5</v>
      </c>
      <c r="S36" s="136">
        <f t="shared" si="12"/>
        <v>15</v>
      </c>
      <c r="T36" s="136">
        <f t="shared" si="12"/>
        <v>7</v>
      </c>
      <c r="U36" s="136">
        <f t="shared" si="12"/>
        <v>5</v>
      </c>
      <c r="V36" s="136">
        <f t="shared" si="12"/>
        <v>20</v>
      </c>
      <c r="W36" s="136">
        <f t="shared" si="12"/>
        <v>9</v>
      </c>
      <c r="X36" s="136">
        <f t="shared" si="12"/>
        <v>19</v>
      </c>
      <c r="Y36" s="136">
        <f t="shared" si="12"/>
        <v>8</v>
      </c>
      <c r="Z36" s="136">
        <f t="shared" si="12"/>
        <v>9</v>
      </c>
      <c r="AA36" s="136">
        <f t="shared" si="12"/>
        <v>5</v>
      </c>
      <c r="AB36" s="136">
        <f t="shared" ref="AB36:BG36" si="24">AB34</f>
        <v>3</v>
      </c>
      <c r="AC36" s="136">
        <f t="shared" si="24"/>
        <v>12</v>
      </c>
      <c r="AD36" s="136">
        <f t="shared" si="24"/>
        <v>9</v>
      </c>
      <c r="AE36" s="136">
        <f t="shared" si="24"/>
        <v>8</v>
      </c>
      <c r="AF36" s="136">
        <f t="shared" si="24"/>
        <v>4</v>
      </c>
      <c r="AG36" s="136">
        <f t="shared" si="24"/>
        <v>4</v>
      </c>
      <c r="AH36" s="136">
        <f t="shared" si="24"/>
        <v>20</v>
      </c>
      <c r="AI36" s="136">
        <f t="shared" si="24"/>
        <v>3</v>
      </c>
      <c r="AJ36" s="136">
        <f t="shared" si="24"/>
        <v>5</v>
      </c>
      <c r="AK36" s="136">
        <f t="shared" si="24"/>
        <v>1</v>
      </c>
      <c r="AL36" s="136">
        <f t="shared" si="24"/>
        <v>2</v>
      </c>
      <c r="AM36" s="136">
        <f t="shared" si="24"/>
        <v>5</v>
      </c>
      <c r="AN36" s="136">
        <f t="shared" si="24"/>
        <v>6</v>
      </c>
      <c r="AO36" s="136">
        <f t="shared" si="24"/>
        <v>23</v>
      </c>
      <c r="AP36" s="136">
        <f t="shared" si="24"/>
        <v>5</v>
      </c>
      <c r="AQ36" s="136">
        <f t="shared" si="24"/>
        <v>9</v>
      </c>
      <c r="AR36" s="136">
        <f t="shared" si="24"/>
        <v>18</v>
      </c>
      <c r="AS36" s="136">
        <f t="shared" si="24"/>
        <v>7</v>
      </c>
      <c r="AT36" s="136">
        <f t="shared" si="24"/>
        <v>1</v>
      </c>
      <c r="AU36" s="136">
        <f t="shared" si="24"/>
        <v>15</v>
      </c>
      <c r="AV36" s="136">
        <f t="shared" si="24"/>
        <v>18</v>
      </c>
      <c r="AW36" s="136">
        <f t="shared" si="24"/>
        <v>5</v>
      </c>
      <c r="AX36" s="136">
        <f t="shared" si="24"/>
        <v>9</v>
      </c>
      <c r="AY36" s="136">
        <f t="shared" si="24"/>
        <v>16</v>
      </c>
      <c r="AZ36" s="136">
        <f t="shared" si="24"/>
        <v>23</v>
      </c>
      <c r="BA36" s="136">
        <f t="shared" si="24"/>
        <v>5</v>
      </c>
      <c r="BB36" s="136">
        <f t="shared" si="24"/>
        <v>20</v>
      </c>
      <c r="BC36" s="136">
        <f t="shared" si="24"/>
        <v>19</v>
      </c>
      <c r="BD36" s="136">
        <f t="shared" si="24"/>
        <v>13</v>
      </c>
      <c r="BE36" s="136">
        <f t="shared" si="24"/>
        <v>20</v>
      </c>
      <c r="BF36" s="136">
        <f t="shared" si="24"/>
        <v>20</v>
      </c>
      <c r="BG36" s="136">
        <f t="shared" si="24"/>
        <v>8</v>
      </c>
      <c r="BH36" s="136">
        <f t="shared" ref="BH36:CM36" si="25">BH34</f>
        <v>1</v>
      </c>
      <c r="BI36" s="136">
        <f t="shared" si="25"/>
        <v>1</v>
      </c>
      <c r="BJ36" s="136">
        <f t="shared" si="25"/>
        <v>9</v>
      </c>
      <c r="BK36" s="136">
        <f t="shared" si="25"/>
        <v>14</v>
      </c>
      <c r="BL36" s="136">
        <f t="shared" si="25"/>
        <v>4</v>
      </c>
      <c r="BM36" s="136">
        <f t="shared" si="25"/>
        <v>4</v>
      </c>
      <c r="BN36" s="136">
        <f t="shared" si="25"/>
        <v>5</v>
      </c>
      <c r="BO36" s="136">
        <f t="shared" si="25"/>
        <v>19</v>
      </c>
      <c r="BP36" s="136">
        <f t="shared" si="25"/>
        <v>2</v>
      </c>
      <c r="BQ36" s="136">
        <f t="shared" si="25"/>
        <v>9</v>
      </c>
      <c r="BR36" s="136">
        <f t="shared" si="25"/>
        <v>20</v>
      </c>
      <c r="BS36" s="136">
        <f t="shared" si="25"/>
        <v>18</v>
      </c>
      <c r="BT36" s="136">
        <f t="shared" si="25"/>
        <v>14</v>
      </c>
      <c r="BU36" s="136">
        <f t="shared" si="25"/>
        <v>20</v>
      </c>
      <c r="BV36" s="136">
        <f t="shared" si="25"/>
        <v>18</v>
      </c>
      <c r="BW36" s="136">
        <f t="shared" si="25"/>
        <v>5</v>
      </c>
      <c r="BX36" s="136">
        <f t="shared" si="25"/>
        <v>5</v>
      </c>
      <c r="BY36" s="136">
        <f t="shared" si="25"/>
        <v>1</v>
      </c>
      <c r="BZ36" s="136">
        <f t="shared" si="25"/>
        <v>13</v>
      </c>
      <c r="CA36" s="136">
        <f t="shared" si="25"/>
        <v>18</v>
      </c>
      <c r="CB36" s="136">
        <f t="shared" si="25"/>
        <v>1</v>
      </c>
      <c r="CC36" s="136">
        <f t="shared" si="25"/>
        <v>15</v>
      </c>
      <c r="CD36" s="136">
        <f t="shared" si="25"/>
        <v>20</v>
      </c>
      <c r="CE36" s="136">
        <f t="shared" si="25"/>
        <v>15</v>
      </c>
      <c r="CF36" s="136">
        <f t="shared" si="25"/>
        <v>5</v>
      </c>
      <c r="CG36" s="136">
        <f t="shared" si="25"/>
        <v>1</v>
      </c>
      <c r="CH36" s="136">
        <f t="shared" si="25"/>
        <v>21</v>
      </c>
      <c r="CI36" s="136">
        <f t="shared" si="25"/>
        <v>20</v>
      </c>
      <c r="CJ36" s="136">
        <f t="shared" si="25"/>
        <v>5</v>
      </c>
      <c r="CK36" s="136">
        <f t="shared" si="25"/>
        <v>21</v>
      </c>
      <c r="CL36" s="136">
        <f t="shared" si="25"/>
        <v>20</v>
      </c>
      <c r="CM36" s="136">
        <f t="shared" si="25"/>
        <v>15</v>
      </c>
      <c r="CN36" s="136">
        <f t="shared" ref="CN36:DS36" si="26">CN34</f>
        <v>9</v>
      </c>
      <c r="CO36" s="136">
        <f t="shared" si="26"/>
        <v>6</v>
      </c>
      <c r="CP36" s="136">
        <f t="shared" si="26"/>
        <v>19</v>
      </c>
      <c r="CQ36" s="136">
        <f t="shared" si="26"/>
        <v>1</v>
      </c>
      <c r="CR36" s="136">
        <f t="shared" si="26"/>
        <v>15</v>
      </c>
      <c r="CS36" s="136">
        <f t="shared" si="26"/>
        <v>6</v>
      </c>
      <c r="CT36" s="136">
        <f t="shared" si="26"/>
        <v>5</v>
      </c>
      <c r="CU36" s="136">
        <f t="shared" si="26"/>
        <v>5</v>
      </c>
      <c r="CV36" s="136">
        <f t="shared" si="26"/>
        <v>20</v>
      </c>
      <c r="CW36" s="136">
        <f t="shared" si="26"/>
        <v>2</v>
      </c>
      <c r="CX36" s="136">
        <f t="shared" si="26"/>
        <v>12</v>
      </c>
      <c r="CY36" s="136">
        <f t="shared" si="26"/>
        <v>18</v>
      </c>
      <c r="CZ36" s="136">
        <f t="shared" si="26"/>
        <v>5</v>
      </c>
      <c r="DA36" s="136">
        <f t="shared" si="26"/>
        <v>5</v>
      </c>
      <c r="DB36" s="136">
        <f t="shared" si="26"/>
        <v>25</v>
      </c>
      <c r="DC36" s="136">
        <f t="shared" si="26"/>
        <v>7</v>
      </c>
      <c r="DD36" s="136">
        <f t="shared" si="26"/>
        <v>5</v>
      </c>
      <c r="DE36" s="136">
        <f t="shared" si="26"/>
        <v>20</v>
      </c>
      <c r="DF36" s="136">
        <f t="shared" si="26"/>
        <v>1</v>
      </c>
      <c r="DG36" s="136">
        <f t="shared" si="26"/>
        <v>13</v>
      </c>
      <c r="DH36" s="136">
        <f t="shared" si="26"/>
        <v>1</v>
      </c>
      <c r="DI36" s="136">
        <f t="shared" si="26"/>
        <v>20</v>
      </c>
      <c r="DJ36" s="136">
        <f t="shared" si="26"/>
        <v>1</v>
      </c>
      <c r="DK36" s="136">
        <f t="shared" si="26"/>
        <v>14</v>
      </c>
      <c r="DL36" s="136">
        <f t="shared" si="26"/>
        <v>5</v>
      </c>
      <c r="DM36" s="136">
        <f t="shared" si="26"/>
        <v>23</v>
      </c>
      <c r="DN36" s="136">
        <f t="shared" si="26"/>
        <v>5</v>
      </c>
      <c r="DO36" s="136">
        <f t="shared" si="26"/>
        <v>8</v>
      </c>
      <c r="DP36" s="136">
        <f t="shared" si="26"/>
        <v>8</v>
      </c>
      <c r="DQ36" s="136">
        <f t="shared" si="26"/>
        <v>13</v>
      </c>
      <c r="DR36" s="136">
        <f t="shared" si="26"/>
        <v>1</v>
      </c>
      <c r="DS36" s="136">
        <f t="shared" si="26"/>
        <v>16</v>
      </c>
      <c r="DT36" s="136">
        <f t="shared" ref="DT36:EO36" si="27">DT34</f>
        <v>19</v>
      </c>
      <c r="DU36" s="136">
        <f t="shared" si="27"/>
        <v>18</v>
      </c>
      <c r="DV36" s="136">
        <f t="shared" si="27"/>
        <v>2</v>
      </c>
      <c r="DW36" s="136">
        <f t="shared" si="27"/>
        <v>20</v>
      </c>
      <c r="DX36" s="136">
        <f t="shared" si="27"/>
        <v>6</v>
      </c>
      <c r="DY36" s="136">
        <f t="shared" si="27"/>
        <v>9</v>
      </c>
      <c r="DZ36" s="136">
        <f t="shared" si="27"/>
        <v>5</v>
      </c>
      <c r="EA36" s="136">
        <f t="shared" si="27"/>
        <v>18</v>
      </c>
      <c r="EB36" s="136">
        <f t="shared" si="27"/>
        <v>3</v>
      </c>
      <c r="EC36" s="136">
        <f t="shared" si="27"/>
        <v>25</v>
      </c>
      <c r="ED36" s="136">
        <f t="shared" si="27"/>
        <v>1</v>
      </c>
      <c r="EE36" s="136">
        <f t="shared" si="27"/>
        <v>20</v>
      </c>
      <c r="EF36" s="136">
        <f t="shared" si="27"/>
        <v>3</v>
      </c>
      <c r="EG36" s="136">
        <f t="shared" si="27"/>
        <v>14</v>
      </c>
      <c r="EH36" s="136">
        <f t="shared" si="27"/>
        <v>5</v>
      </c>
      <c r="EI36" s="136">
        <f t="shared" si="27"/>
        <v>5</v>
      </c>
      <c r="EJ36" s="136">
        <f t="shared" si="27"/>
        <v>8</v>
      </c>
      <c r="EK36" s="136">
        <f t="shared" si="27"/>
        <v>17</v>
      </c>
      <c r="EL36" s="136">
        <f t="shared" si="27"/>
        <v>25</v>
      </c>
      <c r="EM36" s="136">
        <f t="shared" si="27"/>
        <v>5</v>
      </c>
      <c r="EN36" s="136">
        <f t="shared" si="27"/>
        <v>20</v>
      </c>
      <c r="EO36" s="136">
        <f t="shared" si="27"/>
        <v>25</v>
      </c>
      <c r="EP36" s="279"/>
      <c r="EQ36" s="221">
        <f t="shared" ref="EQ36:FV36" si="28">EP34</f>
        <v>15</v>
      </c>
      <c r="ER36" s="221">
        <f t="shared" si="28"/>
        <v>9</v>
      </c>
      <c r="ES36" s="221">
        <f t="shared" si="28"/>
        <v>5</v>
      </c>
      <c r="ET36" s="221">
        <f t="shared" si="28"/>
        <v>1</v>
      </c>
      <c r="EU36" s="221">
        <f t="shared" si="28"/>
        <v>8</v>
      </c>
      <c r="EV36" s="221">
        <f t="shared" si="28"/>
        <v>14</v>
      </c>
      <c r="EW36" s="221">
        <f t="shared" si="28"/>
        <v>5</v>
      </c>
      <c r="EX36" s="221">
        <f t="shared" si="28"/>
        <v>23</v>
      </c>
      <c r="EY36" s="221">
        <f t="shared" si="28"/>
        <v>9</v>
      </c>
      <c r="EZ36" s="221">
        <f t="shared" si="28"/>
        <v>20</v>
      </c>
      <c r="FA36" s="221">
        <f t="shared" si="28"/>
        <v>4</v>
      </c>
      <c r="FB36" s="221">
        <f t="shared" si="28"/>
        <v>5</v>
      </c>
      <c r="FC36" s="221">
        <f t="shared" si="28"/>
        <v>19</v>
      </c>
      <c r="FD36" s="221">
        <f t="shared" si="28"/>
        <v>12</v>
      </c>
      <c r="FE36" s="221">
        <f t="shared" si="28"/>
        <v>15</v>
      </c>
      <c r="FF36" s="221">
        <f t="shared" si="28"/>
        <v>6</v>
      </c>
      <c r="FG36" s="221">
        <f t="shared" si="28"/>
        <v>20</v>
      </c>
      <c r="FH36" s="221">
        <f t="shared" si="28"/>
        <v>5</v>
      </c>
      <c r="FI36" s="221">
        <f t="shared" si="28"/>
        <v>15</v>
      </c>
      <c r="FJ36" s="221">
        <f t="shared" si="28"/>
        <v>5</v>
      </c>
      <c r="FK36" s="221">
        <f t="shared" si="28"/>
        <v>1</v>
      </c>
      <c r="FL36" s="221">
        <f t="shared" si="28"/>
        <v>8</v>
      </c>
      <c r="FM36" s="221">
        <f t="shared" si="28"/>
        <v>14</v>
      </c>
      <c r="FN36" s="221">
        <f t="shared" si="28"/>
        <v>20</v>
      </c>
      <c r="FO36" s="221">
        <f t="shared" si="28"/>
        <v>5</v>
      </c>
      <c r="FP36" s="221">
        <f t="shared" si="28"/>
        <v>18</v>
      </c>
      <c r="FQ36" s="221">
        <f t="shared" si="28"/>
        <v>4</v>
      </c>
      <c r="FR36" s="221">
        <f t="shared" si="28"/>
        <v>21</v>
      </c>
      <c r="FS36" s="221">
        <f t="shared" si="28"/>
        <v>5</v>
      </c>
      <c r="FT36" s="221">
        <f t="shared" si="28"/>
        <v>14</v>
      </c>
      <c r="FU36" s="221">
        <f t="shared" si="28"/>
        <v>5</v>
      </c>
      <c r="FV36" s="221">
        <f t="shared" si="28"/>
        <v>20</v>
      </c>
      <c r="FW36" s="221">
        <f t="shared" ref="FW36:HB36" si="29">FV34</f>
        <v>3</v>
      </c>
      <c r="FX36" s="221">
        <f t="shared" si="29"/>
        <v>8</v>
      </c>
      <c r="FY36" s="221">
        <f t="shared" si="29"/>
        <v>1</v>
      </c>
      <c r="FZ36" s="221">
        <f>FY34</f>
        <v>18</v>
      </c>
      <c r="GA36" s="221">
        <f t="shared" si="29"/>
        <v>14</v>
      </c>
      <c r="GB36" s="221">
        <f t="shared" si="29"/>
        <v>5</v>
      </c>
      <c r="GC36" s="221">
        <f t="shared" si="29"/>
        <v>5</v>
      </c>
      <c r="GD36" s="221">
        <f t="shared" si="29"/>
        <v>20</v>
      </c>
      <c r="GE36" s="221">
        <f t="shared" si="29"/>
        <v>9</v>
      </c>
      <c r="GF36" s="221">
        <f t="shared" si="29"/>
        <v>4</v>
      </c>
      <c r="GG36" s="221">
        <f t="shared" si="29"/>
        <v>14</v>
      </c>
      <c r="GH36" s="221">
        <f t="shared" si="29"/>
        <v>23</v>
      </c>
      <c r="GI36" s="221">
        <f t="shared" si="29"/>
        <v>20</v>
      </c>
      <c r="GJ36" s="221">
        <f t="shared" si="29"/>
        <v>13</v>
      </c>
      <c r="GK36" s="221">
        <f t="shared" si="29"/>
        <v>23</v>
      </c>
      <c r="GL36" s="221">
        <f t="shared" si="29"/>
        <v>5</v>
      </c>
      <c r="GM36" s="221">
        <f t="shared" si="29"/>
        <v>1</v>
      </c>
      <c r="GN36" s="221">
        <f t="shared" si="29"/>
        <v>3</v>
      </c>
      <c r="GO36" s="221">
        <f t="shared" si="29"/>
        <v>1</v>
      </c>
      <c r="GP36" s="221">
        <f t="shared" si="29"/>
        <v>9</v>
      </c>
      <c r="GQ36" s="221">
        <f t="shared" si="29"/>
        <v>9</v>
      </c>
      <c r="GR36" s="221">
        <f t="shared" si="29"/>
        <v>16</v>
      </c>
      <c r="GS36" s="221">
        <f t="shared" si="29"/>
        <v>12</v>
      </c>
      <c r="GT36" s="221">
        <f t="shared" si="29"/>
        <v>2</v>
      </c>
      <c r="GU36" s="221">
        <f t="shared" si="29"/>
        <v>5</v>
      </c>
      <c r="GV36" s="221">
        <f t="shared" si="29"/>
        <v>12</v>
      </c>
      <c r="GW36" s="221">
        <f t="shared" si="29"/>
        <v>5</v>
      </c>
      <c r="GX36" s="221">
        <f t="shared" si="29"/>
        <v>14</v>
      </c>
      <c r="GY36" s="221">
        <f t="shared" si="29"/>
        <v>14</v>
      </c>
      <c r="GZ36" s="221">
        <f t="shared" si="29"/>
        <v>12</v>
      </c>
      <c r="HA36" s="221">
        <f t="shared" si="29"/>
        <v>19</v>
      </c>
      <c r="HB36" s="221">
        <f t="shared" si="29"/>
        <v>5</v>
      </c>
      <c r="HC36" s="221">
        <f t="shared" ref="HC36:IH36" si="30">HB34</f>
        <v>16</v>
      </c>
      <c r="HD36" s="221">
        <f t="shared" si="30"/>
        <v>18</v>
      </c>
      <c r="HE36" s="221">
        <f t="shared" si="30"/>
        <v>1</v>
      </c>
      <c r="HF36" s="221">
        <f t="shared" si="30"/>
        <v>18</v>
      </c>
      <c r="HG36" s="221">
        <f t="shared" si="30"/>
        <v>14</v>
      </c>
      <c r="HH36" s="221">
        <f t="shared" si="30"/>
        <v>8</v>
      </c>
      <c r="HI36" s="221">
        <f t="shared" si="30"/>
        <v>9</v>
      </c>
      <c r="HJ36" s="221">
        <f t="shared" si="30"/>
        <v>20</v>
      </c>
      <c r="HK36" s="221">
        <f t="shared" si="30"/>
        <v>1</v>
      </c>
      <c r="HL36" s="221">
        <f t="shared" si="30"/>
        <v>7</v>
      </c>
      <c r="HM36" s="221">
        <f t="shared" si="30"/>
        <v>14</v>
      </c>
      <c r="HN36" s="221">
        <f t="shared" si="30"/>
        <v>18</v>
      </c>
      <c r="HO36" s="221">
        <f t="shared" si="30"/>
        <v>16</v>
      </c>
      <c r="HP36" s="221">
        <f t="shared" si="30"/>
        <v>20</v>
      </c>
      <c r="HQ36" s="221">
        <f t="shared" si="30"/>
        <v>5</v>
      </c>
      <c r="HR36" s="221">
        <f t="shared" si="30"/>
        <v>14</v>
      </c>
      <c r="HS36" s="221">
        <f t="shared" si="30"/>
        <v>13</v>
      </c>
      <c r="HT36" s="221">
        <f t="shared" si="30"/>
        <v>24</v>
      </c>
      <c r="HU36" s="221">
        <f t="shared" si="30"/>
        <v>23</v>
      </c>
      <c r="HV36" s="221">
        <f t="shared" si="30"/>
        <v>18</v>
      </c>
      <c r="HW36" s="221">
        <f t="shared" si="30"/>
        <v>13</v>
      </c>
      <c r="HX36" s="221">
        <f t="shared" si="30"/>
        <v>19</v>
      </c>
      <c r="HY36" s="221">
        <f t="shared" si="30"/>
        <v>15</v>
      </c>
      <c r="HZ36" s="221">
        <f t="shared" si="30"/>
        <v>14</v>
      </c>
      <c r="IA36" s="221">
        <f t="shared" si="30"/>
        <v>19</v>
      </c>
      <c r="IB36" s="221">
        <f t="shared" si="30"/>
        <v>8</v>
      </c>
      <c r="IC36" s="221">
        <f t="shared" si="30"/>
        <v>15</v>
      </c>
      <c r="ID36" s="221">
        <f t="shared" si="30"/>
        <v>14</v>
      </c>
      <c r="IE36" s="221">
        <f t="shared" si="30"/>
        <v>12</v>
      </c>
      <c r="IF36" s="221">
        <f t="shared" si="30"/>
        <v>12</v>
      </c>
      <c r="IG36" s="221">
        <f t="shared" si="30"/>
        <v>19</v>
      </c>
      <c r="IH36" s="221">
        <f t="shared" si="30"/>
        <v>12</v>
      </c>
      <c r="II36" s="221">
        <f t="shared" ref="II36:IZ36" si="31">IH34</f>
        <v>12</v>
      </c>
      <c r="IJ36" s="221">
        <f t="shared" si="31"/>
        <v>19</v>
      </c>
      <c r="IK36" s="221">
        <f t="shared" si="31"/>
        <v>4</v>
      </c>
      <c r="IL36" s="221">
        <f t="shared" si="31"/>
        <v>12</v>
      </c>
      <c r="IM36" s="221">
        <f t="shared" si="31"/>
        <v>21</v>
      </c>
      <c r="IN36" s="221">
        <f t="shared" si="31"/>
        <v>25</v>
      </c>
      <c r="IO36" s="221">
        <f t="shared" si="31"/>
        <v>5</v>
      </c>
      <c r="IP36" s="221">
        <f t="shared" si="31"/>
        <v>18</v>
      </c>
      <c r="IQ36" s="221">
        <f t="shared" si="31"/>
        <v>14</v>
      </c>
      <c r="IR36" s="221">
        <f t="shared" si="31"/>
        <v>20</v>
      </c>
      <c r="IS36" s="221">
        <f t="shared" si="31"/>
        <v>8</v>
      </c>
      <c r="IT36" s="221">
        <f t="shared" si="31"/>
        <v>3</v>
      </c>
      <c r="IU36" s="221">
        <f t="shared" si="31"/>
        <v>1</v>
      </c>
      <c r="IV36" s="221">
        <f t="shared" si="31"/>
        <v>9</v>
      </c>
      <c r="IW36" s="221">
        <f t="shared" si="31"/>
        <v>1</v>
      </c>
      <c r="IX36" s="221">
        <f t="shared" si="31"/>
        <v>14</v>
      </c>
      <c r="IY36" s="221">
        <f t="shared" si="31"/>
        <v>8</v>
      </c>
      <c r="IZ36" s="221">
        <f t="shared" si="31"/>
        <v>19</v>
      </c>
      <c r="JA36" s="279"/>
      <c r="JB36" s="219">
        <f t="shared" si="21"/>
        <v>25</v>
      </c>
      <c r="JC36" s="219">
        <f t="shared" si="21"/>
        <v>4</v>
      </c>
      <c r="JD36" s="219">
        <f t="shared" si="21"/>
        <v>9</v>
      </c>
      <c r="JE36" s="219">
        <f t="shared" si="21"/>
        <v>2</v>
      </c>
      <c r="JF36" s="219">
        <f t="shared" si="21"/>
        <v>9</v>
      </c>
      <c r="JG36" s="219">
        <f t="shared" si="21"/>
        <v>15</v>
      </c>
      <c r="JH36" s="219">
        <f t="shared" si="21"/>
        <v>5</v>
      </c>
      <c r="JI36" s="219">
        <f t="shared" si="21"/>
        <v>20</v>
      </c>
      <c r="JJ36" s="219">
        <f t="shared" si="21"/>
        <v>16</v>
      </c>
      <c r="JK36" s="219">
        <f t="shared" si="21"/>
        <v>3</v>
      </c>
      <c r="JL36" s="219">
        <f t="shared" si="22"/>
        <v>15</v>
      </c>
      <c r="JM36" s="219">
        <f t="shared" si="22"/>
        <v>5</v>
      </c>
      <c r="JN36" s="219">
        <f t="shared" si="22"/>
        <v>8</v>
      </c>
      <c r="JO36" s="219">
        <f t="shared" si="22"/>
        <v>18</v>
      </c>
      <c r="JP36" s="219">
        <f t="shared" si="22"/>
        <v>19</v>
      </c>
      <c r="JQ36" s="219">
        <f t="shared" si="22"/>
        <v>12</v>
      </c>
      <c r="JR36" s="219">
        <f t="shared" si="22"/>
        <v>14</v>
      </c>
      <c r="JS36" s="219">
        <f t="shared" si="22"/>
        <v>8</v>
      </c>
      <c r="JT36" s="219">
        <f t="shared" si="22"/>
        <v>15</v>
      </c>
      <c r="JU36" s="219">
        <f t="shared" si="22"/>
        <v>18</v>
      </c>
      <c r="JV36" s="219">
        <f t="shared" si="23"/>
        <v>8</v>
      </c>
      <c r="JW36" s="219">
        <f t="shared" si="23"/>
        <v>1</v>
      </c>
      <c r="JX36" s="219">
        <f t="shared" si="23"/>
        <v>25</v>
      </c>
      <c r="KC36" s="33"/>
      <c r="PA36" s="11"/>
    </row>
    <row r="37" spans="1:417" ht="15.75" x14ac:dyDescent="0.3">
      <c r="D37" s="10"/>
      <c r="E37" s="41"/>
      <c r="F37" s="41"/>
      <c r="G37" s="41"/>
      <c r="H37" s="41"/>
      <c r="I37" s="41"/>
      <c r="J37" s="41"/>
      <c r="K37" s="41"/>
      <c r="L37" s="41"/>
      <c r="M37" s="41"/>
      <c r="N37" s="41"/>
      <c r="O37" s="41"/>
      <c r="P37" s="41"/>
      <c r="Q37" s="41"/>
      <c r="R37" s="41"/>
      <c r="S37" s="41"/>
      <c r="T37" s="41"/>
      <c r="U37" s="41"/>
      <c r="V37" s="41"/>
      <c r="W37" s="41"/>
      <c r="X37" s="41"/>
      <c r="Y37" s="41"/>
      <c r="Z37" s="41"/>
      <c r="AA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1"/>
      <c r="BZ37" s="41"/>
      <c r="CA37" s="41"/>
      <c r="CB37" s="41"/>
      <c r="CC37" s="41"/>
      <c r="CD37" s="41"/>
      <c r="CE37" s="41"/>
      <c r="CF37" s="41"/>
      <c r="CG37" s="41"/>
      <c r="CH37" s="41"/>
      <c r="CI37" s="41"/>
      <c r="CJ37" s="41"/>
      <c r="CK37" s="41"/>
      <c r="CL37" s="41"/>
      <c r="CM37" s="41"/>
      <c r="CN37" s="41"/>
      <c r="CO37" s="41"/>
      <c r="CP37" s="41"/>
      <c r="CQ37" s="41"/>
      <c r="CR37" s="41"/>
      <c r="CS37" s="41"/>
      <c r="CT37" s="41"/>
      <c r="CU37" s="41"/>
      <c r="CV37" s="41"/>
      <c r="CW37" s="41"/>
      <c r="CX37" s="41"/>
      <c r="CY37" s="41"/>
      <c r="CZ37" s="41"/>
      <c r="DA37" s="41"/>
      <c r="DB37" s="41"/>
      <c r="DC37" s="41"/>
      <c r="DD37" s="41"/>
      <c r="DE37" s="41"/>
      <c r="DF37" s="41"/>
      <c r="DG37" s="41"/>
      <c r="DH37" s="41"/>
      <c r="DI37" s="41"/>
      <c r="DJ37" s="41"/>
      <c r="DK37" s="41"/>
      <c r="DL37" s="41"/>
      <c r="DM37" s="41"/>
      <c r="DN37" s="41"/>
      <c r="DO37" s="41"/>
      <c r="DP37" s="41"/>
      <c r="DQ37" s="41"/>
      <c r="DR37" s="41"/>
      <c r="DS37" s="41"/>
      <c r="DT37" s="41"/>
      <c r="DU37" s="41"/>
      <c r="DV37" s="41"/>
      <c r="DW37" s="41"/>
      <c r="DX37" s="41"/>
      <c r="DY37" s="41"/>
      <c r="DZ37" s="41"/>
      <c r="EA37" s="41"/>
      <c r="EB37" s="41"/>
      <c r="EC37" s="41"/>
      <c r="ED37" s="41"/>
      <c r="EE37" s="41"/>
      <c r="EF37" s="41"/>
      <c r="EG37" s="41"/>
      <c r="EH37" s="41"/>
      <c r="EI37" s="41"/>
      <c r="EJ37" s="41"/>
      <c r="EK37" s="41"/>
      <c r="EN37" s="41"/>
      <c r="EO37" s="41"/>
      <c r="EP37" s="41"/>
      <c r="ER37" s="41"/>
      <c r="ES37" s="41"/>
      <c r="ET37" s="41"/>
      <c r="EU37" s="41"/>
      <c r="EV37" s="41"/>
      <c r="EW37" s="41"/>
      <c r="EX37" s="41"/>
      <c r="EY37" s="41"/>
      <c r="EZ37" s="41"/>
      <c r="FA37" s="41"/>
      <c r="FB37" s="41"/>
      <c r="FC37" s="41"/>
      <c r="FD37" s="41"/>
      <c r="FE37" s="41"/>
      <c r="FF37" s="41"/>
      <c r="FG37" s="41"/>
      <c r="FH37" s="41"/>
      <c r="FI37" s="41"/>
      <c r="FJ37" s="41"/>
      <c r="FK37" s="41"/>
      <c r="FL37" s="41"/>
      <c r="FM37" s="41"/>
      <c r="FN37" s="41"/>
      <c r="FO37" s="41"/>
      <c r="FP37" s="41"/>
      <c r="FQ37" s="41"/>
      <c r="FR37" s="41"/>
      <c r="FS37" s="41"/>
      <c r="FT37" s="41"/>
      <c r="FU37" s="41"/>
      <c r="FV37" s="41"/>
      <c r="FW37" s="41"/>
      <c r="FX37" s="41"/>
      <c r="FY37" s="41"/>
      <c r="FZ37" s="41"/>
      <c r="GA37" s="41"/>
      <c r="GB37" s="41"/>
      <c r="GC37" s="41"/>
      <c r="GD37" s="41"/>
      <c r="GE37" s="41"/>
      <c r="GF37" s="41"/>
      <c r="GG37" s="41"/>
      <c r="GH37" s="41"/>
      <c r="GI37" s="41"/>
      <c r="GJ37" s="41"/>
      <c r="GK37" s="41"/>
      <c r="GL37" s="41"/>
      <c r="GM37" s="41"/>
      <c r="GN37" s="41"/>
      <c r="GO37" s="41"/>
      <c r="GP37" s="41"/>
      <c r="GQ37" s="41"/>
      <c r="GR37" s="41"/>
      <c r="GS37" s="41"/>
      <c r="GT37" s="41"/>
      <c r="GU37" s="41"/>
      <c r="GV37" s="41"/>
      <c r="GW37" s="41"/>
      <c r="GX37" s="41"/>
      <c r="GY37" s="41"/>
      <c r="GZ37" s="41"/>
      <c r="HA37" s="41"/>
      <c r="HB37" s="41"/>
      <c r="HC37" s="41"/>
      <c r="HD37" s="41"/>
      <c r="HE37" s="41"/>
      <c r="HF37" s="41"/>
      <c r="HG37" s="41"/>
      <c r="HH37" s="41"/>
      <c r="HI37" s="41"/>
      <c r="HJ37" s="41"/>
      <c r="HK37" s="41"/>
      <c r="HL37" s="41"/>
      <c r="HM37" s="41"/>
      <c r="HN37" s="41"/>
      <c r="HO37" s="41"/>
      <c r="HP37" s="41"/>
      <c r="HQ37" s="41"/>
      <c r="HR37" s="41"/>
      <c r="HS37" s="41"/>
      <c r="HT37" s="41"/>
      <c r="HU37" s="41"/>
      <c r="HV37" s="41"/>
      <c r="HW37" s="41"/>
      <c r="HX37" s="41"/>
      <c r="HY37" s="41"/>
      <c r="HZ37" s="41"/>
      <c r="IA37" s="41"/>
      <c r="IB37" s="41"/>
      <c r="IC37" s="41"/>
      <c r="ID37" s="41"/>
      <c r="IE37" s="41"/>
      <c r="IF37" s="41"/>
      <c r="IG37" s="41"/>
      <c r="IH37" s="41"/>
      <c r="II37" s="41"/>
      <c r="IJ37" s="41"/>
      <c r="IK37" s="41"/>
      <c r="IL37" s="41"/>
      <c r="IM37" s="41"/>
      <c r="IN37" s="41"/>
      <c r="IO37" s="41"/>
      <c r="IP37" s="41"/>
      <c r="IQ37" s="41"/>
      <c r="IR37" s="41"/>
      <c r="IS37" s="41"/>
      <c r="IT37" s="41"/>
      <c r="IU37" s="41"/>
      <c r="IV37" s="41"/>
      <c r="IW37" s="41"/>
      <c r="IX37" s="41"/>
      <c r="IY37" s="41"/>
      <c r="IZ37" s="41"/>
      <c r="JB37" s="41"/>
      <c r="JC37" s="45"/>
      <c r="JD37" s="45"/>
      <c r="JE37" s="45"/>
      <c r="JF37" s="45"/>
      <c r="JG37" s="45"/>
      <c r="JH37" s="45"/>
      <c r="JI37" s="45"/>
      <c r="JJ37" s="45"/>
      <c r="JK37" s="45"/>
      <c r="JL37" s="45"/>
      <c r="JM37" s="45"/>
      <c r="JN37" s="45"/>
      <c r="JO37" s="45"/>
      <c r="JP37" s="45"/>
      <c r="JQ37" s="45"/>
      <c r="JR37" s="45"/>
      <c r="JS37" s="45"/>
      <c r="JT37" s="45"/>
      <c r="JU37" s="45"/>
      <c r="JV37" s="45"/>
      <c r="JW37" s="45"/>
      <c r="JX37" s="45"/>
      <c r="JY37" s="11"/>
      <c r="JZ37" s="11"/>
      <c r="KB37" s="33"/>
      <c r="PA37" s="11"/>
    </row>
    <row r="38" spans="1:417" ht="15.75" x14ac:dyDescent="0.3">
      <c r="D38" s="10"/>
      <c r="E38" s="41"/>
      <c r="F38" s="41"/>
      <c r="G38" s="41"/>
      <c r="H38" s="41"/>
      <c r="I38" s="41"/>
      <c r="J38" s="41"/>
      <c r="K38" s="41"/>
      <c r="L38" s="41"/>
      <c r="M38" s="41"/>
      <c r="N38" s="41"/>
      <c r="O38" s="41"/>
      <c r="P38" s="41"/>
      <c r="Q38" s="41"/>
      <c r="R38" s="41"/>
      <c r="S38" s="41"/>
      <c r="T38" s="41"/>
      <c r="U38" s="41"/>
      <c r="V38" s="41"/>
      <c r="W38" s="41"/>
      <c r="X38" s="41"/>
      <c r="Y38" s="41"/>
      <c r="Z38" s="41"/>
      <c r="AA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c r="CA38" s="41"/>
      <c r="CB38" s="41"/>
      <c r="CC38" s="41"/>
      <c r="CD38" s="41"/>
      <c r="CE38" s="41"/>
      <c r="CF38" s="41"/>
      <c r="CG38" s="41"/>
      <c r="CH38" s="41"/>
      <c r="CI38" s="41"/>
      <c r="CJ38" s="41"/>
      <c r="CK38" s="41"/>
      <c r="CL38" s="41"/>
      <c r="CM38" s="41"/>
      <c r="CN38" s="41"/>
      <c r="CO38" s="41"/>
      <c r="CP38" s="41"/>
      <c r="CQ38" s="41"/>
      <c r="CR38" s="41"/>
      <c r="CS38" s="41"/>
      <c r="CT38" s="41"/>
      <c r="CU38" s="41"/>
      <c r="CV38" s="41"/>
      <c r="CW38" s="41"/>
      <c r="CX38" s="41"/>
      <c r="CY38" s="41"/>
      <c r="CZ38" s="41"/>
      <c r="DA38" s="41"/>
      <c r="DB38" s="41"/>
      <c r="DC38" s="41"/>
      <c r="DD38" s="41"/>
      <c r="DE38" s="41"/>
      <c r="DF38" s="41"/>
      <c r="DG38" s="41"/>
      <c r="DH38" s="41"/>
      <c r="DI38" s="41"/>
      <c r="DJ38" s="41"/>
      <c r="DK38" s="41"/>
      <c r="DL38" s="41"/>
      <c r="DM38" s="41"/>
      <c r="DN38" s="41"/>
      <c r="DO38" s="41"/>
      <c r="DP38" s="41"/>
      <c r="DQ38" s="41"/>
      <c r="DR38" s="41"/>
      <c r="DS38" s="41"/>
      <c r="DT38" s="41"/>
      <c r="DU38" s="41"/>
      <c r="DV38" s="41"/>
      <c r="DW38" s="41"/>
      <c r="DX38" s="41"/>
      <c r="DY38" s="41"/>
      <c r="DZ38" s="41"/>
      <c r="EA38" s="41"/>
      <c r="EB38" s="41"/>
      <c r="EC38" s="41"/>
      <c r="ED38" s="41"/>
      <c r="EE38" s="41"/>
      <c r="EF38" s="41"/>
      <c r="EG38" s="41"/>
      <c r="EH38" s="41"/>
      <c r="EI38" s="41"/>
      <c r="EJ38" s="41"/>
      <c r="EK38" s="41"/>
      <c r="EN38" s="41"/>
      <c r="EO38" s="41"/>
      <c r="EP38" s="41"/>
      <c r="ER38" s="41"/>
      <c r="ES38" s="41"/>
      <c r="ET38" s="41"/>
      <c r="EU38" s="41"/>
      <c r="EV38" s="41"/>
      <c r="EW38" s="41"/>
      <c r="EX38" s="41"/>
      <c r="EY38" s="41"/>
      <c r="EZ38" s="41"/>
      <c r="FA38" s="41"/>
      <c r="FB38" s="41"/>
      <c r="FC38" s="41"/>
      <c r="FD38" s="41"/>
      <c r="FE38" s="41"/>
      <c r="FF38" s="41"/>
      <c r="FG38" s="41"/>
      <c r="FH38" s="41"/>
      <c r="FI38" s="41"/>
      <c r="FJ38" s="41"/>
      <c r="FK38" s="41"/>
      <c r="FL38" s="41"/>
      <c r="FM38" s="41"/>
      <c r="FN38" s="41"/>
      <c r="FO38" s="41"/>
      <c r="FP38" s="41"/>
      <c r="FQ38" s="41"/>
      <c r="FR38" s="41"/>
      <c r="FS38" s="41"/>
      <c r="FT38" s="41"/>
      <c r="FU38" s="41"/>
      <c r="FV38" s="41"/>
      <c r="FW38" s="41"/>
      <c r="FX38" s="41"/>
      <c r="FY38" s="41"/>
      <c r="FZ38" s="41"/>
      <c r="GA38" s="41"/>
      <c r="GB38" s="41"/>
      <c r="GC38" s="41"/>
      <c r="GD38" s="41"/>
      <c r="GE38" s="41"/>
      <c r="GF38" s="41"/>
      <c r="GG38" s="41"/>
      <c r="GH38" s="41"/>
      <c r="GI38" s="41"/>
      <c r="GJ38" s="41"/>
      <c r="GK38" s="41"/>
      <c r="GL38" s="41"/>
      <c r="GM38" s="41"/>
      <c r="GN38" s="41"/>
      <c r="GO38" s="41"/>
      <c r="GP38" s="41"/>
      <c r="GQ38" s="41"/>
      <c r="GR38" s="41"/>
      <c r="GS38" s="41"/>
      <c r="GT38" s="41"/>
      <c r="GU38" s="41"/>
      <c r="GV38" s="41"/>
      <c r="GW38" s="41"/>
      <c r="GX38" s="41"/>
      <c r="GY38" s="41"/>
      <c r="GZ38" s="41"/>
      <c r="HA38" s="41"/>
      <c r="HB38" s="41"/>
      <c r="HC38" s="41"/>
      <c r="HD38" s="41"/>
      <c r="HE38" s="41"/>
      <c r="HF38" s="41"/>
      <c r="HG38" s="41"/>
      <c r="HH38" s="41"/>
      <c r="HI38" s="41"/>
      <c r="HJ38" s="41"/>
      <c r="HK38" s="41"/>
      <c r="HL38" s="41"/>
      <c r="HM38" s="41"/>
      <c r="HN38" s="41"/>
      <c r="HO38" s="41"/>
      <c r="HP38" s="41"/>
      <c r="HQ38" s="41"/>
      <c r="HR38" s="41"/>
      <c r="HS38" s="41"/>
      <c r="HT38" s="41"/>
      <c r="HU38" s="41"/>
      <c r="HV38" s="41"/>
      <c r="HW38" s="41"/>
      <c r="HX38" s="41"/>
      <c r="HY38" s="41"/>
      <c r="HZ38" s="41"/>
      <c r="IA38" s="41"/>
      <c r="IB38" s="41"/>
      <c r="IC38" s="41"/>
      <c r="ID38" s="41"/>
      <c r="IE38" s="41"/>
      <c r="IF38" s="41"/>
      <c r="IG38" s="41"/>
      <c r="IH38" s="41"/>
      <c r="II38" s="41"/>
      <c r="IJ38" s="41"/>
      <c r="IK38" s="41"/>
      <c r="IL38" s="41"/>
      <c r="IM38" s="41"/>
      <c r="IN38" s="41"/>
      <c r="IO38" s="41"/>
      <c r="IP38" s="41"/>
      <c r="IQ38" s="41"/>
      <c r="IR38" s="41"/>
      <c r="IS38" s="41"/>
      <c r="IT38" s="41"/>
      <c r="IU38" s="41"/>
      <c r="IV38" s="41"/>
      <c r="IW38" s="41"/>
      <c r="IX38" s="41"/>
      <c r="IY38" s="41"/>
      <c r="IZ38" s="41"/>
      <c r="JB38" s="41"/>
      <c r="JC38" s="45"/>
      <c r="JD38" s="45"/>
      <c r="JE38" s="45"/>
      <c r="JF38" s="45"/>
      <c r="JG38" s="45"/>
      <c r="JH38" s="45"/>
      <c r="JI38" s="45"/>
      <c r="JJ38" s="45"/>
      <c r="JK38" s="45"/>
      <c r="JL38" s="45"/>
      <c r="JM38" s="45"/>
      <c r="JN38" s="45"/>
      <c r="JO38" s="45"/>
      <c r="JP38" s="45"/>
      <c r="JQ38" s="45"/>
      <c r="JR38" s="45"/>
      <c r="JS38" s="45"/>
      <c r="JT38" s="45"/>
      <c r="JU38" s="45"/>
      <c r="JV38" s="45"/>
      <c r="JW38" s="45"/>
      <c r="JX38" s="45"/>
      <c r="JY38" s="11"/>
      <c r="JZ38" s="11"/>
      <c r="KB38" s="33"/>
      <c r="PA38" s="11"/>
    </row>
    <row r="39" spans="1:417" x14ac:dyDescent="0.25">
      <c r="A39" s="89">
        <f>23+114+141</f>
        <v>278</v>
      </c>
      <c r="B39" s="90"/>
      <c r="C39" s="91"/>
      <c r="D39" s="233" t="s">
        <v>91</v>
      </c>
      <c r="E39" s="92"/>
      <c r="F39" s="92"/>
      <c r="G39" s="92"/>
      <c r="H39" s="92"/>
      <c r="I39" s="93"/>
      <c r="J39" s="93">
        <v>6</v>
      </c>
      <c r="K39" s="94"/>
      <c r="L39" s="93"/>
      <c r="M39" s="93"/>
      <c r="N39" s="93"/>
      <c r="O39" s="93"/>
      <c r="P39" s="494">
        <v>12</v>
      </c>
      <c r="Q39" s="94"/>
      <c r="R39" s="93"/>
      <c r="S39" s="93"/>
      <c r="T39" s="93"/>
      <c r="U39" s="494">
        <v>17</v>
      </c>
      <c r="V39" s="94"/>
      <c r="W39" s="93"/>
      <c r="X39" s="93"/>
      <c r="Y39" s="494">
        <v>21</v>
      </c>
      <c r="Z39" s="94"/>
      <c r="AA39" s="93"/>
      <c r="AB39" s="98"/>
      <c r="AC39" s="93"/>
      <c r="AD39" s="494">
        <v>26</v>
      </c>
      <c r="AE39" s="94"/>
      <c r="AF39" s="93"/>
      <c r="AG39" s="93"/>
      <c r="AH39" s="494">
        <v>30</v>
      </c>
      <c r="AI39" s="94"/>
      <c r="AJ39" s="93"/>
      <c r="AK39" s="494">
        <v>33</v>
      </c>
      <c r="AL39" s="94"/>
      <c r="AM39" s="93"/>
      <c r="AN39" s="93"/>
      <c r="AO39" s="494">
        <v>37</v>
      </c>
      <c r="AP39" s="94"/>
      <c r="AQ39" s="93"/>
      <c r="AR39" s="93"/>
      <c r="AS39" s="93"/>
      <c r="AT39" s="494">
        <v>42</v>
      </c>
      <c r="AU39" s="94"/>
      <c r="AV39" s="93"/>
      <c r="AW39" s="93"/>
      <c r="AX39" s="494">
        <v>46</v>
      </c>
      <c r="AY39" s="94"/>
      <c r="AZ39" s="93"/>
      <c r="BA39" s="494">
        <v>49</v>
      </c>
      <c r="BB39" s="94"/>
      <c r="BC39" s="494">
        <v>51</v>
      </c>
      <c r="BD39" s="94"/>
      <c r="BE39" s="93"/>
      <c r="BF39" s="494">
        <v>54</v>
      </c>
      <c r="BG39" s="94"/>
      <c r="BH39" s="93"/>
      <c r="BI39" s="93"/>
      <c r="BJ39" s="494">
        <v>58</v>
      </c>
      <c r="BK39" s="94"/>
      <c r="BL39" s="93"/>
      <c r="BM39" s="494">
        <v>61</v>
      </c>
      <c r="BN39" s="94"/>
      <c r="BO39" s="93"/>
      <c r="BP39" s="93"/>
      <c r="BQ39" s="494">
        <v>65</v>
      </c>
      <c r="BR39" s="94"/>
      <c r="BS39" s="93"/>
      <c r="BT39" s="93"/>
      <c r="BU39" s="93"/>
      <c r="BV39" s="494">
        <v>70</v>
      </c>
      <c r="BW39" s="94"/>
      <c r="BX39" s="93"/>
      <c r="BY39" s="93"/>
      <c r="BZ39" s="494">
        <v>74</v>
      </c>
      <c r="CA39" s="94"/>
      <c r="CB39" s="93"/>
      <c r="CC39" s="494">
        <v>77</v>
      </c>
      <c r="CD39" s="94"/>
      <c r="CE39" s="494">
        <v>79</v>
      </c>
      <c r="CF39" s="94"/>
      <c r="CG39" s="93"/>
      <c r="CH39" s="494">
        <v>82</v>
      </c>
      <c r="CI39" s="94"/>
      <c r="CJ39" s="494">
        <v>84</v>
      </c>
      <c r="CK39" s="96">
        <v>85</v>
      </c>
      <c r="CL39" s="495"/>
      <c r="CM39" s="95">
        <v>87</v>
      </c>
      <c r="CO39" s="93"/>
      <c r="CP39" s="95">
        <v>90</v>
      </c>
      <c r="CR39" s="93"/>
      <c r="CS39" s="93"/>
      <c r="CT39" s="95">
        <v>94</v>
      </c>
      <c r="CV39" s="93"/>
      <c r="CW39" s="95">
        <v>97</v>
      </c>
      <c r="CY39" s="95">
        <v>99</v>
      </c>
      <c r="DA39" s="93"/>
      <c r="DB39" s="95">
        <v>102</v>
      </c>
      <c r="DD39" s="93"/>
      <c r="DE39" s="93"/>
      <c r="DF39" s="95">
        <v>106</v>
      </c>
      <c r="DH39" s="93"/>
      <c r="DI39" s="95">
        <v>109</v>
      </c>
      <c r="DK39" s="93"/>
      <c r="DL39" s="93"/>
      <c r="DM39" s="95">
        <v>113</v>
      </c>
      <c r="DN39" s="93"/>
      <c r="DO39" s="93"/>
      <c r="DP39" s="93"/>
      <c r="DQ39" s="93"/>
      <c r="DR39" s="95">
        <v>118</v>
      </c>
      <c r="DT39" s="93"/>
      <c r="DU39" s="93"/>
      <c r="DV39" s="95">
        <v>122</v>
      </c>
      <c r="DW39" s="93"/>
      <c r="DX39" s="93"/>
      <c r="DY39" s="95">
        <v>125</v>
      </c>
      <c r="DZ39" s="93"/>
      <c r="EA39" s="95">
        <v>127</v>
      </c>
      <c r="EB39" s="93"/>
      <c r="EC39" s="93"/>
      <c r="ED39" s="95">
        <v>130</v>
      </c>
      <c r="EE39" s="93"/>
      <c r="EF39" s="95">
        <v>132</v>
      </c>
      <c r="EG39" s="96">
        <v>133</v>
      </c>
      <c r="EH39" s="93"/>
      <c r="EI39" s="95">
        <v>135</v>
      </c>
      <c r="EJ39" s="93"/>
      <c r="EK39" s="93"/>
      <c r="EL39" s="95">
        <v>138</v>
      </c>
      <c r="EM39" s="93"/>
      <c r="EN39" s="95">
        <v>140</v>
      </c>
      <c r="EO39" s="93">
        <v>141</v>
      </c>
      <c r="EP39" s="502"/>
      <c r="EQ39" s="505">
        <v>1</v>
      </c>
      <c r="ER39" s="93"/>
      <c r="ES39" s="95">
        <v>3</v>
      </c>
      <c r="ET39" s="96">
        <v>4</v>
      </c>
      <c r="EU39" s="93"/>
      <c r="EV39" s="95">
        <v>6</v>
      </c>
      <c r="EW39" s="93"/>
      <c r="EX39" s="93"/>
      <c r="EY39" s="95">
        <v>9</v>
      </c>
      <c r="EZ39" s="93"/>
      <c r="FA39" s="93"/>
      <c r="FB39" s="93"/>
      <c r="FC39" s="95">
        <v>13</v>
      </c>
      <c r="FD39" s="93"/>
      <c r="FE39" s="93"/>
      <c r="FF39" s="95">
        <v>16</v>
      </c>
      <c r="FG39" s="93"/>
      <c r="FH39" s="95">
        <v>18</v>
      </c>
      <c r="FI39" s="93"/>
      <c r="FJ39" s="93"/>
      <c r="FK39" s="95">
        <v>21</v>
      </c>
      <c r="FL39" s="93"/>
      <c r="FM39" s="95">
        <v>23</v>
      </c>
      <c r="FN39" s="96">
        <v>24</v>
      </c>
      <c r="FO39" s="93"/>
      <c r="FP39" s="95">
        <v>26</v>
      </c>
      <c r="FQ39" s="93"/>
      <c r="FR39" s="93"/>
      <c r="FS39" s="95">
        <v>29</v>
      </c>
      <c r="FT39" s="93"/>
      <c r="FU39" s="93"/>
      <c r="FV39" s="93"/>
      <c r="FW39" s="95">
        <v>33</v>
      </c>
      <c r="FX39" s="93"/>
      <c r="FY39" s="93"/>
      <c r="FZ39" s="95">
        <v>36</v>
      </c>
      <c r="GA39" s="93"/>
      <c r="GB39" s="95">
        <v>38</v>
      </c>
      <c r="GC39" s="93"/>
      <c r="GD39" s="93"/>
      <c r="GE39" s="95">
        <v>41</v>
      </c>
      <c r="GF39" s="93"/>
      <c r="GG39" s="93"/>
      <c r="GH39" s="93"/>
      <c r="GI39" s="95">
        <v>45</v>
      </c>
      <c r="GJ39" s="93"/>
      <c r="GK39" s="93"/>
      <c r="GL39" s="95">
        <v>48</v>
      </c>
      <c r="GM39" s="93"/>
      <c r="GN39" s="93"/>
      <c r="GO39" s="93"/>
      <c r="GP39" s="95">
        <v>52</v>
      </c>
      <c r="GQ39" s="93"/>
      <c r="GR39" s="93"/>
      <c r="GS39" s="93"/>
      <c r="GT39" s="93"/>
      <c r="GU39" s="95">
        <v>57</v>
      </c>
      <c r="GV39" s="93"/>
      <c r="GW39" s="93"/>
      <c r="GX39" s="93"/>
      <c r="GY39" s="93"/>
      <c r="GZ39" s="95">
        <v>62</v>
      </c>
      <c r="HA39" s="93"/>
      <c r="HB39" s="93"/>
      <c r="HC39" s="93"/>
      <c r="HD39" s="95">
        <v>66</v>
      </c>
      <c r="HE39" s="93"/>
      <c r="HF39" s="93"/>
      <c r="HG39" s="95">
        <v>69</v>
      </c>
      <c r="HH39" s="93"/>
      <c r="HI39" s="93"/>
      <c r="HJ39" s="93"/>
      <c r="HK39" s="95">
        <v>73</v>
      </c>
      <c r="HL39" s="93"/>
      <c r="HM39" s="93"/>
      <c r="HN39" s="95">
        <v>76</v>
      </c>
      <c r="HO39" s="93"/>
      <c r="HP39" s="95">
        <v>78</v>
      </c>
      <c r="HQ39" s="93"/>
      <c r="HR39" s="93"/>
      <c r="HS39" s="95">
        <v>81</v>
      </c>
      <c r="HT39" s="93"/>
      <c r="HU39" s="93"/>
      <c r="HV39" s="93"/>
      <c r="HW39" s="95">
        <v>85</v>
      </c>
      <c r="HX39" s="93"/>
      <c r="HY39" s="93"/>
      <c r="HZ39" s="95">
        <v>88</v>
      </c>
      <c r="IA39" s="93"/>
      <c r="IB39" s="95">
        <v>90</v>
      </c>
      <c r="IC39" s="96">
        <v>91</v>
      </c>
      <c r="ID39" s="93"/>
      <c r="IE39" s="95">
        <v>93</v>
      </c>
      <c r="IF39" s="93"/>
      <c r="IG39" s="93"/>
      <c r="IH39" s="95">
        <v>96</v>
      </c>
      <c r="II39" s="93"/>
      <c r="IJ39" s="95">
        <v>98</v>
      </c>
      <c r="IK39" s="93"/>
      <c r="IL39" s="93"/>
      <c r="IM39" s="95">
        <v>101</v>
      </c>
      <c r="IN39" s="93"/>
      <c r="IO39" s="93"/>
      <c r="IP39" s="93"/>
      <c r="IQ39" s="95">
        <v>105</v>
      </c>
      <c r="IR39" s="93"/>
      <c r="IS39" s="93"/>
      <c r="IT39" s="95">
        <v>108</v>
      </c>
      <c r="IU39" s="93"/>
      <c r="IV39" s="95">
        <v>110</v>
      </c>
      <c r="IW39" s="96">
        <v>111</v>
      </c>
      <c r="IX39" s="93"/>
      <c r="IY39" s="95">
        <v>113</v>
      </c>
      <c r="IZ39" s="93">
        <v>114</v>
      </c>
      <c r="JA39" s="515"/>
      <c r="JB39" s="505">
        <v>1</v>
      </c>
      <c r="JC39" s="93"/>
      <c r="JD39" s="95">
        <v>3</v>
      </c>
      <c r="JE39" s="93"/>
      <c r="JF39" s="93"/>
      <c r="JG39" s="95">
        <v>6</v>
      </c>
      <c r="JH39" s="93"/>
      <c r="JI39" s="95">
        <v>8</v>
      </c>
      <c r="JJ39" s="96">
        <v>9</v>
      </c>
      <c r="JK39" s="93"/>
      <c r="JL39" s="95">
        <v>11</v>
      </c>
      <c r="JM39" s="93"/>
      <c r="JN39" s="93"/>
      <c r="JO39" s="95">
        <v>14</v>
      </c>
      <c r="JP39" s="93"/>
      <c r="JQ39" s="95">
        <v>16</v>
      </c>
      <c r="JR39" s="93"/>
      <c r="JS39" s="93"/>
      <c r="JT39" s="95">
        <v>19</v>
      </c>
      <c r="JU39" s="93"/>
      <c r="JV39" s="93"/>
      <c r="JW39" s="93"/>
      <c r="JX39" s="93">
        <v>23</v>
      </c>
      <c r="JY39" s="11"/>
      <c r="JZ39" s="11"/>
      <c r="KA39" s="11"/>
      <c r="KB39" s="38"/>
      <c r="PA39" s="11"/>
    </row>
    <row r="40" spans="1:417" ht="17.25" thickBot="1" x14ac:dyDescent="0.3">
      <c r="A40" s="103">
        <f>SUM(E40:JX40)</f>
        <v>278</v>
      </c>
      <c r="B40" s="104"/>
      <c r="C40" s="105"/>
      <c r="D40" s="233" t="s">
        <v>90</v>
      </c>
      <c r="E40" s="106"/>
      <c r="F40" s="106"/>
      <c r="G40" s="106"/>
      <c r="H40" s="106"/>
      <c r="I40" s="109"/>
      <c r="J40" s="107">
        <v>6</v>
      </c>
      <c r="K40" s="108"/>
      <c r="L40" s="109"/>
      <c r="M40" s="109"/>
      <c r="N40" s="109"/>
      <c r="O40" s="109"/>
      <c r="P40" s="107">
        <v>6</v>
      </c>
      <c r="Q40" s="108"/>
      <c r="R40" s="109"/>
      <c r="S40" s="109"/>
      <c r="T40" s="109"/>
      <c r="U40" s="107">
        <v>5</v>
      </c>
      <c r="V40" s="108"/>
      <c r="W40" s="109"/>
      <c r="X40" s="109"/>
      <c r="Y40" s="107">
        <v>4</v>
      </c>
      <c r="Z40" s="108"/>
      <c r="AA40" s="109"/>
      <c r="AB40" s="112"/>
      <c r="AC40" s="117"/>
      <c r="AD40" s="107">
        <v>5</v>
      </c>
      <c r="AE40" s="108"/>
      <c r="AF40" s="117"/>
      <c r="AG40" s="117"/>
      <c r="AH40" s="107">
        <v>4</v>
      </c>
      <c r="AI40" s="108"/>
      <c r="AJ40" s="117"/>
      <c r="AK40" s="107">
        <v>3</v>
      </c>
      <c r="AL40" s="108"/>
      <c r="AM40" s="117"/>
      <c r="AN40" s="117"/>
      <c r="AO40" s="107">
        <v>4</v>
      </c>
      <c r="AP40" s="108"/>
      <c r="AQ40" s="117"/>
      <c r="AR40" s="117"/>
      <c r="AS40" s="117"/>
      <c r="AT40" s="107">
        <v>5</v>
      </c>
      <c r="AU40" s="108"/>
      <c r="AV40" s="117"/>
      <c r="AW40" s="117"/>
      <c r="AX40" s="107">
        <v>4</v>
      </c>
      <c r="AY40" s="108"/>
      <c r="AZ40" s="117"/>
      <c r="BA40" s="107">
        <v>3</v>
      </c>
      <c r="BB40" s="108"/>
      <c r="BC40" s="107">
        <v>2</v>
      </c>
      <c r="BD40" s="108"/>
      <c r="BE40" s="117"/>
      <c r="BF40" s="107">
        <v>3</v>
      </c>
      <c r="BG40" s="108"/>
      <c r="BH40" s="117"/>
      <c r="BI40" s="117"/>
      <c r="BJ40" s="107">
        <v>4</v>
      </c>
      <c r="BK40" s="108"/>
      <c r="BL40" s="117"/>
      <c r="BM40" s="107">
        <v>3</v>
      </c>
      <c r="BN40" s="108"/>
      <c r="BO40" s="117"/>
      <c r="BP40" s="117"/>
      <c r="BQ40" s="107">
        <v>4</v>
      </c>
      <c r="BR40" s="108"/>
      <c r="BS40" s="117"/>
      <c r="BT40" s="117"/>
      <c r="BU40" s="117"/>
      <c r="BV40" s="107">
        <v>5</v>
      </c>
      <c r="BW40" s="108"/>
      <c r="BX40" s="117"/>
      <c r="BY40" s="117"/>
      <c r="BZ40" s="107">
        <v>4</v>
      </c>
      <c r="CA40" s="108"/>
      <c r="CB40" s="117"/>
      <c r="CC40" s="107">
        <v>3</v>
      </c>
      <c r="CD40" s="108"/>
      <c r="CE40" s="107">
        <v>2</v>
      </c>
      <c r="CF40" s="108"/>
      <c r="CG40" s="117"/>
      <c r="CH40" s="107">
        <v>3</v>
      </c>
      <c r="CI40" s="108"/>
      <c r="CJ40" s="107">
        <v>2</v>
      </c>
      <c r="CK40" s="110">
        <v>1</v>
      </c>
      <c r="CL40" s="495"/>
      <c r="CM40" s="107">
        <v>2</v>
      </c>
      <c r="CO40" s="117"/>
      <c r="CP40" s="107">
        <v>3</v>
      </c>
      <c r="CR40" s="117"/>
      <c r="CS40" s="117"/>
      <c r="CT40" s="107">
        <v>4</v>
      </c>
      <c r="CV40" s="117"/>
      <c r="CW40" s="107">
        <v>3</v>
      </c>
      <c r="CY40" s="107">
        <v>2</v>
      </c>
      <c r="DA40" s="117"/>
      <c r="DB40" s="107">
        <v>3</v>
      </c>
      <c r="DD40" s="117"/>
      <c r="DE40" s="117"/>
      <c r="DF40" s="107">
        <v>4</v>
      </c>
      <c r="DH40" s="117"/>
      <c r="DI40" s="107">
        <v>3</v>
      </c>
      <c r="DK40" s="117"/>
      <c r="DL40" s="117"/>
      <c r="DM40" s="107">
        <v>4</v>
      </c>
      <c r="DN40" s="117"/>
      <c r="DO40" s="117"/>
      <c r="DP40" s="117"/>
      <c r="DQ40" s="117"/>
      <c r="DR40" s="107">
        <v>5</v>
      </c>
      <c r="DT40" s="117"/>
      <c r="DU40" s="117"/>
      <c r="DV40" s="107">
        <v>4</v>
      </c>
      <c r="DW40" s="117"/>
      <c r="DX40" s="117"/>
      <c r="DY40" s="107">
        <v>3</v>
      </c>
      <c r="DZ40" s="117"/>
      <c r="EA40" s="107">
        <v>2</v>
      </c>
      <c r="EB40" s="117"/>
      <c r="EC40" s="117"/>
      <c r="ED40" s="107">
        <v>3</v>
      </c>
      <c r="EE40" s="117"/>
      <c r="EF40" s="107">
        <v>2</v>
      </c>
      <c r="EG40" s="107">
        <v>1</v>
      </c>
      <c r="EH40" s="117"/>
      <c r="EI40" s="107">
        <v>2</v>
      </c>
      <c r="EJ40" s="117"/>
      <c r="EK40" s="117"/>
      <c r="EL40" s="107">
        <v>3</v>
      </c>
      <c r="EM40" s="117"/>
      <c r="EN40" s="107">
        <v>2</v>
      </c>
      <c r="EO40" s="109">
        <v>1</v>
      </c>
      <c r="EP40" s="503">
        <v>0</v>
      </c>
      <c r="EQ40" s="506">
        <v>1</v>
      </c>
      <c r="ER40" s="109"/>
      <c r="ES40" s="107">
        <v>2</v>
      </c>
      <c r="ET40" s="110">
        <v>1</v>
      </c>
      <c r="EU40" s="109"/>
      <c r="EV40" s="107">
        <v>2</v>
      </c>
      <c r="EW40" s="117"/>
      <c r="EX40" s="109"/>
      <c r="EY40" s="107">
        <v>3</v>
      </c>
      <c r="EZ40" s="117"/>
      <c r="FA40" s="109"/>
      <c r="FB40" s="109"/>
      <c r="FC40" s="107">
        <v>4</v>
      </c>
      <c r="FD40" s="117"/>
      <c r="FE40" s="109"/>
      <c r="FF40" s="107">
        <v>3</v>
      </c>
      <c r="FG40" s="117"/>
      <c r="FH40" s="107">
        <v>2</v>
      </c>
      <c r="FI40" s="117"/>
      <c r="FJ40" s="109"/>
      <c r="FK40" s="107">
        <v>3</v>
      </c>
      <c r="FL40" s="117"/>
      <c r="FM40" s="107">
        <v>2</v>
      </c>
      <c r="FN40" s="110">
        <v>1</v>
      </c>
      <c r="FO40" s="109"/>
      <c r="FP40" s="107">
        <v>2</v>
      </c>
      <c r="FQ40" s="117"/>
      <c r="FR40" s="109"/>
      <c r="FS40" s="107">
        <v>3</v>
      </c>
      <c r="FT40" s="117"/>
      <c r="FU40" s="109"/>
      <c r="FV40" s="109"/>
      <c r="FW40" s="107">
        <v>4</v>
      </c>
      <c r="FX40" s="117"/>
      <c r="FY40" s="109"/>
      <c r="FZ40" s="107">
        <v>3</v>
      </c>
      <c r="GA40" s="117"/>
      <c r="GB40" s="107">
        <v>2</v>
      </c>
      <c r="GC40" s="117"/>
      <c r="GD40" s="109"/>
      <c r="GE40" s="107">
        <v>3</v>
      </c>
      <c r="GF40" s="117"/>
      <c r="GG40" s="109"/>
      <c r="GH40" s="109"/>
      <c r="GI40" s="107">
        <v>4</v>
      </c>
      <c r="GJ40" s="117"/>
      <c r="GK40" s="109"/>
      <c r="GL40" s="107">
        <v>3</v>
      </c>
      <c r="GM40" s="117"/>
      <c r="GN40" s="109"/>
      <c r="GO40" s="109"/>
      <c r="GP40" s="107">
        <v>4</v>
      </c>
      <c r="GQ40" s="117"/>
      <c r="GR40" s="109"/>
      <c r="GS40" s="109"/>
      <c r="GT40" s="109"/>
      <c r="GU40" s="107">
        <v>5</v>
      </c>
      <c r="GV40" s="117"/>
      <c r="GW40" s="109"/>
      <c r="GX40" s="109"/>
      <c r="GY40" s="109"/>
      <c r="GZ40" s="107">
        <v>5</v>
      </c>
      <c r="HA40" s="117"/>
      <c r="HB40" s="109"/>
      <c r="HC40" s="109"/>
      <c r="HD40" s="107">
        <v>4</v>
      </c>
      <c r="HE40" s="117"/>
      <c r="HF40" s="109"/>
      <c r="HG40" s="107">
        <v>3</v>
      </c>
      <c r="HH40" s="117"/>
      <c r="HI40" s="109"/>
      <c r="HJ40" s="109"/>
      <c r="HK40" s="107">
        <v>4</v>
      </c>
      <c r="HL40" s="117"/>
      <c r="HM40" s="109"/>
      <c r="HN40" s="107">
        <v>3</v>
      </c>
      <c r="HO40" s="117"/>
      <c r="HP40" s="107">
        <v>2</v>
      </c>
      <c r="HQ40" s="117"/>
      <c r="HR40" s="109"/>
      <c r="HS40" s="107">
        <v>3</v>
      </c>
      <c r="HT40" s="117"/>
      <c r="HU40" s="109"/>
      <c r="HV40" s="109"/>
      <c r="HW40" s="107">
        <v>4</v>
      </c>
      <c r="HX40" s="117"/>
      <c r="HY40" s="109"/>
      <c r="HZ40" s="107">
        <v>3</v>
      </c>
      <c r="IA40" s="117"/>
      <c r="IB40" s="107">
        <v>2</v>
      </c>
      <c r="IC40" s="107">
        <v>1</v>
      </c>
      <c r="ID40" s="109"/>
      <c r="IE40" s="107">
        <v>2</v>
      </c>
      <c r="IF40" s="117"/>
      <c r="IG40" s="109"/>
      <c r="IH40" s="107">
        <v>3</v>
      </c>
      <c r="II40" s="117"/>
      <c r="IJ40" s="107">
        <v>2</v>
      </c>
      <c r="IK40" s="117"/>
      <c r="IL40" s="109"/>
      <c r="IM40" s="107">
        <v>3</v>
      </c>
      <c r="IN40" s="117"/>
      <c r="IO40" s="109"/>
      <c r="IP40" s="109"/>
      <c r="IQ40" s="107">
        <v>4</v>
      </c>
      <c r="IR40" s="117"/>
      <c r="IS40" s="109"/>
      <c r="IT40" s="107">
        <v>3</v>
      </c>
      <c r="IU40" s="117"/>
      <c r="IV40" s="107">
        <v>2</v>
      </c>
      <c r="IW40" s="107">
        <v>1</v>
      </c>
      <c r="IX40" s="109"/>
      <c r="IY40" s="107">
        <v>2</v>
      </c>
      <c r="IZ40" s="107">
        <v>1</v>
      </c>
      <c r="JA40" s="503">
        <v>0</v>
      </c>
      <c r="JB40" s="506">
        <v>1</v>
      </c>
      <c r="JC40" s="109"/>
      <c r="JD40" s="107">
        <v>2</v>
      </c>
      <c r="JE40" s="117"/>
      <c r="JF40" s="109"/>
      <c r="JG40" s="107">
        <v>3</v>
      </c>
      <c r="JH40" s="117"/>
      <c r="JI40" s="107">
        <v>2</v>
      </c>
      <c r="JJ40" s="107">
        <v>1</v>
      </c>
      <c r="JK40" s="109"/>
      <c r="JL40" s="107">
        <v>2</v>
      </c>
      <c r="JM40" s="117"/>
      <c r="JN40" s="109"/>
      <c r="JO40" s="107">
        <v>3</v>
      </c>
      <c r="JP40" s="117"/>
      <c r="JQ40" s="107">
        <v>2</v>
      </c>
      <c r="JR40" s="117"/>
      <c r="JS40" s="109"/>
      <c r="JT40" s="107">
        <v>3</v>
      </c>
      <c r="JU40" s="117"/>
      <c r="JV40" s="109"/>
      <c r="JW40" s="109"/>
      <c r="JX40" s="109">
        <v>4</v>
      </c>
      <c r="JY40" s="11"/>
      <c r="JZ40" s="11"/>
      <c r="KA40" s="11"/>
      <c r="KB40" s="38"/>
      <c r="PA40" s="11"/>
    </row>
    <row r="41" spans="1:417" ht="16.5" thickBot="1" x14ac:dyDescent="0.35">
      <c r="A41" s="105"/>
      <c r="B41" s="281"/>
      <c r="C41" s="105"/>
      <c r="D41" s="234" t="s">
        <v>87</v>
      </c>
      <c r="E41" s="18">
        <v>20</v>
      </c>
      <c r="F41" s="19">
        <v>9</v>
      </c>
      <c r="G41" s="19">
        <v>18</v>
      </c>
      <c r="H41" s="19">
        <v>15</v>
      </c>
      <c r="I41" s="19">
        <v>12</v>
      </c>
      <c r="J41" s="20">
        <v>4</v>
      </c>
      <c r="K41" s="21">
        <v>25</v>
      </c>
      <c r="L41" s="19">
        <v>18</v>
      </c>
      <c r="M41" s="19">
        <v>4</v>
      </c>
      <c r="N41" s="19">
        <v>4</v>
      </c>
      <c r="O41" s="19">
        <v>19</v>
      </c>
      <c r="P41" s="20">
        <v>15</v>
      </c>
      <c r="Q41" s="21">
        <v>1</v>
      </c>
      <c r="R41" s="19">
        <v>5</v>
      </c>
      <c r="S41" s="19">
        <v>15</v>
      </c>
      <c r="T41" s="19">
        <v>7</v>
      </c>
      <c r="U41" s="20">
        <v>5</v>
      </c>
      <c r="V41" s="21">
        <v>20</v>
      </c>
      <c r="W41" s="19">
        <v>9</v>
      </c>
      <c r="X41" s="19">
        <v>19</v>
      </c>
      <c r="Y41" s="20">
        <v>8</v>
      </c>
      <c r="Z41" s="21">
        <v>9</v>
      </c>
      <c r="AA41" s="19">
        <v>5</v>
      </c>
      <c r="AB41" s="492">
        <v>3</v>
      </c>
      <c r="AC41" s="19">
        <v>12</v>
      </c>
      <c r="AD41" s="20">
        <v>9</v>
      </c>
      <c r="AE41" s="21">
        <v>8</v>
      </c>
      <c r="AF41" s="19">
        <v>4</v>
      </c>
      <c r="AG41" s="19">
        <v>4</v>
      </c>
      <c r="AH41" s="20">
        <v>20</v>
      </c>
      <c r="AI41" s="21">
        <v>3</v>
      </c>
      <c r="AJ41" s="19">
        <v>5</v>
      </c>
      <c r="AK41" s="20">
        <v>1</v>
      </c>
      <c r="AL41" s="21">
        <v>2</v>
      </c>
      <c r="AM41" s="19">
        <v>5</v>
      </c>
      <c r="AN41" s="19">
        <v>6</v>
      </c>
      <c r="AO41" s="20">
        <v>23</v>
      </c>
      <c r="AP41" s="21">
        <v>5</v>
      </c>
      <c r="AQ41" s="19">
        <v>9</v>
      </c>
      <c r="AR41" s="19">
        <v>18</v>
      </c>
      <c r="AS41" s="19">
        <v>7</v>
      </c>
      <c r="AT41" s="20">
        <v>1</v>
      </c>
      <c r="AU41" s="21">
        <v>15</v>
      </c>
      <c r="AV41" s="19">
        <v>18</v>
      </c>
      <c r="AW41" s="19">
        <v>5</v>
      </c>
      <c r="AX41" s="20">
        <v>9</v>
      </c>
      <c r="AY41" s="21">
        <v>16</v>
      </c>
      <c r="AZ41" s="19">
        <v>23</v>
      </c>
      <c r="BA41" s="20">
        <v>5</v>
      </c>
      <c r="BB41" s="21">
        <v>20</v>
      </c>
      <c r="BC41" s="20">
        <v>19</v>
      </c>
      <c r="BD41" s="21">
        <v>13</v>
      </c>
      <c r="BE41" s="19">
        <v>20</v>
      </c>
      <c r="BF41" s="20">
        <v>20</v>
      </c>
      <c r="BG41" s="21">
        <v>8</v>
      </c>
      <c r="BH41" s="19">
        <v>1</v>
      </c>
      <c r="BI41" s="19">
        <v>1</v>
      </c>
      <c r="BJ41" s="20">
        <v>9</v>
      </c>
      <c r="BK41" s="21">
        <v>14</v>
      </c>
      <c r="BL41" s="19">
        <v>4</v>
      </c>
      <c r="BM41" s="20">
        <v>4</v>
      </c>
      <c r="BN41" s="21">
        <v>5</v>
      </c>
      <c r="BO41" s="19">
        <v>19</v>
      </c>
      <c r="BP41" s="19">
        <v>2</v>
      </c>
      <c r="BQ41" s="20">
        <v>9</v>
      </c>
      <c r="BR41" s="21">
        <v>20</v>
      </c>
      <c r="BS41" s="19">
        <v>18</v>
      </c>
      <c r="BT41" s="19">
        <v>14</v>
      </c>
      <c r="BU41" s="19">
        <v>20</v>
      </c>
      <c r="BV41" s="20">
        <v>18</v>
      </c>
      <c r="BW41" s="21">
        <v>5</v>
      </c>
      <c r="BX41" s="19">
        <v>5</v>
      </c>
      <c r="BY41" s="19">
        <v>1</v>
      </c>
      <c r="BZ41" s="20">
        <v>13</v>
      </c>
      <c r="CA41" s="21">
        <v>18</v>
      </c>
      <c r="CB41" s="19">
        <v>1</v>
      </c>
      <c r="CC41" s="20">
        <v>15</v>
      </c>
      <c r="CD41" s="21">
        <v>20</v>
      </c>
      <c r="CE41" s="20">
        <v>15</v>
      </c>
      <c r="CF41" s="21">
        <v>5</v>
      </c>
      <c r="CG41" s="19">
        <v>1</v>
      </c>
      <c r="CH41" s="20">
        <v>21</v>
      </c>
      <c r="CI41" s="21">
        <v>20</v>
      </c>
      <c r="CJ41" s="20">
        <v>5</v>
      </c>
      <c r="CK41" s="22">
        <v>21</v>
      </c>
      <c r="CL41" s="496">
        <v>20</v>
      </c>
      <c r="CM41" s="497">
        <v>15</v>
      </c>
      <c r="CN41" s="19">
        <v>9</v>
      </c>
      <c r="CO41" s="27">
        <v>6</v>
      </c>
      <c r="CP41" s="497">
        <v>19</v>
      </c>
      <c r="CQ41" s="19">
        <v>1</v>
      </c>
      <c r="CR41" s="19">
        <v>15</v>
      </c>
      <c r="CS41" s="19">
        <v>6</v>
      </c>
      <c r="CT41" s="497">
        <v>5</v>
      </c>
      <c r="CU41" s="19">
        <v>5</v>
      </c>
      <c r="CV41" s="19">
        <v>20</v>
      </c>
      <c r="CW41" s="497">
        <v>2</v>
      </c>
      <c r="CX41" s="19">
        <v>12</v>
      </c>
      <c r="CY41" s="497">
        <v>18</v>
      </c>
      <c r="CZ41" s="19">
        <v>5</v>
      </c>
      <c r="DA41" s="19">
        <v>5</v>
      </c>
      <c r="DB41" s="497">
        <v>25</v>
      </c>
      <c r="DC41" s="19">
        <v>7</v>
      </c>
      <c r="DD41" s="19">
        <v>5</v>
      </c>
      <c r="DE41" s="19">
        <v>20</v>
      </c>
      <c r="DF41" s="497">
        <v>1</v>
      </c>
      <c r="DG41" s="19">
        <v>13</v>
      </c>
      <c r="DH41" s="19">
        <v>1</v>
      </c>
      <c r="DI41" s="497">
        <v>20</v>
      </c>
      <c r="DJ41" s="19">
        <v>1</v>
      </c>
      <c r="DK41" s="19">
        <v>14</v>
      </c>
      <c r="DL41" s="19">
        <v>5</v>
      </c>
      <c r="DM41" s="497">
        <v>23</v>
      </c>
      <c r="DN41" s="19">
        <v>5</v>
      </c>
      <c r="DO41" s="19">
        <v>8</v>
      </c>
      <c r="DP41" s="19">
        <v>8</v>
      </c>
      <c r="DQ41" s="19">
        <v>13</v>
      </c>
      <c r="DR41" s="497">
        <v>1</v>
      </c>
      <c r="DS41" s="19">
        <v>16</v>
      </c>
      <c r="DT41" s="19">
        <v>19</v>
      </c>
      <c r="DU41" s="19">
        <v>18</v>
      </c>
      <c r="DV41" s="497">
        <v>2</v>
      </c>
      <c r="DW41" s="19">
        <v>20</v>
      </c>
      <c r="DX41" s="19">
        <v>6</v>
      </c>
      <c r="DY41" s="497">
        <v>9</v>
      </c>
      <c r="DZ41" s="19">
        <v>5</v>
      </c>
      <c r="EA41" s="497">
        <v>18</v>
      </c>
      <c r="EB41" s="19">
        <v>3</v>
      </c>
      <c r="EC41" s="19">
        <v>25</v>
      </c>
      <c r="ED41" s="497">
        <v>1</v>
      </c>
      <c r="EE41" s="19">
        <v>20</v>
      </c>
      <c r="EF41" s="497">
        <v>3</v>
      </c>
      <c r="EG41" s="22">
        <v>14</v>
      </c>
      <c r="EH41" s="28">
        <v>5</v>
      </c>
      <c r="EI41" s="497">
        <v>5</v>
      </c>
      <c r="EJ41" s="19">
        <v>8</v>
      </c>
      <c r="EK41" s="19">
        <v>17</v>
      </c>
      <c r="EL41" s="497">
        <v>25</v>
      </c>
      <c r="EM41" s="19">
        <v>5</v>
      </c>
      <c r="EN41" s="497">
        <v>20</v>
      </c>
      <c r="EO41" s="27">
        <v>25</v>
      </c>
      <c r="EP41" s="491"/>
      <c r="EQ41" s="507">
        <v>15</v>
      </c>
      <c r="ER41" s="28">
        <v>9</v>
      </c>
      <c r="ES41" s="497">
        <v>5</v>
      </c>
      <c r="ET41" s="509">
        <v>1</v>
      </c>
      <c r="EU41" s="28">
        <v>8</v>
      </c>
      <c r="EV41" s="497">
        <v>14</v>
      </c>
      <c r="EW41" s="19">
        <v>5</v>
      </c>
      <c r="EX41" s="19">
        <v>23</v>
      </c>
      <c r="EY41" s="497">
        <v>9</v>
      </c>
      <c r="EZ41" s="19">
        <v>20</v>
      </c>
      <c r="FA41" s="19">
        <v>4</v>
      </c>
      <c r="FB41" s="19">
        <v>5</v>
      </c>
      <c r="FC41" s="497">
        <v>19</v>
      </c>
      <c r="FD41" s="19">
        <v>12</v>
      </c>
      <c r="FE41" s="19">
        <v>15</v>
      </c>
      <c r="FF41" s="497">
        <v>6</v>
      </c>
      <c r="FG41" s="19">
        <v>20</v>
      </c>
      <c r="FH41" s="497">
        <v>5</v>
      </c>
      <c r="FI41" s="19">
        <v>15</v>
      </c>
      <c r="FJ41" s="19">
        <v>5</v>
      </c>
      <c r="FK41" s="497">
        <v>1</v>
      </c>
      <c r="FL41" s="19">
        <v>8</v>
      </c>
      <c r="FM41" s="497">
        <v>14</v>
      </c>
      <c r="FN41" s="22">
        <v>20</v>
      </c>
      <c r="FO41" s="28">
        <v>5</v>
      </c>
      <c r="FP41" s="497">
        <v>18</v>
      </c>
      <c r="FQ41" s="19">
        <v>4</v>
      </c>
      <c r="FR41" s="19">
        <v>21</v>
      </c>
      <c r="FS41" s="497">
        <v>5</v>
      </c>
      <c r="FT41" s="19">
        <v>14</v>
      </c>
      <c r="FU41" s="19">
        <v>5</v>
      </c>
      <c r="FV41" s="19">
        <v>20</v>
      </c>
      <c r="FW41" s="497">
        <v>3</v>
      </c>
      <c r="FX41" s="19">
        <v>8</v>
      </c>
      <c r="FY41" s="19">
        <v>1</v>
      </c>
      <c r="FZ41" s="497">
        <v>18</v>
      </c>
      <c r="GA41" s="19">
        <v>14</v>
      </c>
      <c r="GB41" s="497">
        <v>5</v>
      </c>
      <c r="GC41" s="19">
        <v>5</v>
      </c>
      <c r="GD41" s="19">
        <v>20</v>
      </c>
      <c r="GE41" s="497">
        <v>9</v>
      </c>
      <c r="GF41" s="19">
        <v>4</v>
      </c>
      <c r="GG41" s="19">
        <v>14</v>
      </c>
      <c r="GH41" s="19">
        <v>23</v>
      </c>
      <c r="GI41" s="497">
        <v>20</v>
      </c>
      <c r="GJ41" s="19">
        <v>13</v>
      </c>
      <c r="GK41" s="19">
        <v>23</v>
      </c>
      <c r="GL41" s="497">
        <v>5</v>
      </c>
      <c r="GM41" s="19">
        <v>1</v>
      </c>
      <c r="GN41" s="19">
        <v>3</v>
      </c>
      <c r="GO41" s="19">
        <v>1</v>
      </c>
      <c r="GP41" s="497">
        <v>9</v>
      </c>
      <c r="GQ41" s="19">
        <v>9</v>
      </c>
      <c r="GR41" s="19">
        <v>16</v>
      </c>
      <c r="GS41" s="19">
        <v>12</v>
      </c>
      <c r="GT41" s="19">
        <v>2</v>
      </c>
      <c r="GU41" s="497">
        <v>5</v>
      </c>
      <c r="GV41" s="19">
        <v>12</v>
      </c>
      <c r="GW41" s="19">
        <v>5</v>
      </c>
      <c r="GX41" s="19">
        <v>14</v>
      </c>
      <c r="GY41" s="19">
        <v>14</v>
      </c>
      <c r="GZ41" s="497">
        <v>12</v>
      </c>
      <c r="HA41" s="19">
        <v>19</v>
      </c>
      <c r="HB41" s="19">
        <v>5</v>
      </c>
      <c r="HC41" s="19">
        <v>16</v>
      </c>
      <c r="HD41" s="497">
        <v>18</v>
      </c>
      <c r="HE41" s="19">
        <v>1</v>
      </c>
      <c r="HF41" s="19">
        <v>18</v>
      </c>
      <c r="HG41" s="497">
        <v>14</v>
      </c>
      <c r="HH41" s="19">
        <v>8</v>
      </c>
      <c r="HI41" s="19">
        <v>9</v>
      </c>
      <c r="HJ41" s="19">
        <v>20</v>
      </c>
      <c r="HK41" s="497">
        <v>1</v>
      </c>
      <c r="HL41" s="19">
        <v>7</v>
      </c>
      <c r="HM41" s="19">
        <v>14</v>
      </c>
      <c r="HN41" s="497">
        <v>18</v>
      </c>
      <c r="HO41" s="19">
        <v>16</v>
      </c>
      <c r="HP41" s="497">
        <v>20</v>
      </c>
      <c r="HQ41" s="19">
        <v>5</v>
      </c>
      <c r="HR41" s="19">
        <v>14</v>
      </c>
      <c r="HS41" s="497">
        <v>13</v>
      </c>
      <c r="HT41" s="19">
        <v>24</v>
      </c>
      <c r="HU41" s="19">
        <v>23</v>
      </c>
      <c r="HV41" s="19">
        <v>18</v>
      </c>
      <c r="HW41" s="497">
        <v>13</v>
      </c>
      <c r="HX41" s="19">
        <v>19</v>
      </c>
      <c r="HY41" s="19">
        <v>15</v>
      </c>
      <c r="HZ41" s="497">
        <v>14</v>
      </c>
      <c r="IA41" s="19">
        <v>19</v>
      </c>
      <c r="IB41" s="497">
        <v>8</v>
      </c>
      <c r="IC41" s="22">
        <v>15</v>
      </c>
      <c r="ID41" s="28">
        <v>14</v>
      </c>
      <c r="IE41" s="497">
        <v>12</v>
      </c>
      <c r="IF41" s="19">
        <v>12</v>
      </c>
      <c r="IG41" s="19">
        <v>19</v>
      </c>
      <c r="IH41" s="497">
        <v>12</v>
      </c>
      <c r="II41" s="19">
        <v>12</v>
      </c>
      <c r="IJ41" s="497">
        <v>19</v>
      </c>
      <c r="IK41" s="19">
        <v>4</v>
      </c>
      <c r="IL41" s="19">
        <v>12</v>
      </c>
      <c r="IM41" s="497">
        <v>21</v>
      </c>
      <c r="IN41" s="19">
        <v>25</v>
      </c>
      <c r="IO41" s="19">
        <v>5</v>
      </c>
      <c r="IP41" s="19">
        <v>18</v>
      </c>
      <c r="IQ41" s="497">
        <v>14</v>
      </c>
      <c r="IR41" s="19">
        <v>20</v>
      </c>
      <c r="IS41" s="19">
        <v>8</v>
      </c>
      <c r="IT41" s="497">
        <v>3</v>
      </c>
      <c r="IU41" s="19">
        <v>1</v>
      </c>
      <c r="IV41" s="497">
        <v>9</v>
      </c>
      <c r="IW41" s="22">
        <v>1</v>
      </c>
      <c r="IX41" s="28">
        <v>14</v>
      </c>
      <c r="IY41" s="497">
        <v>8</v>
      </c>
      <c r="IZ41" s="27">
        <v>19</v>
      </c>
      <c r="JA41" s="516"/>
      <c r="JB41" s="507">
        <v>25</v>
      </c>
      <c r="JC41" s="28">
        <v>4</v>
      </c>
      <c r="JD41" s="497">
        <v>9</v>
      </c>
      <c r="JE41" s="19">
        <v>2</v>
      </c>
      <c r="JF41" s="19">
        <v>9</v>
      </c>
      <c r="JG41" s="497">
        <v>15</v>
      </c>
      <c r="JH41" s="19">
        <v>5</v>
      </c>
      <c r="JI41" s="497">
        <v>20</v>
      </c>
      <c r="JJ41" s="22">
        <v>16</v>
      </c>
      <c r="JK41" s="28">
        <v>3</v>
      </c>
      <c r="JL41" s="497">
        <v>15</v>
      </c>
      <c r="JM41" s="19">
        <v>5</v>
      </c>
      <c r="JN41" s="19">
        <v>8</v>
      </c>
      <c r="JO41" s="497">
        <v>18</v>
      </c>
      <c r="JP41" s="19">
        <v>19</v>
      </c>
      <c r="JQ41" s="497">
        <v>12</v>
      </c>
      <c r="JR41" s="19">
        <v>14</v>
      </c>
      <c r="JS41" s="19">
        <v>8</v>
      </c>
      <c r="JT41" s="497">
        <v>15</v>
      </c>
      <c r="JU41" s="19">
        <v>18</v>
      </c>
      <c r="JV41" s="19">
        <v>8</v>
      </c>
      <c r="JW41" s="19">
        <v>1</v>
      </c>
      <c r="JX41" s="29">
        <v>25</v>
      </c>
      <c r="JY41" s="11"/>
      <c r="JZ41" s="11"/>
      <c r="KA41" s="11"/>
      <c r="KB41" s="38"/>
      <c r="PA41" s="11"/>
    </row>
    <row r="42" spans="1:417" x14ac:dyDescent="0.25">
      <c r="A42" s="121"/>
      <c r="B42" s="122"/>
      <c r="C42" s="123"/>
      <c r="D42" s="235" t="s">
        <v>89</v>
      </c>
      <c r="E42" s="489">
        <v>1</v>
      </c>
      <c r="F42" s="489"/>
      <c r="G42" s="489"/>
      <c r="H42" s="489"/>
      <c r="I42" s="489"/>
      <c r="J42" s="124"/>
      <c r="K42" s="125">
        <v>2</v>
      </c>
      <c r="L42" s="489"/>
      <c r="M42" s="489"/>
      <c r="N42" s="489"/>
      <c r="O42" s="489"/>
      <c r="P42" s="124"/>
      <c r="Q42" s="125">
        <v>3</v>
      </c>
      <c r="R42" s="489"/>
      <c r="S42" s="489"/>
      <c r="T42" s="489"/>
      <c r="U42" s="124"/>
      <c r="V42" s="125">
        <v>4</v>
      </c>
      <c r="W42" s="489"/>
      <c r="X42" s="489"/>
      <c r="Y42" s="124"/>
      <c r="Z42" s="125">
        <v>5</v>
      </c>
      <c r="AA42" s="489"/>
      <c r="AB42" s="490"/>
      <c r="AC42" s="489"/>
      <c r="AD42" s="124"/>
      <c r="AE42" s="125">
        <v>6</v>
      </c>
      <c r="AF42" s="489"/>
      <c r="AG42" s="489"/>
      <c r="AH42" s="124"/>
      <c r="AI42" s="125">
        <v>7</v>
      </c>
      <c r="AJ42" s="489"/>
      <c r="AK42" s="124"/>
      <c r="AL42" s="125">
        <v>8</v>
      </c>
      <c r="AM42" s="489"/>
      <c r="AN42" s="489"/>
      <c r="AO42" s="124"/>
      <c r="AP42" s="125">
        <v>9</v>
      </c>
      <c r="AQ42" s="489"/>
      <c r="AR42" s="489"/>
      <c r="AS42" s="489"/>
      <c r="AT42" s="124"/>
      <c r="AU42" s="125">
        <v>10</v>
      </c>
      <c r="AV42" s="489"/>
      <c r="AW42" s="489"/>
      <c r="AX42" s="124"/>
      <c r="AY42" s="125">
        <v>11</v>
      </c>
      <c r="AZ42" s="489"/>
      <c r="BA42" s="124"/>
      <c r="BB42" s="125">
        <v>12</v>
      </c>
      <c r="BC42" s="124"/>
      <c r="BD42" s="125">
        <v>13</v>
      </c>
      <c r="BE42" s="489"/>
      <c r="BF42" s="124"/>
      <c r="BG42" s="125">
        <v>14</v>
      </c>
      <c r="BH42" s="489"/>
      <c r="BI42" s="489"/>
      <c r="BJ42" s="124"/>
      <c r="BK42" s="125">
        <v>15</v>
      </c>
      <c r="BL42" s="489"/>
      <c r="BM42" s="124"/>
      <c r="BN42" s="125">
        <v>16</v>
      </c>
      <c r="BO42" s="489"/>
      <c r="BP42" s="489"/>
      <c r="BQ42" s="124"/>
      <c r="BR42" s="125">
        <v>17</v>
      </c>
      <c r="BS42" s="489"/>
      <c r="BT42" s="489"/>
      <c r="BU42" s="489"/>
      <c r="BV42" s="124"/>
      <c r="BW42" s="125">
        <v>18</v>
      </c>
      <c r="BX42" s="489"/>
      <c r="BY42" s="489"/>
      <c r="BZ42" s="124"/>
      <c r="CA42" s="125">
        <v>19</v>
      </c>
      <c r="CB42" s="489"/>
      <c r="CC42" s="124"/>
      <c r="CD42" s="125">
        <v>20</v>
      </c>
      <c r="CE42" s="124"/>
      <c r="CF42" s="125">
        <v>21</v>
      </c>
      <c r="CG42" s="489"/>
      <c r="CH42" s="124"/>
      <c r="CI42" s="125">
        <v>22</v>
      </c>
      <c r="CJ42" s="124"/>
      <c r="CK42" s="127">
        <v>23</v>
      </c>
      <c r="CL42" s="125">
        <v>24</v>
      </c>
      <c r="CM42" s="126"/>
      <c r="CN42" s="125">
        <v>25</v>
      </c>
      <c r="CO42" s="489"/>
      <c r="CP42" s="126"/>
      <c r="CQ42" s="125">
        <v>26</v>
      </c>
      <c r="CR42" s="489"/>
      <c r="CS42" s="489"/>
      <c r="CT42" s="126"/>
      <c r="CU42" s="125">
        <v>27</v>
      </c>
      <c r="CV42" s="489"/>
      <c r="CW42" s="126"/>
      <c r="CX42" s="125">
        <v>28</v>
      </c>
      <c r="CY42" s="126"/>
      <c r="CZ42" s="125">
        <v>29</v>
      </c>
      <c r="DA42" s="489"/>
      <c r="DB42" s="126"/>
      <c r="DC42" s="125">
        <v>30</v>
      </c>
      <c r="DD42" s="489"/>
      <c r="DE42" s="489"/>
      <c r="DF42" s="126"/>
      <c r="DG42" s="125">
        <v>31</v>
      </c>
      <c r="DH42" s="489"/>
      <c r="DI42" s="126"/>
      <c r="DJ42" s="125">
        <v>32</v>
      </c>
      <c r="DK42" s="489"/>
      <c r="DL42" s="489"/>
      <c r="DM42" s="126"/>
      <c r="DN42" s="489">
        <v>33</v>
      </c>
      <c r="DO42" s="489"/>
      <c r="DP42" s="489"/>
      <c r="DQ42" s="489"/>
      <c r="DR42" s="126"/>
      <c r="DS42" s="125">
        <v>34</v>
      </c>
      <c r="DT42" s="489"/>
      <c r="DU42" s="489"/>
      <c r="DV42" s="126"/>
      <c r="DW42" s="489">
        <v>35</v>
      </c>
      <c r="DX42" s="489"/>
      <c r="DY42" s="126"/>
      <c r="DZ42" s="489">
        <v>36</v>
      </c>
      <c r="EA42" s="126"/>
      <c r="EB42" s="489">
        <v>37</v>
      </c>
      <c r="EC42" s="489"/>
      <c r="ED42" s="126"/>
      <c r="EE42" s="489">
        <v>38</v>
      </c>
      <c r="EF42" s="126"/>
      <c r="EG42" s="501">
        <v>39</v>
      </c>
      <c r="EH42" s="489">
        <v>40</v>
      </c>
      <c r="EI42" s="126"/>
      <c r="EJ42" s="489">
        <v>41</v>
      </c>
      <c r="EK42" s="489"/>
      <c r="EL42" s="126"/>
      <c r="EM42" s="489">
        <v>42</v>
      </c>
      <c r="EN42" s="126"/>
      <c r="EO42" s="489">
        <v>43</v>
      </c>
      <c r="EP42" s="504">
        <v>44</v>
      </c>
      <c r="EQ42" s="508">
        <v>45</v>
      </c>
      <c r="ER42" s="489">
        <v>46</v>
      </c>
      <c r="ES42" s="126"/>
      <c r="ET42" s="510">
        <v>47</v>
      </c>
      <c r="EU42" s="489">
        <v>48</v>
      </c>
      <c r="EV42" s="126"/>
      <c r="EW42" s="489">
        <v>49</v>
      </c>
      <c r="EX42" s="489"/>
      <c r="EY42" s="126"/>
      <c r="EZ42" s="489">
        <v>50</v>
      </c>
      <c r="FA42" s="489"/>
      <c r="FB42" s="489"/>
      <c r="FC42" s="126"/>
      <c r="FD42" s="489">
        <v>51</v>
      </c>
      <c r="FE42" s="489"/>
      <c r="FF42" s="126"/>
      <c r="FG42" s="489">
        <v>52</v>
      </c>
      <c r="FH42" s="126"/>
      <c r="FI42" s="489">
        <v>53</v>
      </c>
      <c r="FJ42" s="489"/>
      <c r="FK42" s="126"/>
      <c r="FL42" s="489">
        <v>54</v>
      </c>
      <c r="FM42" s="126"/>
      <c r="FN42" s="501">
        <v>55</v>
      </c>
      <c r="FO42" s="489">
        <v>56</v>
      </c>
      <c r="FP42" s="126"/>
      <c r="FQ42" s="489">
        <v>57</v>
      </c>
      <c r="FR42" s="489"/>
      <c r="FS42" s="126"/>
      <c r="FT42" s="489">
        <v>58</v>
      </c>
      <c r="FU42" s="489"/>
      <c r="FV42" s="489"/>
      <c r="FW42" s="126"/>
      <c r="FX42" s="489">
        <v>59</v>
      </c>
      <c r="FY42" s="489"/>
      <c r="FZ42" s="126"/>
      <c r="GA42" s="489">
        <v>60</v>
      </c>
      <c r="GB42" s="126"/>
      <c r="GC42" s="489">
        <v>61</v>
      </c>
      <c r="GD42" s="489"/>
      <c r="GE42" s="126"/>
      <c r="GF42" s="489">
        <v>62</v>
      </c>
      <c r="GG42" s="489"/>
      <c r="GH42" s="489"/>
      <c r="GI42" s="126"/>
      <c r="GJ42" s="489">
        <v>63</v>
      </c>
      <c r="GK42" s="489"/>
      <c r="GL42" s="126"/>
      <c r="GM42" s="489">
        <v>64</v>
      </c>
      <c r="GN42" s="489"/>
      <c r="GO42" s="489"/>
      <c r="GP42" s="126"/>
      <c r="GQ42" s="489">
        <v>65</v>
      </c>
      <c r="GR42" s="489"/>
      <c r="GS42" s="489"/>
      <c r="GT42" s="489"/>
      <c r="GU42" s="126"/>
      <c r="GV42" s="489">
        <v>66</v>
      </c>
      <c r="GW42" s="489"/>
      <c r="GX42" s="489"/>
      <c r="GY42" s="489"/>
      <c r="GZ42" s="126"/>
      <c r="HA42" s="489">
        <v>67</v>
      </c>
      <c r="HB42" s="489"/>
      <c r="HC42" s="489"/>
      <c r="HD42" s="126"/>
      <c r="HE42" s="489">
        <v>68</v>
      </c>
      <c r="HF42" s="489"/>
      <c r="HG42" s="126"/>
      <c r="HH42" s="489">
        <v>69</v>
      </c>
      <c r="HI42" s="489"/>
      <c r="HJ42" s="489"/>
      <c r="HK42" s="126"/>
      <c r="HL42" s="489">
        <v>70</v>
      </c>
      <c r="HM42" s="489"/>
      <c r="HN42" s="126"/>
      <c r="HO42" s="489">
        <v>71</v>
      </c>
      <c r="HP42" s="126"/>
      <c r="HQ42" s="489">
        <v>72</v>
      </c>
      <c r="HR42" s="489"/>
      <c r="HS42" s="126"/>
      <c r="HT42" s="489">
        <v>73</v>
      </c>
      <c r="HU42" s="489"/>
      <c r="HV42" s="489"/>
      <c r="HW42" s="126"/>
      <c r="HX42" s="489">
        <v>74</v>
      </c>
      <c r="HY42" s="489"/>
      <c r="HZ42" s="126"/>
      <c r="IA42" s="489">
        <v>75</v>
      </c>
      <c r="IB42" s="126"/>
      <c r="IC42" s="501">
        <v>76</v>
      </c>
      <c r="ID42" s="489">
        <v>77</v>
      </c>
      <c r="IE42" s="126"/>
      <c r="IF42" s="489">
        <v>78</v>
      </c>
      <c r="IG42" s="489"/>
      <c r="IH42" s="126"/>
      <c r="II42" s="489">
        <v>79</v>
      </c>
      <c r="IJ42" s="126"/>
      <c r="IK42" s="489">
        <v>80</v>
      </c>
      <c r="IL42" s="489"/>
      <c r="IM42" s="126"/>
      <c r="IN42" s="489">
        <v>81</v>
      </c>
      <c r="IO42" s="489"/>
      <c r="IP42" s="489"/>
      <c r="IQ42" s="126"/>
      <c r="IR42" s="489">
        <v>82</v>
      </c>
      <c r="IS42" s="489"/>
      <c r="IT42" s="126"/>
      <c r="IU42" s="489">
        <v>83</v>
      </c>
      <c r="IV42" s="126"/>
      <c r="IW42" s="501">
        <v>84</v>
      </c>
      <c r="IX42" s="489">
        <v>85</v>
      </c>
      <c r="IY42" s="126"/>
      <c r="IZ42" s="489">
        <v>86</v>
      </c>
      <c r="JA42" s="504">
        <v>87</v>
      </c>
      <c r="JB42" s="508">
        <v>1</v>
      </c>
      <c r="JC42" s="489">
        <v>2</v>
      </c>
      <c r="JD42" s="126"/>
      <c r="JE42" s="489">
        <v>3</v>
      </c>
      <c r="JF42" s="489"/>
      <c r="JG42" s="126"/>
      <c r="JH42" s="489">
        <v>4</v>
      </c>
      <c r="JI42" s="126"/>
      <c r="JJ42" s="501">
        <v>5</v>
      </c>
      <c r="JK42" s="489">
        <v>6</v>
      </c>
      <c r="JL42" s="126"/>
      <c r="JM42" s="489">
        <v>7</v>
      </c>
      <c r="JN42" s="489"/>
      <c r="JO42" s="126"/>
      <c r="JP42" s="489">
        <v>8</v>
      </c>
      <c r="JQ42" s="126"/>
      <c r="JR42" s="489">
        <v>9</v>
      </c>
      <c r="JS42" s="489"/>
      <c r="JT42" s="126"/>
      <c r="JU42" s="489">
        <v>10</v>
      </c>
      <c r="JV42" s="489"/>
      <c r="JW42" s="489"/>
      <c r="JX42" s="489"/>
      <c r="JY42" s="11"/>
      <c r="JZ42" s="11"/>
      <c r="KA42" s="11"/>
      <c r="KB42" s="38"/>
      <c r="PA42" s="11"/>
    </row>
    <row r="43" spans="1:417" ht="15.75" x14ac:dyDescent="0.25">
      <c r="A43" s="11"/>
      <c r="B43" s="11"/>
      <c r="C43" s="11"/>
      <c r="D43" s="11"/>
      <c r="E43" s="11"/>
      <c r="F43" s="11"/>
      <c r="G43" s="11"/>
      <c r="H43" s="11"/>
      <c r="I43" s="11"/>
      <c r="J43" s="11"/>
      <c r="K43" s="2"/>
      <c r="L43" s="2"/>
      <c r="M43" s="2"/>
      <c r="N43" s="2"/>
      <c r="O43" s="2"/>
      <c r="P43" s="2"/>
      <c r="Q43" s="2"/>
      <c r="R43" s="11"/>
      <c r="S43" s="11"/>
      <c r="T43" s="11"/>
      <c r="U43" s="11"/>
      <c r="V43" s="11"/>
      <c r="W43" s="11"/>
      <c r="X43" s="11"/>
      <c r="Y43" s="11"/>
      <c r="Z43" s="11"/>
      <c r="AA43" s="11"/>
      <c r="AB43" s="12"/>
      <c r="AC43" s="13"/>
      <c r="AD43" s="13"/>
      <c r="AE43" s="14"/>
      <c r="AF43" s="11"/>
      <c r="AG43" s="11"/>
      <c r="AH43" s="11"/>
      <c r="AI43" s="11"/>
      <c r="AJ43" s="11"/>
      <c r="AK43" s="11"/>
      <c r="AL43" s="11"/>
      <c r="AM43" s="11"/>
      <c r="AN43" s="11"/>
      <c r="AO43" s="14"/>
      <c r="AP43" s="14"/>
      <c r="AQ43" s="14"/>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5"/>
      <c r="BV43" s="15"/>
      <c r="BW43" s="15"/>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c r="HC43" s="11"/>
      <c r="HD43" s="11"/>
      <c r="HE43" s="11"/>
      <c r="HF43" s="11"/>
      <c r="HG43" s="11"/>
      <c r="HH43" s="11"/>
      <c r="HI43" s="11"/>
      <c r="HJ43" s="11"/>
      <c r="HK43" s="11"/>
      <c r="HL43" s="11"/>
      <c r="HM43" s="11"/>
      <c r="HN43" s="11"/>
      <c r="HO43" s="11"/>
      <c r="HP43" s="11"/>
      <c r="HQ43" s="11"/>
      <c r="HR43" s="11"/>
      <c r="HS43" s="11"/>
      <c r="HT43" s="11"/>
      <c r="HU43" s="11"/>
      <c r="HV43" s="11"/>
      <c r="HW43" s="11"/>
      <c r="HX43" s="11"/>
      <c r="HY43" s="11"/>
      <c r="HZ43" s="11"/>
      <c r="IA43" s="11"/>
      <c r="IB43" s="11"/>
      <c r="IC43" s="11"/>
      <c r="ID43" s="11"/>
      <c r="IE43" s="11"/>
      <c r="IF43" s="11"/>
      <c r="IG43" s="11"/>
      <c r="IH43" s="11"/>
      <c r="II43" s="11"/>
      <c r="IJ43" s="11"/>
      <c r="IK43" s="11"/>
      <c r="IL43" s="11"/>
      <c r="IM43" s="11"/>
      <c r="IN43" s="11"/>
      <c r="IO43" s="11"/>
      <c r="IP43" s="11"/>
      <c r="IQ43" s="11"/>
      <c r="IR43" s="11"/>
      <c r="IS43" s="11"/>
      <c r="IT43" s="11"/>
      <c r="IU43" s="11"/>
      <c r="IV43" s="11"/>
      <c r="IW43" s="11"/>
      <c r="IX43" s="11"/>
      <c r="IY43" s="11"/>
      <c r="IZ43" s="11"/>
      <c r="JA43" s="11"/>
      <c r="JB43" s="11"/>
      <c r="JC43" s="11"/>
      <c r="JD43" s="11"/>
      <c r="JE43" s="11"/>
      <c r="JF43" s="11"/>
      <c r="JG43" s="11"/>
      <c r="JH43" s="11"/>
      <c r="JI43" s="11"/>
      <c r="JJ43" s="11"/>
      <c r="JK43" s="11"/>
      <c r="JL43" s="11"/>
      <c r="JM43" s="11"/>
      <c r="JN43" s="11"/>
      <c r="JO43" s="11"/>
      <c r="JP43" s="11"/>
      <c r="JQ43" s="11"/>
      <c r="JR43" s="11"/>
      <c r="JS43" s="11"/>
      <c r="JT43" s="11"/>
      <c r="JU43" s="11"/>
      <c r="JV43" s="11"/>
      <c r="JW43" s="11"/>
      <c r="JX43" s="11"/>
      <c r="JY43" s="11"/>
      <c r="JZ43" s="11"/>
      <c r="KA43" s="11"/>
      <c r="KB43" s="38"/>
      <c r="PA43" s="11"/>
    </row>
    <row r="44" spans="1:417" ht="15.75" x14ac:dyDescent="0.25">
      <c r="A44" s="11"/>
      <c r="B44" s="11"/>
      <c r="C44" s="11"/>
      <c r="D44" s="11"/>
      <c r="E44" s="11"/>
      <c r="F44" s="11"/>
      <c r="G44" s="11"/>
      <c r="H44" s="11"/>
      <c r="I44" s="11"/>
      <c r="J44" s="11"/>
      <c r="K44" s="2"/>
      <c r="L44" s="2"/>
      <c r="M44" s="2"/>
      <c r="N44" s="2"/>
      <c r="O44" s="2"/>
      <c r="P44" s="2"/>
      <c r="Q44" s="2"/>
      <c r="R44" s="11"/>
      <c r="S44" s="11"/>
      <c r="T44" s="11"/>
      <c r="U44" s="11"/>
      <c r="V44" s="11"/>
      <c r="W44" s="11"/>
      <c r="X44" s="11"/>
      <c r="Y44" s="11"/>
      <c r="Z44" s="11"/>
      <c r="AA44" s="11"/>
      <c r="AB44" s="12"/>
      <c r="AC44" s="13"/>
      <c r="AD44" s="13"/>
      <c r="AE44" s="14"/>
      <c r="AF44" s="11"/>
      <c r="AG44" s="11"/>
      <c r="AH44" s="11"/>
      <c r="AI44" s="11"/>
      <c r="AJ44" s="11"/>
      <c r="AK44" s="11"/>
      <c r="AL44" s="11"/>
      <c r="AM44" s="11"/>
      <c r="AN44" s="11"/>
      <c r="AO44" s="14"/>
      <c r="AP44" s="14"/>
      <c r="AQ44" s="14"/>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5"/>
      <c r="BV44" s="15"/>
      <c r="BW44" s="15"/>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c r="HC44" s="11"/>
      <c r="HD44" s="11"/>
      <c r="HE44" s="11"/>
      <c r="HF44" s="11"/>
      <c r="HG44" s="11"/>
      <c r="HH44" s="11"/>
      <c r="HI44" s="11"/>
      <c r="HJ44" s="11"/>
      <c r="HK44" s="11"/>
      <c r="HL44" s="11"/>
      <c r="HM44" s="11"/>
      <c r="HN44" s="11"/>
      <c r="HO44" s="11"/>
      <c r="HP44" s="11"/>
      <c r="HQ44" s="11"/>
      <c r="HR44" s="11"/>
      <c r="HS44" s="11"/>
      <c r="HT44" s="11"/>
      <c r="HU44" s="11"/>
      <c r="HV44" s="11"/>
      <c r="HW44" s="11"/>
      <c r="HX44" s="11"/>
      <c r="HY44" s="11"/>
      <c r="HZ44" s="11"/>
      <c r="IA44" s="11"/>
      <c r="IB44" s="11"/>
      <c r="IC44" s="11"/>
      <c r="ID44" s="11"/>
      <c r="IE44" s="11"/>
      <c r="IF44" s="11"/>
      <c r="IG44" s="11"/>
      <c r="IH44" s="11"/>
      <c r="II44" s="11"/>
      <c r="IJ44" s="11"/>
      <c r="IK44" s="11"/>
      <c r="IL44" s="11"/>
      <c r="IM44" s="11"/>
      <c r="IN44" s="11"/>
      <c r="IO44" s="11"/>
      <c r="IP44" s="11"/>
      <c r="IQ44" s="11"/>
      <c r="IR44" s="11"/>
      <c r="IS44" s="11"/>
      <c r="IT44" s="11"/>
      <c r="IU44" s="11"/>
      <c r="IV44" s="11"/>
      <c r="IW44" s="11"/>
      <c r="IX44" s="11"/>
      <c r="IY44" s="11"/>
      <c r="IZ44" s="11"/>
      <c r="JA44" s="11"/>
      <c r="JB44" s="11"/>
      <c r="JC44" s="11"/>
      <c r="JD44" s="11"/>
      <c r="JE44" s="11"/>
      <c r="JF44" s="11"/>
      <c r="JG44" s="11"/>
      <c r="JH44" s="11"/>
      <c r="JI44" s="11"/>
      <c r="JJ44" s="11"/>
      <c r="JK44" s="11"/>
      <c r="JL44" s="11"/>
      <c r="JM44" s="11"/>
      <c r="JN44" s="11"/>
      <c r="JO44" s="11"/>
      <c r="JP44" s="11"/>
      <c r="JQ44" s="11"/>
      <c r="JR44" s="11"/>
      <c r="JS44" s="11"/>
      <c r="JT44" s="11"/>
      <c r="JU44" s="11"/>
      <c r="JV44" s="11"/>
      <c r="JW44" s="11"/>
      <c r="JX44" s="11"/>
      <c r="JY44" s="11"/>
      <c r="JZ44" s="11"/>
      <c r="KA44" s="11"/>
      <c r="KB44" s="33"/>
      <c r="PA44" s="11"/>
    </row>
    <row r="45" spans="1:417" x14ac:dyDescent="0.25">
      <c r="A45" s="139">
        <f>23+114+141</f>
        <v>278</v>
      </c>
      <c r="B45" s="90"/>
      <c r="C45" s="91"/>
      <c r="D45" s="233" t="s">
        <v>91</v>
      </c>
      <c r="E45" s="92"/>
      <c r="F45" s="92"/>
      <c r="G45" s="92"/>
      <c r="H45" s="93"/>
      <c r="I45" s="93"/>
      <c r="J45" s="93">
        <v>6</v>
      </c>
      <c r="K45" s="94"/>
      <c r="L45" s="93"/>
      <c r="M45" s="93"/>
      <c r="N45" s="93"/>
      <c r="O45" s="93"/>
      <c r="P45" s="494">
        <v>12</v>
      </c>
      <c r="Q45" s="94"/>
      <c r="R45" s="93"/>
      <c r="S45" s="93"/>
      <c r="T45" s="93"/>
      <c r="U45" s="494">
        <v>17</v>
      </c>
      <c r="V45" s="94"/>
      <c r="W45" s="93"/>
      <c r="X45" s="93"/>
      <c r="Y45" s="494">
        <v>21</v>
      </c>
      <c r="Z45" s="94"/>
      <c r="AA45" s="93"/>
      <c r="AB45" s="98"/>
      <c r="AC45" s="93"/>
      <c r="AD45" s="494">
        <v>26</v>
      </c>
      <c r="AE45" s="94"/>
      <c r="AF45" s="93"/>
      <c r="AG45" s="93"/>
      <c r="AH45" s="494">
        <v>30</v>
      </c>
      <c r="AI45" s="94"/>
      <c r="AJ45" s="93"/>
      <c r="AK45" s="494">
        <v>33</v>
      </c>
      <c r="AL45" s="94"/>
      <c r="AM45" s="93"/>
      <c r="AN45" s="93"/>
      <c r="AO45" s="494">
        <v>37</v>
      </c>
      <c r="AP45" s="94"/>
      <c r="AQ45" s="93"/>
      <c r="AR45" s="93"/>
      <c r="AS45" s="93"/>
      <c r="AT45" s="494">
        <v>42</v>
      </c>
      <c r="AU45" s="94"/>
      <c r="AV45" s="93"/>
      <c r="AW45" s="93"/>
      <c r="AX45" s="494">
        <v>46</v>
      </c>
      <c r="AY45" s="94"/>
      <c r="AZ45" s="93"/>
      <c r="BA45" s="494">
        <v>49</v>
      </c>
      <c r="BB45" s="94"/>
      <c r="BC45" s="494">
        <v>51</v>
      </c>
      <c r="BD45" s="94"/>
      <c r="BE45" s="93"/>
      <c r="BF45" s="494">
        <v>54</v>
      </c>
      <c r="BG45" s="94"/>
      <c r="BH45" s="93"/>
      <c r="BI45" s="93"/>
      <c r="BJ45" s="494">
        <v>58</v>
      </c>
      <c r="BK45" s="94"/>
      <c r="BL45" s="93"/>
      <c r="BM45" s="494">
        <v>61</v>
      </c>
      <c r="BN45" s="94"/>
      <c r="BO45" s="93"/>
      <c r="BP45" s="93"/>
      <c r="BQ45" s="494">
        <v>65</v>
      </c>
      <c r="BR45" s="94"/>
      <c r="BS45" s="93"/>
      <c r="BT45" s="93"/>
      <c r="BU45" s="93"/>
      <c r="BV45" s="494">
        <v>70</v>
      </c>
      <c r="BW45" s="94"/>
      <c r="BX45" s="93"/>
      <c r="BY45" s="93"/>
      <c r="BZ45" s="494">
        <v>74</v>
      </c>
      <c r="CA45" s="94"/>
      <c r="CB45" s="93"/>
      <c r="CC45" s="494">
        <v>77</v>
      </c>
      <c r="CD45" s="94"/>
      <c r="CE45" s="494">
        <v>79</v>
      </c>
      <c r="CF45" s="94"/>
      <c r="CG45" s="93"/>
      <c r="CH45" s="494">
        <v>82</v>
      </c>
      <c r="CI45" s="94"/>
      <c r="CJ45" s="494">
        <v>84</v>
      </c>
      <c r="CK45" s="96">
        <v>85</v>
      </c>
      <c r="CL45" s="495"/>
      <c r="CM45" s="95">
        <v>87</v>
      </c>
      <c r="CO45" s="93"/>
      <c r="CP45" s="95">
        <v>90</v>
      </c>
      <c r="CR45" s="93"/>
      <c r="CS45" s="93"/>
      <c r="CT45" s="95">
        <v>94</v>
      </c>
      <c r="CV45" s="93"/>
      <c r="CW45" s="95">
        <v>97</v>
      </c>
      <c r="CY45" s="95">
        <v>99</v>
      </c>
      <c r="DA45" s="93"/>
      <c r="DB45" s="95">
        <v>102</v>
      </c>
      <c r="DD45" s="93"/>
      <c r="DE45" s="93"/>
      <c r="DF45" s="95">
        <v>106</v>
      </c>
      <c r="DH45" s="93"/>
      <c r="DI45" s="95">
        <v>109</v>
      </c>
      <c r="DK45" s="93"/>
      <c r="DL45" s="93"/>
      <c r="DM45" s="95">
        <v>113</v>
      </c>
      <c r="DN45" s="93"/>
      <c r="DO45" s="93"/>
      <c r="DP45" s="93"/>
      <c r="DQ45" s="93"/>
      <c r="DR45" s="95">
        <v>118</v>
      </c>
      <c r="DT45" s="93"/>
      <c r="DU45" s="93"/>
      <c r="DV45" s="95">
        <v>122</v>
      </c>
      <c r="DW45" s="93"/>
      <c r="DX45" s="93"/>
      <c r="DY45" s="95">
        <v>125</v>
      </c>
      <c r="DZ45" s="93"/>
      <c r="EA45" s="95">
        <v>127</v>
      </c>
      <c r="EB45" s="93"/>
      <c r="EC45" s="93"/>
      <c r="ED45" s="95">
        <v>130</v>
      </c>
      <c r="EE45" s="93"/>
      <c r="EF45" s="95">
        <v>132</v>
      </c>
      <c r="EG45" s="96">
        <v>133</v>
      </c>
      <c r="EH45" s="93"/>
      <c r="EI45" s="95">
        <v>135</v>
      </c>
      <c r="EJ45" s="93"/>
      <c r="EK45" s="93"/>
      <c r="EL45" s="95">
        <v>138</v>
      </c>
      <c r="EM45" s="93"/>
      <c r="EN45" s="95">
        <v>140</v>
      </c>
      <c r="EO45" s="93">
        <v>141</v>
      </c>
      <c r="EP45" s="502"/>
      <c r="EQ45" s="505">
        <v>1</v>
      </c>
      <c r="ER45" s="93"/>
      <c r="ES45" s="95">
        <v>3</v>
      </c>
      <c r="ET45" s="96">
        <v>4</v>
      </c>
      <c r="EU45" s="93"/>
      <c r="EV45" s="95">
        <v>6</v>
      </c>
      <c r="EW45" s="93"/>
      <c r="EX45" s="93"/>
      <c r="EY45" s="95">
        <v>9</v>
      </c>
      <c r="EZ45" s="93"/>
      <c r="FA45" s="93"/>
      <c r="FB45" s="93"/>
      <c r="FC45" s="95">
        <v>13</v>
      </c>
      <c r="FD45" s="93"/>
      <c r="FE45" s="93"/>
      <c r="FF45" s="95">
        <v>16</v>
      </c>
      <c r="FG45" s="93"/>
      <c r="FH45" s="95">
        <v>18</v>
      </c>
      <c r="FI45" s="93"/>
      <c r="FJ45" s="93"/>
      <c r="FK45" s="95">
        <v>21</v>
      </c>
      <c r="FL45" s="93"/>
      <c r="FM45" s="95">
        <v>23</v>
      </c>
      <c r="FN45" s="96">
        <v>24</v>
      </c>
      <c r="FO45" s="93"/>
      <c r="FP45" s="95">
        <v>26</v>
      </c>
      <c r="FQ45" s="93"/>
      <c r="FR45" s="93"/>
      <c r="FS45" s="95">
        <v>29</v>
      </c>
      <c r="FT45" s="93"/>
      <c r="FU45" s="93"/>
      <c r="FV45" s="93"/>
      <c r="FW45" s="95">
        <v>33</v>
      </c>
      <c r="FX45" s="93"/>
      <c r="FY45" s="93"/>
      <c r="FZ45" s="95">
        <v>36</v>
      </c>
      <c r="GA45" s="93"/>
      <c r="GB45" s="95">
        <v>38</v>
      </c>
      <c r="GC45" s="93"/>
      <c r="GD45" s="93"/>
      <c r="GE45" s="95">
        <v>41</v>
      </c>
      <c r="GF45" s="93"/>
      <c r="GG45" s="93"/>
      <c r="GH45" s="93"/>
      <c r="GI45" s="95">
        <v>45</v>
      </c>
      <c r="GJ45" s="93"/>
      <c r="GK45" s="93"/>
      <c r="GL45" s="95">
        <v>48</v>
      </c>
      <c r="GM45" s="93"/>
      <c r="GN45" s="93"/>
      <c r="GO45" s="93"/>
      <c r="GP45" s="95">
        <v>52</v>
      </c>
      <c r="GQ45" s="93"/>
      <c r="GR45" s="93"/>
      <c r="GS45" s="93"/>
      <c r="GT45" s="93"/>
      <c r="GU45" s="95">
        <v>57</v>
      </c>
      <c r="GV45" s="93"/>
      <c r="GW45" s="93"/>
      <c r="GX45" s="93"/>
      <c r="GY45" s="93"/>
      <c r="GZ45" s="95">
        <v>62</v>
      </c>
      <c r="HA45" s="93"/>
      <c r="HB45" s="93"/>
      <c r="HC45" s="93"/>
      <c r="HD45" s="95">
        <v>66</v>
      </c>
      <c r="HE45" s="93"/>
      <c r="HF45" s="93"/>
      <c r="HG45" s="95">
        <v>69</v>
      </c>
      <c r="HH45" s="93"/>
      <c r="HI45" s="93"/>
      <c r="HJ45" s="93"/>
      <c r="HK45" s="95">
        <v>73</v>
      </c>
      <c r="HL45" s="93"/>
      <c r="HM45" s="93"/>
      <c r="HN45" s="95">
        <v>76</v>
      </c>
      <c r="HO45" s="93"/>
      <c r="HP45" s="95">
        <v>78</v>
      </c>
      <c r="HQ45" s="93"/>
      <c r="HR45" s="93"/>
      <c r="HS45" s="95">
        <v>81</v>
      </c>
      <c r="HT45" s="93"/>
      <c r="HU45" s="93"/>
      <c r="HV45" s="93"/>
      <c r="HW45" s="95">
        <v>85</v>
      </c>
      <c r="HX45" s="93"/>
      <c r="HY45" s="93"/>
      <c r="HZ45" s="95">
        <v>88</v>
      </c>
      <c r="IA45" s="93"/>
      <c r="IB45" s="95">
        <v>90</v>
      </c>
      <c r="IC45" s="96">
        <v>91</v>
      </c>
      <c r="ID45" s="93"/>
      <c r="IE45" s="95">
        <v>93</v>
      </c>
      <c r="IF45" s="93"/>
      <c r="IG45" s="93"/>
      <c r="IH45" s="95">
        <v>96</v>
      </c>
      <c r="II45" s="93"/>
      <c r="IJ45" s="95">
        <v>98</v>
      </c>
      <c r="IK45" s="93"/>
      <c r="IL45" s="93"/>
      <c r="IM45" s="95">
        <v>101</v>
      </c>
      <c r="IN45" s="93"/>
      <c r="IO45" s="93"/>
      <c r="IP45" s="93"/>
      <c r="IQ45" s="95">
        <v>105</v>
      </c>
      <c r="IR45" s="93"/>
      <c r="IS45" s="93"/>
      <c r="IT45" s="95">
        <v>108</v>
      </c>
      <c r="IU45" s="93"/>
      <c r="IV45" s="95">
        <v>110</v>
      </c>
      <c r="IW45" s="96">
        <v>111</v>
      </c>
      <c r="IX45" s="93"/>
      <c r="IY45" s="95">
        <v>113</v>
      </c>
      <c r="IZ45" s="93">
        <v>114</v>
      </c>
      <c r="JA45" s="515"/>
      <c r="JB45" s="505">
        <v>1</v>
      </c>
      <c r="JC45" s="93"/>
      <c r="JD45" s="95">
        <v>3</v>
      </c>
      <c r="JE45" s="93"/>
      <c r="JF45" s="93"/>
      <c r="JG45" s="95">
        <v>6</v>
      </c>
      <c r="JH45" s="93"/>
      <c r="JI45" s="95">
        <v>8</v>
      </c>
      <c r="JJ45" s="96">
        <v>9</v>
      </c>
      <c r="JK45" s="93"/>
      <c r="JL45" s="95">
        <v>11</v>
      </c>
      <c r="JM45" s="93"/>
      <c r="JN45" s="93"/>
      <c r="JO45" s="95">
        <v>14</v>
      </c>
      <c r="JP45" s="93"/>
      <c r="JQ45" s="95">
        <v>16</v>
      </c>
      <c r="JR45" s="93"/>
      <c r="JS45" s="93"/>
      <c r="JT45" s="95">
        <v>19</v>
      </c>
      <c r="JU45" s="93"/>
      <c r="JV45" s="93"/>
      <c r="JW45" s="93"/>
      <c r="JX45" s="93">
        <v>23</v>
      </c>
      <c r="JY45" s="11"/>
      <c r="JZ45" s="11"/>
      <c r="KA45" s="11"/>
      <c r="KB45" s="38"/>
      <c r="PA45" s="11"/>
    </row>
    <row r="46" spans="1:417" ht="17.25" thickBot="1" x14ac:dyDescent="0.3">
      <c r="A46" s="140">
        <f>SUM(E46:JX46)</f>
        <v>278</v>
      </c>
      <c r="B46" s="104"/>
      <c r="C46" s="105"/>
      <c r="D46" s="233" t="s">
        <v>90</v>
      </c>
      <c r="E46" s="106"/>
      <c r="F46" s="106"/>
      <c r="G46" s="106"/>
      <c r="H46" s="109"/>
      <c r="I46" s="109"/>
      <c r="J46" s="107">
        <v>6</v>
      </c>
      <c r="K46" s="108"/>
      <c r="L46" s="109"/>
      <c r="M46" s="109"/>
      <c r="N46" s="109"/>
      <c r="O46" s="109"/>
      <c r="P46" s="107">
        <v>6</v>
      </c>
      <c r="Q46" s="108"/>
      <c r="R46" s="109"/>
      <c r="S46" s="109"/>
      <c r="T46" s="109"/>
      <c r="U46" s="107">
        <v>5</v>
      </c>
      <c r="V46" s="108"/>
      <c r="W46" s="109"/>
      <c r="X46" s="109"/>
      <c r="Y46" s="107">
        <v>4</v>
      </c>
      <c r="Z46" s="108"/>
      <c r="AA46" s="109"/>
      <c r="AB46" s="112"/>
      <c r="AC46" s="117"/>
      <c r="AD46" s="107">
        <v>5</v>
      </c>
      <c r="AE46" s="108"/>
      <c r="AF46" s="117"/>
      <c r="AG46" s="117"/>
      <c r="AH46" s="107">
        <v>4</v>
      </c>
      <c r="AI46" s="108"/>
      <c r="AJ46" s="117"/>
      <c r="AK46" s="107">
        <v>3</v>
      </c>
      <c r="AL46" s="108"/>
      <c r="AM46" s="117"/>
      <c r="AN46" s="117"/>
      <c r="AO46" s="107">
        <v>4</v>
      </c>
      <c r="AP46" s="108"/>
      <c r="AQ46" s="117"/>
      <c r="AR46" s="117"/>
      <c r="AS46" s="117"/>
      <c r="AT46" s="107">
        <v>5</v>
      </c>
      <c r="AU46" s="108"/>
      <c r="AV46" s="117"/>
      <c r="AW46" s="117"/>
      <c r="AX46" s="107">
        <v>4</v>
      </c>
      <c r="AY46" s="108"/>
      <c r="AZ46" s="117"/>
      <c r="BA46" s="107">
        <v>3</v>
      </c>
      <c r="BB46" s="108"/>
      <c r="BC46" s="107">
        <v>2</v>
      </c>
      <c r="BD46" s="108"/>
      <c r="BE46" s="117"/>
      <c r="BF46" s="107">
        <v>3</v>
      </c>
      <c r="BG46" s="108"/>
      <c r="BH46" s="117"/>
      <c r="BI46" s="117"/>
      <c r="BJ46" s="107">
        <v>4</v>
      </c>
      <c r="BK46" s="108"/>
      <c r="BL46" s="117"/>
      <c r="BM46" s="107">
        <v>3</v>
      </c>
      <c r="BN46" s="108"/>
      <c r="BO46" s="117"/>
      <c r="BP46" s="117"/>
      <c r="BQ46" s="107">
        <v>4</v>
      </c>
      <c r="BR46" s="108"/>
      <c r="BS46" s="117"/>
      <c r="BT46" s="117"/>
      <c r="BU46" s="117"/>
      <c r="BV46" s="107">
        <v>5</v>
      </c>
      <c r="BW46" s="108"/>
      <c r="BX46" s="117"/>
      <c r="BY46" s="117"/>
      <c r="BZ46" s="107">
        <v>4</v>
      </c>
      <c r="CA46" s="108"/>
      <c r="CB46" s="117"/>
      <c r="CC46" s="107">
        <v>3</v>
      </c>
      <c r="CD46" s="108"/>
      <c r="CE46" s="107">
        <v>2</v>
      </c>
      <c r="CF46" s="108"/>
      <c r="CG46" s="117"/>
      <c r="CH46" s="107">
        <v>3</v>
      </c>
      <c r="CI46" s="108"/>
      <c r="CJ46" s="107">
        <v>2</v>
      </c>
      <c r="CK46" s="110">
        <v>1</v>
      </c>
      <c r="CL46" s="495"/>
      <c r="CM46" s="107">
        <v>2</v>
      </c>
      <c r="CO46" s="117"/>
      <c r="CP46" s="107">
        <v>3</v>
      </c>
      <c r="CR46" s="117"/>
      <c r="CS46" s="117"/>
      <c r="CT46" s="107">
        <v>4</v>
      </c>
      <c r="CV46" s="117"/>
      <c r="CW46" s="107">
        <v>3</v>
      </c>
      <c r="CY46" s="107">
        <v>2</v>
      </c>
      <c r="DA46" s="117"/>
      <c r="DB46" s="107">
        <v>3</v>
      </c>
      <c r="DD46" s="117"/>
      <c r="DE46" s="117"/>
      <c r="DF46" s="107">
        <v>4</v>
      </c>
      <c r="DH46" s="117"/>
      <c r="DI46" s="107">
        <v>3</v>
      </c>
      <c r="DK46" s="117"/>
      <c r="DL46" s="117"/>
      <c r="DM46" s="107">
        <v>4</v>
      </c>
      <c r="DN46" s="117"/>
      <c r="DO46" s="117"/>
      <c r="DP46" s="117"/>
      <c r="DQ46" s="117"/>
      <c r="DR46" s="107">
        <v>5</v>
      </c>
      <c r="DT46" s="117"/>
      <c r="DU46" s="117"/>
      <c r="DV46" s="107">
        <v>4</v>
      </c>
      <c r="DW46" s="117"/>
      <c r="DX46" s="117"/>
      <c r="DY46" s="107">
        <v>3</v>
      </c>
      <c r="DZ46" s="117"/>
      <c r="EA46" s="107">
        <v>2</v>
      </c>
      <c r="EB46" s="117"/>
      <c r="EC46" s="117"/>
      <c r="ED46" s="107">
        <v>3</v>
      </c>
      <c r="EE46" s="117"/>
      <c r="EF46" s="107">
        <v>2</v>
      </c>
      <c r="EG46" s="107">
        <v>1</v>
      </c>
      <c r="EH46" s="117"/>
      <c r="EI46" s="107">
        <v>2</v>
      </c>
      <c r="EJ46" s="117"/>
      <c r="EK46" s="117"/>
      <c r="EL46" s="107">
        <v>3</v>
      </c>
      <c r="EM46" s="117"/>
      <c r="EN46" s="107">
        <v>2</v>
      </c>
      <c r="EO46" s="109">
        <v>1</v>
      </c>
      <c r="EP46" s="503">
        <v>0</v>
      </c>
      <c r="EQ46" s="506">
        <v>1</v>
      </c>
      <c r="ER46" s="109"/>
      <c r="ES46" s="107">
        <v>2</v>
      </c>
      <c r="ET46" s="110">
        <v>1</v>
      </c>
      <c r="EU46" s="109"/>
      <c r="EV46" s="107">
        <v>2</v>
      </c>
      <c r="EW46" s="117"/>
      <c r="EX46" s="109"/>
      <c r="EY46" s="107">
        <v>3</v>
      </c>
      <c r="EZ46" s="117"/>
      <c r="FA46" s="109"/>
      <c r="FB46" s="109"/>
      <c r="FC46" s="107">
        <v>4</v>
      </c>
      <c r="FD46" s="117"/>
      <c r="FE46" s="109"/>
      <c r="FF46" s="107">
        <v>3</v>
      </c>
      <c r="FG46" s="117"/>
      <c r="FH46" s="107">
        <v>2</v>
      </c>
      <c r="FI46" s="117"/>
      <c r="FJ46" s="109"/>
      <c r="FK46" s="107">
        <v>3</v>
      </c>
      <c r="FL46" s="117"/>
      <c r="FM46" s="107">
        <v>2</v>
      </c>
      <c r="FN46" s="110">
        <v>1</v>
      </c>
      <c r="FO46" s="109"/>
      <c r="FP46" s="107">
        <v>2</v>
      </c>
      <c r="FQ46" s="117"/>
      <c r="FR46" s="109"/>
      <c r="FS46" s="107">
        <v>3</v>
      </c>
      <c r="FT46" s="117"/>
      <c r="FU46" s="109"/>
      <c r="FV46" s="109"/>
      <c r="FW46" s="107">
        <v>4</v>
      </c>
      <c r="FX46" s="117"/>
      <c r="FY46" s="109"/>
      <c r="FZ46" s="107">
        <v>3</v>
      </c>
      <c r="GA46" s="117"/>
      <c r="GB46" s="107">
        <v>2</v>
      </c>
      <c r="GC46" s="117"/>
      <c r="GD46" s="109"/>
      <c r="GE46" s="107">
        <v>3</v>
      </c>
      <c r="GF46" s="117"/>
      <c r="GG46" s="109"/>
      <c r="GH46" s="109"/>
      <c r="GI46" s="107">
        <v>4</v>
      </c>
      <c r="GJ46" s="117"/>
      <c r="GK46" s="109"/>
      <c r="GL46" s="107">
        <v>3</v>
      </c>
      <c r="GM46" s="117"/>
      <c r="GN46" s="109"/>
      <c r="GO46" s="109"/>
      <c r="GP46" s="107">
        <v>4</v>
      </c>
      <c r="GQ46" s="117"/>
      <c r="GR46" s="109"/>
      <c r="GS46" s="109"/>
      <c r="GT46" s="109"/>
      <c r="GU46" s="107">
        <v>5</v>
      </c>
      <c r="GV46" s="117"/>
      <c r="GW46" s="109"/>
      <c r="GX46" s="109"/>
      <c r="GY46" s="109"/>
      <c r="GZ46" s="107">
        <v>5</v>
      </c>
      <c r="HA46" s="117"/>
      <c r="HB46" s="109"/>
      <c r="HC46" s="109"/>
      <c r="HD46" s="107">
        <v>4</v>
      </c>
      <c r="HE46" s="117"/>
      <c r="HF46" s="109"/>
      <c r="HG46" s="107">
        <v>3</v>
      </c>
      <c r="HH46" s="117"/>
      <c r="HI46" s="109"/>
      <c r="HJ46" s="109"/>
      <c r="HK46" s="107">
        <v>4</v>
      </c>
      <c r="HL46" s="117"/>
      <c r="HM46" s="109"/>
      <c r="HN46" s="107">
        <v>3</v>
      </c>
      <c r="HO46" s="117"/>
      <c r="HP46" s="107">
        <v>2</v>
      </c>
      <c r="HQ46" s="117"/>
      <c r="HR46" s="109"/>
      <c r="HS46" s="107">
        <v>3</v>
      </c>
      <c r="HT46" s="117"/>
      <c r="HU46" s="109"/>
      <c r="HV46" s="109"/>
      <c r="HW46" s="107">
        <v>4</v>
      </c>
      <c r="HX46" s="117"/>
      <c r="HY46" s="109"/>
      <c r="HZ46" s="107">
        <v>3</v>
      </c>
      <c r="IA46" s="117"/>
      <c r="IB46" s="107">
        <v>2</v>
      </c>
      <c r="IC46" s="107">
        <v>1</v>
      </c>
      <c r="ID46" s="109"/>
      <c r="IE46" s="107">
        <v>2</v>
      </c>
      <c r="IF46" s="117"/>
      <c r="IG46" s="109"/>
      <c r="IH46" s="107">
        <v>3</v>
      </c>
      <c r="II46" s="117"/>
      <c r="IJ46" s="107">
        <v>2</v>
      </c>
      <c r="IK46" s="117"/>
      <c r="IL46" s="109"/>
      <c r="IM46" s="107">
        <v>3</v>
      </c>
      <c r="IN46" s="117"/>
      <c r="IO46" s="109"/>
      <c r="IP46" s="109"/>
      <c r="IQ46" s="107">
        <v>4</v>
      </c>
      <c r="IR46" s="117"/>
      <c r="IS46" s="109"/>
      <c r="IT46" s="107">
        <v>3</v>
      </c>
      <c r="IU46" s="117"/>
      <c r="IV46" s="107">
        <v>2</v>
      </c>
      <c r="IW46" s="107">
        <v>1</v>
      </c>
      <c r="IX46" s="109"/>
      <c r="IY46" s="107">
        <v>2</v>
      </c>
      <c r="IZ46" s="107">
        <v>1</v>
      </c>
      <c r="JA46" s="503">
        <v>0</v>
      </c>
      <c r="JB46" s="506">
        <v>1</v>
      </c>
      <c r="JC46" s="109"/>
      <c r="JD46" s="107">
        <v>2</v>
      </c>
      <c r="JE46" s="117"/>
      <c r="JF46" s="109"/>
      <c r="JG46" s="107">
        <v>3</v>
      </c>
      <c r="JH46" s="117"/>
      <c r="JI46" s="107">
        <v>2</v>
      </c>
      <c r="JJ46" s="107">
        <v>1</v>
      </c>
      <c r="JK46" s="109"/>
      <c r="JL46" s="107">
        <v>2</v>
      </c>
      <c r="JM46" s="117"/>
      <c r="JN46" s="109"/>
      <c r="JO46" s="107">
        <v>3</v>
      </c>
      <c r="JP46" s="117"/>
      <c r="JQ46" s="107">
        <v>2</v>
      </c>
      <c r="JR46" s="117"/>
      <c r="JS46" s="109"/>
      <c r="JT46" s="107">
        <v>3</v>
      </c>
      <c r="JU46" s="117"/>
      <c r="JV46" s="109"/>
      <c r="JW46" s="109"/>
      <c r="JX46" s="109">
        <v>4</v>
      </c>
      <c r="JY46" s="11"/>
      <c r="JZ46" s="11"/>
      <c r="KA46" s="11"/>
      <c r="KB46" s="38"/>
      <c r="PA46" s="11"/>
    </row>
    <row r="47" spans="1:417" ht="16.5" thickBot="1" x14ac:dyDescent="0.35">
      <c r="A47" s="105"/>
      <c r="B47" s="281"/>
      <c r="C47" s="105"/>
      <c r="D47" s="234" t="s">
        <v>88</v>
      </c>
      <c r="E47" s="18"/>
      <c r="F47" s="19"/>
      <c r="G47" s="19"/>
      <c r="H47" s="19"/>
      <c r="I47" s="19"/>
      <c r="J47" s="20"/>
      <c r="K47" s="21"/>
      <c r="L47" s="19"/>
      <c r="M47" s="19"/>
      <c r="N47" s="19"/>
      <c r="O47" s="19"/>
      <c r="P47" s="20"/>
      <c r="Q47" s="21"/>
      <c r="R47" s="19"/>
      <c r="S47" s="19"/>
      <c r="T47" s="19"/>
      <c r="U47" s="20"/>
      <c r="V47" s="21"/>
      <c r="W47" s="19"/>
      <c r="X47" s="19"/>
      <c r="Y47" s="20"/>
      <c r="Z47" s="21"/>
      <c r="AA47" s="19"/>
      <c r="AB47" s="492"/>
      <c r="AC47" s="19"/>
      <c r="AD47" s="20"/>
      <c r="AE47" s="21"/>
      <c r="AF47" s="19"/>
      <c r="AG47" s="19"/>
      <c r="AH47" s="20"/>
      <c r="AI47" s="21"/>
      <c r="AJ47" s="19"/>
      <c r="AK47" s="20"/>
      <c r="AL47" s="21"/>
      <c r="AM47" s="19"/>
      <c r="AN47" s="19"/>
      <c r="AO47" s="20"/>
      <c r="AP47" s="21"/>
      <c r="AQ47" s="19"/>
      <c r="AR47" s="19"/>
      <c r="AS47" s="19"/>
      <c r="AT47" s="20"/>
      <c r="AU47" s="21"/>
      <c r="AV47" s="19"/>
      <c r="AW47" s="19"/>
      <c r="AX47" s="20"/>
      <c r="AY47" s="21"/>
      <c r="AZ47" s="19"/>
      <c r="BA47" s="20"/>
      <c r="BB47" s="21"/>
      <c r="BC47" s="20"/>
      <c r="BD47" s="21"/>
      <c r="BE47" s="19"/>
      <c r="BF47" s="20"/>
      <c r="BG47" s="21"/>
      <c r="BH47" s="19"/>
      <c r="BI47" s="19"/>
      <c r="BJ47" s="20"/>
      <c r="BK47" s="21"/>
      <c r="BL47" s="19"/>
      <c r="BM47" s="20"/>
      <c r="BN47" s="21"/>
      <c r="BO47" s="19"/>
      <c r="BP47" s="19"/>
      <c r="BQ47" s="20"/>
      <c r="BR47" s="21"/>
      <c r="BS47" s="19"/>
      <c r="BT47" s="19"/>
      <c r="BU47" s="19"/>
      <c r="BV47" s="20"/>
      <c r="BW47" s="21"/>
      <c r="BX47" s="19"/>
      <c r="BY47" s="19"/>
      <c r="BZ47" s="20"/>
      <c r="CA47" s="21"/>
      <c r="CB47" s="19"/>
      <c r="CC47" s="20"/>
      <c r="CD47" s="21"/>
      <c r="CE47" s="20"/>
      <c r="CF47" s="21"/>
      <c r="CG47" s="19"/>
      <c r="CH47" s="20"/>
      <c r="CI47" s="21"/>
      <c r="CJ47" s="20"/>
      <c r="CK47" s="22"/>
      <c r="CL47" s="496"/>
      <c r="CM47" s="497"/>
      <c r="CN47" s="19"/>
      <c r="CO47" s="27"/>
      <c r="CP47" s="497"/>
      <c r="CQ47" s="19"/>
      <c r="CR47" s="19"/>
      <c r="CS47" s="19"/>
      <c r="CT47" s="497"/>
      <c r="CU47" s="19"/>
      <c r="CV47" s="19"/>
      <c r="CW47" s="497"/>
      <c r="CX47" s="19"/>
      <c r="CY47" s="497"/>
      <c r="CZ47" s="19"/>
      <c r="DA47" s="19"/>
      <c r="DB47" s="497"/>
      <c r="DC47" s="19"/>
      <c r="DD47" s="19"/>
      <c r="DE47" s="19"/>
      <c r="DF47" s="497"/>
      <c r="DG47" s="19"/>
      <c r="DH47" s="19"/>
      <c r="DI47" s="497"/>
      <c r="DJ47" s="19"/>
      <c r="DK47" s="19"/>
      <c r="DL47" s="19"/>
      <c r="DM47" s="497"/>
      <c r="DN47" s="19"/>
      <c r="DO47" s="19"/>
      <c r="DP47" s="19"/>
      <c r="DQ47" s="19"/>
      <c r="DR47" s="497"/>
      <c r="DS47" s="19"/>
      <c r="DT47" s="19"/>
      <c r="DU47" s="19"/>
      <c r="DV47" s="497"/>
      <c r="DW47" s="19"/>
      <c r="DX47" s="19"/>
      <c r="DY47" s="497"/>
      <c r="DZ47" s="19"/>
      <c r="EA47" s="497"/>
      <c r="EB47" s="19"/>
      <c r="EC47" s="19"/>
      <c r="ED47" s="497"/>
      <c r="EE47" s="19"/>
      <c r="EF47" s="497"/>
      <c r="EG47" s="22"/>
      <c r="EH47" s="28"/>
      <c r="EI47" s="497"/>
      <c r="EJ47" s="19"/>
      <c r="EK47" s="19"/>
      <c r="EL47" s="497"/>
      <c r="EM47" s="19"/>
      <c r="EN47" s="497"/>
      <c r="EO47" s="27"/>
      <c r="EP47" s="491"/>
      <c r="EQ47" s="507"/>
      <c r="ER47" s="28"/>
      <c r="ES47" s="497"/>
      <c r="ET47" s="509"/>
      <c r="EU47" s="28"/>
      <c r="EV47" s="497"/>
      <c r="EW47" s="19"/>
      <c r="EX47" s="19"/>
      <c r="EY47" s="497"/>
      <c r="EZ47" s="19"/>
      <c r="FA47" s="19"/>
      <c r="FB47" s="19"/>
      <c r="FC47" s="497"/>
      <c r="FD47" s="19"/>
      <c r="FE47" s="19"/>
      <c r="FF47" s="497"/>
      <c r="FG47" s="19"/>
      <c r="FH47" s="497"/>
      <c r="FI47" s="19"/>
      <c r="FJ47" s="19"/>
      <c r="FK47" s="497"/>
      <c r="FL47" s="19"/>
      <c r="FM47" s="497"/>
      <c r="FN47" s="22"/>
      <c r="FO47" s="28"/>
      <c r="FP47" s="497"/>
      <c r="FQ47" s="19"/>
      <c r="FR47" s="19"/>
      <c r="FS47" s="497"/>
      <c r="FT47" s="19"/>
      <c r="FU47" s="19"/>
      <c r="FV47" s="19"/>
      <c r="FW47" s="497"/>
      <c r="FX47" s="19"/>
      <c r="FY47" s="19"/>
      <c r="FZ47" s="497"/>
      <c r="GA47" s="19"/>
      <c r="GB47" s="497"/>
      <c r="GC47" s="19"/>
      <c r="GD47" s="19"/>
      <c r="GE47" s="497"/>
      <c r="GF47" s="19"/>
      <c r="GG47" s="19"/>
      <c r="GH47" s="19"/>
      <c r="GI47" s="497"/>
      <c r="GJ47" s="19"/>
      <c r="GK47" s="19"/>
      <c r="GL47" s="497"/>
      <c r="GM47" s="19"/>
      <c r="GN47" s="19"/>
      <c r="GO47" s="19"/>
      <c r="GP47" s="497"/>
      <c r="GQ47" s="19"/>
      <c r="GR47" s="19"/>
      <c r="GS47" s="19"/>
      <c r="GT47" s="19"/>
      <c r="GU47" s="497"/>
      <c r="GV47" s="19"/>
      <c r="GW47" s="19"/>
      <c r="GX47" s="19"/>
      <c r="GY47" s="19"/>
      <c r="GZ47" s="497"/>
      <c r="HA47" s="19"/>
      <c r="HB47" s="19"/>
      <c r="HC47" s="19"/>
      <c r="HD47" s="497"/>
      <c r="HE47" s="19"/>
      <c r="HF47" s="19"/>
      <c r="HG47" s="497"/>
      <c r="HH47" s="19"/>
      <c r="HI47" s="19"/>
      <c r="HJ47" s="19"/>
      <c r="HK47" s="497"/>
      <c r="HL47" s="19"/>
      <c r="HM47" s="19"/>
      <c r="HN47" s="497"/>
      <c r="HO47" s="19"/>
      <c r="HP47" s="497"/>
      <c r="HQ47" s="19"/>
      <c r="HR47" s="19"/>
      <c r="HS47" s="497"/>
      <c r="HT47" s="19"/>
      <c r="HU47" s="19"/>
      <c r="HV47" s="19"/>
      <c r="HW47" s="497"/>
      <c r="HX47" s="19"/>
      <c r="HY47" s="19"/>
      <c r="HZ47" s="497"/>
      <c r="IA47" s="19"/>
      <c r="IB47" s="497"/>
      <c r="IC47" s="22"/>
      <c r="ID47" s="28"/>
      <c r="IE47" s="497"/>
      <c r="IF47" s="19"/>
      <c r="IG47" s="19"/>
      <c r="IH47" s="497"/>
      <c r="II47" s="19"/>
      <c r="IJ47" s="497"/>
      <c r="IK47" s="19"/>
      <c r="IL47" s="19"/>
      <c r="IM47" s="497"/>
      <c r="IN47" s="19"/>
      <c r="IO47" s="19"/>
      <c r="IP47" s="19"/>
      <c r="IQ47" s="497"/>
      <c r="IR47" s="19"/>
      <c r="IS47" s="19"/>
      <c r="IT47" s="497"/>
      <c r="IU47" s="19"/>
      <c r="IV47" s="497"/>
      <c r="IW47" s="22"/>
      <c r="IX47" s="28"/>
      <c r="IY47" s="497"/>
      <c r="IZ47" s="27"/>
      <c r="JA47" s="516"/>
      <c r="JB47" s="507"/>
      <c r="JC47" s="28"/>
      <c r="JD47" s="497"/>
      <c r="JE47" s="19"/>
      <c r="JF47" s="19"/>
      <c r="JG47" s="497"/>
      <c r="JH47" s="19"/>
      <c r="JI47" s="497"/>
      <c r="JJ47" s="22"/>
      <c r="JK47" s="28"/>
      <c r="JL47" s="497"/>
      <c r="JM47" s="19"/>
      <c r="JN47" s="19"/>
      <c r="JO47" s="497"/>
      <c r="JP47" s="19"/>
      <c r="JQ47" s="497"/>
      <c r="JR47" s="19"/>
      <c r="JS47" s="19"/>
      <c r="JT47" s="497"/>
      <c r="JU47" s="19"/>
      <c r="JV47" s="19"/>
      <c r="JW47" s="19"/>
      <c r="JX47" s="29"/>
      <c r="JY47" s="11"/>
      <c r="JZ47" s="11"/>
      <c r="KA47" s="11"/>
      <c r="KB47" s="38"/>
      <c r="PA47" s="11"/>
    </row>
    <row r="48" spans="1:417" x14ac:dyDescent="0.25">
      <c r="A48" s="121"/>
      <c r="B48" s="122"/>
      <c r="C48" s="123"/>
      <c r="D48" s="235" t="s">
        <v>89</v>
      </c>
      <c r="E48" s="489">
        <v>1</v>
      </c>
      <c r="F48" s="489"/>
      <c r="G48" s="489"/>
      <c r="H48" s="489"/>
      <c r="I48" s="489"/>
      <c r="J48" s="124"/>
      <c r="K48" s="125">
        <v>2</v>
      </c>
      <c r="L48" s="489"/>
      <c r="M48" s="489"/>
      <c r="N48" s="489"/>
      <c r="O48" s="489"/>
      <c r="P48" s="124"/>
      <c r="Q48" s="125">
        <v>3</v>
      </c>
      <c r="R48" s="489"/>
      <c r="S48" s="489"/>
      <c r="T48" s="489"/>
      <c r="U48" s="124"/>
      <c r="V48" s="125">
        <v>4</v>
      </c>
      <c r="W48" s="489"/>
      <c r="X48" s="489"/>
      <c r="Y48" s="124"/>
      <c r="Z48" s="125">
        <v>5</v>
      </c>
      <c r="AA48" s="489"/>
      <c r="AB48" s="490"/>
      <c r="AC48" s="489"/>
      <c r="AD48" s="124"/>
      <c r="AE48" s="125">
        <v>6</v>
      </c>
      <c r="AF48" s="489"/>
      <c r="AG48" s="489"/>
      <c r="AH48" s="124"/>
      <c r="AI48" s="125">
        <v>7</v>
      </c>
      <c r="AJ48" s="489"/>
      <c r="AK48" s="124"/>
      <c r="AL48" s="125">
        <v>8</v>
      </c>
      <c r="AM48" s="489"/>
      <c r="AN48" s="489"/>
      <c r="AO48" s="124"/>
      <c r="AP48" s="125">
        <v>9</v>
      </c>
      <c r="AQ48" s="489"/>
      <c r="AR48" s="489"/>
      <c r="AS48" s="489"/>
      <c r="AT48" s="124"/>
      <c r="AU48" s="125">
        <v>10</v>
      </c>
      <c r="AV48" s="489"/>
      <c r="AW48" s="489"/>
      <c r="AX48" s="124"/>
      <c r="AY48" s="125">
        <v>11</v>
      </c>
      <c r="AZ48" s="489"/>
      <c r="BA48" s="124"/>
      <c r="BB48" s="125">
        <v>12</v>
      </c>
      <c r="BC48" s="124"/>
      <c r="BD48" s="125">
        <v>13</v>
      </c>
      <c r="BE48" s="489"/>
      <c r="BF48" s="124"/>
      <c r="BG48" s="125">
        <v>14</v>
      </c>
      <c r="BH48" s="489"/>
      <c r="BI48" s="489"/>
      <c r="BJ48" s="124"/>
      <c r="BK48" s="125">
        <v>15</v>
      </c>
      <c r="BL48" s="489"/>
      <c r="BM48" s="124"/>
      <c r="BN48" s="125">
        <v>16</v>
      </c>
      <c r="BO48" s="489"/>
      <c r="BP48" s="489"/>
      <c r="BQ48" s="124"/>
      <c r="BR48" s="125">
        <v>17</v>
      </c>
      <c r="BS48" s="489"/>
      <c r="BT48" s="489"/>
      <c r="BU48" s="489"/>
      <c r="BV48" s="124"/>
      <c r="BW48" s="125">
        <v>18</v>
      </c>
      <c r="BX48" s="489"/>
      <c r="BY48" s="489"/>
      <c r="BZ48" s="124"/>
      <c r="CA48" s="125">
        <v>19</v>
      </c>
      <c r="CB48" s="489"/>
      <c r="CC48" s="124"/>
      <c r="CD48" s="125">
        <v>20</v>
      </c>
      <c r="CE48" s="124"/>
      <c r="CF48" s="125">
        <v>21</v>
      </c>
      <c r="CG48" s="489"/>
      <c r="CH48" s="124"/>
      <c r="CI48" s="125">
        <v>22</v>
      </c>
      <c r="CJ48" s="124"/>
      <c r="CK48" s="127">
        <v>23</v>
      </c>
      <c r="CL48" s="125">
        <v>24</v>
      </c>
      <c r="CM48" s="126"/>
      <c r="CN48" s="125">
        <v>25</v>
      </c>
      <c r="CO48" s="489"/>
      <c r="CP48" s="126"/>
      <c r="CQ48" s="125">
        <v>26</v>
      </c>
      <c r="CR48" s="489"/>
      <c r="CS48" s="489"/>
      <c r="CT48" s="126"/>
      <c r="CU48" s="125">
        <v>27</v>
      </c>
      <c r="CV48" s="489"/>
      <c r="CW48" s="126"/>
      <c r="CX48" s="125">
        <v>28</v>
      </c>
      <c r="CY48" s="126"/>
      <c r="CZ48" s="125">
        <v>29</v>
      </c>
      <c r="DA48" s="489"/>
      <c r="DB48" s="126"/>
      <c r="DC48" s="125">
        <v>30</v>
      </c>
      <c r="DD48" s="489"/>
      <c r="DE48" s="489"/>
      <c r="DF48" s="126"/>
      <c r="DG48" s="125">
        <v>31</v>
      </c>
      <c r="DH48" s="489"/>
      <c r="DI48" s="126"/>
      <c r="DJ48" s="125">
        <v>32</v>
      </c>
      <c r="DK48" s="489"/>
      <c r="DL48" s="489"/>
      <c r="DM48" s="126"/>
      <c r="DN48" s="489">
        <v>33</v>
      </c>
      <c r="DO48" s="489"/>
      <c r="DP48" s="489"/>
      <c r="DQ48" s="489"/>
      <c r="DR48" s="126"/>
      <c r="DS48" s="125">
        <v>34</v>
      </c>
      <c r="DT48" s="489"/>
      <c r="DU48" s="489"/>
      <c r="DV48" s="126"/>
      <c r="DW48" s="489">
        <v>35</v>
      </c>
      <c r="DX48" s="489"/>
      <c r="DY48" s="126"/>
      <c r="DZ48" s="489">
        <v>36</v>
      </c>
      <c r="EA48" s="126"/>
      <c r="EB48" s="489">
        <v>37</v>
      </c>
      <c r="EC48" s="489"/>
      <c r="ED48" s="126"/>
      <c r="EE48" s="489">
        <v>38</v>
      </c>
      <c r="EF48" s="126"/>
      <c r="EG48" s="501">
        <v>39</v>
      </c>
      <c r="EH48" s="489">
        <v>40</v>
      </c>
      <c r="EI48" s="126"/>
      <c r="EJ48" s="489">
        <v>41</v>
      </c>
      <c r="EK48" s="489"/>
      <c r="EL48" s="126"/>
      <c r="EM48" s="489">
        <v>42</v>
      </c>
      <c r="EN48" s="126"/>
      <c r="EO48" s="489">
        <v>43</v>
      </c>
      <c r="EP48" s="504">
        <v>44</v>
      </c>
      <c r="EQ48" s="508">
        <v>45</v>
      </c>
      <c r="ER48" s="489">
        <v>46</v>
      </c>
      <c r="ES48" s="126"/>
      <c r="ET48" s="510">
        <v>47</v>
      </c>
      <c r="EU48" s="489">
        <v>48</v>
      </c>
      <c r="EV48" s="126"/>
      <c r="EW48" s="489">
        <v>49</v>
      </c>
      <c r="EX48" s="489"/>
      <c r="EY48" s="126"/>
      <c r="EZ48" s="489">
        <v>50</v>
      </c>
      <c r="FA48" s="489"/>
      <c r="FB48" s="489"/>
      <c r="FC48" s="126"/>
      <c r="FD48" s="489">
        <v>51</v>
      </c>
      <c r="FE48" s="489"/>
      <c r="FF48" s="126"/>
      <c r="FG48" s="489">
        <v>52</v>
      </c>
      <c r="FH48" s="126"/>
      <c r="FI48" s="489">
        <v>53</v>
      </c>
      <c r="FJ48" s="489"/>
      <c r="FK48" s="126"/>
      <c r="FL48" s="489">
        <v>54</v>
      </c>
      <c r="FM48" s="126"/>
      <c r="FN48" s="501">
        <v>55</v>
      </c>
      <c r="FO48" s="489">
        <v>56</v>
      </c>
      <c r="FP48" s="126"/>
      <c r="FQ48" s="489">
        <v>57</v>
      </c>
      <c r="FR48" s="489"/>
      <c r="FS48" s="126"/>
      <c r="FT48" s="489">
        <v>58</v>
      </c>
      <c r="FU48" s="489"/>
      <c r="FV48" s="489"/>
      <c r="FW48" s="126"/>
      <c r="FX48" s="489">
        <v>59</v>
      </c>
      <c r="FY48" s="489"/>
      <c r="FZ48" s="126"/>
      <c r="GA48" s="489">
        <v>60</v>
      </c>
      <c r="GB48" s="126"/>
      <c r="GC48" s="489">
        <v>61</v>
      </c>
      <c r="GD48" s="489"/>
      <c r="GE48" s="126"/>
      <c r="GF48" s="489">
        <v>62</v>
      </c>
      <c r="GG48" s="489"/>
      <c r="GH48" s="489"/>
      <c r="GI48" s="126"/>
      <c r="GJ48" s="489">
        <v>63</v>
      </c>
      <c r="GK48" s="489"/>
      <c r="GL48" s="126"/>
      <c r="GM48" s="489">
        <v>64</v>
      </c>
      <c r="GN48" s="489"/>
      <c r="GO48" s="489"/>
      <c r="GP48" s="126"/>
      <c r="GQ48" s="489">
        <v>65</v>
      </c>
      <c r="GR48" s="489"/>
      <c r="GS48" s="489"/>
      <c r="GT48" s="489"/>
      <c r="GU48" s="126"/>
      <c r="GV48" s="489">
        <v>66</v>
      </c>
      <c r="GW48" s="489"/>
      <c r="GX48" s="489"/>
      <c r="GY48" s="489"/>
      <c r="GZ48" s="126"/>
      <c r="HA48" s="489">
        <v>67</v>
      </c>
      <c r="HB48" s="489"/>
      <c r="HC48" s="489"/>
      <c r="HD48" s="126"/>
      <c r="HE48" s="489">
        <v>68</v>
      </c>
      <c r="HF48" s="489"/>
      <c r="HG48" s="126"/>
      <c r="HH48" s="489">
        <v>69</v>
      </c>
      <c r="HI48" s="489"/>
      <c r="HJ48" s="489"/>
      <c r="HK48" s="126"/>
      <c r="HL48" s="489">
        <v>70</v>
      </c>
      <c r="HM48" s="489"/>
      <c r="HN48" s="126"/>
      <c r="HO48" s="489">
        <v>71</v>
      </c>
      <c r="HP48" s="126"/>
      <c r="HQ48" s="489">
        <v>72</v>
      </c>
      <c r="HR48" s="489"/>
      <c r="HS48" s="126"/>
      <c r="HT48" s="489">
        <v>73</v>
      </c>
      <c r="HU48" s="489"/>
      <c r="HV48" s="489"/>
      <c r="HW48" s="126"/>
      <c r="HX48" s="489">
        <v>74</v>
      </c>
      <c r="HY48" s="489"/>
      <c r="HZ48" s="126"/>
      <c r="IA48" s="489">
        <v>75</v>
      </c>
      <c r="IB48" s="126"/>
      <c r="IC48" s="501">
        <v>76</v>
      </c>
      <c r="ID48" s="489">
        <v>77</v>
      </c>
      <c r="IE48" s="126"/>
      <c r="IF48" s="489">
        <v>78</v>
      </c>
      <c r="IG48" s="489"/>
      <c r="IH48" s="126"/>
      <c r="II48" s="489">
        <v>79</v>
      </c>
      <c r="IJ48" s="126"/>
      <c r="IK48" s="489">
        <v>80</v>
      </c>
      <c r="IL48" s="489"/>
      <c r="IM48" s="126"/>
      <c r="IN48" s="489">
        <v>81</v>
      </c>
      <c r="IO48" s="489"/>
      <c r="IP48" s="489"/>
      <c r="IQ48" s="126"/>
      <c r="IR48" s="489">
        <v>82</v>
      </c>
      <c r="IS48" s="489"/>
      <c r="IT48" s="126"/>
      <c r="IU48" s="489">
        <v>83</v>
      </c>
      <c r="IV48" s="126"/>
      <c r="IW48" s="501">
        <v>84</v>
      </c>
      <c r="IX48" s="489">
        <v>85</v>
      </c>
      <c r="IY48" s="126"/>
      <c r="IZ48" s="489">
        <v>86</v>
      </c>
      <c r="JA48" s="504">
        <v>87</v>
      </c>
      <c r="JB48" s="508">
        <v>1</v>
      </c>
      <c r="JC48" s="489">
        <v>2</v>
      </c>
      <c r="JD48" s="126"/>
      <c r="JE48" s="489">
        <v>3</v>
      </c>
      <c r="JF48" s="489"/>
      <c r="JG48" s="126"/>
      <c r="JH48" s="489">
        <v>4</v>
      </c>
      <c r="JI48" s="126"/>
      <c r="JJ48" s="501">
        <v>5</v>
      </c>
      <c r="JK48" s="489">
        <v>6</v>
      </c>
      <c r="JL48" s="126"/>
      <c r="JM48" s="489">
        <v>7</v>
      </c>
      <c r="JN48" s="489"/>
      <c r="JO48" s="126"/>
      <c r="JP48" s="489">
        <v>8</v>
      </c>
      <c r="JQ48" s="126"/>
      <c r="JR48" s="489">
        <v>9</v>
      </c>
      <c r="JS48" s="489"/>
      <c r="JT48" s="126"/>
      <c r="JU48" s="489">
        <v>10</v>
      </c>
      <c r="JV48" s="489"/>
      <c r="JW48" s="489"/>
      <c r="JX48" s="489"/>
      <c r="JY48" s="11"/>
      <c r="JZ48" s="11"/>
      <c r="KA48" s="11"/>
      <c r="KB48" s="38"/>
      <c r="PA48" s="11"/>
    </row>
    <row r="49" spans="1:417" ht="15.75" x14ac:dyDescent="0.25">
      <c r="A49" s="11"/>
      <c r="B49" s="11"/>
      <c r="C49" s="11"/>
      <c r="D49" s="11"/>
      <c r="E49" s="11"/>
      <c r="F49" s="11"/>
      <c r="G49" s="11"/>
      <c r="H49" s="11"/>
      <c r="I49" s="11"/>
      <c r="J49" s="11"/>
      <c r="K49" s="2"/>
      <c r="L49" s="2"/>
      <c r="M49" s="2"/>
      <c r="N49" s="2"/>
      <c r="O49" s="2"/>
      <c r="P49" s="2"/>
      <c r="Q49" s="2"/>
      <c r="R49" s="11"/>
      <c r="S49" s="11"/>
      <c r="T49" s="11"/>
      <c r="U49" s="11"/>
      <c r="V49" s="11"/>
      <c r="W49" s="11"/>
      <c r="X49" s="11"/>
      <c r="Y49" s="11"/>
      <c r="Z49" s="11"/>
      <c r="AA49" s="11"/>
      <c r="AB49" s="12"/>
      <c r="AC49" s="13"/>
      <c r="AD49" s="13"/>
      <c r="AE49" s="14"/>
      <c r="AF49" s="11"/>
      <c r="AG49" s="11"/>
      <c r="AH49" s="11"/>
      <c r="AI49" s="11"/>
      <c r="AJ49" s="11"/>
      <c r="AK49" s="11"/>
      <c r="AL49" s="11"/>
      <c r="AM49" s="11"/>
      <c r="AN49" s="11"/>
      <c r="AO49" s="14"/>
      <c r="AP49" s="14"/>
      <c r="AQ49" s="14"/>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5"/>
      <c r="BV49" s="15"/>
      <c r="BW49" s="15"/>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GY49" s="11"/>
      <c r="GZ49" s="11"/>
      <c r="HA49" s="11"/>
      <c r="HB49" s="11"/>
      <c r="HC49" s="11"/>
      <c r="HD49" s="11"/>
      <c r="HE49" s="11"/>
      <c r="HF49" s="11"/>
      <c r="HG49" s="11"/>
      <c r="HH49" s="11"/>
      <c r="HI49" s="11"/>
      <c r="HJ49" s="11"/>
      <c r="HK49" s="11"/>
      <c r="HL49" s="11"/>
      <c r="HM49" s="11"/>
      <c r="HN49" s="11"/>
      <c r="HO49" s="11"/>
      <c r="HP49" s="11"/>
      <c r="HQ49" s="11"/>
      <c r="HR49" s="11"/>
      <c r="HS49" s="11"/>
      <c r="HT49" s="11"/>
      <c r="HU49" s="11"/>
      <c r="HV49" s="11"/>
      <c r="HW49" s="11"/>
      <c r="HX49" s="11"/>
      <c r="HY49" s="11"/>
      <c r="HZ49" s="11"/>
      <c r="IA49" s="11"/>
      <c r="IB49" s="11"/>
      <c r="IC49" s="11"/>
      <c r="ID49" s="11"/>
      <c r="IE49" s="11"/>
      <c r="IF49" s="11"/>
      <c r="IG49" s="11"/>
      <c r="IH49" s="11"/>
      <c r="II49" s="11"/>
      <c r="IJ49" s="11"/>
      <c r="IK49" s="11"/>
      <c r="IL49" s="11"/>
      <c r="IM49" s="11"/>
      <c r="IN49" s="11"/>
      <c r="IO49" s="11"/>
      <c r="IP49" s="11"/>
      <c r="IQ49" s="11"/>
      <c r="IR49" s="11"/>
      <c r="IS49" s="11"/>
      <c r="IT49" s="11"/>
      <c r="IU49" s="11"/>
      <c r="IV49" s="11"/>
      <c r="IW49" s="11"/>
      <c r="IX49" s="11"/>
      <c r="IY49" s="11"/>
      <c r="IZ49" s="11"/>
      <c r="JA49" s="11"/>
      <c r="JB49" s="11"/>
      <c r="JC49" s="11"/>
      <c r="JD49" s="11"/>
      <c r="JE49" s="11"/>
      <c r="JF49" s="11"/>
      <c r="JG49" s="11"/>
      <c r="JH49" s="11"/>
      <c r="JI49" s="11"/>
      <c r="JJ49" s="11"/>
      <c r="JK49" s="11"/>
      <c r="JL49" s="11"/>
      <c r="JM49" s="11"/>
      <c r="JN49" s="11"/>
      <c r="JO49" s="11"/>
      <c r="JP49" s="11"/>
      <c r="JQ49" s="11"/>
      <c r="JR49" s="11"/>
      <c r="JS49" s="11"/>
      <c r="JT49" s="11"/>
      <c r="JU49" s="11"/>
      <c r="JV49" s="11"/>
      <c r="JW49" s="11"/>
      <c r="JX49" s="11"/>
      <c r="JY49" s="11"/>
      <c r="JZ49" s="11"/>
      <c r="KA49" s="11"/>
      <c r="KB49" s="38"/>
      <c r="PA49" s="11"/>
    </row>
    <row r="50" spans="1:417" ht="15.75" x14ac:dyDescent="0.25">
      <c r="A50" s="11"/>
      <c r="B50" s="11"/>
      <c r="C50" s="11"/>
      <c r="D50" s="11"/>
      <c r="E50" s="11"/>
      <c r="F50" s="11"/>
      <c r="G50" s="11"/>
      <c r="H50" s="11"/>
      <c r="I50" s="11"/>
      <c r="J50" s="11"/>
      <c r="K50" s="2"/>
      <c r="L50" s="2"/>
      <c r="M50" s="2"/>
      <c r="N50" s="2"/>
      <c r="O50" s="2"/>
      <c r="P50" s="2"/>
      <c r="Q50" s="2"/>
      <c r="R50" s="11"/>
      <c r="S50" s="11"/>
      <c r="T50" s="11"/>
      <c r="U50" s="11"/>
      <c r="V50" s="11"/>
      <c r="W50" s="11"/>
      <c r="X50" s="11"/>
      <c r="Y50" s="11"/>
      <c r="Z50" s="11"/>
      <c r="AA50" s="11"/>
      <c r="AB50" s="12"/>
      <c r="AC50" s="13"/>
      <c r="AD50" s="13"/>
      <c r="AE50" s="14"/>
      <c r="AF50" s="11"/>
      <c r="AG50" s="11"/>
      <c r="AH50" s="11"/>
      <c r="AI50" s="11"/>
      <c r="AJ50" s="11"/>
      <c r="AK50" s="11"/>
      <c r="AL50" s="11"/>
      <c r="AM50" s="11"/>
      <c r="AN50" s="11"/>
      <c r="AO50" s="14"/>
      <c r="AP50" s="14"/>
      <c r="AQ50" s="14"/>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5"/>
      <c r="BV50" s="15"/>
      <c r="BW50" s="15"/>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c r="HC50" s="11"/>
      <c r="HD50" s="11"/>
      <c r="HE50" s="11"/>
      <c r="HF50" s="11"/>
      <c r="HG50" s="11"/>
      <c r="HH50" s="11"/>
      <c r="HI50" s="11"/>
      <c r="HJ50" s="11"/>
      <c r="HK50" s="11"/>
      <c r="HL50" s="11"/>
      <c r="HM50" s="11"/>
      <c r="HN50" s="11"/>
      <c r="HO50" s="11"/>
      <c r="HP50" s="11"/>
      <c r="HQ50" s="11"/>
      <c r="HR50" s="11"/>
      <c r="HS50" s="11"/>
      <c r="HT50" s="11"/>
      <c r="HU50" s="11"/>
      <c r="HV50" s="11"/>
      <c r="HW50" s="11"/>
      <c r="HX50" s="11"/>
      <c r="HY50" s="11"/>
      <c r="HZ50" s="11"/>
      <c r="IA50" s="11"/>
      <c r="IB50" s="11"/>
      <c r="IC50" s="11"/>
      <c r="ID50" s="11"/>
      <c r="IE50" s="11"/>
      <c r="IF50" s="11"/>
      <c r="IG50" s="11"/>
      <c r="IH50" s="11"/>
      <c r="II50" s="11"/>
      <c r="IJ50" s="11"/>
      <c r="IK50" s="11"/>
      <c r="IL50" s="11"/>
      <c r="IM50" s="11"/>
      <c r="IN50" s="11"/>
      <c r="IO50" s="11"/>
      <c r="IP50" s="11"/>
      <c r="IQ50" s="11"/>
      <c r="IR50" s="11"/>
      <c r="IS50" s="11"/>
      <c r="IT50" s="11"/>
      <c r="IU50" s="11"/>
      <c r="IV50" s="11"/>
      <c r="IW50" s="11"/>
      <c r="IX50" s="11"/>
      <c r="IY50" s="11"/>
      <c r="IZ50" s="11"/>
      <c r="JA50" s="11"/>
      <c r="JB50" s="11"/>
      <c r="JC50" s="11"/>
      <c r="JD50" s="11"/>
      <c r="JE50" s="11"/>
      <c r="JF50" s="11"/>
      <c r="JG50" s="11"/>
      <c r="JH50" s="11"/>
      <c r="JI50" s="11"/>
      <c r="JJ50" s="11"/>
      <c r="JK50" s="11"/>
      <c r="JL50" s="11"/>
      <c r="JM50" s="11"/>
      <c r="JN50" s="11"/>
      <c r="JO50" s="11"/>
      <c r="JP50" s="11"/>
      <c r="JQ50" s="11"/>
      <c r="JR50" s="11"/>
      <c r="JS50" s="11"/>
      <c r="JT50" s="11"/>
      <c r="JU50" s="11"/>
      <c r="JV50" s="11"/>
      <c r="JW50" s="11"/>
      <c r="JX50" s="11"/>
      <c r="JY50" s="11"/>
      <c r="JZ50" s="11"/>
      <c r="KA50" s="11"/>
      <c r="KB50" s="38"/>
      <c r="PA50" s="11"/>
    </row>
    <row r="51" spans="1:417" x14ac:dyDescent="0.25">
      <c r="A51" s="141">
        <f>23+114+141</f>
        <v>278</v>
      </c>
      <c r="B51" s="90"/>
      <c r="C51" s="91"/>
      <c r="D51" s="233" t="s">
        <v>91</v>
      </c>
      <c r="E51" s="92"/>
      <c r="F51" s="92"/>
      <c r="G51" s="92"/>
      <c r="H51" s="93"/>
      <c r="I51" s="93"/>
      <c r="J51" s="93">
        <v>6</v>
      </c>
      <c r="K51" s="94"/>
      <c r="L51" s="93"/>
      <c r="M51" s="93"/>
      <c r="N51" s="93"/>
      <c r="O51" s="93"/>
      <c r="P51" s="494">
        <v>12</v>
      </c>
      <c r="Q51" s="94"/>
      <c r="R51" s="93"/>
      <c r="S51" s="93"/>
      <c r="T51" s="93"/>
      <c r="U51" s="494">
        <v>17</v>
      </c>
      <c r="V51" s="94"/>
      <c r="W51" s="93"/>
      <c r="X51" s="93"/>
      <c r="Y51" s="494">
        <v>21</v>
      </c>
      <c r="Z51" s="94"/>
      <c r="AA51" s="93"/>
      <c r="AB51" s="98"/>
      <c r="AC51" s="93"/>
      <c r="AD51" s="494">
        <v>26</v>
      </c>
      <c r="AE51" s="94"/>
      <c r="AF51" s="93"/>
      <c r="AG51" s="93"/>
      <c r="AH51" s="494">
        <v>30</v>
      </c>
      <c r="AI51" s="94"/>
      <c r="AJ51" s="93"/>
      <c r="AK51" s="494">
        <v>33</v>
      </c>
      <c r="AL51" s="94"/>
      <c r="AM51" s="93"/>
      <c r="AN51" s="93"/>
      <c r="AO51" s="494">
        <v>37</v>
      </c>
      <c r="AP51" s="94"/>
      <c r="AQ51" s="93"/>
      <c r="AR51" s="93"/>
      <c r="AS51" s="93"/>
      <c r="AT51" s="494">
        <v>42</v>
      </c>
      <c r="AU51" s="94"/>
      <c r="AV51" s="93"/>
      <c r="AW51" s="93"/>
      <c r="AX51" s="494">
        <v>46</v>
      </c>
      <c r="AY51" s="94"/>
      <c r="AZ51" s="93"/>
      <c r="BA51" s="494">
        <v>49</v>
      </c>
      <c r="BB51" s="94"/>
      <c r="BC51" s="494">
        <v>51</v>
      </c>
      <c r="BD51" s="94"/>
      <c r="BE51" s="93"/>
      <c r="BF51" s="494">
        <v>54</v>
      </c>
      <c r="BG51" s="94"/>
      <c r="BH51" s="93"/>
      <c r="BI51" s="93"/>
      <c r="BJ51" s="494">
        <v>58</v>
      </c>
      <c r="BK51" s="94"/>
      <c r="BL51" s="93"/>
      <c r="BM51" s="494">
        <v>61</v>
      </c>
      <c r="BN51" s="94"/>
      <c r="BO51" s="93"/>
      <c r="BP51" s="93"/>
      <c r="BQ51" s="494">
        <v>65</v>
      </c>
      <c r="BR51" s="94"/>
      <c r="BS51" s="93"/>
      <c r="BT51" s="93"/>
      <c r="BU51" s="93"/>
      <c r="BV51" s="494">
        <v>70</v>
      </c>
      <c r="BW51" s="94"/>
      <c r="BX51" s="93"/>
      <c r="BY51" s="93"/>
      <c r="BZ51" s="494">
        <v>74</v>
      </c>
      <c r="CA51" s="94"/>
      <c r="CB51" s="93"/>
      <c r="CC51" s="494">
        <v>77</v>
      </c>
      <c r="CD51" s="94"/>
      <c r="CE51" s="494">
        <v>79</v>
      </c>
      <c r="CF51" s="94"/>
      <c r="CG51" s="93"/>
      <c r="CH51" s="494">
        <v>82</v>
      </c>
      <c r="CI51" s="94"/>
      <c r="CJ51" s="494">
        <v>84</v>
      </c>
      <c r="CK51" s="96">
        <v>85</v>
      </c>
      <c r="CL51" s="495"/>
      <c r="CM51" s="95">
        <v>87</v>
      </c>
      <c r="CO51" s="93"/>
      <c r="CP51" s="95">
        <v>90</v>
      </c>
      <c r="CR51" s="93"/>
      <c r="CS51" s="93"/>
      <c r="CT51" s="95">
        <v>94</v>
      </c>
      <c r="CV51" s="93"/>
      <c r="CW51" s="95">
        <v>97</v>
      </c>
      <c r="CY51" s="95">
        <v>99</v>
      </c>
      <c r="DA51" s="93"/>
      <c r="DB51" s="95">
        <v>102</v>
      </c>
      <c r="DD51" s="93"/>
      <c r="DE51" s="93"/>
      <c r="DF51" s="95">
        <v>106</v>
      </c>
      <c r="DH51" s="93"/>
      <c r="DI51" s="95">
        <v>109</v>
      </c>
      <c r="DK51" s="93"/>
      <c r="DL51" s="93"/>
      <c r="DM51" s="95">
        <v>113</v>
      </c>
      <c r="DN51" s="93"/>
      <c r="DO51" s="93"/>
      <c r="DP51" s="93"/>
      <c r="DQ51" s="93"/>
      <c r="DR51" s="95">
        <v>118</v>
      </c>
      <c r="DT51" s="93"/>
      <c r="DU51" s="93"/>
      <c r="DV51" s="95">
        <v>122</v>
      </c>
      <c r="DW51" s="93"/>
      <c r="DX51" s="93"/>
      <c r="DY51" s="95">
        <v>125</v>
      </c>
      <c r="DZ51" s="93"/>
      <c r="EA51" s="95">
        <v>127</v>
      </c>
      <c r="EB51" s="93"/>
      <c r="EC51" s="93"/>
      <c r="ED51" s="95">
        <v>130</v>
      </c>
      <c r="EE51" s="93"/>
      <c r="EF51" s="95">
        <v>132</v>
      </c>
      <c r="EG51" s="96">
        <v>133</v>
      </c>
      <c r="EH51" s="93"/>
      <c r="EI51" s="95">
        <v>135</v>
      </c>
      <c r="EJ51" s="93"/>
      <c r="EK51" s="93"/>
      <c r="EL51" s="95">
        <v>138</v>
      </c>
      <c r="EM51" s="93"/>
      <c r="EN51" s="95">
        <v>140</v>
      </c>
      <c r="EO51" s="93">
        <v>141</v>
      </c>
      <c r="EP51" s="502"/>
      <c r="EQ51" s="505">
        <v>1</v>
      </c>
      <c r="ER51" s="93"/>
      <c r="ES51" s="95">
        <v>3</v>
      </c>
      <c r="ET51" s="96">
        <v>4</v>
      </c>
      <c r="EU51" s="93"/>
      <c r="EV51" s="95">
        <v>6</v>
      </c>
      <c r="EW51" s="93"/>
      <c r="EX51" s="93"/>
      <c r="EY51" s="95">
        <v>9</v>
      </c>
      <c r="EZ51" s="93"/>
      <c r="FA51" s="93"/>
      <c r="FB51" s="93"/>
      <c r="FC51" s="95">
        <v>13</v>
      </c>
      <c r="FD51" s="93"/>
      <c r="FE51" s="93"/>
      <c r="FF51" s="95">
        <v>16</v>
      </c>
      <c r="FG51" s="93"/>
      <c r="FH51" s="95">
        <v>18</v>
      </c>
      <c r="FI51" s="93"/>
      <c r="FJ51" s="93"/>
      <c r="FK51" s="95">
        <v>21</v>
      </c>
      <c r="FL51" s="93"/>
      <c r="FM51" s="95">
        <v>23</v>
      </c>
      <c r="FN51" s="96">
        <v>24</v>
      </c>
      <c r="FO51" s="93"/>
      <c r="FP51" s="95">
        <v>26</v>
      </c>
      <c r="FQ51" s="93"/>
      <c r="FR51" s="93"/>
      <c r="FS51" s="95">
        <v>29</v>
      </c>
      <c r="FT51" s="93"/>
      <c r="FU51" s="93"/>
      <c r="FV51" s="93"/>
      <c r="FW51" s="95">
        <v>33</v>
      </c>
      <c r="FX51" s="93"/>
      <c r="FY51" s="93"/>
      <c r="FZ51" s="95">
        <v>36</v>
      </c>
      <c r="GA51" s="93"/>
      <c r="GB51" s="95">
        <v>38</v>
      </c>
      <c r="GC51" s="93"/>
      <c r="GD51" s="93"/>
      <c r="GE51" s="95">
        <v>41</v>
      </c>
      <c r="GF51" s="93"/>
      <c r="GG51" s="93"/>
      <c r="GH51" s="93"/>
      <c r="GI51" s="95">
        <v>45</v>
      </c>
      <c r="GJ51" s="93"/>
      <c r="GK51" s="93"/>
      <c r="GL51" s="95">
        <v>48</v>
      </c>
      <c r="GM51" s="93"/>
      <c r="GN51" s="93"/>
      <c r="GO51" s="93"/>
      <c r="GP51" s="95">
        <v>52</v>
      </c>
      <c r="GQ51" s="93"/>
      <c r="GR51" s="93"/>
      <c r="GS51" s="93"/>
      <c r="GT51" s="93"/>
      <c r="GU51" s="95">
        <v>57</v>
      </c>
      <c r="GV51" s="93"/>
      <c r="GW51" s="93"/>
      <c r="GX51" s="93"/>
      <c r="GY51" s="93"/>
      <c r="GZ51" s="95">
        <v>62</v>
      </c>
      <c r="HA51" s="93"/>
      <c r="HB51" s="93"/>
      <c r="HC51" s="93"/>
      <c r="HD51" s="95">
        <v>66</v>
      </c>
      <c r="HE51" s="93"/>
      <c r="HF51" s="93"/>
      <c r="HG51" s="95">
        <v>69</v>
      </c>
      <c r="HH51" s="93"/>
      <c r="HI51" s="93"/>
      <c r="HJ51" s="93"/>
      <c r="HK51" s="95">
        <v>73</v>
      </c>
      <c r="HL51" s="93"/>
      <c r="HM51" s="93"/>
      <c r="HN51" s="95">
        <v>76</v>
      </c>
      <c r="HO51" s="93"/>
      <c r="HP51" s="95">
        <v>78</v>
      </c>
      <c r="HQ51" s="93"/>
      <c r="HR51" s="93"/>
      <c r="HS51" s="95">
        <v>81</v>
      </c>
      <c r="HT51" s="93"/>
      <c r="HU51" s="93"/>
      <c r="HV51" s="93"/>
      <c r="HW51" s="95">
        <v>85</v>
      </c>
      <c r="HX51" s="93"/>
      <c r="HY51" s="93"/>
      <c r="HZ51" s="95">
        <v>88</v>
      </c>
      <c r="IA51" s="93"/>
      <c r="IB51" s="95">
        <v>90</v>
      </c>
      <c r="IC51" s="96">
        <v>91</v>
      </c>
      <c r="ID51" s="93"/>
      <c r="IE51" s="95">
        <v>93</v>
      </c>
      <c r="IF51" s="93"/>
      <c r="IG51" s="93"/>
      <c r="IH51" s="95">
        <v>96</v>
      </c>
      <c r="II51" s="93"/>
      <c r="IJ51" s="95">
        <v>98</v>
      </c>
      <c r="IK51" s="93"/>
      <c r="IL51" s="93"/>
      <c r="IM51" s="95">
        <v>101</v>
      </c>
      <c r="IN51" s="93"/>
      <c r="IO51" s="93"/>
      <c r="IP51" s="93"/>
      <c r="IQ51" s="95">
        <v>105</v>
      </c>
      <c r="IR51" s="93"/>
      <c r="IS51" s="93"/>
      <c r="IT51" s="95">
        <v>108</v>
      </c>
      <c r="IU51" s="93"/>
      <c r="IV51" s="95">
        <v>110</v>
      </c>
      <c r="IW51" s="96">
        <v>111</v>
      </c>
      <c r="IX51" s="93"/>
      <c r="IY51" s="95">
        <v>113</v>
      </c>
      <c r="IZ51" s="93">
        <v>114</v>
      </c>
      <c r="JA51" s="515"/>
      <c r="JB51" s="505">
        <v>1</v>
      </c>
      <c r="JC51" s="93"/>
      <c r="JD51" s="95">
        <v>3</v>
      </c>
      <c r="JE51" s="93"/>
      <c r="JF51" s="93"/>
      <c r="JG51" s="95">
        <v>6</v>
      </c>
      <c r="JH51" s="93"/>
      <c r="JI51" s="95">
        <v>8</v>
      </c>
      <c r="JJ51" s="96">
        <v>9</v>
      </c>
      <c r="JK51" s="93"/>
      <c r="JL51" s="95">
        <v>11</v>
      </c>
      <c r="JM51" s="93"/>
      <c r="JN51" s="93"/>
      <c r="JO51" s="95">
        <v>14</v>
      </c>
      <c r="JP51" s="93"/>
      <c r="JQ51" s="95">
        <v>16</v>
      </c>
      <c r="JR51" s="93"/>
      <c r="JS51" s="93"/>
      <c r="JT51" s="95">
        <v>19</v>
      </c>
      <c r="JU51" s="93"/>
      <c r="JV51" s="93"/>
      <c r="JW51" s="93"/>
      <c r="JX51" s="93">
        <v>23</v>
      </c>
      <c r="JY51" s="11"/>
      <c r="JZ51" s="11"/>
      <c r="KA51" s="11"/>
      <c r="KB51" s="38"/>
      <c r="PA51" s="11"/>
    </row>
    <row r="52" spans="1:417" ht="17.25" thickBot="1" x14ac:dyDescent="0.3">
      <c r="A52" s="142">
        <f>SUM(E52:JX52)</f>
        <v>278</v>
      </c>
      <c r="B52" s="104"/>
      <c r="C52" s="105"/>
      <c r="D52" s="233" t="s">
        <v>90</v>
      </c>
      <c r="E52" s="106"/>
      <c r="F52" s="106"/>
      <c r="G52" s="106"/>
      <c r="H52" s="109"/>
      <c r="I52" s="109"/>
      <c r="J52" s="107">
        <v>6</v>
      </c>
      <c r="K52" s="108"/>
      <c r="L52" s="109"/>
      <c r="M52" s="109"/>
      <c r="N52" s="109"/>
      <c r="O52" s="109"/>
      <c r="P52" s="107">
        <v>6</v>
      </c>
      <c r="Q52" s="108"/>
      <c r="R52" s="109"/>
      <c r="S52" s="109"/>
      <c r="T52" s="109"/>
      <c r="U52" s="107">
        <v>5</v>
      </c>
      <c r="V52" s="108"/>
      <c r="W52" s="109"/>
      <c r="X52" s="109"/>
      <c r="Y52" s="107">
        <v>4</v>
      </c>
      <c r="Z52" s="108"/>
      <c r="AA52" s="109"/>
      <c r="AB52" s="112"/>
      <c r="AC52" s="117"/>
      <c r="AD52" s="107">
        <v>5</v>
      </c>
      <c r="AE52" s="108"/>
      <c r="AF52" s="117"/>
      <c r="AG52" s="117"/>
      <c r="AH52" s="107">
        <v>4</v>
      </c>
      <c r="AI52" s="108"/>
      <c r="AJ52" s="117"/>
      <c r="AK52" s="107">
        <v>3</v>
      </c>
      <c r="AL52" s="108"/>
      <c r="AM52" s="117"/>
      <c r="AN52" s="117"/>
      <c r="AO52" s="107">
        <v>4</v>
      </c>
      <c r="AP52" s="108"/>
      <c r="AQ52" s="117"/>
      <c r="AR52" s="117"/>
      <c r="AS52" s="117"/>
      <c r="AT52" s="107">
        <v>5</v>
      </c>
      <c r="AU52" s="108"/>
      <c r="AV52" s="117"/>
      <c r="AW52" s="117"/>
      <c r="AX52" s="107">
        <v>4</v>
      </c>
      <c r="AY52" s="108"/>
      <c r="AZ52" s="117"/>
      <c r="BA52" s="107">
        <v>3</v>
      </c>
      <c r="BB52" s="108"/>
      <c r="BC52" s="107">
        <v>2</v>
      </c>
      <c r="BD52" s="108"/>
      <c r="BE52" s="117"/>
      <c r="BF52" s="107">
        <v>3</v>
      </c>
      <c r="BG52" s="108"/>
      <c r="BH52" s="117"/>
      <c r="BI52" s="117"/>
      <c r="BJ52" s="107">
        <v>4</v>
      </c>
      <c r="BK52" s="108"/>
      <c r="BL52" s="117"/>
      <c r="BM52" s="107">
        <v>3</v>
      </c>
      <c r="BN52" s="108"/>
      <c r="BO52" s="117"/>
      <c r="BP52" s="117"/>
      <c r="BQ52" s="107">
        <v>4</v>
      </c>
      <c r="BR52" s="108"/>
      <c r="BS52" s="117"/>
      <c r="BT52" s="117"/>
      <c r="BU52" s="117"/>
      <c r="BV52" s="107">
        <v>5</v>
      </c>
      <c r="BW52" s="108"/>
      <c r="BX52" s="117"/>
      <c r="BY52" s="117"/>
      <c r="BZ52" s="107">
        <v>4</v>
      </c>
      <c r="CA52" s="108"/>
      <c r="CB52" s="117"/>
      <c r="CC52" s="107">
        <v>3</v>
      </c>
      <c r="CD52" s="108"/>
      <c r="CE52" s="107">
        <v>2</v>
      </c>
      <c r="CF52" s="108"/>
      <c r="CG52" s="117"/>
      <c r="CH52" s="107">
        <v>3</v>
      </c>
      <c r="CI52" s="108"/>
      <c r="CJ52" s="107">
        <v>2</v>
      </c>
      <c r="CK52" s="110">
        <v>1</v>
      </c>
      <c r="CL52" s="495"/>
      <c r="CM52" s="107">
        <v>2</v>
      </c>
      <c r="CO52" s="117"/>
      <c r="CP52" s="107">
        <v>3</v>
      </c>
      <c r="CR52" s="117"/>
      <c r="CS52" s="117"/>
      <c r="CT52" s="107">
        <v>4</v>
      </c>
      <c r="CV52" s="117"/>
      <c r="CW52" s="107">
        <v>3</v>
      </c>
      <c r="CY52" s="107">
        <v>2</v>
      </c>
      <c r="DA52" s="117"/>
      <c r="DB52" s="107">
        <v>3</v>
      </c>
      <c r="DD52" s="117"/>
      <c r="DE52" s="117"/>
      <c r="DF52" s="107">
        <v>4</v>
      </c>
      <c r="DH52" s="117"/>
      <c r="DI52" s="107">
        <v>3</v>
      </c>
      <c r="DK52" s="117"/>
      <c r="DL52" s="117"/>
      <c r="DM52" s="107">
        <v>4</v>
      </c>
      <c r="DN52" s="117"/>
      <c r="DO52" s="117"/>
      <c r="DP52" s="117"/>
      <c r="DQ52" s="117"/>
      <c r="DR52" s="107">
        <v>5</v>
      </c>
      <c r="DT52" s="117"/>
      <c r="DU52" s="117"/>
      <c r="DV52" s="107">
        <v>4</v>
      </c>
      <c r="DW52" s="117"/>
      <c r="DX52" s="117"/>
      <c r="DY52" s="107">
        <v>3</v>
      </c>
      <c r="DZ52" s="117"/>
      <c r="EA52" s="107">
        <v>2</v>
      </c>
      <c r="EB52" s="117"/>
      <c r="EC52" s="117"/>
      <c r="ED52" s="107">
        <v>3</v>
      </c>
      <c r="EE52" s="117"/>
      <c r="EF52" s="107">
        <v>2</v>
      </c>
      <c r="EG52" s="107">
        <v>1</v>
      </c>
      <c r="EH52" s="117"/>
      <c r="EI52" s="107">
        <v>2</v>
      </c>
      <c r="EJ52" s="117"/>
      <c r="EK52" s="117"/>
      <c r="EL52" s="107">
        <v>3</v>
      </c>
      <c r="EM52" s="117"/>
      <c r="EN52" s="107">
        <v>2</v>
      </c>
      <c r="EO52" s="109">
        <v>1</v>
      </c>
      <c r="EP52" s="503">
        <v>0</v>
      </c>
      <c r="EQ52" s="506">
        <v>1</v>
      </c>
      <c r="ER52" s="109"/>
      <c r="ES52" s="107">
        <v>2</v>
      </c>
      <c r="ET52" s="110">
        <v>1</v>
      </c>
      <c r="EU52" s="109"/>
      <c r="EV52" s="107">
        <v>2</v>
      </c>
      <c r="EW52" s="117"/>
      <c r="EX52" s="109"/>
      <c r="EY52" s="107">
        <v>3</v>
      </c>
      <c r="EZ52" s="117"/>
      <c r="FA52" s="109"/>
      <c r="FB52" s="109"/>
      <c r="FC52" s="107">
        <v>4</v>
      </c>
      <c r="FD52" s="117"/>
      <c r="FE52" s="109"/>
      <c r="FF52" s="107">
        <v>3</v>
      </c>
      <c r="FG52" s="117"/>
      <c r="FH52" s="107">
        <v>2</v>
      </c>
      <c r="FI52" s="117"/>
      <c r="FJ52" s="109"/>
      <c r="FK52" s="107">
        <v>3</v>
      </c>
      <c r="FL52" s="117"/>
      <c r="FM52" s="107">
        <v>2</v>
      </c>
      <c r="FN52" s="110">
        <v>1</v>
      </c>
      <c r="FO52" s="109"/>
      <c r="FP52" s="107">
        <v>2</v>
      </c>
      <c r="FQ52" s="117"/>
      <c r="FR52" s="109"/>
      <c r="FS52" s="107">
        <v>3</v>
      </c>
      <c r="FT52" s="117"/>
      <c r="FU52" s="109"/>
      <c r="FV52" s="109"/>
      <c r="FW52" s="107">
        <v>4</v>
      </c>
      <c r="FX52" s="117"/>
      <c r="FY52" s="109"/>
      <c r="FZ52" s="107">
        <v>3</v>
      </c>
      <c r="GA52" s="117"/>
      <c r="GB52" s="107">
        <v>2</v>
      </c>
      <c r="GC52" s="117"/>
      <c r="GD52" s="109"/>
      <c r="GE52" s="107">
        <v>3</v>
      </c>
      <c r="GF52" s="117"/>
      <c r="GG52" s="109"/>
      <c r="GH52" s="109"/>
      <c r="GI52" s="107">
        <v>4</v>
      </c>
      <c r="GJ52" s="117"/>
      <c r="GK52" s="109"/>
      <c r="GL52" s="107">
        <v>3</v>
      </c>
      <c r="GM52" s="117"/>
      <c r="GN52" s="109"/>
      <c r="GO52" s="109"/>
      <c r="GP52" s="107">
        <v>4</v>
      </c>
      <c r="GQ52" s="117"/>
      <c r="GR52" s="109"/>
      <c r="GS52" s="109"/>
      <c r="GT52" s="109"/>
      <c r="GU52" s="107">
        <v>5</v>
      </c>
      <c r="GV52" s="117"/>
      <c r="GW52" s="109"/>
      <c r="GX52" s="109"/>
      <c r="GY52" s="109"/>
      <c r="GZ52" s="107">
        <v>5</v>
      </c>
      <c r="HA52" s="117"/>
      <c r="HB52" s="109"/>
      <c r="HC52" s="109"/>
      <c r="HD52" s="107">
        <v>4</v>
      </c>
      <c r="HE52" s="117"/>
      <c r="HF52" s="109"/>
      <c r="HG52" s="107">
        <v>3</v>
      </c>
      <c r="HH52" s="117"/>
      <c r="HI52" s="109"/>
      <c r="HJ52" s="109"/>
      <c r="HK52" s="107">
        <v>4</v>
      </c>
      <c r="HL52" s="117"/>
      <c r="HM52" s="109"/>
      <c r="HN52" s="107">
        <v>3</v>
      </c>
      <c r="HO52" s="117"/>
      <c r="HP52" s="107">
        <v>2</v>
      </c>
      <c r="HQ52" s="117"/>
      <c r="HR52" s="109"/>
      <c r="HS52" s="107">
        <v>3</v>
      </c>
      <c r="HT52" s="117"/>
      <c r="HU52" s="109"/>
      <c r="HV52" s="109"/>
      <c r="HW52" s="107">
        <v>4</v>
      </c>
      <c r="HX52" s="117"/>
      <c r="HY52" s="109"/>
      <c r="HZ52" s="107">
        <v>3</v>
      </c>
      <c r="IA52" s="117"/>
      <c r="IB52" s="107">
        <v>2</v>
      </c>
      <c r="IC52" s="107">
        <v>1</v>
      </c>
      <c r="ID52" s="109"/>
      <c r="IE52" s="107">
        <v>2</v>
      </c>
      <c r="IF52" s="117"/>
      <c r="IG52" s="109"/>
      <c r="IH52" s="107">
        <v>3</v>
      </c>
      <c r="II52" s="117"/>
      <c r="IJ52" s="107">
        <v>2</v>
      </c>
      <c r="IK52" s="117"/>
      <c r="IL52" s="109"/>
      <c r="IM52" s="107">
        <v>3</v>
      </c>
      <c r="IN52" s="117"/>
      <c r="IO52" s="109"/>
      <c r="IP52" s="109"/>
      <c r="IQ52" s="107">
        <v>4</v>
      </c>
      <c r="IR52" s="117"/>
      <c r="IS52" s="109"/>
      <c r="IT52" s="107">
        <v>3</v>
      </c>
      <c r="IU52" s="117"/>
      <c r="IV52" s="107">
        <v>2</v>
      </c>
      <c r="IW52" s="107">
        <v>1</v>
      </c>
      <c r="IX52" s="109"/>
      <c r="IY52" s="107">
        <v>2</v>
      </c>
      <c r="IZ52" s="107">
        <v>1</v>
      </c>
      <c r="JA52" s="503">
        <v>0</v>
      </c>
      <c r="JB52" s="506">
        <v>1</v>
      </c>
      <c r="JC52" s="109"/>
      <c r="JD52" s="107">
        <v>2</v>
      </c>
      <c r="JE52" s="117"/>
      <c r="JF52" s="109"/>
      <c r="JG52" s="107">
        <v>3</v>
      </c>
      <c r="JH52" s="117"/>
      <c r="JI52" s="107">
        <v>2</v>
      </c>
      <c r="JJ52" s="107">
        <v>1</v>
      </c>
      <c r="JK52" s="109"/>
      <c r="JL52" s="107">
        <v>2</v>
      </c>
      <c r="JM52" s="117"/>
      <c r="JN52" s="109"/>
      <c r="JO52" s="107">
        <v>3</v>
      </c>
      <c r="JP52" s="117"/>
      <c r="JQ52" s="107">
        <v>2</v>
      </c>
      <c r="JR52" s="117"/>
      <c r="JS52" s="109"/>
      <c r="JT52" s="107">
        <v>3</v>
      </c>
      <c r="JU52" s="117"/>
      <c r="JV52" s="109"/>
      <c r="JW52" s="109"/>
      <c r="JX52" s="109">
        <v>4</v>
      </c>
      <c r="JY52" s="11"/>
      <c r="JZ52" s="11"/>
      <c r="KA52" s="11"/>
      <c r="KB52" s="38"/>
      <c r="PA52" s="11"/>
    </row>
    <row r="53" spans="1:417" ht="16.5" thickBot="1" x14ac:dyDescent="0.35">
      <c r="A53" s="105"/>
      <c r="B53" s="281"/>
      <c r="C53" s="105"/>
      <c r="D53" s="234" t="s">
        <v>93</v>
      </c>
      <c r="E53" s="18"/>
      <c r="F53" s="19"/>
      <c r="G53" s="19"/>
      <c r="H53" s="19"/>
      <c r="I53" s="19"/>
      <c r="J53" s="20"/>
      <c r="K53" s="21"/>
      <c r="L53" s="19"/>
      <c r="M53" s="19"/>
      <c r="N53" s="19"/>
      <c r="O53" s="19"/>
      <c r="P53" s="20"/>
      <c r="Q53" s="21"/>
      <c r="R53" s="19"/>
      <c r="S53" s="19"/>
      <c r="T53" s="19"/>
      <c r="U53" s="20"/>
      <c r="V53" s="21"/>
      <c r="W53" s="19"/>
      <c r="X53" s="19"/>
      <c r="Y53" s="20"/>
      <c r="Z53" s="21"/>
      <c r="AA53" s="19"/>
      <c r="AB53" s="492"/>
      <c r="AC53" s="19"/>
      <c r="AD53" s="20"/>
      <c r="AE53" s="21"/>
      <c r="AF53" s="19"/>
      <c r="AG53" s="19"/>
      <c r="AH53" s="20"/>
      <c r="AI53" s="21"/>
      <c r="AJ53" s="19"/>
      <c r="AK53" s="20"/>
      <c r="AL53" s="21"/>
      <c r="AM53" s="19"/>
      <c r="AN53" s="19"/>
      <c r="AO53" s="20"/>
      <c r="AP53" s="21"/>
      <c r="AQ53" s="19"/>
      <c r="AR53" s="19"/>
      <c r="AS53" s="19"/>
      <c r="AT53" s="20"/>
      <c r="AU53" s="21"/>
      <c r="AV53" s="19"/>
      <c r="AW53" s="19"/>
      <c r="AX53" s="20"/>
      <c r="AY53" s="21"/>
      <c r="AZ53" s="19"/>
      <c r="BA53" s="20"/>
      <c r="BB53" s="21"/>
      <c r="BC53" s="20"/>
      <c r="BD53" s="21"/>
      <c r="BE53" s="19"/>
      <c r="BF53" s="20"/>
      <c r="BG53" s="21"/>
      <c r="BH53" s="19"/>
      <c r="BI53" s="19"/>
      <c r="BJ53" s="20"/>
      <c r="BK53" s="21"/>
      <c r="BL53" s="19"/>
      <c r="BM53" s="20"/>
      <c r="BN53" s="21"/>
      <c r="BO53" s="19"/>
      <c r="BP53" s="19"/>
      <c r="BQ53" s="20"/>
      <c r="BR53" s="21"/>
      <c r="BS53" s="19"/>
      <c r="BT53" s="19"/>
      <c r="BU53" s="19"/>
      <c r="BV53" s="20"/>
      <c r="BW53" s="21"/>
      <c r="BX53" s="19"/>
      <c r="BY53" s="19"/>
      <c r="BZ53" s="20"/>
      <c r="CA53" s="21"/>
      <c r="CB53" s="19"/>
      <c r="CC53" s="20"/>
      <c r="CD53" s="21"/>
      <c r="CE53" s="20"/>
      <c r="CF53" s="21"/>
      <c r="CG53" s="19"/>
      <c r="CH53" s="20"/>
      <c r="CI53" s="21"/>
      <c r="CJ53" s="20"/>
      <c r="CK53" s="22"/>
      <c r="CL53" s="496"/>
      <c r="CM53" s="497"/>
      <c r="CN53" s="19"/>
      <c r="CO53" s="27"/>
      <c r="CP53" s="497"/>
      <c r="CQ53" s="19"/>
      <c r="CR53" s="19"/>
      <c r="CS53" s="19"/>
      <c r="CT53" s="497"/>
      <c r="CU53" s="19"/>
      <c r="CV53" s="19"/>
      <c r="CW53" s="497"/>
      <c r="CX53" s="19"/>
      <c r="CY53" s="497"/>
      <c r="CZ53" s="19"/>
      <c r="DA53" s="19"/>
      <c r="DB53" s="497"/>
      <c r="DC53" s="19"/>
      <c r="DD53" s="19"/>
      <c r="DE53" s="19"/>
      <c r="DF53" s="497"/>
      <c r="DG53" s="19"/>
      <c r="DH53" s="19"/>
      <c r="DI53" s="497"/>
      <c r="DJ53" s="19"/>
      <c r="DK53" s="19"/>
      <c r="DL53" s="19"/>
      <c r="DM53" s="497"/>
      <c r="DN53" s="19"/>
      <c r="DO53" s="19"/>
      <c r="DP53" s="19"/>
      <c r="DQ53" s="19"/>
      <c r="DR53" s="497"/>
      <c r="DS53" s="19"/>
      <c r="DT53" s="19"/>
      <c r="DU53" s="19"/>
      <c r="DV53" s="497"/>
      <c r="DW53" s="19"/>
      <c r="DX53" s="19"/>
      <c r="DY53" s="497"/>
      <c r="DZ53" s="19"/>
      <c r="EA53" s="497"/>
      <c r="EB53" s="19"/>
      <c r="EC53" s="19"/>
      <c r="ED53" s="497"/>
      <c r="EE53" s="19"/>
      <c r="EF53" s="497"/>
      <c r="EG53" s="22"/>
      <c r="EH53" s="28"/>
      <c r="EI53" s="497"/>
      <c r="EJ53" s="19"/>
      <c r="EK53" s="19"/>
      <c r="EL53" s="497"/>
      <c r="EM53" s="19"/>
      <c r="EN53" s="497"/>
      <c r="EO53" s="27"/>
      <c r="EP53" s="491"/>
      <c r="EQ53" s="507"/>
      <c r="ER53" s="28"/>
      <c r="ES53" s="497"/>
      <c r="ET53" s="509"/>
      <c r="EU53" s="28"/>
      <c r="EV53" s="497"/>
      <c r="EW53" s="19"/>
      <c r="EX53" s="19"/>
      <c r="EY53" s="497"/>
      <c r="EZ53" s="19"/>
      <c r="FA53" s="19"/>
      <c r="FB53" s="19"/>
      <c r="FC53" s="497"/>
      <c r="FD53" s="19"/>
      <c r="FE53" s="19"/>
      <c r="FF53" s="497"/>
      <c r="FG53" s="19"/>
      <c r="FH53" s="497"/>
      <c r="FI53" s="19"/>
      <c r="FJ53" s="19"/>
      <c r="FK53" s="497"/>
      <c r="FL53" s="19"/>
      <c r="FM53" s="497"/>
      <c r="FN53" s="22"/>
      <c r="FO53" s="28"/>
      <c r="FP53" s="497"/>
      <c r="FQ53" s="19"/>
      <c r="FR53" s="19"/>
      <c r="FS53" s="497"/>
      <c r="FT53" s="19"/>
      <c r="FU53" s="19"/>
      <c r="FV53" s="19"/>
      <c r="FW53" s="497"/>
      <c r="FX53" s="19"/>
      <c r="FY53" s="19"/>
      <c r="FZ53" s="497"/>
      <c r="GA53" s="19"/>
      <c r="GB53" s="497"/>
      <c r="GC53" s="19"/>
      <c r="GD53" s="19"/>
      <c r="GE53" s="497"/>
      <c r="GF53" s="19"/>
      <c r="GG53" s="19"/>
      <c r="GH53" s="19"/>
      <c r="GI53" s="497"/>
      <c r="GJ53" s="19"/>
      <c r="GK53" s="19"/>
      <c r="GL53" s="497"/>
      <c r="GM53" s="19"/>
      <c r="GN53" s="19"/>
      <c r="GO53" s="19"/>
      <c r="GP53" s="497"/>
      <c r="GQ53" s="19"/>
      <c r="GR53" s="19"/>
      <c r="GS53" s="19"/>
      <c r="GT53" s="19"/>
      <c r="GU53" s="497"/>
      <c r="GV53" s="19"/>
      <c r="GW53" s="19"/>
      <c r="GX53" s="19"/>
      <c r="GY53" s="19"/>
      <c r="GZ53" s="497"/>
      <c r="HA53" s="19"/>
      <c r="HB53" s="19"/>
      <c r="HC53" s="19"/>
      <c r="HD53" s="497"/>
      <c r="HE53" s="19"/>
      <c r="HF53" s="19"/>
      <c r="HG53" s="497"/>
      <c r="HH53" s="19"/>
      <c r="HI53" s="19"/>
      <c r="HJ53" s="19"/>
      <c r="HK53" s="497"/>
      <c r="HL53" s="19"/>
      <c r="HM53" s="19"/>
      <c r="HN53" s="497"/>
      <c r="HO53" s="19"/>
      <c r="HP53" s="497"/>
      <c r="HQ53" s="19"/>
      <c r="HR53" s="19"/>
      <c r="HS53" s="497"/>
      <c r="HT53" s="19"/>
      <c r="HU53" s="19"/>
      <c r="HV53" s="19"/>
      <c r="HW53" s="497"/>
      <c r="HX53" s="19"/>
      <c r="HY53" s="19"/>
      <c r="HZ53" s="497"/>
      <c r="IA53" s="19"/>
      <c r="IB53" s="497"/>
      <c r="IC53" s="22"/>
      <c r="ID53" s="28"/>
      <c r="IE53" s="497"/>
      <c r="IF53" s="19"/>
      <c r="IG53" s="19"/>
      <c r="IH53" s="497"/>
      <c r="II53" s="19"/>
      <c r="IJ53" s="497"/>
      <c r="IK53" s="19"/>
      <c r="IL53" s="19"/>
      <c r="IM53" s="497"/>
      <c r="IN53" s="19"/>
      <c r="IO53" s="19"/>
      <c r="IP53" s="19"/>
      <c r="IQ53" s="497"/>
      <c r="IR53" s="19"/>
      <c r="IS53" s="19"/>
      <c r="IT53" s="497"/>
      <c r="IU53" s="19"/>
      <c r="IV53" s="497"/>
      <c r="IW53" s="22"/>
      <c r="IX53" s="28"/>
      <c r="IY53" s="497"/>
      <c r="IZ53" s="27"/>
      <c r="JA53" s="516"/>
      <c r="JB53" s="507"/>
      <c r="JC53" s="28"/>
      <c r="JD53" s="497"/>
      <c r="JE53" s="19"/>
      <c r="JF53" s="19"/>
      <c r="JG53" s="497"/>
      <c r="JH53" s="19"/>
      <c r="JI53" s="497"/>
      <c r="JJ53" s="22"/>
      <c r="JK53" s="28"/>
      <c r="JL53" s="497"/>
      <c r="JM53" s="19"/>
      <c r="JN53" s="19"/>
      <c r="JO53" s="497"/>
      <c r="JP53" s="19"/>
      <c r="JQ53" s="497"/>
      <c r="JR53" s="19"/>
      <c r="JS53" s="19"/>
      <c r="JT53" s="497"/>
      <c r="JU53" s="19"/>
      <c r="JV53" s="19"/>
      <c r="JW53" s="19"/>
      <c r="JX53" s="29"/>
      <c r="JY53" s="11"/>
      <c r="JZ53" s="11"/>
      <c r="KA53" s="11"/>
      <c r="KB53" s="38"/>
      <c r="PA53" s="11"/>
    </row>
    <row r="54" spans="1:417" x14ac:dyDescent="0.25">
      <c r="A54" s="121"/>
      <c r="B54" s="122"/>
      <c r="C54" s="123"/>
      <c r="D54" s="235" t="s">
        <v>89</v>
      </c>
      <c r="E54" s="489">
        <v>1</v>
      </c>
      <c r="F54" s="489"/>
      <c r="G54" s="489"/>
      <c r="H54" s="489"/>
      <c r="I54" s="489"/>
      <c r="J54" s="124"/>
      <c r="K54" s="125">
        <v>2</v>
      </c>
      <c r="L54" s="489"/>
      <c r="M54" s="489"/>
      <c r="N54" s="489"/>
      <c r="O54" s="489"/>
      <c r="P54" s="124"/>
      <c r="Q54" s="125">
        <v>3</v>
      </c>
      <c r="R54" s="489"/>
      <c r="S54" s="489"/>
      <c r="T54" s="489"/>
      <c r="U54" s="124"/>
      <c r="V54" s="125">
        <v>4</v>
      </c>
      <c r="W54" s="489"/>
      <c r="X54" s="489"/>
      <c r="Y54" s="124"/>
      <c r="Z54" s="125">
        <v>5</v>
      </c>
      <c r="AA54" s="489"/>
      <c r="AB54" s="490"/>
      <c r="AC54" s="489"/>
      <c r="AD54" s="124"/>
      <c r="AE54" s="125">
        <v>6</v>
      </c>
      <c r="AF54" s="489"/>
      <c r="AG54" s="489"/>
      <c r="AH54" s="124"/>
      <c r="AI54" s="125">
        <v>7</v>
      </c>
      <c r="AJ54" s="489"/>
      <c r="AK54" s="124"/>
      <c r="AL54" s="125">
        <v>8</v>
      </c>
      <c r="AM54" s="489"/>
      <c r="AN54" s="489"/>
      <c r="AO54" s="124"/>
      <c r="AP54" s="125">
        <v>9</v>
      </c>
      <c r="AQ54" s="489"/>
      <c r="AR54" s="489"/>
      <c r="AS54" s="489"/>
      <c r="AT54" s="124"/>
      <c r="AU54" s="125">
        <v>10</v>
      </c>
      <c r="AV54" s="489"/>
      <c r="AW54" s="489"/>
      <c r="AX54" s="124"/>
      <c r="AY54" s="125">
        <v>11</v>
      </c>
      <c r="AZ54" s="489"/>
      <c r="BA54" s="124"/>
      <c r="BB54" s="125">
        <v>12</v>
      </c>
      <c r="BC54" s="124"/>
      <c r="BD54" s="125">
        <v>13</v>
      </c>
      <c r="BE54" s="489"/>
      <c r="BF54" s="124"/>
      <c r="BG54" s="125">
        <v>14</v>
      </c>
      <c r="BH54" s="489"/>
      <c r="BI54" s="489"/>
      <c r="BJ54" s="124"/>
      <c r="BK54" s="125">
        <v>15</v>
      </c>
      <c r="BL54" s="489"/>
      <c r="BM54" s="124"/>
      <c r="BN54" s="125">
        <v>16</v>
      </c>
      <c r="BO54" s="489"/>
      <c r="BP54" s="489"/>
      <c r="BQ54" s="124"/>
      <c r="BR54" s="125">
        <v>17</v>
      </c>
      <c r="BS54" s="489"/>
      <c r="BT54" s="489"/>
      <c r="BU54" s="489"/>
      <c r="BV54" s="124"/>
      <c r="BW54" s="125">
        <v>18</v>
      </c>
      <c r="BX54" s="489"/>
      <c r="BY54" s="489"/>
      <c r="BZ54" s="124"/>
      <c r="CA54" s="125">
        <v>19</v>
      </c>
      <c r="CB54" s="489"/>
      <c r="CC54" s="124"/>
      <c r="CD54" s="125">
        <v>20</v>
      </c>
      <c r="CE54" s="124"/>
      <c r="CF54" s="125">
        <v>21</v>
      </c>
      <c r="CG54" s="489"/>
      <c r="CH54" s="124"/>
      <c r="CI54" s="125">
        <v>22</v>
      </c>
      <c r="CJ54" s="124"/>
      <c r="CK54" s="127">
        <v>23</v>
      </c>
      <c r="CL54" s="125">
        <v>24</v>
      </c>
      <c r="CM54" s="126"/>
      <c r="CN54" s="125">
        <v>25</v>
      </c>
      <c r="CO54" s="489"/>
      <c r="CP54" s="126"/>
      <c r="CQ54" s="125">
        <v>26</v>
      </c>
      <c r="CR54" s="489"/>
      <c r="CS54" s="489"/>
      <c r="CT54" s="126"/>
      <c r="CU54" s="125">
        <v>27</v>
      </c>
      <c r="CV54" s="489"/>
      <c r="CW54" s="126"/>
      <c r="CX54" s="125">
        <v>28</v>
      </c>
      <c r="CY54" s="126"/>
      <c r="CZ54" s="125">
        <v>29</v>
      </c>
      <c r="DA54" s="489"/>
      <c r="DB54" s="126"/>
      <c r="DC54" s="125">
        <v>30</v>
      </c>
      <c r="DD54" s="489"/>
      <c r="DE54" s="489"/>
      <c r="DF54" s="126"/>
      <c r="DG54" s="125">
        <v>31</v>
      </c>
      <c r="DH54" s="489"/>
      <c r="DI54" s="126"/>
      <c r="DJ54" s="125">
        <v>32</v>
      </c>
      <c r="DK54" s="489"/>
      <c r="DL54" s="489"/>
      <c r="DM54" s="126"/>
      <c r="DN54" s="489">
        <v>33</v>
      </c>
      <c r="DO54" s="489"/>
      <c r="DP54" s="489"/>
      <c r="DQ54" s="489"/>
      <c r="DR54" s="126"/>
      <c r="DS54" s="125">
        <v>34</v>
      </c>
      <c r="DT54" s="489"/>
      <c r="DU54" s="489"/>
      <c r="DV54" s="126"/>
      <c r="DW54" s="489">
        <v>35</v>
      </c>
      <c r="DX54" s="489"/>
      <c r="DY54" s="126"/>
      <c r="DZ54" s="489">
        <v>36</v>
      </c>
      <c r="EA54" s="126"/>
      <c r="EB54" s="489">
        <v>37</v>
      </c>
      <c r="EC54" s="489"/>
      <c r="ED54" s="126"/>
      <c r="EE54" s="489">
        <v>38</v>
      </c>
      <c r="EF54" s="126"/>
      <c r="EG54" s="501">
        <v>39</v>
      </c>
      <c r="EH54" s="489">
        <v>40</v>
      </c>
      <c r="EI54" s="126"/>
      <c r="EJ54" s="489">
        <v>41</v>
      </c>
      <c r="EK54" s="489"/>
      <c r="EL54" s="126"/>
      <c r="EM54" s="489">
        <v>42</v>
      </c>
      <c r="EN54" s="126"/>
      <c r="EO54" s="489">
        <v>43</v>
      </c>
      <c r="EP54" s="504">
        <v>44</v>
      </c>
      <c r="EQ54" s="508">
        <v>45</v>
      </c>
      <c r="ER54" s="489">
        <v>46</v>
      </c>
      <c r="ES54" s="126"/>
      <c r="ET54" s="510">
        <v>47</v>
      </c>
      <c r="EU54" s="489">
        <v>48</v>
      </c>
      <c r="EV54" s="126"/>
      <c r="EW54" s="489">
        <v>49</v>
      </c>
      <c r="EX54" s="489"/>
      <c r="EY54" s="126"/>
      <c r="EZ54" s="489">
        <v>50</v>
      </c>
      <c r="FA54" s="489"/>
      <c r="FB54" s="489"/>
      <c r="FC54" s="126"/>
      <c r="FD54" s="489">
        <v>51</v>
      </c>
      <c r="FE54" s="489"/>
      <c r="FF54" s="126"/>
      <c r="FG54" s="489">
        <v>52</v>
      </c>
      <c r="FH54" s="126"/>
      <c r="FI54" s="489">
        <v>53</v>
      </c>
      <c r="FJ54" s="489"/>
      <c r="FK54" s="126"/>
      <c r="FL54" s="489">
        <v>54</v>
      </c>
      <c r="FM54" s="126"/>
      <c r="FN54" s="501">
        <v>55</v>
      </c>
      <c r="FO54" s="489">
        <v>56</v>
      </c>
      <c r="FP54" s="126"/>
      <c r="FQ54" s="489">
        <v>57</v>
      </c>
      <c r="FR54" s="489"/>
      <c r="FS54" s="126"/>
      <c r="FT54" s="489">
        <v>58</v>
      </c>
      <c r="FU54" s="489"/>
      <c r="FV54" s="489"/>
      <c r="FW54" s="126"/>
      <c r="FX54" s="489">
        <v>59</v>
      </c>
      <c r="FY54" s="489"/>
      <c r="FZ54" s="126"/>
      <c r="GA54" s="489">
        <v>60</v>
      </c>
      <c r="GB54" s="126"/>
      <c r="GC54" s="489">
        <v>61</v>
      </c>
      <c r="GD54" s="489"/>
      <c r="GE54" s="126"/>
      <c r="GF54" s="489">
        <v>62</v>
      </c>
      <c r="GG54" s="489"/>
      <c r="GH54" s="489"/>
      <c r="GI54" s="126"/>
      <c r="GJ54" s="489">
        <v>63</v>
      </c>
      <c r="GK54" s="489"/>
      <c r="GL54" s="126"/>
      <c r="GM54" s="489">
        <v>64</v>
      </c>
      <c r="GN54" s="489"/>
      <c r="GO54" s="489"/>
      <c r="GP54" s="126"/>
      <c r="GQ54" s="489">
        <v>65</v>
      </c>
      <c r="GR54" s="489"/>
      <c r="GS54" s="489"/>
      <c r="GT54" s="489"/>
      <c r="GU54" s="126"/>
      <c r="GV54" s="489">
        <v>66</v>
      </c>
      <c r="GW54" s="489"/>
      <c r="GX54" s="489"/>
      <c r="GY54" s="489"/>
      <c r="GZ54" s="126"/>
      <c r="HA54" s="489">
        <v>67</v>
      </c>
      <c r="HB54" s="489"/>
      <c r="HC54" s="489"/>
      <c r="HD54" s="126"/>
      <c r="HE54" s="489">
        <v>68</v>
      </c>
      <c r="HF54" s="489"/>
      <c r="HG54" s="126"/>
      <c r="HH54" s="489">
        <v>69</v>
      </c>
      <c r="HI54" s="489"/>
      <c r="HJ54" s="489"/>
      <c r="HK54" s="126"/>
      <c r="HL54" s="489">
        <v>70</v>
      </c>
      <c r="HM54" s="489"/>
      <c r="HN54" s="126"/>
      <c r="HO54" s="489">
        <v>71</v>
      </c>
      <c r="HP54" s="126"/>
      <c r="HQ54" s="489">
        <v>72</v>
      </c>
      <c r="HR54" s="489"/>
      <c r="HS54" s="126"/>
      <c r="HT54" s="489">
        <v>73</v>
      </c>
      <c r="HU54" s="489"/>
      <c r="HV54" s="489"/>
      <c r="HW54" s="126"/>
      <c r="HX54" s="489">
        <v>74</v>
      </c>
      <c r="HY54" s="489"/>
      <c r="HZ54" s="126"/>
      <c r="IA54" s="489">
        <v>75</v>
      </c>
      <c r="IB54" s="126"/>
      <c r="IC54" s="501">
        <v>76</v>
      </c>
      <c r="ID54" s="489">
        <v>77</v>
      </c>
      <c r="IE54" s="126"/>
      <c r="IF54" s="489">
        <v>78</v>
      </c>
      <c r="IG54" s="489"/>
      <c r="IH54" s="126"/>
      <c r="II54" s="489">
        <v>79</v>
      </c>
      <c r="IJ54" s="126"/>
      <c r="IK54" s="489">
        <v>80</v>
      </c>
      <c r="IL54" s="489"/>
      <c r="IM54" s="126"/>
      <c r="IN54" s="489">
        <v>81</v>
      </c>
      <c r="IO54" s="489"/>
      <c r="IP54" s="489"/>
      <c r="IQ54" s="126"/>
      <c r="IR54" s="489">
        <v>82</v>
      </c>
      <c r="IS54" s="489"/>
      <c r="IT54" s="126"/>
      <c r="IU54" s="489">
        <v>83</v>
      </c>
      <c r="IV54" s="126"/>
      <c r="IW54" s="501">
        <v>84</v>
      </c>
      <c r="IX54" s="489">
        <v>85</v>
      </c>
      <c r="IY54" s="126"/>
      <c r="IZ54" s="489">
        <v>86</v>
      </c>
      <c r="JA54" s="504">
        <v>87</v>
      </c>
      <c r="JB54" s="508">
        <v>1</v>
      </c>
      <c r="JC54" s="489">
        <v>2</v>
      </c>
      <c r="JD54" s="126"/>
      <c r="JE54" s="489">
        <v>3</v>
      </c>
      <c r="JF54" s="489"/>
      <c r="JG54" s="126"/>
      <c r="JH54" s="489">
        <v>4</v>
      </c>
      <c r="JI54" s="126"/>
      <c r="JJ54" s="501">
        <v>5</v>
      </c>
      <c r="JK54" s="489">
        <v>6</v>
      </c>
      <c r="JL54" s="126"/>
      <c r="JM54" s="489">
        <v>7</v>
      </c>
      <c r="JN54" s="489"/>
      <c r="JO54" s="126"/>
      <c r="JP54" s="489">
        <v>8</v>
      </c>
      <c r="JQ54" s="126"/>
      <c r="JR54" s="489">
        <v>9</v>
      </c>
      <c r="JS54" s="489"/>
      <c r="JT54" s="126"/>
      <c r="JU54" s="489">
        <v>10</v>
      </c>
      <c r="JV54" s="489"/>
      <c r="JW54" s="489"/>
      <c r="JX54" s="489"/>
      <c r="JY54" s="11"/>
      <c r="JZ54" s="11"/>
      <c r="KA54" s="11"/>
      <c r="KB54" s="38"/>
      <c r="PA54" s="11"/>
    </row>
    <row r="55" spans="1:417" ht="16.5" x14ac:dyDescent="0.25">
      <c r="A55" s="11"/>
      <c r="B55" s="11"/>
      <c r="C55" s="11"/>
      <c r="D55" s="11"/>
      <c r="E55" s="511"/>
      <c r="F55" s="511"/>
      <c r="G55" s="511"/>
      <c r="H55" s="511"/>
      <c r="I55" s="511"/>
      <c r="J55" s="511"/>
      <c r="K55" s="511"/>
      <c r="L55" s="511"/>
      <c r="M55" s="511"/>
      <c r="N55" s="511"/>
      <c r="O55" s="511"/>
      <c r="P55" s="511"/>
      <c r="Q55" s="511"/>
      <c r="R55" s="511"/>
      <c r="S55" s="511"/>
      <c r="T55" s="511"/>
      <c r="U55" s="511"/>
      <c r="V55" s="511"/>
      <c r="W55" s="511"/>
      <c r="X55" s="511"/>
      <c r="Y55" s="511"/>
      <c r="Z55" s="511"/>
      <c r="AA55" s="511"/>
      <c r="AB55" s="511"/>
      <c r="AC55" s="511"/>
      <c r="AD55" s="511"/>
      <c r="AE55" s="511"/>
      <c r="AF55" s="511"/>
      <c r="AG55" s="511"/>
      <c r="AH55" s="511"/>
      <c r="AI55" s="511"/>
      <c r="AJ55" s="511"/>
      <c r="AK55" s="511"/>
      <c r="AL55" s="511"/>
      <c r="AM55" s="511"/>
      <c r="AN55" s="511"/>
      <c r="AO55" s="511"/>
      <c r="AP55" s="511"/>
      <c r="AQ55" s="511"/>
      <c r="AR55" s="511"/>
      <c r="AS55" s="511"/>
      <c r="AT55" s="511"/>
      <c r="AU55" s="511"/>
      <c r="AV55" s="511"/>
      <c r="AW55" s="511"/>
      <c r="AX55" s="511"/>
      <c r="AY55" s="511"/>
      <c r="AZ55" s="511"/>
      <c r="BA55" s="511"/>
      <c r="BB55" s="511"/>
      <c r="BC55" s="511"/>
      <c r="BD55" s="511"/>
      <c r="BE55" s="511"/>
      <c r="BF55" s="511"/>
      <c r="BG55" s="511"/>
      <c r="BH55" s="511"/>
      <c r="BI55" s="511"/>
      <c r="BJ55" s="511"/>
      <c r="BK55" s="511"/>
      <c r="BL55" s="511"/>
      <c r="BM55" s="511"/>
      <c r="BN55" s="511"/>
      <c r="BO55" s="511"/>
      <c r="BP55" s="511"/>
      <c r="BQ55" s="511"/>
      <c r="BR55" s="511"/>
      <c r="BS55" s="511"/>
      <c r="BT55" s="511"/>
      <c r="BU55" s="511"/>
      <c r="BV55" s="511"/>
      <c r="BW55" s="511"/>
      <c r="BX55" s="511"/>
      <c r="BY55" s="511"/>
      <c r="BZ55" s="511"/>
      <c r="CA55" s="511"/>
      <c r="CB55" s="511"/>
      <c r="CC55" s="511"/>
      <c r="CD55" s="511"/>
      <c r="CE55" s="511"/>
      <c r="CF55" s="511"/>
      <c r="CG55" s="511"/>
      <c r="CH55" s="511"/>
      <c r="CI55" s="511"/>
      <c r="CJ55" s="511"/>
      <c r="CK55" s="511"/>
      <c r="CL55" s="511"/>
      <c r="CM55" s="511"/>
      <c r="CN55" s="511"/>
      <c r="CO55" s="511"/>
      <c r="CP55" s="511"/>
      <c r="CQ55" s="511"/>
      <c r="CR55" s="511"/>
      <c r="CS55" s="511"/>
      <c r="CT55" s="511"/>
      <c r="CU55" s="511"/>
      <c r="CV55" s="511"/>
      <c r="CW55" s="5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38"/>
      <c r="PA55" s="11"/>
    </row>
    <row r="56" spans="1:417" ht="16.5" x14ac:dyDescent="0.25">
      <c r="A56" s="11"/>
      <c r="B56" s="11"/>
      <c r="C56" s="11"/>
      <c r="D56" s="11"/>
      <c r="E56" s="511"/>
      <c r="F56" s="511"/>
      <c r="G56" s="511"/>
      <c r="H56" s="511"/>
      <c r="I56" s="511"/>
      <c r="J56" s="511"/>
      <c r="K56" s="511"/>
      <c r="L56" s="511"/>
      <c r="M56" s="511"/>
      <c r="N56" s="511"/>
      <c r="O56" s="511"/>
      <c r="P56" s="511"/>
      <c r="Q56" s="511"/>
      <c r="R56" s="511"/>
      <c r="S56" s="511"/>
      <c r="T56" s="511"/>
      <c r="U56" s="511"/>
      <c r="V56" s="511"/>
      <c r="W56" s="511"/>
      <c r="X56" s="511"/>
      <c r="Y56" s="511"/>
      <c r="Z56" s="511"/>
      <c r="AA56" s="511"/>
      <c r="AB56" s="511"/>
      <c r="AC56" s="511"/>
      <c r="AD56" s="511"/>
      <c r="AE56" s="511"/>
      <c r="AF56" s="511"/>
      <c r="AG56" s="511"/>
      <c r="AH56" s="511"/>
      <c r="AI56" s="511"/>
      <c r="AJ56" s="511"/>
      <c r="AK56" s="511"/>
      <c r="AL56" s="511"/>
      <c r="AM56" s="511"/>
      <c r="AN56" s="511"/>
      <c r="AO56" s="511"/>
      <c r="AP56" s="511"/>
      <c r="AQ56" s="511"/>
      <c r="AR56" s="511"/>
      <c r="AS56" s="511"/>
      <c r="AT56" s="511"/>
      <c r="AU56" s="511"/>
      <c r="AV56" s="511"/>
      <c r="AW56" s="511"/>
      <c r="AX56" s="511"/>
      <c r="AY56" s="511"/>
      <c r="AZ56" s="511"/>
      <c r="BA56" s="511"/>
      <c r="BB56" s="511"/>
      <c r="BC56" s="511"/>
      <c r="BD56" s="511"/>
      <c r="BE56" s="511"/>
      <c r="BF56" s="511"/>
      <c r="BG56" s="511"/>
      <c r="BH56" s="511"/>
      <c r="BI56" s="511"/>
      <c r="BJ56" s="511"/>
      <c r="BK56" s="511"/>
      <c r="BL56" s="511"/>
      <c r="BM56" s="511"/>
      <c r="BN56" s="511"/>
      <c r="BO56" s="511"/>
      <c r="BP56" s="511"/>
      <c r="BQ56" s="511"/>
      <c r="BR56" s="511"/>
      <c r="BS56" s="511"/>
      <c r="BT56" s="511"/>
      <c r="BU56" s="511"/>
      <c r="BV56" s="511"/>
      <c r="BW56" s="511"/>
      <c r="BX56" s="511"/>
      <c r="BY56" s="511"/>
      <c r="BZ56" s="511"/>
      <c r="CA56" s="511"/>
      <c r="CB56" s="511"/>
      <c r="CC56" s="511"/>
      <c r="CD56" s="511"/>
      <c r="CE56" s="511"/>
      <c r="CF56" s="511"/>
      <c r="CG56" s="511"/>
      <c r="CH56" s="511"/>
      <c r="CI56" s="511"/>
      <c r="CJ56" s="511"/>
      <c r="CK56" s="511"/>
      <c r="CL56" s="511"/>
      <c r="CM56" s="511"/>
      <c r="CN56" s="511"/>
      <c r="CO56" s="511"/>
      <c r="CP56" s="511"/>
      <c r="CQ56" s="511"/>
      <c r="CR56" s="511"/>
      <c r="CS56" s="511"/>
      <c r="CT56" s="511"/>
      <c r="CU56" s="511"/>
      <c r="CV56" s="511"/>
      <c r="CW56" s="5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38"/>
      <c r="PA56" s="11"/>
    </row>
    <row r="57" spans="1:417" x14ac:dyDescent="0.25">
      <c r="A57" s="143">
        <f>23+114+141</f>
        <v>278</v>
      </c>
      <c r="B57" s="90"/>
      <c r="C57" s="91"/>
      <c r="D57" s="233" t="s">
        <v>91</v>
      </c>
      <c r="E57" s="92"/>
      <c r="F57" s="92"/>
      <c r="G57" s="92"/>
      <c r="H57" s="93"/>
      <c r="I57" s="93"/>
      <c r="J57" s="93">
        <v>6</v>
      </c>
      <c r="K57" s="94"/>
      <c r="L57" s="93"/>
      <c r="M57" s="93"/>
      <c r="N57" s="93"/>
      <c r="O57" s="93"/>
      <c r="P57" s="494">
        <v>12</v>
      </c>
      <c r="Q57" s="94"/>
      <c r="R57" s="93"/>
      <c r="S57" s="93"/>
      <c r="T57" s="93"/>
      <c r="U57" s="494">
        <v>17</v>
      </c>
      <c r="V57" s="94"/>
      <c r="W57" s="93"/>
      <c r="X57" s="93"/>
      <c r="Y57" s="494">
        <v>21</v>
      </c>
      <c r="Z57" s="94"/>
      <c r="AA57" s="93"/>
      <c r="AB57" s="98"/>
      <c r="AC57" s="93"/>
      <c r="AD57" s="494">
        <v>26</v>
      </c>
      <c r="AE57" s="94"/>
      <c r="AF57" s="93"/>
      <c r="AG57" s="93"/>
      <c r="AH57" s="494">
        <v>30</v>
      </c>
      <c r="AI57" s="94"/>
      <c r="AJ57" s="93"/>
      <c r="AK57" s="494">
        <v>33</v>
      </c>
      <c r="AL57" s="94"/>
      <c r="AM57" s="93"/>
      <c r="AN57" s="93"/>
      <c r="AO57" s="494">
        <v>37</v>
      </c>
      <c r="AP57" s="94"/>
      <c r="AQ57" s="93"/>
      <c r="AR57" s="93"/>
      <c r="AS57" s="93"/>
      <c r="AT57" s="494">
        <v>42</v>
      </c>
      <c r="AU57" s="94"/>
      <c r="AV57" s="93"/>
      <c r="AW57" s="93"/>
      <c r="AX57" s="494">
        <v>46</v>
      </c>
      <c r="AY57" s="94"/>
      <c r="AZ57" s="93"/>
      <c r="BA57" s="494">
        <v>49</v>
      </c>
      <c r="BB57" s="94"/>
      <c r="BC57" s="494">
        <v>51</v>
      </c>
      <c r="BD57" s="94"/>
      <c r="BE57" s="93"/>
      <c r="BF57" s="494">
        <v>54</v>
      </c>
      <c r="BG57" s="94"/>
      <c r="BH57" s="93"/>
      <c r="BI57" s="93"/>
      <c r="BJ57" s="494">
        <v>58</v>
      </c>
      <c r="BK57" s="94"/>
      <c r="BL57" s="93"/>
      <c r="BM57" s="494">
        <v>61</v>
      </c>
      <c r="BN57" s="94"/>
      <c r="BO57" s="93"/>
      <c r="BP57" s="93"/>
      <c r="BQ57" s="494">
        <v>65</v>
      </c>
      <c r="BR57" s="94"/>
      <c r="BS57" s="93"/>
      <c r="BT57" s="93"/>
      <c r="BU57" s="93"/>
      <c r="BV57" s="494">
        <v>70</v>
      </c>
      <c r="BW57" s="94"/>
      <c r="BX57" s="93"/>
      <c r="BY57" s="93"/>
      <c r="BZ57" s="494">
        <v>74</v>
      </c>
      <c r="CA57" s="94"/>
      <c r="CB57" s="93"/>
      <c r="CC57" s="494">
        <v>77</v>
      </c>
      <c r="CD57" s="94"/>
      <c r="CE57" s="494">
        <v>79</v>
      </c>
      <c r="CF57" s="94"/>
      <c r="CG57" s="93"/>
      <c r="CH57" s="494">
        <v>82</v>
      </c>
      <c r="CI57" s="94"/>
      <c r="CJ57" s="494">
        <v>84</v>
      </c>
      <c r="CK57" s="96">
        <v>85</v>
      </c>
      <c r="CL57" s="495"/>
      <c r="CM57" s="95">
        <v>87</v>
      </c>
      <c r="CO57" s="93"/>
      <c r="CP57" s="95">
        <v>90</v>
      </c>
      <c r="CR57" s="93"/>
      <c r="CS57" s="93"/>
      <c r="CT57" s="95">
        <v>94</v>
      </c>
      <c r="CV57" s="93"/>
      <c r="CW57" s="95">
        <v>97</v>
      </c>
      <c r="CY57" s="95">
        <v>99</v>
      </c>
      <c r="DA57" s="93"/>
      <c r="DB57" s="95">
        <v>102</v>
      </c>
      <c r="DD57" s="93"/>
      <c r="DE57" s="93"/>
      <c r="DF57" s="95">
        <v>106</v>
      </c>
      <c r="DH57" s="93"/>
      <c r="DI57" s="95">
        <v>109</v>
      </c>
      <c r="DK57" s="93"/>
      <c r="DL57" s="93"/>
      <c r="DM57" s="95">
        <v>113</v>
      </c>
      <c r="DN57" s="93"/>
      <c r="DO57" s="93"/>
      <c r="DP57" s="93"/>
      <c r="DQ57" s="93"/>
      <c r="DR57" s="95">
        <v>118</v>
      </c>
      <c r="DT57" s="93"/>
      <c r="DU57" s="93"/>
      <c r="DV57" s="95">
        <v>122</v>
      </c>
      <c r="DW57" s="93"/>
      <c r="DX57" s="93"/>
      <c r="DY57" s="95">
        <v>125</v>
      </c>
      <c r="DZ57" s="93"/>
      <c r="EA57" s="95">
        <v>127</v>
      </c>
      <c r="EB57" s="93"/>
      <c r="EC57" s="93"/>
      <c r="ED57" s="95">
        <v>130</v>
      </c>
      <c r="EE57" s="93"/>
      <c r="EF57" s="95">
        <v>132</v>
      </c>
      <c r="EG57" s="96">
        <v>133</v>
      </c>
      <c r="EH57" s="93"/>
      <c r="EI57" s="95">
        <v>135</v>
      </c>
      <c r="EJ57" s="93"/>
      <c r="EK57" s="93"/>
      <c r="EL57" s="95">
        <v>138</v>
      </c>
      <c r="EM57" s="93"/>
      <c r="EN57" s="95">
        <v>140</v>
      </c>
      <c r="EO57" s="93">
        <v>141</v>
      </c>
      <c r="EP57" s="502"/>
      <c r="EQ57" s="505">
        <v>1</v>
      </c>
      <c r="ER57" s="93"/>
      <c r="ES57" s="95">
        <v>3</v>
      </c>
      <c r="ET57" s="96">
        <v>4</v>
      </c>
      <c r="EU57" s="93"/>
      <c r="EV57" s="95">
        <v>6</v>
      </c>
      <c r="EW57" s="93"/>
      <c r="EX57" s="93"/>
      <c r="EY57" s="95">
        <v>9</v>
      </c>
      <c r="EZ57" s="93"/>
      <c r="FA57" s="93"/>
      <c r="FB57" s="93"/>
      <c r="FC57" s="95">
        <v>13</v>
      </c>
      <c r="FD57" s="93"/>
      <c r="FE57" s="93"/>
      <c r="FF57" s="95">
        <v>16</v>
      </c>
      <c r="FG57" s="93"/>
      <c r="FH57" s="95">
        <v>18</v>
      </c>
      <c r="FI57" s="93"/>
      <c r="FJ57" s="93"/>
      <c r="FK57" s="95">
        <v>21</v>
      </c>
      <c r="FL57" s="93"/>
      <c r="FM57" s="95">
        <v>23</v>
      </c>
      <c r="FN57" s="96">
        <v>24</v>
      </c>
      <c r="FO57" s="93"/>
      <c r="FP57" s="95">
        <v>26</v>
      </c>
      <c r="FQ57" s="93"/>
      <c r="FR57" s="93"/>
      <c r="FS57" s="95">
        <v>29</v>
      </c>
      <c r="FT57" s="93"/>
      <c r="FU57" s="93"/>
      <c r="FV57" s="93"/>
      <c r="FW57" s="95">
        <v>33</v>
      </c>
      <c r="FX57" s="93"/>
      <c r="FY57" s="93"/>
      <c r="FZ57" s="95">
        <v>36</v>
      </c>
      <c r="GA57" s="93"/>
      <c r="GB57" s="95">
        <v>38</v>
      </c>
      <c r="GC57" s="93"/>
      <c r="GD57" s="93"/>
      <c r="GE57" s="95">
        <v>41</v>
      </c>
      <c r="GF57" s="93"/>
      <c r="GG57" s="93"/>
      <c r="GH57" s="93"/>
      <c r="GI57" s="95">
        <v>45</v>
      </c>
      <c r="GJ57" s="93"/>
      <c r="GK57" s="93"/>
      <c r="GL57" s="95">
        <v>48</v>
      </c>
      <c r="GM57" s="93"/>
      <c r="GN57" s="93"/>
      <c r="GO57" s="93"/>
      <c r="GP57" s="95">
        <v>52</v>
      </c>
      <c r="GQ57" s="93"/>
      <c r="GR57" s="93"/>
      <c r="GS57" s="93"/>
      <c r="GT57" s="93"/>
      <c r="GU57" s="95">
        <v>57</v>
      </c>
      <c r="GV57" s="93"/>
      <c r="GW57" s="93"/>
      <c r="GX57" s="93"/>
      <c r="GY57" s="93"/>
      <c r="GZ57" s="95">
        <v>62</v>
      </c>
      <c r="HA57" s="93"/>
      <c r="HB57" s="93"/>
      <c r="HC57" s="93"/>
      <c r="HD57" s="95">
        <v>66</v>
      </c>
      <c r="HE57" s="93"/>
      <c r="HF57" s="93"/>
      <c r="HG57" s="95">
        <v>69</v>
      </c>
      <c r="HH57" s="93"/>
      <c r="HI57" s="93"/>
      <c r="HJ57" s="93"/>
      <c r="HK57" s="95">
        <v>73</v>
      </c>
      <c r="HL57" s="93"/>
      <c r="HM57" s="93"/>
      <c r="HN57" s="95">
        <v>76</v>
      </c>
      <c r="HO57" s="93"/>
      <c r="HP57" s="95">
        <v>78</v>
      </c>
      <c r="HQ57" s="93"/>
      <c r="HR57" s="93"/>
      <c r="HS57" s="95">
        <v>81</v>
      </c>
      <c r="HT57" s="93"/>
      <c r="HU57" s="93"/>
      <c r="HV57" s="93"/>
      <c r="HW57" s="95">
        <v>85</v>
      </c>
      <c r="HX57" s="93"/>
      <c r="HY57" s="93"/>
      <c r="HZ57" s="95">
        <v>88</v>
      </c>
      <c r="IA57" s="93"/>
      <c r="IB57" s="95">
        <v>90</v>
      </c>
      <c r="IC57" s="96">
        <v>91</v>
      </c>
      <c r="ID57" s="93"/>
      <c r="IE57" s="95">
        <v>93</v>
      </c>
      <c r="IF57" s="93"/>
      <c r="IG57" s="93"/>
      <c r="IH57" s="95">
        <v>96</v>
      </c>
      <c r="II57" s="93"/>
      <c r="IJ57" s="95">
        <v>98</v>
      </c>
      <c r="IK57" s="93"/>
      <c r="IL57" s="93"/>
      <c r="IM57" s="95">
        <v>101</v>
      </c>
      <c r="IN57" s="93"/>
      <c r="IO57" s="93"/>
      <c r="IP57" s="93"/>
      <c r="IQ57" s="95">
        <v>105</v>
      </c>
      <c r="IR57" s="93"/>
      <c r="IS57" s="93"/>
      <c r="IT57" s="95">
        <v>108</v>
      </c>
      <c r="IU57" s="93"/>
      <c r="IV57" s="95">
        <v>110</v>
      </c>
      <c r="IW57" s="96">
        <v>111</v>
      </c>
      <c r="IX57" s="93"/>
      <c r="IY57" s="95">
        <v>113</v>
      </c>
      <c r="IZ57" s="93">
        <v>114</v>
      </c>
      <c r="JA57" s="515"/>
      <c r="JB57" s="505">
        <v>1</v>
      </c>
      <c r="JC57" s="93"/>
      <c r="JD57" s="95">
        <v>3</v>
      </c>
      <c r="JE57" s="93"/>
      <c r="JF57" s="93"/>
      <c r="JG57" s="95">
        <v>6</v>
      </c>
      <c r="JH57" s="93"/>
      <c r="JI57" s="95">
        <v>8</v>
      </c>
      <c r="JJ57" s="96">
        <v>9</v>
      </c>
      <c r="JK57" s="93"/>
      <c r="JL57" s="95">
        <v>11</v>
      </c>
      <c r="JM57" s="93"/>
      <c r="JN57" s="93"/>
      <c r="JO57" s="95">
        <v>14</v>
      </c>
      <c r="JP57" s="93"/>
      <c r="JQ57" s="95">
        <v>16</v>
      </c>
      <c r="JR57" s="93"/>
      <c r="JS57" s="93"/>
      <c r="JT57" s="95">
        <v>19</v>
      </c>
      <c r="JU57" s="93"/>
      <c r="JV57" s="93"/>
      <c r="JW57" s="93"/>
      <c r="JX57" s="93">
        <v>23</v>
      </c>
      <c r="JY57" s="16"/>
      <c r="JZ57" s="16"/>
      <c r="KA57" s="16"/>
      <c r="KB57" s="32"/>
      <c r="PA57" s="11"/>
    </row>
    <row r="58" spans="1:417" ht="17.25" thickBot="1" x14ac:dyDescent="0.3">
      <c r="A58" s="144">
        <f>SUM(E58:JX58)</f>
        <v>278</v>
      </c>
      <c r="B58" s="104"/>
      <c r="C58" s="105"/>
      <c r="D58" s="233" t="s">
        <v>90</v>
      </c>
      <c r="E58" s="106"/>
      <c r="F58" s="106"/>
      <c r="G58" s="106"/>
      <c r="H58" s="109"/>
      <c r="I58" s="109"/>
      <c r="J58" s="107">
        <v>6</v>
      </c>
      <c r="K58" s="108"/>
      <c r="L58" s="109"/>
      <c r="M58" s="109"/>
      <c r="N58" s="109"/>
      <c r="O58" s="109"/>
      <c r="P58" s="107">
        <v>6</v>
      </c>
      <c r="Q58" s="108"/>
      <c r="R58" s="109"/>
      <c r="S58" s="109"/>
      <c r="T58" s="109"/>
      <c r="U58" s="107">
        <v>5</v>
      </c>
      <c r="V58" s="108"/>
      <c r="W58" s="109"/>
      <c r="X58" s="109"/>
      <c r="Y58" s="107">
        <v>4</v>
      </c>
      <c r="Z58" s="108"/>
      <c r="AA58" s="109"/>
      <c r="AB58" s="112"/>
      <c r="AC58" s="117"/>
      <c r="AD58" s="107">
        <v>5</v>
      </c>
      <c r="AE58" s="108"/>
      <c r="AF58" s="117"/>
      <c r="AG58" s="117"/>
      <c r="AH58" s="107">
        <v>4</v>
      </c>
      <c r="AI58" s="108"/>
      <c r="AJ58" s="117"/>
      <c r="AK58" s="107">
        <v>3</v>
      </c>
      <c r="AL58" s="108"/>
      <c r="AM58" s="117"/>
      <c r="AN58" s="117"/>
      <c r="AO58" s="107">
        <v>4</v>
      </c>
      <c r="AP58" s="108"/>
      <c r="AQ58" s="117"/>
      <c r="AR58" s="117"/>
      <c r="AS58" s="117"/>
      <c r="AT58" s="107">
        <v>5</v>
      </c>
      <c r="AU58" s="108"/>
      <c r="AV58" s="117"/>
      <c r="AW58" s="117"/>
      <c r="AX58" s="107">
        <v>4</v>
      </c>
      <c r="AY58" s="108"/>
      <c r="AZ58" s="117"/>
      <c r="BA58" s="107">
        <v>3</v>
      </c>
      <c r="BB58" s="108"/>
      <c r="BC58" s="107">
        <v>2</v>
      </c>
      <c r="BD58" s="108"/>
      <c r="BE58" s="117"/>
      <c r="BF58" s="107">
        <v>3</v>
      </c>
      <c r="BG58" s="108"/>
      <c r="BH58" s="117"/>
      <c r="BI58" s="117"/>
      <c r="BJ58" s="107">
        <v>4</v>
      </c>
      <c r="BK58" s="108"/>
      <c r="BL58" s="117"/>
      <c r="BM58" s="107">
        <v>3</v>
      </c>
      <c r="BN58" s="108"/>
      <c r="BO58" s="117"/>
      <c r="BP58" s="117"/>
      <c r="BQ58" s="107">
        <v>4</v>
      </c>
      <c r="BR58" s="108"/>
      <c r="BS58" s="117"/>
      <c r="BT58" s="117"/>
      <c r="BU58" s="117"/>
      <c r="BV58" s="107">
        <v>5</v>
      </c>
      <c r="BW58" s="108"/>
      <c r="BX58" s="117"/>
      <c r="BY58" s="117"/>
      <c r="BZ58" s="107">
        <v>4</v>
      </c>
      <c r="CA58" s="108"/>
      <c r="CB58" s="117"/>
      <c r="CC58" s="107">
        <v>3</v>
      </c>
      <c r="CD58" s="108"/>
      <c r="CE58" s="107">
        <v>2</v>
      </c>
      <c r="CF58" s="108"/>
      <c r="CG58" s="117"/>
      <c r="CH58" s="107">
        <v>3</v>
      </c>
      <c r="CI58" s="108"/>
      <c r="CJ58" s="107">
        <v>2</v>
      </c>
      <c r="CK58" s="110">
        <v>1</v>
      </c>
      <c r="CL58" s="495"/>
      <c r="CM58" s="107">
        <v>2</v>
      </c>
      <c r="CO58" s="117"/>
      <c r="CP58" s="107">
        <v>3</v>
      </c>
      <c r="CR58" s="117"/>
      <c r="CS58" s="117"/>
      <c r="CT58" s="107">
        <v>4</v>
      </c>
      <c r="CV58" s="117"/>
      <c r="CW58" s="107">
        <v>3</v>
      </c>
      <c r="CY58" s="107">
        <v>2</v>
      </c>
      <c r="DA58" s="117"/>
      <c r="DB58" s="107">
        <v>3</v>
      </c>
      <c r="DD58" s="117"/>
      <c r="DE58" s="117"/>
      <c r="DF58" s="107">
        <v>4</v>
      </c>
      <c r="DH58" s="117"/>
      <c r="DI58" s="107">
        <v>3</v>
      </c>
      <c r="DK58" s="117"/>
      <c r="DL58" s="117"/>
      <c r="DM58" s="107">
        <v>4</v>
      </c>
      <c r="DN58" s="117"/>
      <c r="DO58" s="117"/>
      <c r="DP58" s="117"/>
      <c r="DQ58" s="117"/>
      <c r="DR58" s="107">
        <v>5</v>
      </c>
      <c r="DT58" s="117"/>
      <c r="DU58" s="117"/>
      <c r="DV58" s="107">
        <v>4</v>
      </c>
      <c r="DW58" s="117"/>
      <c r="DX58" s="117"/>
      <c r="DY58" s="107">
        <v>3</v>
      </c>
      <c r="DZ58" s="117"/>
      <c r="EA58" s="107">
        <v>2</v>
      </c>
      <c r="EB58" s="117"/>
      <c r="EC58" s="117"/>
      <c r="ED58" s="107">
        <v>3</v>
      </c>
      <c r="EE58" s="117"/>
      <c r="EF58" s="107">
        <v>2</v>
      </c>
      <c r="EG58" s="107">
        <v>1</v>
      </c>
      <c r="EH58" s="117"/>
      <c r="EI58" s="107">
        <v>2</v>
      </c>
      <c r="EJ58" s="117"/>
      <c r="EK58" s="117"/>
      <c r="EL58" s="107">
        <v>3</v>
      </c>
      <c r="EM58" s="117"/>
      <c r="EN58" s="107">
        <v>2</v>
      </c>
      <c r="EO58" s="109">
        <v>1</v>
      </c>
      <c r="EP58" s="503">
        <v>0</v>
      </c>
      <c r="EQ58" s="506">
        <v>1</v>
      </c>
      <c r="ER58" s="109"/>
      <c r="ES58" s="107">
        <v>2</v>
      </c>
      <c r="ET58" s="110">
        <v>1</v>
      </c>
      <c r="EU58" s="109"/>
      <c r="EV58" s="107">
        <v>2</v>
      </c>
      <c r="EW58" s="117"/>
      <c r="EX58" s="109"/>
      <c r="EY58" s="107">
        <v>3</v>
      </c>
      <c r="EZ58" s="117"/>
      <c r="FA58" s="109"/>
      <c r="FB58" s="109"/>
      <c r="FC58" s="107">
        <v>4</v>
      </c>
      <c r="FD58" s="117"/>
      <c r="FE58" s="109"/>
      <c r="FF58" s="107">
        <v>3</v>
      </c>
      <c r="FG58" s="117"/>
      <c r="FH58" s="107">
        <v>2</v>
      </c>
      <c r="FI58" s="117"/>
      <c r="FJ58" s="109"/>
      <c r="FK58" s="107">
        <v>3</v>
      </c>
      <c r="FL58" s="117"/>
      <c r="FM58" s="107">
        <v>2</v>
      </c>
      <c r="FN58" s="110">
        <v>1</v>
      </c>
      <c r="FO58" s="109"/>
      <c r="FP58" s="107">
        <v>2</v>
      </c>
      <c r="FQ58" s="117"/>
      <c r="FR58" s="109"/>
      <c r="FS58" s="107">
        <v>3</v>
      </c>
      <c r="FT58" s="117"/>
      <c r="FU58" s="109"/>
      <c r="FV58" s="109"/>
      <c r="FW58" s="107">
        <v>4</v>
      </c>
      <c r="FX58" s="117"/>
      <c r="FY58" s="109"/>
      <c r="FZ58" s="107">
        <v>3</v>
      </c>
      <c r="GA58" s="117"/>
      <c r="GB58" s="107">
        <v>2</v>
      </c>
      <c r="GC58" s="117"/>
      <c r="GD58" s="109"/>
      <c r="GE58" s="107">
        <v>3</v>
      </c>
      <c r="GF58" s="117"/>
      <c r="GG58" s="109"/>
      <c r="GH58" s="109"/>
      <c r="GI58" s="107">
        <v>4</v>
      </c>
      <c r="GJ58" s="117"/>
      <c r="GK58" s="109"/>
      <c r="GL58" s="107">
        <v>3</v>
      </c>
      <c r="GM58" s="117"/>
      <c r="GN58" s="109"/>
      <c r="GO58" s="109"/>
      <c r="GP58" s="107">
        <v>4</v>
      </c>
      <c r="GQ58" s="117"/>
      <c r="GR58" s="109"/>
      <c r="GS58" s="109"/>
      <c r="GT58" s="109"/>
      <c r="GU58" s="107">
        <v>5</v>
      </c>
      <c r="GV58" s="117"/>
      <c r="GW58" s="109"/>
      <c r="GX58" s="109"/>
      <c r="GY58" s="109"/>
      <c r="GZ58" s="107">
        <v>5</v>
      </c>
      <c r="HA58" s="117"/>
      <c r="HB58" s="109"/>
      <c r="HC58" s="109"/>
      <c r="HD58" s="107">
        <v>4</v>
      </c>
      <c r="HE58" s="117"/>
      <c r="HF58" s="109"/>
      <c r="HG58" s="107">
        <v>3</v>
      </c>
      <c r="HH58" s="117"/>
      <c r="HI58" s="109"/>
      <c r="HJ58" s="109"/>
      <c r="HK58" s="107">
        <v>4</v>
      </c>
      <c r="HL58" s="117"/>
      <c r="HM58" s="109"/>
      <c r="HN58" s="107">
        <v>3</v>
      </c>
      <c r="HO58" s="117"/>
      <c r="HP58" s="107">
        <v>2</v>
      </c>
      <c r="HQ58" s="117"/>
      <c r="HR58" s="109"/>
      <c r="HS58" s="107">
        <v>3</v>
      </c>
      <c r="HT58" s="117"/>
      <c r="HU58" s="109"/>
      <c r="HV58" s="109"/>
      <c r="HW58" s="107">
        <v>4</v>
      </c>
      <c r="HX58" s="117"/>
      <c r="HY58" s="109"/>
      <c r="HZ58" s="107">
        <v>3</v>
      </c>
      <c r="IA58" s="117"/>
      <c r="IB58" s="107">
        <v>2</v>
      </c>
      <c r="IC58" s="107">
        <v>1</v>
      </c>
      <c r="ID58" s="109"/>
      <c r="IE58" s="107">
        <v>2</v>
      </c>
      <c r="IF58" s="117"/>
      <c r="IG58" s="109"/>
      <c r="IH58" s="107">
        <v>3</v>
      </c>
      <c r="II58" s="117"/>
      <c r="IJ58" s="107">
        <v>2</v>
      </c>
      <c r="IK58" s="117"/>
      <c r="IL58" s="109"/>
      <c r="IM58" s="107">
        <v>3</v>
      </c>
      <c r="IN58" s="117"/>
      <c r="IO58" s="109"/>
      <c r="IP58" s="109"/>
      <c r="IQ58" s="107">
        <v>4</v>
      </c>
      <c r="IR58" s="117"/>
      <c r="IS58" s="109"/>
      <c r="IT58" s="107">
        <v>3</v>
      </c>
      <c r="IU58" s="117"/>
      <c r="IV58" s="107">
        <v>2</v>
      </c>
      <c r="IW58" s="107">
        <v>1</v>
      </c>
      <c r="IX58" s="109"/>
      <c r="IY58" s="107">
        <v>2</v>
      </c>
      <c r="IZ58" s="107">
        <v>1</v>
      </c>
      <c r="JA58" s="503">
        <v>0</v>
      </c>
      <c r="JB58" s="506">
        <v>1</v>
      </c>
      <c r="JC58" s="109"/>
      <c r="JD58" s="107">
        <v>2</v>
      </c>
      <c r="JE58" s="117"/>
      <c r="JF58" s="109"/>
      <c r="JG58" s="107">
        <v>3</v>
      </c>
      <c r="JH58" s="117"/>
      <c r="JI58" s="107">
        <v>2</v>
      </c>
      <c r="JJ58" s="107">
        <v>1</v>
      </c>
      <c r="JK58" s="109"/>
      <c r="JL58" s="107">
        <v>2</v>
      </c>
      <c r="JM58" s="117"/>
      <c r="JN58" s="109"/>
      <c r="JO58" s="107">
        <v>3</v>
      </c>
      <c r="JP58" s="117"/>
      <c r="JQ58" s="107">
        <v>2</v>
      </c>
      <c r="JR58" s="117"/>
      <c r="JS58" s="109"/>
      <c r="JT58" s="107">
        <v>3</v>
      </c>
      <c r="JU58" s="117"/>
      <c r="JV58" s="109"/>
      <c r="JW58" s="109"/>
      <c r="JX58" s="109">
        <v>4</v>
      </c>
      <c r="JY58" s="17"/>
      <c r="JZ58" s="17"/>
      <c r="KA58" s="17"/>
      <c r="KB58" s="32"/>
      <c r="PA58" s="11"/>
    </row>
    <row r="59" spans="1:417" ht="16.5" thickBot="1" x14ac:dyDescent="0.35">
      <c r="A59" s="105"/>
      <c r="B59" s="281"/>
      <c r="C59" s="105"/>
      <c r="D59" s="234" t="s">
        <v>92</v>
      </c>
      <c r="E59" s="18"/>
      <c r="F59" s="19"/>
      <c r="G59" s="19"/>
      <c r="H59" s="19"/>
      <c r="I59" s="19"/>
      <c r="J59" s="20"/>
      <c r="K59" s="21"/>
      <c r="L59" s="19"/>
      <c r="M59" s="19"/>
      <c r="N59" s="19"/>
      <c r="O59" s="19"/>
      <c r="P59" s="20"/>
      <c r="Q59" s="21"/>
      <c r="R59" s="19"/>
      <c r="S59" s="19"/>
      <c r="T59" s="19"/>
      <c r="U59" s="20"/>
      <c r="V59" s="21"/>
      <c r="W59" s="19"/>
      <c r="X59" s="19"/>
      <c r="Y59" s="20"/>
      <c r="Z59" s="21"/>
      <c r="AA59" s="19"/>
      <c r="AB59" s="492"/>
      <c r="AC59" s="19"/>
      <c r="AD59" s="20"/>
      <c r="AE59" s="21"/>
      <c r="AF59" s="19"/>
      <c r="AG59" s="19"/>
      <c r="AH59" s="20"/>
      <c r="AI59" s="21"/>
      <c r="AJ59" s="19"/>
      <c r="AK59" s="20"/>
      <c r="AL59" s="21"/>
      <c r="AM59" s="19"/>
      <c r="AN59" s="19"/>
      <c r="AO59" s="20"/>
      <c r="AP59" s="21"/>
      <c r="AQ59" s="19"/>
      <c r="AR59" s="19"/>
      <c r="AS59" s="19"/>
      <c r="AT59" s="20"/>
      <c r="AU59" s="21"/>
      <c r="AV59" s="19"/>
      <c r="AW59" s="19"/>
      <c r="AX59" s="20"/>
      <c r="AY59" s="21"/>
      <c r="AZ59" s="19"/>
      <c r="BA59" s="20"/>
      <c r="BB59" s="21"/>
      <c r="BC59" s="20"/>
      <c r="BD59" s="21"/>
      <c r="BE59" s="19"/>
      <c r="BF59" s="20"/>
      <c r="BG59" s="21"/>
      <c r="BH59" s="19"/>
      <c r="BI59" s="19"/>
      <c r="BJ59" s="20"/>
      <c r="BK59" s="21"/>
      <c r="BL59" s="19"/>
      <c r="BM59" s="20"/>
      <c r="BN59" s="21"/>
      <c r="BO59" s="19"/>
      <c r="BP59" s="19"/>
      <c r="BQ59" s="20"/>
      <c r="BR59" s="21"/>
      <c r="BS59" s="19"/>
      <c r="BT59" s="19"/>
      <c r="BU59" s="19"/>
      <c r="BV59" s="20"/>
      <c r="BW59" s="21"/>
      <c r="BX59" s="19"/>
      <c r="BY59" s="19"/>
      <c r="BZ59" s="20"/>
      <c r="CA59" s="21"/>
      <c r="CB59" s="19"/>
      <c r="CC59" s="20"/>
      <c r="CD59" s="21"/>
      <c r="CE59" s="20"/>
      <c r="CF59" s="21"/>
      <c r="CG59" s="19"/>
      <c r="CH59" s="20"/>
      <c r="CI59" s="21"/>
      <c r="CJ59" s="20"/>
      <c r="CK59" s="22"/>
      <c r="CL59" s="496"/>
      <c r="CM59" s="497"/>
      <c r="CN59" s="19"/>
      <c r="CO59" s="27"/>
      <c r="CP59" s="497"/>
      <c r="CQ59" s="19"/>
      <c r="CR59" s="19"/>
      <c r="CS59" s="19"/>
      <c r="CT59" s="497"/>
      <c r="CU59" s="19"/>
      <c r="CV59" s="19"/>
      <c r="CW59" s="497"/>
      <c r="CX59" s="19"/>
      <c r="CY59" s="497"/>
      <c r="CZ59" s="19"/>
      <c r="DA59" s="19"/>
      <c r="DB59" s="497"/>
      <c r="DC59" s="19"/>
      <c r="DD59" s="19"/>
      <c r="DE59" s="19"/>
      <c r="DF59" s="497"/>
      <c r="DG59" s="19"/>
      <c r="DH59" s="19"/>
      <c r="DI59" s="497"/>
      <c r="DJ59" s="19"/>
      <c r="DK59" s="19"/>
      <c r="DL59" s="19"/>
      <c r="DM59" s="497"/>
      <c r="DN59" s="19"/>
      <c r="DO59" s="19"/>
      <c r="DP59" s="19"/>
      <c r="DQ59" s="19"/>
      <c r="DR59" s="497"/>
      <c r="DS59" s="19"/>
      <c r="DT59" s="19"/>
      <c r="DU59" s="19"/>
      <c r="DV59" s="497"/>
      <c r="DW59" s="19"/>
      <c r="DX59" s="19"/>
      <c r="DY59" s="497"/>
      <c r="DZ59" s="19"/>
      <c r="EA59" s="497"/>
      <c r="EB59" s="19"/>
      <c r="EC59" s="19"/>
      <c r="ED59" s="497"/>
      <c r="EE59" s="19"/>
      <c r="EF59" s="497"/>
      <c r="EG59" s="22"/>
      <c r="EH59" s="28"/>
      <c r="EI59" s="497"/>
      <c r="EJ59" s="19"/>
      <c r="EK59" s="19"/>
      <c r="EL59" s="497"/>
      <c r="EM59" s="19"/>
      <c r="EN59" s="497"/>
      <c r="EO59" s="27"/>
      <c r="EP59" s="491"/>
      <c r="EQ59" s="507"/>
      <c r="ER59" s="28"/>
      <c r="ES59" s="497"/>
      <c r="ET59" s="509"/>
      <c r="EU59" s="28"/>
      <c r="EV59" s="497"/>
      <c r="EW59" s="19"/>
      <c r="EX59" s="19"/>
      <c r="EY59" s="497"/>
      <c r="EZ59" s="19"/>
      <c r="FA59" s="19"/>
      <c r="FB59" s="19"/>
      <c r="FC59" s="497"/>
      <c r="FD59" s="19"/>
      <c r="FE59" s="19"/>
      <c r="FF59" s="497"/>
      <c r="FG59" s="19"/>
      <c r="FH59" s="497"/>
      <c r="FI59" s="19"/>
      <c r="FJ59" s="19"/>
      <c r="FK59" s="497"/>
      <c r="FL59" s="19"/>
      <c r="FM59" s="497"/>
      <c r="FN59" s="22"/>
      <c r="FO59" s="28"/>
      <c r="FP59" s="497"/>
      <c r="FQ59" s="19"/>
      <c r="FR59" s="19"/>
      <c r="FS59" s="497"/>
      <c r="FT59" s="19"/>
      <c r="FU59" s="19"/>
      <c r="FV59" s="19"/>
      <c r="FW59" s="497"/>
      <c r="FX59" s="19"/>
      <c r="FY59" s="19"/>
      <c r="FZ59" s="497"/>
      <c r="GA59" s="19"/>
      <c r="GB59" s="497"/>
      <c r="GC59" s="19"/>
      <c r="GD59" s="19"/>
      <c r="GE59" s="497"/>
      <c r="GF59" s="19"/>
      <c r="GG59" s="19"/>
      <c r="GH59" s="19"/>
      <c r="GI59" s="497"/>
      <c r="GJ59" s="19"/>
      <c r="GK59" s="19"/>
      <c r="GL59" s="497"/>
      <c r="GM59" s="19"/>
      <c r="GN59" s="19"/>
      <c r="GO59" s="19"/>
      <c r="GP59" s="497"/>
      <c r="GQ59" s="19"/>
      <c r="GR59" s="19"/>
      <c r="GS59" s="19"/>
      <c r="GT59" s="19"/>
      <c r="GU59" s="497"/>
      <c r="GV59" s="19"/>
      <c r="GW59" s="19"/>
      <c r="GX59" s="19"/>
      <c r="GY59" s="19"/>
      <c r="GZ59" s="497"/>
      <c r="HA59" s="19"/>
      <c r="HB59" s="19"/>
      <c r="HC59" s="19"/>
      <c r="HD59" s="497"/>
      <c r="HE59" s="19"/>
      <c r="HF59" s="19"/>
      <c r="HG59" s="497"/>
      <c r="HH59" s="19"/>
      <c r="HI59" s="19"/>
      <c r="HJ59" s="19"/>
      <c r="HK59" s="497"/>
      <c r="HL59" s="19"/>
      <c r="HM59" s="19"/>
      <c r="HN59" s="497"/>
      <c r="HO59" s="19"/>
      <c r="HP59" s="497"/>
      <c r="HQ59" s="19"/>
      <c r="HR59" s="19"/>
      <c r="HS59" s="497"/>
      <c r="HT59" s="19"/>
      <c r="HU59" s="19"/>
      <c r="HV59" s="19"/>
      <c r="HW59" s="497"/>
      <c r="HX59" s="19"/>
      <c r="HY59" s="19"/>
      <c r="HZ59" s="497"/>
      <c r="IA59" s="19"/>
      <c r="IB59" s="497"/>
      <c r="IC59" s="22"/>
      <c r="ID59" s="28"/>
      <c r="IE59" s="497"/>
      <c r="IF59" s="19"/>
      <c r="IG59" s="19"/>
      <c r="IH59" s="497"/>
      <c r="II59" s="19"/>
      <c r="IJ59" s="497"/>
      <c r="IK59" s="19"/>
      <c r="IL59" s="19"/>
      <c r="IM59" s="497"/>
      <c r="IN59" s="19"/>
      <c r="IO59" s="19"/>
      <c r="IP59" s="19"/>
      <c r="IQ59" s="497"/>
      <c r="IR59" s="19"/>
      <c r="IS59" s="19"/>
      <c r="IT59" s="497"/>
      <c r="IU59" s="19"/>
      <c r="IV59" s="497"/>
      <c r="IW59" s="22"/>
      <c r="IX59" s="28"/>
      <c r="IY59" s="497"/>
      <c r="IZ59" s="27"/>
      <c r="JA59" s="516"/>
      <c r="JB59" s="507"/>
      <c r="JC59" s="28"/>
      <c r="JD59" s="497"/>
      <c r="JE59" s="19"/>
      <c r="JF59" s="19"/>
      <c r="JG59" s="497"/>
      <c r="JH59" s="19"/>
      <c r="JI59" s="497"/>
      <c r="JJ59" s="22"/>
      <c r="JK59" s="28"/>
      <c r="JL59" s="497"/>
      <c r="JM59" s="19"/>
      <c r="JN59" s="19"/>
      <c r="JO59" s="497"/>
      <c r="JP59" s="19"/>
      <c r="JQ59" s="497"/>
      <c r="JR59" s="19"/>
      <c r="JS59" s="19"/>
      <c r="JT59" s="497"/>
      <c r="JU59" s="19"/>
      <c r="JV59" s="19"/>
      <c r="JW59" s="19"/>
      <c r="JX59" s="29"/>
      <c r="KB59" s="32"/>
      <c r="PA59" s="11"/>
    </row>
    <row r="60" spans="1:417" s="36" customFormat="1" x14ac:dyDescent="0.25">
      <c r="A60" s="121"/>
      <c r="B60" s="122"/>
      <c r="C60" s="123"/>
      <c r="D60" s="235" t="s">
        <v>89</v>
      </c>
      <c r="E60" s="489">
        <v>1</v>
      </c>
      <c r="F60" s="489"/>
      <c r="G60" s="489"/>
      <c r="H60" s="489"/>
      <c r="I60" s="489"/>
      <c r="J60" s="124"/>
      <c r="K60" s="125">
        <v>2</v>
      </c>
      <c r="L60" s="489"/>
      <c r="M60" s="489"/>
      <c r="N60" s="489"/>
      <c r="O60" s="489"/>
      <c r="P60" s="124"/>
      <c r="Q60" s="125">
        <v>3</v>
      </c>
      <c r="R60" s="489"/>
      <c r="S60" s="489"/>
      <c r="T60" s="489"/>
      <c r="U60" s="124"/>
      <c r="V60" s="125">
        <v>4</v>
      </c>
      <c r="W60" s="489"/>
      <c r="X60" s="489"/>
      <c r="Y60" s="124"/>
      <c r="Z60" s="125">
        <v>5</v>
      </c>
      <c r="AA60" s="489"/>
      <c r="AB60" s="490"/>
      <c r="AC60" s="489"/>
      <c r="AD60" s="124"/>
      <c r="AE60" s="125">
        <v>6</v>
      </c>
      <c r="AF60" s="489"/>
      <c r="AG60" s="489"/>
      <c r="AH60" s="124"/>
      <c r="AI60" s="125">
        <v>7</v>
      </c>
      <c r="AJ60" s="489"/>
      <c r="AK60" s="124"/>
      <c r="AL60" s="125">
        <v>8</v>
      </c>
      <c r="AM60" s="489"/>
      <c r="AN60" s="489"/>
      <c r="AO60" s="124"/>
      <c r="AP60" s="125">
        <v>9</v>
      </c>
      <c r="AQ60" s="489"/>
      <c r="AR60" s="489"/>
      <c r="AS60" s="489"/>
      <c r="AT60" s="124"/>
      <c r="AU60" s="125">
        <v>10</v>
      </c>
      <c r="AV60" s="489"/>
      <c r="AW60" s="489"/>
      <c r="AX60" s="124"/>
      <c r="AY60" s="125">
        <v>11</v>
      </c>
      <c r="AZ60" s="489"/>
      <c r="BA60" s="124"/>
      <c r="BB60" s="125">
        <v>12</v>
      </c>
      <c r="BC60" s="124"/>
      <c r="BD60" s="125">
        <v>13</v>
      </c>
      <c r="BE60" s="489"/>
      <c r="BF60" s="124"/>
      <c r="BG60" s="125">
        <v>14</v>
      </c>
      <c r="BH60" s="489"/>
      <c r="BI60" s="489"/>
      <c r="BJ60" s="124"/>
      <c r="BK60" s="125">
        <v>15</v>
      </c>
      <c r="BL60" s="489"/>
      <c r="BM60" s="124"/>
      <c r="BN60" s="125">
        <v>16</v>
      </c>
      <c r="BO60" s="489"/>
      <c r="BP60" s="489"/>
      <c r="BQ60" s="124"/>
      <c r="BR60" s="125">
        <v>17</v>
      </c>
      <c r="BS60" s="489"/>
      <c r="BT60" s="489"/>
      <c r="BU60" s="489"/>
      <c r="BV60" s="124"/>
      <c r="BW60" s="125">
        <v>18</v>
      </c>
      <c r="BX60" s="489"/>
      <c r="BY60" s="489"/>
      <c r="BZ60" s="124"/>
      <c r="CA60" s="125">
        <v>19</v>
      </c>
      <c r="CB60" s="489"/>
      <c r="CC60" s="124"/>
      <c r="CD60" s="125">
        <v>20</v>
      </c>
      <c r="CE60" s="124"/>
      <c r="CF60" s="125">
        <v>21</v>
      </c>
      <c r="CG60" s="489"/>
      <c r="CH60" s="124"/>
      <c r="CI60" s="125">
        <v>22</v>
      </c>
      <c r="CJ60" s="124"/>
      <c r="CK60" s="127">
        <v>23</v>
      </c>
      <c r="CL60" s="125">
        <v>24</v>
      </c>
      <c r="CM60" s="126"/>
      <c r="CN60" s="125">
        <v>25</v>
      </c>
      <c r="CO60" s="489"/>
      <c r="CP60" s="126"/>
      <c r="CQ60" s="125">
        <v>26</v>
      </c>
      <c r="CR60" s="489"/>
      <c r="CS60" s="489"/>
      <c r="CT60" s="126"/>
      <c r="CU60" s="125">
        <v>27</v>
      </c>
      <c r="CV60" s="489"/>
      <c r="CW60" s="126"/>
      <c r="CX60" s="125">
        <v>28</v>
      </c>
      <c r="CY60" s="126"/>
      <c r="CZ60" s="125">
        <v>29</v>
      </c>
      <c r="DA60" s="489"/>
      <c r="DB60" s="126"/>
      <c r="DC60" s="125">
        <v>30</v>
      </c>
      <c r="DD60" s="489"/>
      <c r="DE60" s="489"/>
      <c r="DF60" s="126"/>
      <c r="DG60" s="125">
        <v>31</v>
      </c>
      <c r="DH60" s="489"/>
      <c r="DI60" s="126"/>
      <c r="DJ60" s="125">
        <v>32</v>
      </c>
      <c r="DK60" s="489"/>
      <c r="DL60" s="489"/>
      <c r="DM60" s="126"/>
      <c r="DN60" s="489">
        <v>33</v>
      </c>
      <c r="DO60" s="489"/>
      <c r="DP60" s="489"/>
      <c r="DQ60" s="489"/>
      <c r="DR60" s="126"/>
      <c r="DS60" s="125">
        <v>34</v>
      </c>
      <c r="DT60" s="489"/>
      <c r="DU60" s="489"/>
      <c r="DV60" s="126"/>
      <c r="DW60" s="489">
        <v>35</v>
      </c>
      <c r="DX60" s="489"/>
      <c r="DY60" s="126"/>
      <c r="DZ60" s="489">
        <v>36</v>
      </c>
      <c r="EA60" s="126"/>
      <c r="EB60" s="489">
        <v>37</v>
      </c>
      <c r="EC60" s="489"/>
      <c r="ED60" s="126"/>
      <c r="EE60" s="489">
        <v>38</v>
      </c>
      <c r="EF60" s="126"/>
      <c r="EG60" s="501">
        <v>39</v>
      </c>
      <c r="EH60" s="489">
        <v>40</v>
      </c>
      <c r="EI60" s="126"/>
      <c r="EJ60" s="489">
        <v>41</v>
      </c>
      <c r="EK60" s="489"/>
      <c r="EL60" s="126"/>
      <c r="EM60" s="489">
        <v>42</v>
      </c>
      <c r="EN60" s="126"/>
      <c r="EO60" s="489">
        <v>43</v>
      </c>
      <c r="EP60" s="504">
        <v>44</v>
      </c>
      <c r="EQ60" s="508">
        <v>45</v>
      </c>
      <c r="ER60" s="489">
        <v>46</v>
      </c>
      <c r="ES60" s="126"/>
      <c r="ET60" s="510">
        <v>47</v>
      </c>
      <c r="EU60" s="489">
        <v>48</v>
      </c>
      <c r="EV60" s="126"/>
      <c r="EW60" s="489">
        <v>49</v>
      </c>
      <c r="EX60" s="489"/>
      <c r="EY60" s="126"/>
      <c r="EZ60" s="489">
        <v>50</v>
      </c>
      <c r="FA60" s="489"/>
      <c r="FB60" s="489"/>
      <c r="FC60" s="126"/>
      <c r="FD60" s="489">
        <v>51</v>
      </c>
      <c r="FE60" s="489"/>
      <c r="FF60" s="126"/>
      <c r="FG60" s="489">
        <v>52</v>
      </c>
      <c r="FH60" s="126"/>
      <c r="FI60" s="489">
        <v>53</v>
      </c>
      <c r="FJ60" s="489"/>
      <c r="FK60" s="126"/>
      <c r="FL60" s="489">
        <v>54</v>
      </c>
      <c r="FM60" s="126"/>
      <c r="FN60" s="501">
        <v>55</v>
      </c>
      <c r="FO60" s="489">
        <v>56</v>
      </c>
      <c r="FP60" s="126"/>
      <c r="FQ60" s="489">
        <v>57</v>
      </c>
      <c r="FR60" s="489"/>
      <c r="FS60" s="126"/>
      <c r="FT60" s="489">
        <v>58</v>
      </c>
      <c r="FU60" s="489"/>
      <c r="FV60" s="489"/>
      <c r="FW60" s="126"/>
      <c r="FX60" s="489">
        <v>59</v>
      </c>
      <c r="FY60" s="489"/>
      <c r="FZ60" s="126"/>
      <c r="GA60" s="489">
        <v>60</v>
      </c>
      <c r="GB60" s="126"/>
      <c r="GC60" s="489">
        <v>61</v>
      </c>
      <c r="GD60" s="489"/>
      <c r="GE60" s="126"/>
      <c r="GF60" s="489">
        <v>62</v>
      </c>
      <c r="GG60" s="489"/>
      <c r="GH60" s="489"/>
      <c r="GI60" s="126"/>
      <c r="GJ60" s="489">
        <v>63</v>
      </c>
      <c r="GK60" s="489"/>
      <c r="GL60" s="126"/>
      <c r="GM60" s="489">
        <v>64</v>
      </c>
      <c r="GN60" s="489"/>
      <c r="GO60" s="489"/>
      <c r="GP60" s="126"/>
      <c r="GQ60" s="489">
        <v>65</v>
      </c>
      <c r="GR60" s="489"/>
      <c r="GS60" s="489"/>
      <c r="GT60" s="489"/>
      <c r="GU60" s="126"/>
      <c r="GV60" s="489">
        <v>66</v>
      </c>
      <c r="GW60" s="489"/>
      <c r="GX60" s="489"/>
      <c r="GY60" s="489"/>
      <c r="GZ60" s="126"/>
      <c r="HA60" s="489">
        <v>67</v>
      </c>
      <c r="HB60" s="489"/>
      <c r="HC60" s="489"/>
      <c r="HD60" s="126"/>
      <c r="HE60" s="489">
        <v>68</v>
      </c>
      <c r="HF60" s="489"/>
      <c r="HG60" s="126"/>
      <c r="HH60" s="489">
        <v>69</v>
      </c>
      <c r="HI60" s="489"/>
      <c r="HJ60" s="489"/>
      <c r="HK60" s="126"/>
      <c r="HL60" s="489">
        <v>70</v>
      </c>
      <c r="HM60" s="489"/>
      <c r="HN60" s="126"/>
      <c r="HO60" s="489">
        <v>71</v>
      </c>
      <c r="HP60" s="126"/>
      <c r="HQ60" s="489">
        <v>72</v>
      </c>
      <c r="HR60" s="489"/>
      <c r="HS60" s="126"/>
      <c r="HT60" s="489">
        <v>73</v>
      </c>
      <c r="HU60" s="489"/>
      <c r="HV60" s="489"/>
      <c r="HW60" s="126"/>
      <c r="HX60" s="489">
        <v>74</v>
      </c>
      <c r="HY60" s="489"/>
      <c r="HZ60" s="126"/>
      <c r="IA60" s="489">
        <v>75</v>
      </c>
      <c r="IB60" s="126"/>
      <c r="IC60" s="501">
        <v>76</v>
      </c>
      <c r="ID60" s="489">
        <v>77</v>
      </c>
      <c r="IE60" s="126"/>
      <c r="IF60" s="489">
        <v>78</v>
      </c>
      <c r="IG60" s="489"/>
      <c r="IH60" s="126"/>
      <c r="II60" s="489">
        <v>79</v>
      </c>
      <c r="IJ60" s="126"/>
      <c r="IK60" s="489">
        <v>80</v>
      </c>
      <c r="IL60" s="489"/>
      <c r="IM60" s="126"/>
      <c r="IN60" s="489">
        <v>81</v>
      </c>
      <c r="IO60" s="489"/>
      <c r="IP60" s="489"/>
      <c r="IQ60" s="126"/>
      <c r="IR60" s="489">
        <v>82</v>
      </c>
      <c r="IS60" s="489"/>
      <c r="IT60" s="126"/>
      <c r="IU60" s="489">
        <v>83</v>
      </c>
      <c r="IV60" s="126"/>
      <c r="IW60" s="501">
        <v>84</v>
      </c>
      <c r="IX60" s="489">
        <v>85</v>
      </c>
      <c r="IY60" s="126"/>
      <c r="IZ60" s="489">
        <v>86</v>
      </c>
      <c r="JA60" s="504">
        <v>87</v>
      </c>
      <c r="JB60" s="508">
        <v>1</v>
      </c>
      <c r="JC60" s="489">
        <v>2</v>
      </c>
      <c r="JD60" s="126"/>
      <c r="JE60" s="489">
        <v>3</v>
      </c>
      <c r="JF60" s="489"/>
      <c r="JG60" s="126"/>
      <c r="JH60" s="489">
        <v>4</v>
      </c>
      <c r="JI60" s="126"/>
      <c r="JJ60" s="501">
        <v>5</v>
      </c>
      <c r="JK60" s="489">
        <v>6</v>
      </c>
      <c r="JL60" s="126"/>
      <c r="JM60" s="489">
        <v>7</v>
      </c>
      <c r="JN60" s="489"/>
      <c r="JO60" s="126"/>
      <c r="JP60" s="489">
        <v>8</v>
      </c>
      <c r="JQ60" s="126"/>
      <c r="JR60" s="489">
        <v>9</v>
      </c>
      <c r="JS60" s="489"/>
      <c r="JT60" s="126"/>
      <c r="JU60" s="489">
        <v>10</v>
      </c>
      <c r="JV60" s="489"/>
      <c r="JW60" s="489"/>
      <c r="JX60" s="489"/>
      <c r="KB60" s="38"/>
      <c r="PA60" s="41"/>
    </row>
    <row r="61" spans="1:417" ht="16.5" x14ac:dyDescent="0.25">
      <c r="E61" s="30"/>
      <c r="F61" s="30"/>
      <c r="G61" s="30"/>
      <c r="H61" s="30"/>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0"/>
      <c r="AL61" s="30"/>
      <c r="AM61" s="30"/>
      <c r="AN61" s="30"/>
      <c r="AO61" s="31"/>
      <c r="AP61" s="31"/>
      <c r="AQ61" s="31"/>
      <c r="AR61" s="31"/>
      <c r="AS61" s="31"/>
      <c r="AT61" s="31"/>
      <c r="AU61" s="31"/>
      <c r="AV61" s="31"/>
      <c r="AW61" s="31"/>
      <c r="AX61" s="31"/>
      <c r="AY61" s="31"/>
      <c r="AZ61" s="31"/>
      <c r="BA61" s="31"/>
      <c r="BB61" s="31"/>
      <c r="BC61" s="31"/>
      <c r="BD61" s="31"/>
      <c r="BE61" s="30"/>
      <c r="BF61" s="30"/>
      <c r="BG61" s="30"/>
      <c r="BH61" s="30"/>
      <c r="BI61" s="31"/>
      <c r="BJ61" s="31"/>
      <c r="BK61" s="31"/>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0"/>
      <c r="CM61" s="30"/>
      <c r="CN61" s="30"/>
      <c r="CO61" s="30"/>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c r="DU61" s="31"/>
      <c r="DV61" s="30"/>
      <c r="DW61" s="30"/>
      <c r="DX61" s="30"/>
      <c r="DY61" s="31"/>
      <c r="DZ61" s="31"/>
      <c r="EA61" s="31"/>
      <c r="EB61" s="31"/>
      <c r="EC61" s="31"/>
      <c r="ED61" s="31"/>
      <c r="EE61" s="31"/>
      <c r="EF61" s="31"/>
      <c r="EG61" s="31"/>
      <c r="EH61" s="31"/>
      <c r="EI61" s="31"/>
      <c r="EJ61" s="31"/>
      <c r="EK61" s="31"/>
      <c r="EL61" s="31"/>
      <c r="EM61" s="31"/>
      <c r="EN61" s="31"/>
      <c r="EO61" s="31"/>
      <c r="EP61" s="31"/>
      <c r="EQ61" s="31"/>
      <c r="ER61" s="31"/>
      <c r="ES61" s="31"/>
      <c r="ET61" s="31"/>
      <c r="EU61" s="31"/>
      <c r="EV61" s="31"/>
      <c r="EW61" s="31"/>
      <c r="EX61" s="31"/>
      <c r="EY61" s="31"/>
      <c r="EZ61" s="31"/>
      <c r="FA61" s="31"/>
      <c r="FB61" s="30"/>
      <c r="FC61" s="30"/>
      <c r="FD61" s="30"/>
      <c r="FE61" s="31"/>
      <c r="FF61" s="31"/>
      <c r="FG61" s="31"/>
      <c r="FH61" s="31"/>
      <c r="FI61" s="31"/>
      <c r="FJ61" s="31"/>
      <c r="FK61" s="31"/>
      <c r="FL61" s="31"/>
      <c r="FM61" s="31"/>
      <c r="FN61" s="31"/>
      <c r="FO61" s="31"/>
      <c r="FP61" s="31"/>
      <c r="FQ61" s="31"/>
      <c r="FR61" s="31"/>
      <c r="FS61" s="31"/>
      <c r="FT61" s="31"/>
      <c r="FU61" s="31"/>
      <c r="FV61" s="31"/>
      <c r="FW61" s="31"/>
      <c r="FX61" s="31"/>
      <c r="FY61" s="31"/>
      <c r="FZ61" s="31"/>
      <c r="GA61" s="31"/>
      <c r="GB61" s="31"/>
      <c r="GC61" s="31"/>
      <c r="GD61" s="31"/>
      <c r="GE61" s="31"/>
      <c r="GF61" s="31"/>
      <c r="GG61" s="31"/>
      <c r="GH61" s="31"/>
      <c r="GI61" s="31"/>
      <c r="GJ61" s="31"/>
      <c r="GK61" s="30"/>
      <c r="GL61" s="30"/>
      <c r="GM61" s="30"/>
      <c r="GN61" s="31"/>
      <c r="GO61" s="31"/>
      <c r="GP61" s="31"/>
      <c r="GQ61" s="31"/>
      <c r="GR61" s="31"/>
      <c r="GS61" s="31"/>
      <c r="GT61" s="31"/>
      <c r="GU61" s="31"/>
      <c r="GV61" s="31"/>
      <c r="GW61" s="31"/>
      <c r="GX61" s="31"/>
      <c r="GY61" s="31"/>
      <c r="GZ61" s="31"/>
      <c r="HA61" s="31"/>
      <c r="HB61" s="31"/>
      <c r="HC61" s="31"/>
      <c r="HD61" s="31"/>
      <c r="HE61" s="31"/>
      <c r="HF61" s="31"/>
      <c r="HG61" s="31"/>
      <c r="HH61" s="31"/>
      <c r="HI61" s="31"/>
      <c r="HJ61" s="31"/>
      <c r="HK61" s="31"/>
      <c r="HL61" s="31"/>
      <c r="HM61" s="31"/>
      <c r="HN61" s="31"/>
      <c r="HO61" s="31"/>
      <c r="HP61" s="31"/>
      <c r="HQ61" s="30"/>
      <c r="HR61" s="30"/>
      <c r="HS61" s="30"/>
      <c r="HT61" s="30"/>
      <c r="HU61" s="31"/>
      <c r="HV61" s="31"/>
      <c r="HW61" s="31"/>
      <c r="HX61" s="31"/>
      <c r="HY61" s="31"/>
      <c r="HZ61" s="31"/>
      <c r="IA61" s="31"/>
      <c r="IB61" s="31"/>
      <c r="IC61" s="31"/>
      <c r="ID61" s="31"/>
      <c r="IE61" s="31"/>
      <c r="IF61" s="31"/>
      <c r="IG61" s="31"/>
      <c r="IH61" s="31"/>
      <c r="II61" s="31"/>
      <c r="IJ61" s="31"/>
      <c r="IK61" s="31"/>
      <c r="IL61" s="31"/>
      <c r="IM61" s="31"/>
      <c r="IN61" s="31"/>
      <c r="IO61" s="31"/>
      <c r="IP61" s="31"/>
      <c r="IQ61" s="31"/>
      <c r="IR61" s="31"/>
      <c r="IS61" s="31"/>
      <c r="IT61" s="31"/>
      <c r="IU61" s="31"/>
      <c r="IV61" s="31"/>
      <c r="IW61" s="31"/>
      <c r="IX61" s="31"/>
      <c r="IY61" s="31"/>
      <c r="IZ61" s="31"/>
      <c r="JA61" s="31"/>
      <c r="JB61" s="30"/>
      <c r="JC61" s="30"/>
      <c r="JD61" s="30"/>
      <c r="JE61" s="30"/>
      <c r="JF61" s="31"/>
      <c r="JG61" s="31"/>
      <c r="JH61" s="31"/>
      <c r="JI61" s="31"/>
      <c r="JJ61" s="31"/>
      <c r="JK61" s="31"/>
      <c r="JL61" s="31"/>
      <c r="JM61" s="31"/>
      <c r="JN61" s="31"/>
      <c r="JO61" s="31"/>
      <c r="JP61" s="31"/>
      <c r="JQ61" s="30"/>
      <c r="JR61" s="30"/>
      <c r="JS61" s="30"/>
      <c r="JT61" s="30"/>
      <c r="JU61" s="30"/>
      <c r="JV61" s="30"/>
      <c r="KB61" s="32"/>
      <c r="PA61" s="11"/>
    </row>
    <row r="62" spans="1:417" x14ac:dyDescent="0.25">
      <c r="A62" s="194"/>
      <c r="B62" s="194"/>
      <c r="C62" s="194"/>
      <c r="D62" s="194"/>
      <c r="E62" s="145">
        <v>1</v>
      </c>
      <c r="F62" s="145">
        <v>2</v>
      </c>
      <c r="G62" s="145">
        <v>3</v>
      </c>
      <c r="H62" s="145">
        <v>4</v>
      </c>
      <c r="I62" s="145">
        <v>5</v>
      </c>
      <c r="J62" s="145">
        <v>6</v>
      </c>
      <c r="K62" s="145">
        <v>7</v>
      </c>
      <c r="L62" s="145">
        <v>8</v>
      </c>
      <c r="M62" s="145">
        <v>9</v>
      </c>
      <c r="N62" s="145">
        <v>10</v>
      </c>
      <c r="O62" s="145">
        <v>11</v>
      </c>
      <c r="P62" s="145">
        <v>12</v>
      </c>
      <c r="Q62" s="145">
        <v>13</v>
      </c>
      <c r="R62" s="145">
        <v>14</v>
      </c>
      <c r="S62" s="145">
        <v>15</v>
      </c>
      <c r="T62" s="145">
        <v>16</v>
      </c>
      <c r="U62" s="145">
        <v>17</v>
      </c>
      <c r="V62" s="145">
        <v>18</v>
      </c>
      <c r="W62" s="145">
        <v>19</v>
      </c>
      <c r="X62" s="145">
        <v>20</v>
      </c>
      <c r="Y62" s="145">
        <v>21</v>
      </c>
      <c r="Z62" s="145">
        <v>22</v>
      </c>
      <c r="AA62" s="145">
        <v>23</v>
      </c>
      <c r="AB62" s="145">
        <v>24</v>
      </c>
      <c r="AC62" s="145">
        <v>25</v>
      </c>
      <c r="AD62" s="147">
        <v>26</v>
      </c>
      <c r="AE62" s="148">
        <v>27</v>
      </c>
      <c r="AF62" s="148">
        <v>28</v>
      </c>
      <c r="AG62" s="148">
        <v>29</v>
      </c>
      <c r="AH62" s="149">
        <v>30</v>
      </c>
      <c r="AI62" s="150">
        <v>31</v>
      </c>
      <c r="AJ62" s="151">
        <v>32</v>
      </c>
      <c r="AK62" s="578">
        <v>33</v>
      </c>
      <c r="AL62" s="152">
        <v>34</v>
      </c>
      <c r="AM62" s="145">
        <v>35</v>
      </c>
      <c r="AN62" s="145">
        <v>36</v>
      </c>
      <c r="AO62" s="145">
        <v>37</v>
      </c>
      <c r="AP62" s="145">
        <v>38</v>
      </c>
      <c r="AQ62" s="145">
        <v>39</v>
      </c>
      <c r="AR62" s="145">
        <v>40</v>
      </c>
      <c r="AS62" s="145">
        <v>41</v>
      </c>
      <c r="AT62" s="145">
        <v>42</v>
      </c>
      <c r="AU62" s="145">
        <v>43</v>
      </c>
      <c r="AV62" s="525">
        <v>44</v>
      </c>
      <c r="AW62" s="145">
        <v>45</v>
      </c>
      <c r="AX62" s="145">
        <v>46</v>
      </c>
      <c r="AY62" s="145">
        <v>47</v>
      </c>
      <c r="AZ62" s="145">
        <v>48</v>
      </c>
      <c r="BA62" s="145">
        <v>49</v>
      </c>
      <c r="BB62" s="145">
        <v>50</v>
      </c>
      <c r="BC62" s="145">
        <v>51</v>
      </c>
      <c r="BD62" s="145">
        <v>52</v>
      </c>
      <c r="BE62" s="145">
        <v>53</v>
      </c>
      <c r="BF62" s="145">
        <v>54</v>
      </c>
      <c r="BG62" s="145">
        <v>55</v>
      </c>
      <c r="BH62" s="145">
        <v>56</v>
      </c>
      <c r="BI62" s="145">
        <v>57</v>
      </c>
      <c r="BJ62" s="145">
        <v>58</v>
      </c>
      <c r="BK62" s="145">
        <v>59</v>
      </c>
      <c r="BL62" s="145">
        <v>60</v>
      </c>
      <c r="BM62" s="145">
        <v>61</v>
      </c>
      <c r="BN62" s="145">
        <v>62</v>
      </c>
      <c r="BO62" s="145">
        <v>63</v>
      </c>
      <c r="BP62" s="147">
        <v>64</v>
      </c>
      <c r="BQ62" s="148">
        <v>65</v>
      </c>
      <c r="BR62" s="148">
        <v>66</v>
      </c>
      <c r="BS62" s="148">
        <v>67</v>
      </c>
      <c r="BT62" s="148">
        <v>68</v>
      </c>
      <c r="BU62" s="148">
        <v>69</v>
      </c>
      <c r="BV62" s="151">
        <v>70</v>
      </c>
      <c r="BW62" s="151">
        <v>71</v>
      </c>
      <c r="BX62" s="151">
        <v>72</v>
      </c>
      <c r="BY62" s="151">
        <v>73</v>
      </c>
      <c r="BZ62" s="152">
        <v>74</v>
      </c>
      <c r="CA62" s="145">
        <v>75</v>
      </c>
      <c r="CB62" s="145">
        <v>76</v>
      </c>
      <c r="CC62" s="145">
        <v>77</v>
      </c>
      <c r="CD62" s="145">
        <v>78</v>
      </c>
      <c r="CE62" s="145">
        <v>79</v>
      </c>
      <c r="CF62" s="145">
        <v>80</v>
      </c>
      <c r="CG62" s="145">
        <v>81</v>
      </c>
      <c r="CH62" s="145">
        <v>82</v>
      </c>
      <c r="CI62" s="145">
        <v>83</v>
      </c>
      <c r="CJ62" s="145">
        <v>84</v>
      </c>
      <c r="CK62" s="145">
        <v>85</v>
      </c>
      <c r="CL62" s="145">
        <v>86</v>
      </c>
      <c r="CM62" s="525">
        <v>87</v>
      </c>
      <c r="CN62" s="145">
        <v>88</v>
      </c>
      <c r="CO62" s="145">
        <v>89</v>
      </c>
      <c r="CP62" s="145">
        <v>90</v>
      </c>
      <c r="CQ62" s="145">
        <v>91</v>
      </c>
      <c r="CR62" s="145">
        <v>92</v>
      </c>
      <c r="CS62" s="145">
        <v>93</v>
      </c>
      <c r="CT62" s="145">
        <v>94</v>
      </c>
      <c r="CU62" s="145">
        <v>95</v>
      </c>
      <c r="CV62" s="145">
        <v>96</v>
      </c>
      <c r="CW62" s="145">
        <v>97</v>
      </c>
      <c r="CX62" s="17"/>
      <c r="CY62" s="17"/>
      <c r="CZ62" s="17"/>
      <c r="DA62" s="17"/>
      <c r="ET62" s="17"/>
      <c r="EU62" s="17"/>
      <c r="EV62" s="17"/>
      <c r="EW62" s="17"/>
      <c r="EX62" s="17"/>
      <c r="EY62" s="17"/>
      <c r="EZ62" s="17"/>
      <c r="FA62" s="17"/>
      <c r="FB62" s="17"/>
      <c r="FC62" s="17"/>
      <c r="FD62" s="17"/>
      <c r="FE62" s="17"/>
      <c r="FF62" s="17"/>
      <c r="FG62" s="17"/>
      <c r="FH62" s="17"/>
      <c r="FI62" s="17"/>
      <c r="FJ62" s="17"/>
      <c r="FK62" s="17"/>
      <c r="FL62" s="17"/>
      <c r="FM62" s="17"/>
      <c r="FN62" s="17"/>
      <c r="FO62" s="17"/>
      <c r="FP62" s="17"/>
      <c r="FQ62" s="17"/>
      <c r="FR62" s="17"/>
      <c r="FS62" s="17"/>
      <c r="FT62" s="17"/>
      <c r="FU62" s="17"/>
      <c r="FV62" s="17"/>
      <c r="FW62" s="17"/>
      <c r="FX62" s="17"/>
      <c r="FY62" s="17"/>
      <c r="FZ62" s="17"/>
      <c r="GA62" s="17"/>
      <c r="GB62" s="17"/>
      <c r="GC62" s="17"/>
      <c r="GD62" s="17"/>
      <c r="GE62" s="17"/>
      <c r="GF62" s="17"/>
      <c r="GG62" s="17"/>
      <c r="GH62" s="17"/>
      <c r="GI62" s="17"/>
      <c r="GJ62" s="17"/>
      <c r="GK62" s="17"/>
      <c r="GL62" s="17"/>
      <c r="GM62" s="17"/>
      <c r="GN62" s="17"/>
      <c r="GO62" s="17"/>
      <c r="GP62" s="17"/>
      <c r="GQ62" s="17"/>
      <c r="GR62" s="17"/>
      <c r="GS62" s="17"/>
      <c r="GT62" s="17"/>
      <c r="GU62" s="17"/>
      <c r="GV62" s="17"/>
      <c r="GW62" s="17"/>
      <c r="GX62" s="17"/>
      <c r="GY62" s="17"/>
      <c r="GZ62" s="17"/>
      <c r="HA62" s="17"/>
      <c r="HB62" s="17"/>
      <c r="HC62" s="17"/>
      <c r="HD62" s="17"/>
      <c r="HE62" s="17"/>
      <c r="HF62" s="17"/>
      <c r="HG62" s="17"/>
      <c r="HH62" s="17"/>
      <c r="HI62" s="17"/>
      <c r="HJ62" s="17"/>
      <c r="HK62" s="17"/>
      <c r="HL62" s="17"/>
      <c r="HM62" s="17"/>
      <c r="HN62" s="17"/>
      <c r="HO62" s="17"/>
      <c r="HP62" s="17"/>
      <c r="HQ62" s="17"/>
      <c r="HR62" s="17"/>
      <c r="HS62" s="17"/>
      <c r="HT62" s="17"/>
      <c r="HU62" s="17"/>
      <c r="HV62" s="17"/>
      <c r="HW62" s="17"/>
      <c r="HX62" s="17"/>
      <c r="HY62" s="17"/>
      <c r="HZ62" s="17"/>
      <c r="IA62" s="17"/>
      <c r="IB62" s="17"/>
      <c r="IC62" s="17"/>
      <c r="ID62" s="17"/>
      <c r="IE62" s="17"/>
      <c r="IF62" s="17"/>
      <c r="IG62" s="17"/>
      <c r="IH62" s="17"/>
      <c r="II62" s="17"/>
      <c r="IJ62" s="17"/>
      <c r="IK62" s="17"/>
      <c r="IL62" s="17"/>
      <c r="IM62" s="17"/>
      <c r="IN62" s="17"/>
      <c r="IO62" s="17"/>
      <c r="IP62" s="17"/>
      <c r="IQ62" s="17"/>
      <c r="IR62" s="17"/>
      <c r="IS62" s="17"/>
      <c r="IT62" s="17"/>
      <c r="IU62" s="17"/>
      <c r="IV62" s="17"/>
      <c r="IW62" s="17"/>
      <c r="IX62" s="17"/>
      <c r="IY62" s="17"/>
      <c r="IZ62" s="17"/>
      <c r="JA62" s="17"/>
      <c r="JB62" s="17"/>
      <c r="JC62" s="17"/>
      <c r="JD62" s="17"/>
      <c r="JE62" s="17"/>
      <c r="JF62" s="17"/>
      <c r="JG62" s="17"/>
      <c r="JH62" s="17"/>
      <c r="JI62" s="17"/>
      <c r="JJ62" s="17"/>
      <c r="JK62" s="17"/>
      <c r="JL62" s="17"/>
      <c r="JM62" s="17"/>
      <c r="JN62" s="17"/>
      <c r="JO62" s="17"/>
      <c r="JP62" s="17"/>
      <c r="JQ62" s="17"/>
      <c r="JR62" s="17"/>
      <c r="JS62" s="17"/>
      <c r="JT62" s="17"/>
      <c r="JU62" s="17"/>
      <c r="JV62" s="17"/>
      <c r="JW62" s="17"/>
      <c r="JX62" s="17"/>
      <c r="JY62" s="17"/>
      <c r="JZ62" s="17"/>
      <c r="KA62" s="17"/>
      <c r="KB62" s="17"/>
      <c r="KC62" s="17"/>
      <c r="KD62" s="17"/>
      <c r="KE62" s="17"/>
      <c r="KF62" s="17"/>
      <c r="KG62" s="17"/>
      <c r="KH62" s="32"/>
      <c r="PA62" s="11"/>
    </row>
    <row r="63" spans="1:417" x14ac:dyDescent="0.25">
      <c r="A63" s="105"/>
      <c r="B63" s="105"/>
      <c r="C63" s="105"/>
      <c r="D63" s="195"/>
      <c r="E63" s="533">
        <f>SUM(E41,E47,E53,E59)</f>
        <v>20</v>
      </c>
      <c r="F63" s="534">
        <f>SUM(K41,K47,K53,K59)</f>
        <v>25</v>
      </c>
      <c r="G63" s="534">
        <f>SUM(Q41,Q47,Q53,Q59)</f>
        <v>1</v>
      </c>
      <c r="H63" s="534">
        <f>SUM(V41,V47,V53,V59)</f>
        <v>20</v>
      </c>
      <c r="I63" s="534">
        <f>SUM(Z41,Z47,Z53,Z59)</f>
        <v>9</v>
      </c>
      <c r="J63" s="534">
        <f>SUM(AE41,AE47,AE53,AE59)</f>
        <v>8</v>
      </c>
      <c r="K63" s="534">
        <f>SUM(AI41,AI47,AI53,AI59)</f>
        <v>3</v>
      </c>
      <c r="L63" s="534">
        <f>SUM(AL41,AL47,AL53,AL59)</f>
        <v>2</v>
      </c>
      <c r="M63" s="534">
        <f>SUM(AP41,AP47,AP53,AP59)</f>
        <v>5</v>
      </c>
      <c r="N63" s="534">
        <f>SUM(AU41,AU47,AU53,AU59)</f>
        <v>15</v>
      </c>
      <c r="O63" s="534">
        <f>SUM(AY41,AY47,AY53,AY59)</f>
        <v>16</v>
      </c>
      <c r="P63" s="534">
        <f>SUM(BB41,BB47,BB53,BB59)</f>
        <v>20</v>
      </c>
      <c r="Q63" s="534">
        <f>SUM(BD41,BD47,BD53,BD59)</f>
        <v>13</v>
      </c>
      <c r="R63" s="534">
        <f>SUM(BG41,BG47,BG53,BG59)</f>
        <v>8</v>
      </c>
      <c r="S63" s="534">
        <f>SUM(BK41,BK47,BK53,BK59)</f>
        <v>14</v>
      </c>
      <c r="T63" s="534">
        <f>SUM(BN41,BN47,BN53,BN59)</f>
        <v>5</v>
      </c>
      <c r="U63" s="534">
        <f>SUM(BR41,BR47,BR53,BR59)</f>
        <v>20</v>
      </c>
      <c r="V63" s="534">
        <f>SUM(BW41,BW47,BW53,BW59)</f>
        <v>5</v>
      </c>
      <c r="W63" s="534">
        <f>SUM(CA41,CA47,CA53,CA59)</f>
        <v>18</v>
      </c>
      <c r="X63" s="534">
        <f>SUM(CD41,CD47,CD53,CD59)</f>
        <v>20</v>
      </c>
      <c r="Y63" s="534">
        <f>SUM(CF41,CF47,CF53,CF59)</f>
        <v>5</v>
      </c>
      <c r="Z63" s="534">
        <f>SUM(CI41,CI47,CI53,CI59)</f>
        <v>20</v>
      </c>
      <c r="AA63" s="535">
        <f>SUM(CK41,CK47,CK53,CK59)</f>
        <v>21</v>
      </c>
      <c r="AB63" s="536">
        <f>SUM(CL1,CL47,CL53,CL59)</f>
        <v>0</v>
      </c>
      <c r="AC63" s="537">
        <f>SUM(CN41,CN47,CN53,CN59)</f>
        <v>9</v>
      </c>
      <c r="AD63" s="538">
        <f>SUM(CQ41,CQ47,CQ53,CQ59)</f>
        <v>1</v>
      </c>
      <c r="AE63" s="534">
        <f>SUM(CU41,CU47,CU53,CU59)</f>
        <v>5</v>
      </c>
      <c r="AF63" s="534">
        <f>SUM(CX41,CX47,CX53,CX59)</f>
        <v>12</v>
      </c>
      <c r="AG63" s="534">
        <f>SUM(CZ41,CZ47,CZ53,CZ59)</f>
        <v>5</v>
      </c>
      <c r="AH63" s="534">
        <f>SUM(DC41,DC47,DC53,DC59)</f>
        <v>7</v>
      </c>
      <c r="AI63" s="534">
        <f>SUM(DG41,DG47,DG53,DG59)</f>
        <v>13</v>
      </c>
      <c r="AJ63" s="534">
        <f>SUM(DJ41,DJ47,DJ53,DJ59)</f>
        <v>1</v>
      </c>
      <c r="AK63" s="539">
        <f>SUM(DN41,DN47,DN53,DN59)</f>
        <v>5</v>
      </c>
      <c r="AL63" s="540">
        <f>SUM(DS41,DSF47,DS53,DS59)</f>
        <v>16</v>
      </c>
      <c r="AM63" s="541">
        <f>SUM(DW41,DW47,DW53,DW59)</f>
        <v>20</v>
      </c>
      <c r="AN63" s="534">
        <f>SUM(DZ41,DZ47,DZ53,DZ59)</f>
        <v>5</v>
      </c>
      <c r="AO63" s="534">
        <f>SUM(EB41,EB47,EB53,EB59)</f>
        <v>3</v>
      </c>
      <c r="AP63" s="534">
        <f>SUM(EE41,EE47,EE53,EE59)</f>
        <v>20</v>
      </c>
      <c r="AQ63" s="534">
        <f>SUM(EG41,EG47,EG53,EG59)</f>
        <v>14</v>
      </c>
      <c r="AR63" s="534">
        <f>SUM(EH41,EH47,EH53,EH59)</f>
        <v>5</v>
      </c>
      <c r="AS63" s="542">
        <f>SUM(EJ41,EJ47,EJ53,EJ59)</f>
        <v>8</v>
      </c>
      <c r="AT63" s="542">
        <f>SUM(EM41,EM47,EM53,EM59)</f>
        <v>5</v>
      </c>
      <c r="AU63" s="543">
        <f>SUM(EO41,EO47,EO53,EO59)</f>
        <v>25</v>
      </c>
      <c r="AV63" s="544">
        <f>SUM(EP41,EP47,EP53,EP59)</f>
        <v>0</v>
      </c>
      <c r="AW63" s="545">
        <f>SUM(EQ41,EQ47,EQ53,EQ59)</f>
        <v>15</v>
      </c>
      <c r="AX63" s="534">
        <f>SUM(ER41,ER47,ER53,ER59)</f>
        <v>9</v>
      </c>
      <c r="AY63" s="534">
        <f>SUM(ET41,ET47,ET53,ET59)</f>
        <v>1</v>
      </c>
      <c r="AZ63" s="534">
        <f>SUM(EU41,EU47,EU53,EU59)</f>
        <v>8</v>
      </c>
      <c r="BA63" s="534">
        <f>SUM(EW41,EW47,EW53,EW59)</f>
        <v>5</v>
      </c>
      <c r="BB63" s="534">
        <f>SUM(EZ41,EZ47,EZ53,EZ59)</f>
        <v>20</v>
      </c>
      <c r="BC63" s="534">
        <f>SUM(FD41,FD47,FD53,FD59)</f>
        <v>12</v>
      </c>
      <c r="BD63" s="534">
        <f>SUM(FG41,FG47,FG53,FG59)</f>
        <v>20</v>
      </c>
      <c r="BE63" s="534">
        <f>SUM(FI41,FI47,FI53,FI59)</f>
        <v>15</v>
      </c>
      <c r="BF63" s="534">
        <f>SUM(FL41,FL47,FL53,FL59)</f>
        <v>8</v>
      </c>
      <c r="BG63" s="534">
        <f>SUM(FN41,FN47,FN53,FN59)</f>
        <v>20</v>
      </c>
      <c r="BH63" s="534">
        <f>SUM(FO41,FO47,FO53,FO59)</f>
        <v>5</v>
      </c>
      <c r="BI63" s="534">
        <f>SUM(FQ41,FQ47,FQ53,FQ59)</f>
        <v>4</v>
      </c>
      <c r="BJ63" s="534">
        <f>SUM(FT41,FT47,FT53,FT59)</f>
        <v>14</v>
      </c>
      <c r="BK63" s="534">
        <f>SUM(FX41,FX47,FX53,FX59)</f>
        <v>8</v>
      </c>
      <c r="BL63" s="534">
        <f>SUM(GA41,GA47,GA53,GA59)</f>
        <v>14</v>
      </c>
      <c r="BM63" s="534">
        <f>SUM(GC41,GC47,GC53,GC59)</f>
        <v>5</v>
      </c>
      <c r="BN63" s="534">
        <f>SUM(GF41,GF47,GF53,GF59)</f>
        <v>4</v>
      </c>
      <c r="BO63" s="546">
        <f>SUM(GJ41,GJ47,GJ53,GJ59)</f>
        <v>13</v>
      </c>
      <c r="BP63" s="547">
        <f>SUM(GM41,GM47,GM53,GM59)</f>
        <v>1</v>
      </c>
      <c r="BQ63" s="548">
        <f>SUM(GQ41,GQ47,GQ53,GQ59)</f>
        <v>9</v>
      </c>
      <c r="BR63" s="548">
        <f>SUM(GV41,GV47,GV53,GV59)</f>
        <v>12</v>
      </c>
      <c r="BS63" s="548">
        <f>SUM(HA41,HA47,HA53,HA59)</f>
        <v>19</v>
      </c>
      <c r="BT63" s="548">
        <f>SUM(HE41,HE47,HE53,HE59)</f>
        <v>1</v>
      </c>
      <c r="BU63" s="548">
        <f>SUM(HH41,HH47,HH53,HH59)</f>
        <v>8</v>
      </c>
      <c r="BV63" s="549">
        <f>SUM(HL41,HL47,HL53,HL59)</f>
        <v>7</v>
      </c>
      <c r="BW63" s="549">
        <f>SUM(HO41,HO47,HO53,HO59)</f>
        <v>16</v>
      </c>
      <c r="BX63" s="548">
        <f>SUM(HQ41,HQ47,HQ53,HQ59)</f>
        <v>5</v>
      </c>
      <c r="BY63" s="549">
        <f>SUM(HT41,HT47,HT53,HT59)</f>
        <v>24</v>
      </c>
      <c r="BZ63" s="546">
        <f>SUM(HX41,HX47,HX53,HX59)</f>
        <v>19</v>
      </c>
      <c r="CA63" s="538">
        <f>SUM(IA41,IA47,IA53,IA59)</f>
        <v>19</v>
      </c>
      <c r="CB63" s="534">
        <f>SUM(IC41,IC47,IC53,IC59)</f>
        <v>15</v>
      </c>
      <c r="CC63" s="534">
        <f>SUM(ID41,ID47,ID53,ID59)</f>
        <v>14</v>
      </c>
      <c r="CD63" s="534">
        <f>SUM(IF41,IF47,IF53,IF59)</f>
        <v>12</v>
      </c>
      <c r="CE63" s="542">
        <f>SUM(II41,II47,II53,II59)</f>
        <v>12</v>
      </c>
      <c r="CF63" s="542">
        <f>SUM(IK41,IK47,IK53,IK59)</f>
        <v>4</v>
      </c>
      <c r="CG63" s="534">
        <f>SUM(IN41,IN47,IN53,IN59)</f>
        <v>25</v>
      </c>
      <c r="CH63" s="550">
        <f>SUM(IR41,IR47,IR53,IR59)</f>
        <v>20</v>
      </c>
      <c r="CI63" s="539">
        <f>SUM(IU41,IU47,IU53,IU59)</f>
        <v>1</v>
      </c>
      <c r="CJ63" s="539">
        <f>SUM(IW41,IW47,IW53,IW59)</f>
        <v>1</v>
      </c>
      <c r="CK63" s="539">
        <f>SUM(IX41,IX47,IX53,IX59)</f>
        <v>14</v>
      </c>
      <c r="CL63" s="545">
        <f>SUM(IZ41,IZ47,IZ53,IZ59)</f>
        <v>19</v>
      </c>
      <c r="CM63" s="544">
        <f>SUM(JA41,JA47,JA53,JA59)</f>
        <v>0</v>
      </c>
      <c r="CN63" s="535">
        <f>SUM(JB41,JB47,JB53,JB59)</f>
        <v>25</v>
      </c>
      <c r="CO63" s="539">
        <f>SUM(JC41,JC47,JC53,JC59)</f>
        <v>4</v>
      </c>
      <c r="CP63" s="539">
        <f>SUM(JE41,JE47,JE53,JE59)</f>
        <v>2</v>
      </c>
      <c r="CQ63" s="539">
        <f>SUM(JH41,JH47,JH53,JH59)</f>
        <v>5</v>
      </c>
      <c r="CR63" s="539">
        <f>SUM(JJ41,JJ47,JJ53,JJ59)</f>
        <v>16</v>
      </c>
      <c r="CS63" s="539">
        <f>SUM(JK41,JK47,JK53,JK59)</f>
        <v>3</v>
      </c>
      <c r="CT63" s="539">
        <f>SUM(JM41,JM47,JM53,JM59)</f>
        <v>5</v>
      </c>
      <c r="CU63" s="539">
        <f>SUM(JP41,JP47,JP53,JP59)</f>
        <v>19</v>
      </c>
      <c r="CV63" s="539">
        <f>SUM(JR41,JR47,JR53,JR59)</f>
        <v>14</v>
      </c>
      <c r="CW63" s="585">
        <f>SUM(JU41,JU47,JU53,JU59)</f>
        <v>18</v>
      </c>
      <c r="IG63" s="32"/>
      <c r="PA63" s="11"/>
    </row>
    <row r="64" spans="1:417" x14ac:dyDescent="0.25">
      <c r="A64" s="105"/>
      <c r="B64" s="105"/>
      <c r="C64" s="105"/>
      <c r="D64" s="195"/>
      <c r="E64" s="551">
        <f>SUM(F41,F47,F53,F59)</f>
        <v>9</v>
      </c>
      <c r="F64" s="542">
        <f>SUM(L41,L47,L53,L59)</f>
        <v>18</v>
      </c>
      <c r="G64" s="542">
        <f>SUM(R41,R47,R53,R59)</f>
        <v>5</v>
      </c>
      <c r="H64" s="542">
        <f>SUM(W41,W47,W53,W59)</f>
        <v>9</v>
      </c>
      <c r="I64" s="542">
        <f>SUM(AA41,AA47,AA53,AA59)</f>
        <v>5</v>
      </c>
      <c r="J64" s="542">
        <f>SUM(AF41,AF47,AF53,AF59)</f>
        <v>4</v>
      </c>
      <c r="K64" s="542">
        <f>SUM(AJ41,AJ47,AJ53,AJ59)</f>
        <v>5</v>
      </c>
      <c r="L64" s="542">
        <f>SUM(AM41,AM47,AM53,AM59)</f>
        <v>5</v>
      </c>
      <c r="M64" s="542">
        <f>SUM(AQ41,AQ47,AQ53,AQ59)</f>
        <v>9</v>
      </c>
      <c r="N64" s="542">
        <f>SUM(AV41,AV47,AV53,AV59)</f>
        <v>18</v>
      </c>
      <c r="O64" s="542">
        <f>SUM(AZ41,AZ47,AZ53,AZ59)</f>
        <v>23</v>
      </c>
      <c r="P64" s="542">
        <f>SUM(BC41,BC47,BC53,BC59)</f>
        <v>19</v>
      </c>
      <c r="Q64" s="542">
        <f>SUM(BE41,BE47,BE53,BE59)</f>
        <v>20</v>
      </c>
      <c r="R64" s="542">
        <f>SUM(BH41,BH47,BH53,BH59)</f>
        <v>1</v>
      </c>
      <c r="S64" s="542">
        <f>SUM(BL41,BL47,BL53,BL59)</f>
        <v>4</v>
      </c>
      <c r="T64" s="542">
        <f>SUM(BO41,BO47,BO53,BO59)</f>
        <v>19</v>
      </c>
      <c r="U64" s="542">
        <f>SUM(BS41,BS47,BS53,BS59)</f>
        <v>18</v>
      </c>
      <c r="V64" s="542">
        <f>SUM(BX41,BX47,BX53,BX59)</f>
        <v>5</v>
      </c>
      <c r="W64" s="542">
        <f>SUM(CB41,CB47,CB53,CB59)</f>
        <v>1</v>
      </c>
      <c r="X64" s="542">
        <f>SUM(CE41,CE47,CE53,CE59)</f>
        <v>15</v>
      </c>
      <c r="Y64" s="542">
        <f>SUM(CG41,CG47,CG53,CG59)</f>
        <v>1</v>
      </c>
      <c r="Z64" s="542">
        <f>SUM(CJ41,CJ47,CJ53,CJ59)</f>
        <v>5</v>
      </c>
      <c r="AA64" s="567"/>
      <c r="AB64" s="553">
        <f>SUM(CM41,CM47,CM53,CM59)</f>
        <v>15</v>
      </c>
      <c r="AC64" s="554">
        <f>SUM(CO41,CO47,CO53,CO59)</f>
        <v>6</v>
      </c>
      <c r="AD64" s="555">
        <f>SUM(CR41,CR47,CR53,CR59)</f>
        <v>15</v>
      </c>
      <c r="AE64" s="542">
        <f>SUM(CV41,CV47,CV53,CV59)</f>
        <v>20</v>
      </c>
      <c r="AF64" s="542">
        <f>SUM(CY41,CY47,CY53,CY59)</f>
        <v>18</v>
      </c>
      <c r="AG64" s="542">
        <f>SUM(DA41,DA47,DA53,DA59)</f>
        <v>5</v>
      </c>
      <c r="AH64" s="542">
        <f>SUM(DD41,DD47,DD53,DD59)</f>
        <v>5</v>
      </c>
      <c r="AI64" s="542">
        <f>SUM(DH41,DH47,DH53,DH59)</f>
        <v>1</v>
      </c>
      <c r="AJ64" s="542">
        <f>SUM(DK41,DK47,DK53,DK59)</f>
        <v>14</v>
      </c>
      <c r="AK64" s="556">
        <f>SUM(DO41,DO47,DO53,DO59)</f>
        <v>8</v>
      </c>
      <c r="AL64" s="557">
        <f>SUM(DT41,DT47,DT53,DT59)</f>
        <v>19</v>
      </c>
      <c r="AM64" s="558">
        <f>SUM(DX41,DX47,DX53,DX59)</f>
        <v>6</v>
      </c>
      <c r="AN64" s="542">
        <f>SUM(EA41,EA47,EA53,EA59)</f>
        <v>18</v>
      </c>
      <c r="AO64" s="542">
        <f>SUM(EC41,EC47,EC53,EC59)</f>
        <v>25</v>
      </c>
      <c r="AP64" s="556">
        <f>SUM(EF41,EF47,EF53,EF59)</f>
        <v>3</v>
      </c>
      <c r="AQ64" s="567"/>
      <c r="AR64" s="556">
        <f>SUM(EI41,EI47,EI53,EI59)</f>
        <v>5</v>
      </c>
      <c r="AS64" s="556">
        <f>SUM(EK41,EK47,EK53,EK59)</f>
        <v>17</v>
      </c>
      <c r="AT64" s="556">
        <f>SUM(EN41,EN47,EN53,EN59)</f>
        <v>20</v>
      </c>
      <c r="AU64" s="567"/>
      <c r="AV64" s="559"/>
      <c r="AW64" s="567"/>
      <c r="AX64" s="542">
        <f>SUM(ES41,ES47,ES53,ES59)</f>
        <v>5</v>
      </c>
      <c r="AY64" s="567"/>
      <c r="AZ64" s="542">
        <f>SUM(EV41,EV47,EV53,EV59)</f>
        <v>14</v>
      </c>
      <c r="BA64" s="542">
        <f>SUM(EX41,EX47,EX53,EX59)</f>
        <v>23</v>
      </c>
      <c r="BB64" s="542">
        <f>SUM(FA41,FA47,FA53,FA59)</f>
        <v>4</v>
      </c>
      <c r="BC64" s="542">
        <f>SUM(FE41,FE47,FE53,FE59)</f>
        <v>15</v>
      </c>
      <c r="BD64" s="542">
        <f>SUM(FH41,FH47,FH53,FH59)</f>
        <v>5</v>
      </c>
      <c r="BE64" s="542">
        <f>SUM(FJ41,FJ47,FJ53,FJ59)</f>
        <v>5</v>
      </c>
      <c r="BF64" s="542">
        <f>SUM(FM41,FM47,FM53,FM59)</f>
        <v>14</v>
      </c>
      <c r="BG64" s="567"/>
      <c r="BH64" s="542">
        <f>SUM(FP41,FP47,FP53,FP59)</f>
        <v>18</v>
      </c>
      <c r="BI64" s="542">
        <f>SUM(FR41,FR47,FR53,FR59)</f>
        <v>21</v>
      </c>
      <c r="BJ64" s="542">
        <f>SUM(FU41,FU47,FU53,FU59)</f>
        <v>5</v>
      </c>
      <c r="BK64" s="542">
        <f>SUM(FY41,FY47,FY53,FY59)</f>
        <v>1</v>
      </c>
      <c r="BL64" s="542">
        <f>SUM(GB41,GB47,GB53,GB59)</f>
        <v>5</v>
      </c>
      <c r="BM64" s="542">
        <f>SUM(GD41,GD47,GD53,GD59)</f>
        <v>20</v>
      </c>
      <c r="BN64" s="542">
        <f>SUM(GG41,GG47,GG53,GG59)</f>
        <v>14</v>
      </c>
      <c r="BO64" s="560">
        <f>SUM(GK41,GK47,GK53,GK59)</f>
        <v>23</v>
      </c>
      <c r="BP64" s="561">
        <f>SUM(GN41,GN47,GN53,GN59)</f>
        <v>3</v>
      </c>
      <c r="BQ64" s="562">
        <f>SUM(GR41,GR47,GR53,GR59)</f>
        <v>16</v>
      </c>
      <c r="BR64" s="562">
        <f>SUM(GW41,GW47,GW53,GW59)</f>
        <v>5</v>
      </c>
      <c r="BS64" s="563">
        <f>SUM(HB41,HB47,HB53,HB59)</f>
        <v>5</v>
      </c>
      <c r="BT64" s="563">
        <f>SUM(HF41,HF47,HF53,HF59)</f>
        <v>18</v>
      </c>
      <c r="BU64" s="564">
        <f>SUM(HI41,HI47,HI53,HI59)</f>
        <v>9</v>
      </c>
      <c r="BV64" s="562">
        <f>SUM(HM41,HM47,HM53,HM59)</f>
        <v>14</v>
      </c>
      <c r="BW64" s="562">
        <f>SUM(HP41,HP47,HP53,HP59)</f>
        <v>20</v>
      </c>
      <c r="BX64" s="565">
        <f>SUM(HR41,HR47,HR53,HR59)</f>
        <v>14</v>
      </c>
      <c r="BY64" s="562">
        <f>SUM(HU41,HU47,HU53,HU59)</f>
        <v>23</v>
      </c>
      <c r="BZ64" s="560">
        <f>SUM(HY41,HY47,HY53,HY59)</f>
        <v>15</v>
      </c>
      <c r="CA64" s="555">
        <f>SUM(IB41,IB47,IB53,IB59)</f>
        <v>8</v>
      </c>
      <c r="CB64" s="567"/>
      <c r="CC64" s="542">
        <f>SUM(IE41,IE47,IE53,IE59)</f>
        <v>12</v>
      </c>
      <c r="CD64" s="542">
        <f>SUM(IG41,IG47,IG53,IG59)</f>
        <v>19</v>
      </c>
      <c r="CE64" s="534">
        <f>SUM(IJ41,IJ47,IJ53,IJ59)</f>
        <v>19</v>
      </c>
      <c r="CF64" s="534">
        <f>SUM(IL41,IL47,IL53,IL59)</f>
        <v>12</v>
      </c>
      <c r="CG64" s="542">
        <f>SUM(IO41,IO47,IO53,IO59)</f>
        <v>5</v>
      </c>
      <c r="CH64" s="566">
        <f>SUM(IS41,IS47,IS53,IS59)</f>
        <v>8</v>
      </c>
      <c r="CI64" s="556">
        <f>SUM(IV41,IV47,IV53,IV59)</f>
        <v>9</v>
      </c>
      <c r="CJ64" s="567"/>
      <c r="CK64" s="556">
        <f>SUM(IY41,IY47,IY53,IY59)</f>
        <v>8</v>
      </c>
      <c r="CL64" s="567"/>
      <c r="CM64" s="559"/>
      <c r="CN64" s="567"/>
      <c r="CO64" s="556">
        <f>SUM(JD41,JD47,JD53,JD59)</f>
        <v>9</v>
      </c>
      <c r="CP64" s="556">
        <f>SUM(JF41,JF47,JF53,JF59)</f>
        <v>9</v>
      </c>
      <c r="CQ64" s="556">
        <f>SUM(JI41,JI47,JI53,JI59)</f>
        <v>20</v>
      </c>
      <c r="CR64" s="567"/>
      <c r="CS64" s="556">
        <f>SUM(JL41,JL47,JL53,JL59)</f>
        <v>15</v>
      </c>
      <c r="CT64" s="556">
        <f>SUM(JN41,JN47,JN53,JN59)</f>
        <v>8</v>
      </c>
      <c r="CU64" s="556">
        <f>SUM(JQ41,JQ47,JQ53,JQ59)</f>
        <v>12</v>
      </c>
      <c r="CV64" s="556">
        <f>SUM(JS41,JS47,JS53,JS59)</f>
        <v>8</v>
      </c>
      <c r="CW64" s="586">
        <f>SUM(JV41,JV47,JV53,JV59)</f>
        <v>8</v>
      </c>
      <c r="IG64" s="32"/>
      <c r="PA64" s="11"/>
    </row>
    <row r="65" spans="1:417" x14ac:dyDescent="0.25">
      <c r="A65" s="105"/>
      <c r="B65" s="105"/>
      <c r="C65" s="105"/>
      <c r="D65" s="195"/>
      <c r="E65" s="551">
        <f>SUM(G41,G47,G53,G59)</f>
        <v>18</v>
      </c>
      <c r="F65" s="542">
        <f>SUM(M41,M47,M53,M59)</f>
        <v>4</v>
      </c>
      <c r="G65" s="542">
        <f>SUM(S41,S47,S53,S59)</f>
        <v>15</v>
      </c>
      <c r="H65" s="542">
        <f>SUM(X41,X47,X53,X59)</f>
        <v>19</v>
      </c>
      <c r="I65" s="542">
        <f>SUM(AB41,AB47,AB53,AB59)</f>
        <v>3</v>
      </c>
      <c r="J65" s="542">
        <f>SUM(AG41,AG47,AG53,AG59)</f>
        <v>4</v>
      </c>
      <c r="K65" s="542">
        <f>SUM(AK41,AK47,AK53,AK59)</f>
        <v>1</v>
      </c>
      <c r="L65" s="542">
        <f>SUM(AN41,AN47,AN53,AN59)</f>
        <v>6</v>
      </c>
      <c r="M65" s="542">
        <f>SUM(AR41,AR47,AR53,AR59)</f>
        <v>18</v>
      </c>
      <c r="N65" s="542">
        <f>SUM(AW41,AW47,AW53,AW59)</f>
        <v>5</v>
      </c>
      <c r="O65" s="542">
        <f>SUM(BA41,BA47,BA53,BA59)</f>
        <v>5</v>
      </c>
      <c r="P65" s="567"/>
      <c r="Q65" s="542">
        <f>SUM(BF41,BF47,BF53,BF59)</f>
        <v>20</v>
      </c>
      <c r="R65" s="542">
        <f>SUM(BI41,BI47,BI53,BI59)</f>
        <v>1</v>
      </c>
      <c r="S65" s="542">
        <f>SUM(BM41,BM47,BM53,BM59)</f>
        <v>4</v>
      </c>
      <c r="T65" s="542">
        <f>SUM(BP41,BP47,BP53,BP59)</f>
        <v>2</v>
      </c>
      <c r="U65" s="542">
        <f>SUM(BT41,BT47,BT53,BT59)</f>
        <v>14</v>
      </c>
      <c r="V65" s="542">
        <f>SUM(BY41,BY47,BY53,BY59)</f>
        <v>1</v>
      </c>
      <c r="W65" s="542">
        <f>SUM(CC41,CC47,CC53,CC59)</f>
        <v>15</v>
      </c>
      <c r="X65" s="567"/>
      <c r="Y65" s="542">
        <f>SUM(CH41,CH47,CH53,CH59)</f>
        <v>21</v>
      </c>
      <c r="Z65" s="567"/>
      <c r="AA65" s="567"/>
      <c r="AB65" s="567"/>
      <c r="AC65" s="554">
        <f>SUM(CP41,CP47,CP53,CP59)</f>
        <v>19</v>
      </c>
      <c r="AD65" s="555">
        <f>SUM(CS41,CS47,CS53,CS59)</f>
        <v>6</v>
      </c>
      <c r="AE65" s="542">
        <f>SUM(CW41,CW47,CW53,CW59)</f>
        <v>2</v>
      </c>
      <c r="AF65" s="552"/>
      <c r="AG65" s="542">
        <f>SUM(DB41,DB47,DB53,DB59)</f>
        <v>25</v>
      </c>
      <c r="AH65" s="542">
        <f>SUM(DE41,DE47,DE53,DE59)</f>
        <v>20</v>
      </c>
      <c r="AI65" s="542">
        <f>SUM(DI41,DI47,DI53,DI59)</f>
        <v>20</v>
      </c>
      <c r="AJ65" s="542">
        <f>SUM(DL41,DL47,DL53,DL59)</f>
        <v>5</v>
      </c>
      <c r="AK65" s="556">
        <f>SUM(DP41,DP47,DP53,DP59)</f>
        <v>8</v>
      </c>
      <c r="AL65" s="557">
        <f>SUM(DU1,DU47,DU53,DU59)</f>
        <v>0</v>
      </c>
      <c r="AM65" s="558">
        <f>SUM(DY41,DY47,DY53,DY59)</f>
        <v>9</v>
      </c>
      <c r="AN65" s="567"/>
      <c r="AO65" s="542">
        <f>SUM(ED41,ED47,ED53,ED59)</f>
        <v>1</v>
      </c>
      <c r="AP65" s="567"/>
      <c r="AQ65" s="567"/>
      <c r="AR65" s="567"/>
      <c r="AS65" s="542">
        <f>SUM(EL41,EL47,EL53,EL59)</f>
        <v>25</v>
      </c>
      <c r="AT65" s="567"/>
      <c r="AU65" s="567"/>
      <c r="AV65" s="559"/>
      <c r="AW65" s="567"/>
      <c r="AX65" s="567"/>
      <c r="AY65" s="567"/>
      <c r="AZ65" s="567"/>
      <c r="BA65" s="542">
        <f>SUM(EY41,EY47,EY53,EY59)</f>
        <v>9</v>
      </c>
      <c r="BB65" s="542">
        <f>SUM(FB41,FB47,FB53,FB59)</f>
        <v>5</v>
      </c>
      <c r="BC65" s="542">
        <f>SUM(FF41,FF47,FF53,FF59)</f>
        <v>6</v>
      </c>
      <c r="BD65" s="567"/>
      <c r="BE65" s="542">
        <f>SUM(FK41,FK47,FK53,FK59)</f>
        <v>1</v>
      </c>
      <c r="BF65" s="567"/>
      <c r="BG65" s="567"/>
      <c r="BH65" s="567"/>
      <c r="BI65" s="542">
        <f>SUM(FS41,FS47,FS53,FS59)</f>
        <v>5</v>
      </c>
      <c r="BJ65" s="542">
        <f>SUM(FV41,FV47,FV53,FV59)</f>
        <v>20</v>
      </c>
      <c r="BK65" s="542">
        <f>SUM(FZ41,FZ47,FZ53,FZ59)</f>
        <v>18</v>
      </c>
      <c r="BL65" s="567"/>
      <c r="BM65" s="542">
        <f>SUM(GE41,GE47,GE53,GE59)</f>
        <v>9</v>
      </c>
      <c r="BN65" s="542">
        <f>SUM(GH41,GH47,GH53,GH59)</f>
        <v>23</v>
      </c>
      <c r="BO65" s="560">
        <f>SUM(GL41,GL47,GL53,GL59)</f>
        <v>5</v>
      </c>
      <c r="BP65" s="561">
        <f>SUM(GO41,GO47,GO53,GO59)</f>
        <v>1</v>
      </c>
      <c r="BQ65" s="562">
        <f>SUM(GS41,GS47,GS53,GS59)</f>
        <v>12</v>
      </c>
      <c r="BR65" s="564">
        <f>SUM(GX41,GX47,GX53,GX59)</f>
        <v>14</v>
      </c>
      <c r="BS65" s="562">
        <f>SUM(HC41,HC47,HC53,HC59)</f>
        <v>16</v>
      </c>
      <c r="BT65" s="562">
        <f>SUM(HG41,HG47,HG53,HG59)</f>
        <v>14</v>
      </c>
      <c r="BU65" s="562">
        <f>SUM(HJ41,HJ47,HJ53,HJ59)</f>
        <v>20</v>
      </c>
      <c r="BV65" s="562">
        <f>SUM(HN41,HN47,HN53,HN59)</f>
        <v>18</v>
      </c>
      <c r="BW65" s="567"/>
      <c r="BX65" s="562">
        <f>SUM(HS41,HS47,HS53,HS59)</f>
        <v>13</v>
      </c>
      <c r="BY65" s="562">
        <f>SUM(HV41,HV47,HV53,HV59)</f>
        <v>18</v>
      </c>
      <c r="BZ65" s="560">
        <f>SUM(HZ41,HZ47,HZ53,HZ59)</f>
        <v>14</v>
      </c>
      <c r="CA65" s="567"/>
      <c r="CB65" s="567"/>
      <c r="CC65" s="567"/>
      <c r="CD65" s="542">
        <f>SUM(IH41,IH47,IH53,IH59)</f>
        <v>12</v>
      </c>
      <c r="CE65" s="567"/>
      <c r="CF65" s="542">
        <f>SUM(IM41,IM47,IM53,IM59)</f>
        <v>21</v>
      </c>
      <c r="CG65" s="542">
        <f>SUM(IP41,IP47,IP53,IP59)</f>
        <v>18</v>
      </c>
      <c r="CH65" s="566">
        <f>SUM(IT41,IT47,IT53,IT59)</f>
        <v>3</v>
      </c>
      <c r="CI65" s="567"/>
      <c r="CJ65" s="567"/>
      <c r="CK65" s="567"/>
      <c r="CL65" s="567"/>
      <c r="CM65" s="559"/>
      <c r="CN65" s="567"/>
      <c r="CO65" s="567"/>
      <c r="CP65" s="556">
        <f>SUM(JG41,JG47,JG53,JG59)</f>
        <v>15</v>
      </c>
      <c r="CQ65" s="567"/>
      <c r="CR65" s="567"/>
      <c r="CS65" s="567"/>
      <c r="CT65" s="556">
        <f>SUM(JO41,JO47,JO53,JO59)</f>
        <v>18</v>
      </c>
      <c r="CU65" s="568"/>
      <c r="CV65" s="556">
        <f>SUM(JT41,JT47,JT53,JT59)</f>
        <v>15</v>
      </c>
      <c r="CW65" s="586">
        <f>SUM(JW41,JW47,JW53,JW59)</f>
        <v>1</v>
      </c>
      <c r="IG65" s="32"/>
      <c r="PA65" s="11"/>
    </row>
    <row r="66" spans="1:417" x14ac:dyDescent="0.25">
      <c r="A66" s="105"/>
      <c r="B66" s="105"/>
      <c r="C66" s="105"/>
      <c r="D66" s="195"/>
      <c r="E66" s="551">
        <f>SUM(H41,H47,H53,H59)</f>
        <v>15</v>
      </c>
      <c r="F66" s="542">
        <f>SUM(N41,N47,N53,N59)</f>
        <v>4</v>
      </c>
      <c r="G66" s="542">
        <f>SUM(T41,T47,T53,T59)</f>
        <v>7</v>
      </c>
      <c r="H66" s="542">
        <f>SUM(Y41,Y47,Y53,Y59)</f>
        <v>8</v>
      </c>
      <c r="I66" s="542">
        <f>SUM(AC41,AC47,AC53,AC59)</f>
        <v>12</v>
      </c>
      <c r="J66" s="542">
        <f>SUM(AH41,AH47,AH53,AH59)</f>
        <v>20</v>
      </c>
      <c r="K66" s="568"/>
      <c r="L66" s="542">
        <f>SUM(AO41,AO47,AO53,AO59)</f>
        <v>23</v>
      </c>
      <c r="M66" s="542">
        <f>SUM(AS41,AS47,AS53,AS59)</f>
        <v>7</v>
      </c>
      <c r="N66" s="542">
        <f>SUM(AX41,AX47,AX53,AX59)</f>
        <v>9</v>
      </c>
      <c r="O66" s="567"/>
      <c r="P66" s="567"/>
      <c r="Q66" s="567"/>
      <c r="R66" s="542">
        <f>SUM(BJ41,BJ47,BJ53,BJ59)</f>
        <v>9</v>
      </c>
      <c r="S66" s="567"/>
      <c r="T66" s="542">
        <f>SUM(BQ41,BQ47,BQ53,BQ59)</f>
        <v>9</v>
      </c>
      <c r="U66" s="542">
        <f>SUM(BU41,BU47,BU53,BU59)</f>
        <v>20</v>
      </c>
      <c r="V66" s="542">
        <f>SUM(BZ41,BZ47,BZ53,BZ59)</f>
        <v>13</v>
      </c>
      <c r="W66" s="567"/>
      <c r="X66" s="567"/>
      <c r="Y66" s="567"/>
      <c r="Z66" s="567"/>
      <c r="AA66" s="567"/>
      <c r="AB66" s="567"/>
      <c r="AC66" s="569"/>
      <c r="AD66" s="555">
        <f>SUM(CT41,CT47,CT53,CT59)</f>
        <v>5</v>
      </c>
      <c r="AE66" s="552"/>
      <c r="AF66" s="552"/>
      <c r="AG66" s="552"/>
      <c r="AH66" s="542">
        <f>SUM(DF41,DF47,DF53,DF59)</f>
        <v>1</v>
      </c>
      <c r="AI66" s="552"/>
      <c r="AJ66" s="542">
        <f>SUM(DM41,DM47,DM53,DM59)</f>
        <v>23</v>
      </c>
      <c r="AK66" s="556">
        <f>SUM(DQ41,DQ47,DQ53,DQ59)</f>
        <v>13</v>
      </c>
      <c r="AL66" s="557">
        <f>SUM(DV41,DV47,DV53,DVI59)</f>
        <v>2</v>
      </c>
      <c r="AM66" s="570"/>
      <c r="AN66" s="567"/>
      <c r="AO66" s="567"/>
      <c r="AP66" s="567"/>
      <c r="AQ66" s="567"/>
      <c r="AR66" s="567"/>
      <c r="AS66" s="567"/>
      <c r="AT66" s="567"/>
      <c r="AU66" s="567"/>
      <c r="AV66" s="559"/>
      <c r="AW66" s="567"/>
      <c r="AX66" s="567"/>
      <c r="AY66" s="567"/>
      <c r="AZ66" s="567"/>
      <c r="BA66" s="567"/>
      <c r="BB66" s="542">
        <f>SUM(FC41,FC47,FC53,FC59)</f>
        <v>19</v>
      </c>
      <c r="BC66" s="567"/>
      <c r="BD66" s="567"/>
      <c r="BE66" s="567"/>
      <c r="BF66" s="567"/>
      <c r="BG66" s="567"/>
      <c r="BH66" s="567"/>
      <c r="BI66" s="567"/>
      <c r="BJ66" s="542">
        <f>SUM(FW41,FW47,FW53,FW59)</f>
        <v>3</v>
      </c>
      <c r="BK66" s="567"/>
      <c r="BL66" s="567"/>
      <c r="BM66" s="567"/>
      <c r="BN66" s="542">
        <f>SUM(GI41,GI47,GI53,GI59)</f>
        <v>20</v>
      </c>
      <c r="BO66" s="569"/>
      <c r="BP66" s="561">
        <f>SUM(GP41,GP47,GP53,GP59)</f>
        <v>9</v>
      </c>
      <c r="BQ66" s="564">
        <f>SUM(GT41,GT47,GT53,GT59)</f>
        <v>2</v>
      </c>
      <c r="BR66" s="562">
        <f>SUM(GY41,GY47,GY53,GY59)</f>
        <v>14</v>
      </c>
      <c r="BS66" s="562">
        <f>SUM(HD41,HD47,HD53,HD59)</f>
        <v>18</v>
      </c>
      <c r="BT66" s="567"/>
      <c r="BU66" s="562">
        <f>SUM(HK41,HK47,HK53,HK59)</f>
        <v>1</v>
      </c>
      <c r="BV66" s="567"/>
      <c r="BW66" s="567"/>
      <c r="BX66" s="567"/>
      <c r="BY66" s="562">
        <f>SUM(HW41,HW47,HW53,HW59)</f>
        <v>13</v>
      </c>
      <c r="BZ66" s="569"/>
      <c r="CA66" s="567"/>
      <c r="CB66" s="567"/>
      <c r="CC66" s="567"/>
      <c r="CD66" s="567"/>
      <c r="CE66" s="567"/>
      <c r="CF66" s="567"/>
      <c r="CG66" s="542">
        <f>SUM(IQ41,IQ47,IQ53,IQ59)</f>
        <v>14</v>
      </c>
      <c r="CH66" s="567"/>
      <c r="CI66" s="567"/>
      <c r="CJ66" s="567"/>
      <c r="CK66" s="567"/>
      <c r="CL66" s="567"/>
      <c r="CM66" s="559"/>
      <c r="CN66" s="567"/>
      <c r="CO66" s="567"/>
      <c r="CP66" s="567"/>
      <c r="CQ66" s="567"/>
      <c r="CR66" s="567"/>
      <c r="CS66" s="567"/>
      <c r="CT66" s="567"/>
      <c r="CU66" s="567"/>
      <c r="CV66" s="567"/>
      <c r="CW66" s="586">
        <f>SUM(JX41,JX47,JX53,JX59)</f>
        <v>25</v>
      </c>
      <c r="IG66" s="4"/>
      <c r="PA66" s="11"/>
    </row>
    <row r="67" spans="1:417" ht="16.5" x14ac:dyDescent="0.25">
      <c r="A67" s="105"/>
      <c r="B67" s="105"/>
      <c r="C67" s="105"/>
      <c r="D67" s="195"/>
      <c r="E67" s="551">
        <f>SUM(I41,I47,I53,I59)</f>
        <v>12</v>
      </c>
      <c r="F67" s="542">
        <f>SUM(O41,O47,O53,O59)</f>
        <v>19</v>
      </c>
      <c r="G67" s="542">
        <f>SUM(U41,U47,U53,U59)</f>
        <v>5</v>
      </c>
      <c r="H67" s="568"/>
      <c r="I67" s="542">
        <f>SUM(AD41,AD47,AD53,AD59)</f>
        <v>9</v>
      </c>
      <c r="J67" s="568"/>
      <c r="K67" s="568"/>
      <c r="L67" s="568"/>
      <c r="M67" s="542">
        <f>SUM(AT41,AT47,AT53,AT59)</f>
        <v>1</v>
      </c>
      <c r="N67" s="567"/>
      <c r="O67" s="567"/>
      <c r="P67" s="567"/>
      <c r="Q67" s="567"/>
      <c r="R67" s="568"/>
      <c r="S67" s="567"/>
      <c r="T67" s="568"/>
      <c r="U67" s="542">
        <f>SUM(BV41,BV47,BV53,BV59)</f>
        <v>18</v>
      </c>
      <c r="V67" s="567"/>
      <c r="W67" s="568"/>
      <c r="X67" s="568"/>
      <c r="Y67" s="568"/>
      <c r="Z67" s="567"/>
      <c r="AA67" s="567"/>
      <c r="AB67" s="567"/>
      <c r="AC67" s="569"/>
      <c r="AD67" s="570"/>
      <c r="AE67" s="552"/>
      <c r="AF67" s="552"/>
      <c r="AG67" s="552"/>
      <c r="AH67" s="552"/>
      <c r="AI67" s="552"/>
      <c r="AJ67" s="552"/>
      <c r="AK67" s="553">
        <f>SUM(DR41,DR47,DR53,DR59)</f>
        <v>1</v>
      </c>
      <c r="AL67" s="571"/>
      <c r="AM67" s="570"/>
      <c r="AN67" s="567"/>
      <c r="AO67" s="567"/>
      <c r="AP67" s="567"/>
      <c r="AQ67" s="567"/>
      <c r="AR67" s="567"/>
      <c r="AS67" s="568"/>
      <c r="AT67" s="567"/>
      <c r="AU67" s="567"/>
      <c r="AV67" s="559"/>
      <c r="AW67" s="567"/>
      <c r="AX67" s="567"/>
      <c r="AY67" s="567"/>
      <c r="AZ67" s="567"/>
      <c r="BA67" s="567"/>
      <c r="BB67" s="567"/>
      <c r="BC67" s="567"/>
      <c r="BD67" s="567"/>
      <c r="BE67" s="567"/>
      <c r="BF67" s="567"/>
      <c r="BG67" s="567"/>
      <c r="BH67" s="567"/>
      <c r="BI67" s="567"/>
      <c r="BJ67" s="567"/>
      <c r="BK67" s="567"/>
      <c r="BL67" s="567"/>
      <c r="BM67" s="567"/>
      <c r="BN67" s="567"/>
      <c r="BO67" s="569"/>
      <c r="BP67" s="572"/>
      <c r="BQ67" s="562">
        <f>SUM(GU41,GU47,GU53,GU59)</f>
        <v>5</v>
      </c>
      <c r="BR67" s="562">
        <f>SUM(GZ41,GZ47,GZ53,GZ59)</f>
        <v>12</v>
      </c>
      <c r="BS67" s="567"/>
      <c r="BT67" s="567"/>
      <c r="BU67" s="567"/>
      <c r="BV67" s="567"/>
      <c r="BW67" s="567"/>
      <c r="BX67" s="567"/>
      <c r="BY67" s="567"/>
      <c r="BZ67" s="569"/>
      <c r="CA67" s="567"/>
      <c r="CB67" s="567"/>
      <c r="CC67" s="567"/>
      <c r="CD67" s="567"/>
      <c r="CE67" s="567"/>
      <c r="CF67" s="567"/>
      <c r="CG67" s="567"/>
      <c r="CH67" s="567"/>
      <c r="CI67" s="567"/>
      <c r="CJ67" s="567"/>
      <c r="CK67" s="567"/>
      <c r="CL67" s="567"/>
      <c r="CM67" s="559"/>
      <c r="CN67" s="567"/>
      <c r="CO67" s="567"/>
      <c r="CP67" s="567"/>
      <c r="CQ67" s="567"/>
      <c r="CR67" s="567"/>
      <c r="CS67" s="567"/>
      <c r="CT67" s="567"/>
      <c r="CU67" s="567"/>
      <c r="CV67" s="567"/>
      <c r="CW67" s="587"/>
      <c r="CX67" s="165"/>
      <c r="CY67" s="165"/>
      <c r="CZ67" s="165"/>
      <c r="DA67" s="36"/>
      <c r="DB67" s="36"/>
      <c r="DC67" s="36"/>
      <c r="DD67" s="36"/>
      <c r="DE67" s="36"/>
      <c r="DF67" s="36"/>
      <c r="DG67" s="36"/>
      <c r="DH67" s="36"/>
      <c r="DI67" s="36"/>
      <c r="DJ67" s="36"/>
      <c r="DK67" s="36"/>
      <c r="IA67" s="4"/>
      <c r="PA67" s="11"/>
    </row>
    <row r="68" spans="1:417" ht="16.5" x14ac:dyDescent="0.25">
      <c r="A68" s="105"/>
      <c r="B68" s="105"/>
      <c r="C68" s="105"/>
      <c r="D68" s="195"/>
      <c r="E68" s="573">
        <f>SUM(J41,J47,J53,J59)</f>
        <v>4</v>
      </c>
      <c r="F68" s="574">
        <f>SUM(P41,P47,P53,P59)</f>
        <v>15</v>
      </c>
      <c r="G68" s="575"/>
      <c r="H68" s="575"/>
      <c r="I68" s="575"/>
      <c r="J68" s="575"/>
      <c r="K68" s="575"/>
      <c r="L68" s="575"/>
      <c r="M68" s="575"/>
      <c r="N68" s="575"/>
      <c r="O68" s="580"/>
      <c r="P68" s="580"/>
      <c r="Q68" s="580"/>
      <c r="R68" s="580"/>
      <c r="S68" s="580"/>
      <c r="T68" s="575"/>
      <c r="U68" s="580"/>
      <c r="V68" s="580"/>
      <c r="W68" s="575"/>
      <c r="X68" s="575"/>
      <c r="Y68" s="575"/>
      <c r="Z68" s="575"/>
      <c r="AA68" s="580"/>
      <c r="AB68" s="575"/>
      <c r="AC68" s="581"/>
      <c r="AD68" s="576"/>
      <c r="AE68" s="575"/>
      <c r="AF68" s="575"/>
      <c r="AG68" s="575"/>
      <c r="AH68" s="575"/>
      <c r="AI68" s="575"/>
      <c r="AJ68" s="575"/>
      <c r="AK68" s="575"/>
      <c r="AL68" s="577"/>
      <c r="AM68" s="576"/>
      <c r="AN68" s="575"/>
      <c r="AO68" s="575"/>
      <c r="AP68" s="575"/>
      <c r="AQ68" s="575"/>
      <c r="AR68" s="575"/>
      <c r="AS68" s="575"/>
      <c r="AT68" s="580"/>
      <c r="AU68" s="580"/>
      <c r="AV68" s="582"/>
      <c r="AW68" s="580"/>
      <c r="AX68" s="580"/>
      <c r="AY68" s="580"/>
      <c r="AZ68" s="580"/>
      <c r="BA68" s="580"/>
      <c r="BB68" s="580"/>
      <c r="BC68" s="580"/>
      <c r="BD68" s="580"/>
      <c r="BE68" s="580"/>
      <c r="BF68" s="580"/>
      <c r="BG68" s="580"/>
      <c r="BH68" s="580"/>
      <c r="BI68" s="580"/>
      <c r="BJ68" s="580"/>
      <c r="BK68" s="580"/>
      <c r="BL68" s="580"/>
      <c r="BM68" s="580"/>
      <c r="BN68" s="580"/>
      <c r="BO68" s="581"/>
      <c r="BP68" s="583"/>
      <c r="BQ68" s="580"/>
      <c r="BR68" s="580"/>
      <c r="BS68" s="580"/>
      <c r="BT68" s="580"/>
      <c r="BU68" s="580"/>
      <c r="BV68" s="580"/>
      <c r="BW68" s="580"/>
      <c r="BX68" s="580"/>
      <c r="BY68" s="580"/>
      <c r="BZ68" s="581"/>
      <c r="CA68" s="583"/>
      <c r="CB68" s="580"/>
      <c r="CC68" s="580"/>
      <c r="CD68" s="580"/>
      <c r="CE68" s="580"/>
      <c r="CF68" s="580"/>
      <c r="CG68" s="580"/>
      <c r="CH68" s="580"/>
      <c r="CI68" s="580"/>
      <c r="CJ68" s="580"/>
      <c r="CK68" s="580"/>
      <c r="CL68" s="575"/>
      <c r="CM68" s="584"/>
      <c r="CN68" s="575"/>
      <c r="CO68" s="575"/>
      <c r="CP68" s="575"/>
      <c r="CQ68" s="575"/>
      <c r="CR68" s="575"/>
      <c r="CS68" s="575"/>
      <c r="CT68" s="575"/>
      <c r="CU68" s="575"/>
      <c r="CV68" s="575"/>
      <c r="CW68" s="588"/>
      <c r="CX68" s="165"/>
      <c r="CY68" s="165"/>
      <c r="CZ68" s="165"/>
      <c r="DA68" s="36"/>
      <c r="DB68" s="36"/>
      <c r="DC68" s="36"/>
      <c r="DD68" s="36"/>
      <c r="DE68" s="36"/>
      <c r="DF68" s="36"/>
      <c r="DG68" s="36"/>
      <c r="DH68" s="36"/>
      <c r="DI68" s="36"/>
      <c r="DJ68" s="36"/>
      <c r="DK68" s="36"/>
      <c r="IA68" s="4"/>
      <c r="PA68" s="11"/>
    </row>
    <row r="69" spans="1:417" ht="15.75" x14ac:dyDescent="0.3">
      <c r="A69" s="105"/>
      <c r="B69" s="105"/>
      <c r="C69" s="105"/>
      <c r="D69" s="236" t="s">
        <v>64</v>
      </c>
      <c r="E69" s="493">
        <f>SUM(E63:E68)</f>
        <v>78</v>
      </c>
      <c r="F69" s="493">
        <f>SUM(F63:F68)</f>
        <v>85</v>
      </c>
      <c r="G69" s="493">
        <f>SUM(G63:G68)</f>
        <v>33</v>
      </c>
      <c r="H69" s="493">
        <f t="shared" ref="H69:N69" si="32">SUM(H63:H68)</f>
        <v>56</v>
      </c>
      <c r="I69" s="493">
        <f t="shared" si="32"/>
        <v>38</v>
      </c>
      <c r="J69" s="493">
        <f>SUM(J63:J68)</f>
        <v>36</v>
      </c>
      <c r="K69" s="493">
        <f t="shared" si="32"/>
        <v>9</v>
      </c>
      <c r="L69" s="493">
        <f t="shared" si="32"/>
        <v>36</v>
      </c>
      <c r="M69" s="493">
        <f t="shared" si="32"/>
        <v>40</v>
      </c>
      <c r="N69" s="493">
        <f t="shared" si="32"/>
        <v>47</v>
      </c>
      <c r="O69" s="493">
        <f t="shared" ref="O69" si="33">SUM(O63:O68)</f>
        <v>44</v>
      </c>
      <c r="P69" s="493">
        <f t="shared" ref="P69" si="34">SUM(P63:P68)</f>
        <v>39</v>
      </c>
      <c r="Q69" s="493">
        <f t="shared" ref="Q69" si="35">SUM(Q63:Q68)</f>
        <v>53</v>
      </c>
      <c r="R69" s="493">
        <f t="shared" ref="R69" si="36">SUM(R63:R68)</f>
        <v>19</v>
      </c>
      <c r="S69" s="493">
        <f t="shared" ref="S69" si="37">SUM(S63:S68)</f>
        <v>22</v>
      </c>
      <c r="T69" s="493">
        <f t="shared" ref="T69" si="38">SUM(T63:T68)</f>
        <v>35</v>
      </c>
      <c r="U69" s="493">
        <f t="shared" ref="U69" si="39">SUM(U63:U68)</f>
        <v>90</v>
      </c>
      <c r="V69" s="493">
        <f t="shared" ref="V69" si="40">SUM(V63:V68)</f>
        <v>24</v>
      </c>
      <c r="W69" s="493">
        <f t="shared" ref="W69" si="41">SUM(W63:W68)</f>
        <v>34</v>
      </c>
      <c r="X69" s="493">
        <f t="shared" ref="X69" si="42">SUM(X63:X68)</f>
        <v>35</v>
      </c>
      <c r="Y69" s="493">
        <f t="shared" ref="Y69" si="43">SUM(Y63:Y68)</f>
        <v>27</v>
      </c>
      <c r="Z69" s="493">
        <f t="shared" ref="Z69" si="44">SUM(Z63:Z68)</f>
        <v>25</v>
      </c>
      <c r="AA69" s="493">
        <f t="shared" ref="AA69" si="45">SUM(AA63:AA68)</f>
        <v>21</v>
      </c>
      <c r="AB69" s="493">
        <f t="shared" ref="AB69" si="46">SUM(AB63:AB68)</f>
        <v>15</v>
      </c>
      <c r="AC69" s="493">
        <f t="shared" ref="AC69" si="47">SUM(AC63:AC68)</f>
        <v>34</v>
      </c>
      <c r="AD69" s="498">
        <f t="shared" ref="AD69" si="48">SUM(AD63:AD68)</f>
        <v>27</v>
      </c>
      <c r="AE69" s="499">
        <f t="shared" ref="AE69" si="49">SUM(AE63:AE68)</f>
        <v>27</v>
      </c>
      <c r="AF69" s="499">
        <f t="shared" ref="AF69" si="50">SUM(AF63:AF68)</f>
        <v>30</v>
      </c>
      <c r="AG69" s="499">
        <f t="shared" ref="AG69" si="51">SUM(AG63:AG68)</f>
        <v>35</v>
      </c>
      <c r="AH69" s="499">
        <f t="shared" ref="AH69" si="52">SUM(AH63:AH68)</f>
        <v>33</v>
      </c>
      <c r="AI69" s="499">
        <f t="shared" ref="AI69" si="53">SUM(AI63:AI68)</f>
        <v>34</v>
      </c>
      <c r="AJ69" s="499">
        <f t="shared" ref="AJ69" si="54">SUM(AJ63:AJ68)</f>
        <v>43</v>
      </c>
      <c r="AK69" s="499">
        <f t="shared" ref="AK69" si="55">SUM(AK63:AK68)</f>
        <v>35</v>
      </c>
      <c r="AL69" s="500">
        <f t="shared" ref="AL69:CW69" si="56">SUM(AL63:AL68)</f>
        <v>37</v>
      </c>
      <c r="AM69" s="493">
        <f t="shared" si="56"/>
        <v>35</v>
      </c>
      <c r="AN69" s="493">
        <f t="shared" si="56"/>
        <v>23</v>
      </c>
      <c r="AO69" s="493">
        <f t="shared" si="56"/>
        <v>29</v>
      </c>
      <c r="AP69" s="493">
        <f>SUM(AP64:AP68)</f>
        <v>3</v>
      </c>
      <c r="AQ69" s="493">
        <f>SUM(AQ63:AQ68)</f>
        <v>14</v>
      </c>
      <c r="AR69" s="493">
        <f>SUM(AR64:AR68)</f>
        <v>5</v>
      </c>
      <c r="AS69" s="493">
        <f>SUM(AS64:AS68)</f>
        <v>42</v>
      </c>
      <c r="AT69" s="493">
        <f>SUM(AT64:AT68)</f>
        <v>20</v>
      </c>
      <c r="AU69" s="493">
        <f>SUM(AU63:AU68)</f>
        <v>25</v>
      </c>
      <c r="AV69" s="526">
        <f>SUM(AV64:AV68)</f>
        <v>0</v>
      </c>
      <c r="AW69" s="493">
        <f>SUM(AW63:AW68)</f>
        <v>15</v>
      </c>
      <c r="AX69" s="493">
        <f>SUM(AX63:AX68)</f>
        <v>14</v>
      </c>
      <c r="AY69" s="493">
        <f>SUM(AY63:AY68)</f>
        <v>1</v>
      </c>
      <c r="AZ69" s="493">
        <f t="shared" si="56"/>
        <v>22</v>
      </c>
      <c r="BA69" s="493">
        <f t="shared" si="56"/>
        <v>37</v>
      </c>
      <c r="BB69" s="493">
        <f t="shared" si="56"/>
        <v>48</v>
      </c>
      <c r="BC69" s="493">
        <f t="shared" si="56"/>
        <v>33</v>
      </c>
      <c r="BD69" s="493">
        <f t="shared" si="56"/>
        <v>25</v>
      </c>
      <c r="BE69" s="493">
        <f t="shared" si="56"/>
        <v>21</v>
      </c>
      <c r="BF69" s="493">
        <f t="shared" si="56"/>
        <v>22</v>
      </c>
      <c r="BG69" s="493">
        <f t="shared" si="56"/>
        <v>20</v>
      </c>
      <c r="BH69" s="493">
        <f t="shared" si="56"/>
        <v>23</v>
      </c>
      <c r="BI69" s="493">
        <f t="shared" si="56"/>
        <v>30</v>
      </c>
      <c r="BJ69" s="493">
        <f t="shared" si="56"/>
        <v>42</v>
      </c>
      <c r="BK69" s="493">
        <f t="shared" si="56"/>
        <v>27</v>
      </c>
      <c r="BL69" s="493">
        <f t="shared" si="56"/>
        <v>19</v>
      </c>
      <c r="BM69" s="493">
        <f t="shared" si="56"/>
        <v>34</v>
      </c>
      <c r="BN69" s="493">
        <f t="shared" si="56"/>
        <v>61</v>
      </c>
      <c r="BO69" s="493">
        <f t="shared" si="56"/>
        <v>41</v>
      </c>
      <c r="BP69" s="512">
        <f t="shared" si="56"/>
        <v>14</v>
      </c>
      <c r="BQ69" s="513">
        <f t="shared" ref="BQ69:BY69" si="57">SUM(BQ63:BQ68)</f>
        <v>44</v>
      </c>
      <c r="BR69" s="513">
        <f t="shared" si="57"/>
        <v>57</v>
      </c>
      <c r="BS69" s="513">
        <f t="shared" si="57"/>
        <v>58</v>
      </c>
      <c r="BT69" s="513">
        <f t="shared" si="57"/>
        <v>33</v>
      </c>
      <c r="BU69" s="513">
        <f t="shared" si="57"/>
        <v>38</v>
      </c>
      <c r="BV69" s="513">
        <f t="shared" si="57"/>
        <v>39</v>
      </c>
      <c r="BW69" s="513">
        <f t="shared" si="57"/>
        <v>36</v>
      </c>
      <c r="BX69" s="513">
        <f t="shared" si="57"/>
        <v>32</v>
      </c>
      <c r="BY69" s="513">
        <f t="shared" si="57"/>
        <v>78</v>
      </c>
      <c r="BZ69" s="514">
        <f t="shared" si="56"/>
        <v>48</v>
      </c>
      <c r="CA69" s="513">
        <f t="shared" si="56"/>
        <v>27</v>
      </c>
      <c r="CB69" s="513">
        <f t="shared" si="56"/>
        <v>15</v>
      </c>
      <c r="CC69" s="513">
        <f t="shared" si="56"/>
        <v>26</v>
      </c>
      <c r="CD69" s="513">
        <f t="shared" si="56"/>
        <v>43</v>
      </c>
      <c r="CE69" s="513">
        <f t="shared" si="56"/>
        <v>31</v>
      </c>
      <c r="CF69" s="513">
        <f t="shared" si="56"/>
        <v>37</v>
      </c>
      <c r="CG69" s="513">
        <f t="shared" si="56"/>
        <v>62</v>
      </c>
      <c r="CH69" s="513">
        <f t="shared" si="56"/>
        <v>31</v>
      </c>
      <c r="CI69" s="513">
        <f t="shared" si="56"/>
        <v>10</v>
      </c>
      <c r="CJ69" s="513">
        <f t="shared" si="56"/>
        <v>1</v>
      </c>
      <c r="CK69" s="513">
        <f t="shared" si="56"/>
        <v>22</v>
      </c>
      <c r="CL69" s="513">
        <f t="shared" si="56"/>
        <v>19</v>
      </c>
      <c r="CM69" s="526">
        <f t="shared" si="56"/>
        <v>0</v>
      </c>
      <c r="CN69" s="513">
        <f t="shared" si="56"/>
        <v>25</v>
      </c>
      <c r="CO69" s="513">
        <f t="shared" si="56"/>
        <v>13</v>
      </c>
      <c r="CP69" s="513">
        <f t="shared" si="56"/>
        <v>26</v>
      </c>
      <c r="CQ69" s="513">
        <f t="shared" si="56"/>
        <v>25</v>
      </c>
      <c r="CR69" s="513">
        <f t="shared" si="56"/>
        <v>16</v>
      </c>
      <c r="CS69" s="513">
        <f t="shared" si="56"/>
        <v>18</v>
      </c>
      <c r="CT69" s="513">
        <f t="shared" si="56"/>
        <v>31</v>
      </c>
      <c r="CU69" s="513">
        <f t="shared" si="56"/>
        <v>31</v>
      </c>
      <c r="CV69" s="513">
        <f t="shared" si="56"/>
        <v>37</v>
      </c>
      <c r="CW69" s="513">
        <f t="shared" si="56"/>
        <v>52</v>
      </c>
      <c r="CX69" s="36"/>
      <c r="CY69" s="36"/>
      <c r="CZ69" s="36"/>
      <c r="DA69" s="36"/>
      <c r="DB69" s="36"/>
      <c r="DC69" s="36"/>
      <c r="DD69" s="36"/>
      <c r="DE69" s="36"/>
      <c r="DF69" s="36"/>
      <c r="DG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KB69" s="4"/>
      <c r="PA69" s="11"/>
    </row>
    <row r="70" spans="1:417" ht="16.5" x14ac:dyDescent="0.3">
      <c r="A70" s="105"/>
      <c r="B70" s="105"/>
      <c r="C70" s="105"/>
      <c r="D70" s="236" t="s">
        <v>65</v>
      </c>
      <c r="E70" s="196"/>
      <c r="F70" s="196"/>
      <c r="G70" s="196"/>
      <c r="H70" s="196"/>
      <c r="I70" s="196"/>
      <c r="J70" s="196"/>
      <c r="K70" s="196"/>
      <c r="L70" s="196"/>
      <c r="M70" s="196"/>
      <c r="N70" s="196"/>
      <c r="O70" s="196"/>
      <c r="P70" s="196"/>
      <c r="Q70" s="196"/>
      <c r="R70" s="196"/>
      <c r="S70" s="196"/>
      <c r="T70" s="196"/>
      <c r="U70" s="196"/>
      <c r="V70" s="196"/>
      <c r="W70" s="196"/>
      <c r="X70" s="196"/>
      <c r="Y70" s="196"/>
      <c r="Z70" s="196"/>
      <c r="AA70" s="196"/>
      <c r="AB70" s="196"/>
      <c r="AC70" s="196"/>
      <c r="AD70" s="198">
        <v>14</v>
      </c>
      <c r="AE70" s="199">
        <v>15</v>
      </c>
      <c r="AF70" s="199">
        <v>18</v>
      </c>
      <c r="AG70" s="199">
        <v>20</v>
      </c>
      <c r="AH70" s="199">
        <v>8</v>
      </c>
      <c r="AI70" s="199">
        <v>5</v>
      </c>
      <c r="AJ70" s="199">
        <v>1</v>
      </c>
      <c r="AK70" s="199">
        <v>19</v>
      </c>
      <c r="AL70" s="200">
        <v>20</v>
      </c>
      <c r="AM70" s="196"/>
      <c r="AN70" s="196"/>
      <c r="AO70" s="196"/>
      <c r="AP70" s="196"/>
      <c r="AQ70" s="196"/>
      <c r="AR70" s="196"/>
      <c r="AS70" s="196"/>
      <c r="AT70" s="196"/>
      <c r="AU70" s="196"/>
      <c r="AV70" s="527">
        <v>19</v>
      </c>
      <c r="AW70" s="196"/>
      <c r="AX70" s="196"/>
      <c r="AY70" s="196"/>
      <c r="AZ70" s="196"/>
      <c r="BA70" s="196"/>
      <c r="BB70" s="196"/>
      <c r="BC70" s="196"/>
      <c r="BD70" s="196"/>
      <c r="BE70" s="196"/>
      <c r="BF70" s="196"/>
      <c r="BG70" s="196"/>
      <c r="BH70" s="196"/>
      <c r="BI70" s="196"/>
      <c r="BJ70" s="196"/>
      <c r="BK70" s="196"/>
      <c r="BL70" s="196"/>
      <c r="BM70" s="199"/>
      <c r="BN70" s="199"/>
      <c r="BO70" s="199"/>
      <c r="BP70" s="198">
        <v>2</v>
      </c>
      <c r="BQ70" s="199">
        <v>5</v>
      </c>
      <c r="BR70" s="199">
        <v>18</v>
      </c>
      <c r="BS70" s="199">
        <v>12</v>
      </c>
      <c r="BT70" s="199">
        <v>9</v>
      </c>
      <c r="BU70" s="199">
        <v>14</v>
      </c>
      <c r="BV70" s="199">
        <v>3</v>
      </c>
      <c r="BW70" s="199">
        <v>12</v>
      </c>
      <c r="BX70" s="199">
        <v>15</v>
      </c>
      <c r="BY70" s="199">
        <v>3</v>
      </c>
      <c r="BZ70" s="200">
        <v>11</v>
      </c>
      <c r="CA70" s="196"/>
      <c r="CB70" s="196"/>
      <c r="CC70" s="196"/>
      <c r="CD70" s="196"/>
      <c r="CE70" s="196"/>
      <c r="CF70" s="196"/>
      <c r="CG70" s="196"/>
      <c r="CH70" s="196"/>
      <c r="CI70" s="196"/>
      <c r="CJ70" s="196"/>
      <c r="CK70" s="196"/>
      <c r="CL70" s="196"/>
      <c r="CM70" s="527">
        <v>11</v>
      </c>
      <c r="CN70" s="196"/>
      <c r="CO70" s="196"/>
      <c r="CP70" s="196"/>
      <c r="CQ70" s="196"/>
      <c r="CR70" s="196"/>
      <c r="CS70" s="196"/>
      <c r="CT70" s="196"/>
      <c r="CU70" s="196"/>
      <c r="CV70" s="196"/>
      <c r="CW70" s="196"/>
      <c r="CX70" s="36"/>
      <c r="CY70" s="36"/>
      <c r="CZ70" s="36"/>
      <c r="DA70" s="36"/>
      <c r="DB70" s="36"/>
      <c r="DC70" s="36"/>
      <c r="DD70" s="36"/>
      <c r="DE70" s="36"/>
      <c r="DF70" s="36"/>
      <c r="DG70" s="36"/>
      <c r="DH70" s="165"/>
      <c r="DL70" s="165"/>
      <c r="DY70" s="36"/>
      <c r="DZ70" s="36"/>
      <c r="EA70" s="36"/>
      <c r="EB70" s="36"/>
      <c r="EC70" s="36"/>
      <c r="ED70" s="36"/>
      <c r="EE70" s="36"/>
      <c r="EF70" s="36"/>
      <c r="EG70" s="36"/>
      <c r="EH70" s="36"/>
      <c r="EI70" s="36"/>
      <c r="EJ70" s="36"/>
      <c r="EK70" s="36"/>
      <c r="EL70" s="36"/>
      <c r="EM70" s="36"/>
      <c r="EN70" s="36"/>
      <c r="EO70" s="36"/>
      <c r="EP70" s="36"/>
      <c r="EQ70" s="36"/>
      <c r="ER70" s="36"/>
      <c r="ES70" s="36"/>
      <c r="ET70" s="36"/>
      <c r="EU70" s="36"/>
      <c r="EV70" s="36"/>
      <c r="EW70" s="36"/>
      <c r="EX70" s="36"/>
      <c r="EY70" s="36"/>
      <c r="EZ70" s="36"/>
      <c r="FA70" s="36"/>
      <c r="FB70" s="36"/>
      <c r="FC70" s="36"/>
      <c r="FD70" s="36"/>
      <c r="FE70" s="36"/>
      <c r="FF70" s="36"/>
      <c r="FG70" s="36"/>
      <c r="FH70" s="36"/>
      <c r="FI70" s="36"/>
      <c r="FJ70" s="36"/>
      <c r="FK70" s="36"/>
      <c r="FL70" s="36"/>
      <c r="FM70" s="36"/>
      <c r="FN70" s="36"/>
      <c r="FO70" s="36"/>
      <c r="FP70" s="36"/>
      <c r="FQ70" s="36"/>
      <c r="FR70" s="36"/>
      <c r="FS70" s="36"/>
      <c r="FT70" s="36"/>
      <c r="FU70" s="36"/>
      <c r="FV70" s="36"/>
      <c r="FW70" s="36"/>
      <c r="KB70" s="4"/>
      <c r="PA70" s="11"/>
    </row>
    <row r="71" spans="1:417" ht="16.5" x14ac:dyDescent="0.3">
      <c r="A71" s="105"/>
      <c r="B71" s="105"/>
      <c r="C71" s="105"/>
      <c r="D71" s="236" t="s">
        <v>66</v>
      </c>
      <c r="E71" s="188">
        <f>E69+E70</f>
        <v>78</v>
      </c>
      <c r="F71" s="188">
        <f t="shared" ref="F71:BQ71" si="58">F69+F70</f>
        <v>85</v>
      </c>
      <c r="G71" s="188">
        <f t="shared" si="58"/>
        <v>33</v>
      </c>
      <c r="H71" s="188">
        <f t="shared" si="58"/>
        <v>56</v>
      </c>
      <c r="I71" s="188">
        <f t="shared" si="58"/>
        <v>38</v>
      </c>
      <c r="J71" s="188">
        <f t="shared" si="58"/>
        <v>36</v>
      </c>
      <c r="K71" s="188">
        <f t="shared" si="58"/>
        <v>9</v>
      </c>
      <c r="L71" s="188">
        <f t="shared" si="58"/>
        <v>36</v>
      </c>
      <c r="M71" s="188">
        <f t="shared" si="58"/>
        <v>40</v>
      </c>
      <c r="N71" s="188">
        <f t="shared" si="58"/>
        <v>47</v>
      </c>
      <c r="O71" s="188">
        <f t="shared" si="58"/>
        <v>44</v>
      </c>
      <c r="P71" s="188">
        <f t="shared" si="58"/>
        <v>39</v>
      </c>
      <c r="Q71" s="188">
        <f t="shared" si="58"/>
        <v>53</v>
      </c>
      <c r="R71" s="188">
        <f t="shared" si="58"/>
        <v>19</v>
      </c>
      <c r="S71" s="188">
        <f t="shared" si="58"/>
        <v>22</v>
      </c>
      <c r="T71" s="188">
        <f t="shared" si="58"/>
        <v>35</v>
      </c>
      <c r="U71" s="188">
        <f t="shared" si="58"/>
        <v>90</v>
      </c>
      <c r="V71" s="188">
        <f t="shared" si="58"/>
        <v>24</v>
      </c>
      <c r="W71" s="188">
        <f t="shared" si="58"/>
        <v>34</v>
      </c>
      <c r="X71" s="188">
        <f t="shared" si="58"/>
        <v>35</v>
      </c>
      <c r="Y71" s="188">
        <f t="shared" si="58"/>
        <v>27</v>
      </c>
      <c r="Z71" s="188">
        <f t="shared" si="58"/>
        <v>25</v>
      </c>
      <c r="AA71" s="188">
        <f t="shared" si="58"/>
        <v>21</v>
      </c>
      <c r="AB71" s="188">
        <f t="shared" si="58"/>
        <v>15</v>
      </c>
      <c r="AC71" s="188">
        <f t="shared" si="58"/>
        <v>34</v>
      </c>
      <c r="AD71" s="238">
        <f t="shared" si="58"/>
        <v>41</v>
      </c>
      <c r="AE71" s="239">
        <f t="shared" si="58"/>
        <v>42</v>
      </c>
      <c r="AF71" s="239">
        <f t="shared" si="58"/>
        <v>48</v>
      </c>
      <c r="AG71" s="239">
        <f t="shared" si="58"/>
        <v>55</v>
      </c>
      <c r="AH71" s="239">
        <f t="shared" si="58"/>
        <v>41</v>
      </c>
      <c r="AI71" s="241">
        <f t="shared" si="58"/>
        <v>39</v>
      </c>
      <c r="AJ71" s="241">
        <f t="shared" si="58"/>
        <v>44</v>
      </c>
      <c r="AK71" s="241">
        <f t="shared" si="58"/>
        <v>54</v>
      </c>
      <c r="AL71" s="242">
        <f t="shared" si="58"/>
        <v>57</v>
      </c>
      <c r="AM71" s="188">
        <f t="shared" si="58"/>
        <v>35</v>
      </c>
      <c r="AN71" s="188">
        <f t="shared" si="58"/>
        <v>23</v>
      </c>
      <c r="AO71" s="188">
        <f t="shared" si="58"/>
        <v>29</v>
      </c>
      <c r="AP71" s="188">
        <f t="shared" si="58"/>
        <v>3</v>
      </c>
      <c r="AQ71" s="188">
        <f t="shared" si="58"/>
        <v>14</v>
      </c>
      <c r="AR71" s="188">
        <f t="shared" si="58"/>
        <v>5</v>
      </c>
      <c r="AS71" s="188">
        <f t="shared" si="58"/>
        <v>42</v>
      </c>
      <c r="AT71" s="188">
        <f t="shared" si="58"/>
        <v>20</v>
      </c>
      <c r="AU71" s="188">
        <f t="shared" si="58"/>
        <v>25</v>
      </c>
      <c r="AV71" s="579">
        <f t="shared" si="58"/>
        <v>19</v>
      </c>
      <c r="AW71" s="188">
        <f t="shared" si="58"/>
        <v>15</v>
      </c>
      <c r="AX71" s="188">
        <f t="shared" si="58"/>
        <v>14</v>
      </c>
      <c r="AY71" s="188">
        <f t="shared" si="58"/>
        <v>1</v>
      </c>
      <c r="AZ71" s="188">
        <f t="shared" si="58"/>
        <v>22</v>
      </c>
      <c r="BA71" s="188">
        <f t="shared" si="58"/>
        <v>37</v>
      </c>
      <c r="BB71" s="188">
        <f t="shared" si="58"/>
        <v>48</v>
      </c>
      <c r="BC71" s="188">
        <f t="shared" si="58"/>
        <v>33</v>
      </c>
      <c r="BD71" s="188">
        <f t="shared" si="58"/>
        <v>25</v>
      </c>
      <c r="BE71" s="188">
        <f t="shared" si="58"/>
        <v>21</v>
      </c>
      <c r="BF71" s="188">
        <f t="shared" si="58"/>
        <v>22</v>
      </c>
      <c r="BG71" s="188">
        <f t="shared" si="58"/>
        <v>20</v>
      </c>
      <c r="BH71" s="188">
        <f t="shared" si="58"/>
        <v>23</v>
      </c>
      <c r="BI71" s="188">
        <f t="shared" si="58"/>
        <v>30</v>
      </c>
      <c r="BJ71" s="188">
        <f t="shared" si="58"/>
        <v>42</v>
      </c>
      <c r="BK71" s="188">
        <f t="shared" si="58"/>
        <v>27</v>
      </c>
      <c r="BL71" s="188">
        <f t="shared" si="58"/>
        <v>19</v>
      </c>
      <c r="BM71" s="188">
        <f t="shared" si="58"/>
        <v>34</v>
      </c>
      <c r="BN71" s="188">
        <f t="shared" si="58"/>
        <v>61</v>
      </c>
      <c r="BO71" s="188">
        <f t="shared" si="58"/>
        <v>41</v>
      </c>
      <c r="BP71" s="238">
        <f t="shared" si="58"/>
        <v>16</v>
      </c>
      <c r="BQ71" s="239">
        <f t="shared" si="58"/>
        <v>49</v>
      </c>
      <c r="BR71" s="239">
        <f t="shared" ref="BR71:CW71" si="59">BR69+BR70</f>
        <v>75</v>
      </c>
      <c r="BS71" s="239">
        <f t="shared" si="59"/>
        <v>70</v>
      </c>
      <c r="BT71" s="239">
        <f t="shared" si="59"/>
        <v>42</v>
      </c>
      <c r="BU71" s="239">
        <f t="shared" si="59"/>
        <v>52</v>
      </c>
      <c r="BV71" s="241">
        <f t="shared" si="59"/>
        <v>42</v>
      </c>
      <c r="BW71" s="241">
        <f t="shared" si="59"/>
        <v>48</v>
      </c>
      <c r="BX71" s="241">
        <f t="shared" si="59"/>
        <v>47</v>
      </c>
      <c r="BY71" s="241">
        <f t="shared" si="59"/>
        <v>81</v>
      </c>
      <c r="BZ71" s="242">
        <f t="shared" si="59"/>
        <v>59</v>
      </c>
      <c r="CA71" s="188">
        <f t="shared" si="59"/>
        <v>27</v>
      </c>
      <c r="CB71" s="188">
        <f t="shared" si="59"/>
        <v>15</v>
      </c>
      <c r="CC71" s="188">
        <f t="shared" si="59"/>
        <v>26</v>
      </c>
      <c r="CD71" s="188">
        <f t="shared" si="59"/>
        <v>43</v>
      </c>
      <c r="CE71" s="188">
        <f t="shared" si="59"/>
        <v>31</v>
      </c>
      <c r="CF71" s="188">
        <f t="shared" si="59"/>
        <v>37</v>
      </c>
      <c r="CG71" s="188">
        <f t="shared" si="59"/>
        <v>62</v>
      </c>
      <c r="CH71" s="188">
        <f t="shared" si="59"/>
        <v>31</v>
      </c>
      <c r="CI71" s="188">
        <f t="shared" si="59"/>
        <v>10</v>
      </c>
      <c r="CJ71" s="188">
        <f t="shared" si="59"/>
        <v>1</v>
      </c>
      <c r="CK71" s="188">
        <f t="shared" si="59"/>
        <v>22</v>
      </c>
      <c r="CL71" s="188">
        <f t="shared" si="59"/>
        <v>19</v>
      </c>
      <c r="CM71" s="528">
        <f t="shared" si="59"/>
        <v>11</v>
      </c>
      <c r="CN71" s="188">
        <f t="shared" si="59"/>
        <v>25</v>
      </c>
      <c r="CO71" s="188">
        <f t="shared" si="59"/>
        <v>13</v>
      </c>
      <c r="CP71" s="188">
        <f t="shared" si="59"/>
        <v>26</v>
      </c>
      <c r="CQ71" s="188">
        <f t="shared" si="59"/>
        <v>25</v>
      </c>
      <c r="CR71" s="188">
        <f t="shared" si="59"/>
        <v>16</v>
      </c>
      <c r="CS71" s="188">
        <f t="shared" si="59"/>
        <v>18</v>
      </c>
      <c r="CT71" s="188">
        <f t="shared" si="59"/>
        <v>31</v>
      </c>
      <c r="CU71" s="188">
        <f t="shared" si="59"/>
        <v>31</v>
      </c>
      <c r="CV71" s="188">
        <f t="shared" si="59"/>
        <v>37</v>
      </c>
      <c r="CW71" s="188">
        <f t="shared" si="59"/>
        <v>52</v>
      </c>
      <c r="CX71" s="36"/>
      <c r="CY71" s="36"/>
      <c r="CZ71" s="36"/>
      <c r="DA71" s="36"/>
      <c r="DB71" s="36"/>
      <c r="DC71" s="36"/>
      <c r="DD71" s="36"/>
      <c r="DE71" s="36"/>
      <c r="DF71" s="165"/>
      <c r="DG71" s="36"/>
      <c r="DH71" s="165"/>
      <c r="DI71" s="165"/>
      <c r="DK71" s="165"/>
      <c r="DL71" s="165"/>
      <c r="DM71" s="165"/>
      <c r="DO71" s="165"/>
      <c r="DW71" s="165"/>
      <c r="DY71" s="36"/>
      <c r="DZ71" s="36"/>
      <c r="EA71" s="165"/>
      <c r="EB71" s="36"/>
      <c r="EC71" s="36"/>
      <c r="ED71" s="36"/>
      <c r="EE71" s="36"/>
      <c r="EF71" s="36"/>
      <c r="EG71" s="165"/>
      <c r="EH71" s="36"/>
      <c r="EI71" s="165"/>
      <c r="EJ71" s="165"/>
      <c r="EK71" s="36"/>
      <c r="EL71" s="36"/>
      <c r="EM71" s="36"/>
      <c r="EN71" s="36"/>
      <c r="EO71" s="36"/>
      <c r="EP71" s="36"/>
      <c r="EQ71" s="36"/>
      <c r="ER71" s="36"/>
      <c r="ES71" s="36"/>
      <c r="ET71" s="36"/>
      <c r="EU71" s="36"/>
      <c r="EV71" s="36"/>
      <c r="EW71" s="36"/>
      <c r="EX71" s="36"/>
      <c r="EY71" s="36"/>
      <c r="EZ71" s="36"/>
      <c r="FA71" s="36"/>
      <c r="FB71" s="36"/>
      <c r="FC71" s="36"/>
      <c r="FD71" s="36"/>
      <c r="FE71" s="36"/>
      <c r="FF71" s="36"/>
      <c r="FG71" s="36"/>
      <c r="FH71" s="36"/>
      <c r="FI71" s="36"/>
      <c r="FJ71" s="36"/>
      <c r="FK71" s="36"/>
      <c r="FL71" s="36"/>
      <c r="FM71" s="36"/>
      <c r="FN71" s="36"/>
      <c r="FO71" s="36"/>
      <c r="FP71" s="36"/>
      <c r="FQ71" s="36"/>
      <c r="FR71" s="36"/>
      <c r="FS71" s="36"/>
      <c r="FT71" s="36"/>
      <c r="FU71" s="36"/>
      <c r="FV71" s="36"/>
      <c r="FW71" s="36"/>
      <c r="KB71" s="4"/>
      <c r="PA71" s="11"/>
    </row>
    <row r="72" spans="1:417" s="33" customFormat="1" ht="16.5" x14ac:dyDescent="0.3">
      <c r="A72" s="281"/>
      <c r="B72" s="281"/>
      <c r="C72" s="281"/>
      <c r="D72" s="237"/>
      <c r="E72" s="199"/>
      <c r="F72" s="199"/>
      <c r="G72" s="199"/>
      <c r="H72" s="199"/>
      <c r="I72" s="199"/>
      <c r="J72" s="199"/>
      <c r="K72" s="199"/>
      <c r="L72" s="199"/>
      <c r="M72" s="199"/>
      <c r="N72" s="199"/>
      <c r="O72" s="199"/>
      <c r="P72" s="199"/>
      <c r="Q72" s="199"/>
      <c r="R72" s="199"/>
      <c r="S72" s="199"/>
      <c r="T72" s="199"/>
      <c r="U72" s="199"/>
      <c r="V72" s="199"/>
      <c r="W72" s="199"/>
      <c r="X72" s="199"/>
      <c r="Y72" s="199"/>
      <c r="Z72" s="199"/>
      <c r="AA72" s="199"/>
      <c r="AB72" s="199"/>
      <c r="AC72" s="199"/>
      <c r="AD72" s="198"/>
      <c r="AE72" s="199"/>
      <c r="AF72" s="199"/>
      <c r="AG72" s="199"/>
      <c r="AH72" s="199"/>
      <c r="AI72" s="199"/>
      <c r="AJ72" s="199"/>
      <c r="AK72" s="199"/>
      <c r="AL72" s="200"/>
      <c r="AM72" s="199"/>
      <c r="AN72" s="199"/>
      <c r="AO72" s="199"/>
      <c r="AP72" s="199"/>
      <c r="AQ72" s="199"/>
      <c r="AR72" s="199"/>
      <c r="AS72" s="199"/>
      <c r="AT72" s="199"/>
      <c r="AU72" s="199"/>
      <c r="AV72" s="527"/>
      <c r="AW72" s="199"/>
      <c r="AX72" s="199"/>
      <c r="AY72" s="199"/>
      <c r="AZ72" s="199"/>
      <c r="BA72" s="199"/>
      <c r="BB72" s="199"/>
      <c r="BC72" s="199"/>
      <c r="BD72" s="199"/>
      <c r="BE72" s="199"/>
      <c r="BF72" s="199"/>
      <c r="BG72" s="199"/>
      <c r="BH72" s="199"/>
      <c r="BI72" s="199"/>
      <c r="BJ72" s="199"/>
      <c r="BK72" s="199"/>
      <c r="BL72" s="199"/>
      <c r="BM72" s="199"/>
      <c r="BN72" s="199"/>
      <c r="BO72" s="199"/>
      <c r="BP72" s="198"/>
      <c r="BQ72" s="199"/>
      <c r="BR72" s="199"/>
      <c r="BS72" s="199"/>
      <c r="BT72" s="199"/>
      <c r="BU72" s="199"/>
      <c r="BV72" s="199"/>
      <c r="BW72" s="199"/>
      <c r="BX72" s="199"/>
      <c r="BY72" s="199"/>
      <c r="BZ72" s="200"/>
      <c r="CA72" s="199"/>
      <c r="CB72" s="199"/>
      <c r="CC72" s="199"/>
      <c r="CD72" s="199"/>
      <c r="CE72" s="199"/>
      <c r="CF72" s="199"/>
      <c r="CG72" s="199"/>
      <c r="CH72" s="199"/>
      <c r="CI72" s="199"/>
      <c r="CJ72" s="199"/>
      <c r="CK72" s="199"/>
      <c r="CL72" s="199"/>
      <c r="CM72" s="527"/>
      <c r="CN72" s="199"/>
      <c r="CO72" s="199"/>
      <c r="CP72" s="199"/>
      <c r="CQ72" s="199"/>
      <c r="CR72" s="199"/>
      <c r="CS72" s="199"/>
      <c r="CT72" s="199"/>
      <c r="CU72" s="199"/>
      <c r="CV72" s="199"/>
      <c r="CW72" s="199"/>
      <c r="CX72" s="48"/>
      <c r="CY72" s="48"/>
      <c r="CZ72" s="48"/>
      <c r="DA72" s="48"/>
      <c r="DB72" s="48"/>
      <c r="DC72" s="48"/>
      <c r="DD72" s="48"/>
      <c r="DE72" s="165"/>
      <c r="DF72" s="165"/>
      <c r="DG72" s="165"/>
      <c r="DH72" s="165"/>
      <c r="DI72" s="165"/>
      <c r="DJ72" s="165"/>
      <c r="DK72" s="165"/>
      <c r="DL72" s="165"/>
      <c r="DM72" s="165"/>
      <c r="DN72" s="165"/>
      <c r="DO72" s="165"/>
      <c r="DP72" s="165"/>
      <c r="DT72" s="165"/>
      <c r="DV72" s="165"/>
      <c r="DW72" s="165"/>
      <c r="DX72" s="165"/>
      <c r="DY72" s="48"/>
      <c r="DZ72" s="165"/>
      <c r="EA72" s="165"/>
      <c r="EB72" s="165"/>
      <c r="EC72" s="48"/>
      <c r="ED72" s="48"/>
      <c r="EE72" s="48"/>
      <c r="EF72" s="165"/>
      <c r="EG72" s="165"/>
      <c r="EH72" s="165"/>
      <c r="EI72" s="165"/>
      <c r="EJ72" s="165"/>
      <c r="EK72" s="48"/>
      <c r="EL72" s="48"/>
      <c r="EM72" s="48"/>
      <c r="EN72" s="48"/>
      <c r="EO72" s="48"/>
      <c r="EP72" s="48"/>
      <c r="EQ72" s="48"/>
      <c r="ER72" s="48"/>
      <c r="ES72" s="48"/>
      <c r="ET72" s="48"/>
      <c r="EU72" s="48"/>
      <c r="EV72" s="48"/>
      <c r="EW72" s="48"/>
      <c r="EX72" s="48"/>
      <c r="EY72" s="48"/>
      <c r="EZ72" s="48"/>
      <c r="FA72" s="48"/>
      <c r="FB72" s="48"/>
      <c r="FC72" s="48"/>
      <c r="FD72" s="48"/>
      <c r="FE72" s="48"/>
      <c r="FF72" s="48"/>
      <c r="FG72" s="48"/>
      <c r="FH72" s="48"/>
      <c r="FI72" s="48"/>
      <c r="FJ72" s="48"/>
      <c r="FK72" s="48"/>
      <c r="FL72" s="48"/>
      <c r="FM72" s="48"/>
      <c r="FN72" s="48"/>
      <c r="FO72" s="48"/>
      <c r="FP72" s="48"/>
      <c r="FQ72" s="48"/>
      <c r="FR72" s="48"/>
      <c r="FS72" s="48"/>
      <c r="FT72" s="48"/>
      <c r="FU72" s="48"/>
      <c r="FV72" s="48"/>
      <c r="FW72" s="48"/>
      <c r="KB72" s="32"/>
      <c r="PA72" s="15"/>
    </row>
    <row r="73" spans="1:417" ht="16.5" x14ac:dyDescent="0.3">
      <c r="A73" s="105"/>
      <c r="B73" s="105"/>
      <c r="C73" s="105"/>
      <c r="D73" s="236" t="s">
        <v>67</v>
      </c>
      <c r="E73" s="189">
        <f>MOD(E71,26)</f>
        <v>0</v>
      </c>
      <c r="F73" s="189">
        <f t="shared" ref="F73:BQ73" si="60">MOD(F71,26)</f>
        <v>7</v>
      </c>
      <c r="G73" s="189">
        <f t="shared" si="60"/>
        <v>7</v>
      </c>
      <c r="H73" s="189">
        <f t="shared" si="60"/>
        <v>4</v>
      </c>
      <c r="I73" s="189">
        <f t="shared" si="60"/>
        <v>12</v>
      </c>
      <c r="J73" s="189">
        <f t="shared" si="60"/>
        <v>10</v>
      </c>
      <c r="K73" s="189">
        <f t="shared" si="60"/>
        <v>9</v>
      </c>
      <c r="L73" s="189">
        <f t="shared" si="60"/>
        <v>10</v>
      </c>
      <c r="M73" s="189">
        <f t="shared" si="60"/>
        <v>14</v>
      </c>
      <c r="N73" s="189">
        <f t="shared" si="60"/>
        <v>21</v>
      </c>
      <c r="O73" s="189">
        <f t="shared" si="60"/>
        <v>18</v>
      </c>
      <c r="P73" s="189">
        <f t="shared" si="60"/>
        <v>13</v>
      </c>
      <c r="Q73" s="189">
        <f t="shared" si="60"/>
        <v>1</v>
      </c>
      <c r="R73" s="189">
        <f t="shared" si="60"/>
        <v>19</v>
      </c>
      <c r="S73" s="189">
        <f t="shared" si="60"/>
        <v>22</v>
      </c>
      <c r="T73" s="189">
        <f t="shared" si="60"/>
        <v>9</v>
      </c>
      <c r="U73" s="189">
        <f t="shared" si="60"/>
        <v>12</v>
      </c>
      <c r="V73" s="189">
        <f t="shared" si="60"/>
        <v>24</v>
      </c>
      <c r="W73" s="189">
        <f t="shared" si="60"/>
        <v>8</v>
      </c>
      <c r="X73" s="189">
        <f t="shared" si="60"/>
        <v>9</v>
      </c>
      <c r="Y73" s="189">
        <f t="shared" si="60"/>
        <v>1</v>
      </c>
      <c r="Z73" s="189">
        <f t="shared" si="60"/>
        <v>25</v>
      </c>
      <c r="AA73" s="189">
        <f t="shared" si="60"/>
        <v>21</v>
      </c>
      <c r="AB73" s="189">
        <f t="shared" si="60"/>
        <v>15</v>
      </c>
      <c r="AC73" s="189">
        <f t="shared" si="60"/>
        <v>8</v>
      </c>
      <c r="AD73" s="191">
        <f t="shared" si="60"/>
        <v>15</v>
      </c>
      <c r="AE73" s="192">
        <f t="shared" si="60"/>
        <v>16</v>
      </c>
      <c r="AF73" s="192">
        <f t="shared" si="60"/>
        <v>22</v>
      </c>
      <c r="AG73" s="192">
        <f t="shared" si="60"/>
        <v>3</v>
      </c>
      <c r="AH73" s="192">
        <f t="shared" si="60"/>
        <v>15</v>
      </c>
      <c r="AI73" s="192">
        <f t="shared" si="60"/>
        <v>13</v>
      </c>
      <c r="AJ73" s="192">
        <f t="shared" si="60"/>
        <v>18</v>
      </c>
      <c r="AK73" s="192">
        <f t="shared" si="60"/>
        <v>2</v>
      </c>
      <c r="AL73" s="193">
        <f t="shared" si="60"/>
        <v>5</v>
      </c>
      <c r="AM73" s="189">
        <f t="shared" si="60"/>
        <v>9</v>
      </c>
      <c r="AN73" s="189">
        <f t="shared" si="60"/>
        <v>23</v>
      </c>
      <c r="AO73" s="189">
        <f t="shared" si="60"/>
        <v>3</v>
      </c>
      <c r="AP73" s="189">
        <f t="shared" si="60"/>
        <v>3</v>
      </c>
      <c r="AQ73" s="189">
        <f t="shared" si="60"/>
        <v>14</v>
      </c>
      <c r="AR73" s="189">
        <f t="shared" si="60"/>
        <v>5</v>
      </c>
      <c r="AS73" s="189">
        <f t="shared" si="60"/>
        <v>16</v>
      </c>
      <c r="AT73" s="189">
        <f t="shared" si="60"/>
        <v>20</v>
      </c>
      <c r="AU73" s="189">
        <f t="shared" si="60"/>
        <v>25</v>
      </c>
      <c r="AV73" s="529">
        <f t="shared" si="60"/>
        <v>19</v>
      </c>
      <c r="AW73" s="189">
        <f t="shared" si="60"/>
        <v>15</v>
      </c>
      <c r="AX73" s="189">
        <f t="shared" si="60"/>
        <v>14</v>
      </c>
      <c r="AY73" s="189">
        <f t="shared" si="60"/>
        <v>1</v>
      </c>
      <c r="AZ73" s="189">
        <f t="shared" si="60"/>
        <v>22</v>
      </c>
      <c r="BA73" s="189">
        <f t="shared" si="60"/>
        <v>11</v>
      </c>
      <c r="BB73" s="189">
        <f t="shared" si="60"/>
        <v>22</v>
      </c>
      <c r="BC73" s="189">
        <f t="shared" si="60"/>
        <v>7</v>
      </c>
      <c r="BD73" s="189">
        <f t="shared" si="60"/>
        <v>25</v>
      </c>
      <c r="BE73" s="189">
        <f t="shared" si="60"/>
        <v>21</v>
      </c>
      <c r="BF73" s="189">
        <f t="shared" si="60"/>
        <v>22</v>
      </c>
      <c r="BG73" s="189">
        <f t="shared" si="60"/>
        <v>20</v>
      </c>
      <c r="BH73" s="189">
        <f t="shared" si="60"/>
        <v>23</v>
      </c>
      <c r="BI73" s="189">
        <f t="shared" si="60"/>
        <v>4</v>
      </c>
      <c r="BJ73" s="189">
        <f t="shared" si="60"/>
        <v>16</v>
      </c>
      <c r="BK73" s="189">
        <f t="shared" si="60"/>
        <v>1</v>
      </c>
      <c r="BL73" s="189">
        <f t="shared" si="60"/>
        <v>19</v>
      </c>
      <c r="BM73" s="189">
        <f t="shared" si="60"/>
        <v>8</v>
      </c>
      <c r="BN73" s="189">
        <f t="shared" si="60"/>
        <v>9</v>
      </c>
      <c r="BO73" s="189">
        <f t="shared" si="60"/>
        <v>15</v>
      </c>
      <c r="BP73" s="191">
        <f t="shared" si="60"/>
        <v>16</v>
      </c>
      <c r="BQ73" s="192">
        <f t="shared" si="60"/>
        <v>23</v>
      </c>
      <c r="BR73" s="192">
        <f t="shared" ref="BR73:CW73" si="61">MOD(BR71,26)</f>
        <v>23</v>
      </c>
      <c r="BS73" s="192">
        <f t="shared" si="61"/>
        <v>18</v>
      </c>
      <c r="BT73" s="192">
        <f t="shared" si="61"/>
        <v>16</v>
      </c>
      <c r="BU73" s="192">
        <f t="shared" si="61"/>
        <v>0</v>
      </c>
      <c r="BV73" s="192">
        <f t="shared" si="61"/>
        <v>16</v>
      </c>
      <c r="BW73" s="192">
        <f t="shared" si="61"/>
        <v>22</v>
      </c>
      <c r="BX73" s="192">
        <f t="shared" si="61"/>
        <v>21</v>
      </c>
      <c r="BY73" s="192">
        <f t="shared" si="61"/>
        <v>3</v>
      </c>
      <c r="BZ73" s="193">
        <f t="shared" si="61"/>
        <v>7</v>
      </c>
      <c r="CA73" s="189">
        <f t="shared" si="61"/>
        <v>1</v>
      </c>
      <c r="CB73" s="189">
        <f t="shared" si="61"/>
        <v>15</v>
      </c>
      <c r="CC73" s="189">
        <f t="shared" si="61"/>
        <v>0</v>
      </c>
      <c r="CD73" s="189">
        <f t="shared" si="61"/>
        <v>17</v>
      </c>
      <c r="CE73" s="189">
        <f t="shared" si="61"/>
        <v>5</v>
      </c>
      <c r="CF73" s="189">
        <f t="shared" si="61"/>
        <v>11</v>
      </c>
      <c r="CG73" s="189">
        <f t="shared" si="61"/>
        <v>10</v>
      </c>
      <c r="CH73" s="189">
        <f t="shared" si="61"/>
        <v>5</v>
      </c>
      <c r="CI73" s="189">
        <f t="shared" si="61"/>
        <v>10</v>
      </c>
      <c r="CJ73" s="189">
        <f t="shared" si="61"/>
        <v>1</v>
      </c>
      <c r="CK73" s="189">
        <f t="shared" si="61"/>
        <v>22</v>
      </c>
      <c r="CL73" s="189">
        <f t="shared" si="61"/>
        <v>19</v>
      </c>
      <c r="CM73" s="529">
        <f t="shared" si="61"/>
        <v>11</v>
      </c>
      <c r="CN73" s="189">
        <f t="shared" si="61"/>
        <v>25</v>
      </c>
      <c r="CO73" s="189">
        <f t="shared" si="61"/>
        <v>13</v>
      </c>
      <c r="CP73" s="189">
        <f t="shared" si="61"/>
        <v>0</v>
      </c>
      <c r="CQ73" s="189">
        <f t="shared" si="61"/>
        <v>25</v>
      </c>
      <c r="CR73" s="189">
        <f t="shared" si="61"/>
        <v>16</v>
      </c>
      <c r="CS73" s="189">
        <f t="shared" si="61"/>
        <v>18</v>
      </c>
      <c r="CT73" s="189">
        <f t="shared" si="61"/>
        <v>5</v>
      </c>
      <c r="CU73" s="189">
        <f t="shared" si="61"/>
        <v>5</v>
      </c>
      <c r="CV73" s="189">
        <f t="shared" si="61"/>
        <v>11</v>
      </c>
      <c r="CW73" s="189">
        <f t="shared" si="61"/>
        <v>0</v>
      </c>
      <c r="DE73" s="165"/>
      <c r="DF73" s="165"/>
      <c r="DG73" s="165"/>
      <c r="DH73" s="165"/>
      <c r="DI73" s="165"/>
      <c r="DJ73" s="165"/>
      <c r="DK73" s="165"/>
      <c r="DL73" s="165"/>
      <c r="DM73" s="165"/>
      <c r="DN73" s="165"/>
      <c r="DO73" s="165"/>
      <c r="DP73" s="165"/>
      <c r="DS73" s="165"/>
      <c r="DT73" s="165"/>
      <c r="DU73" s="165"/>
      <c r="DV73" s="165"/>
      <c r="DW73" s="165"/>
      <c r="DX73" s="165"/>
      <c r="DY73" s="165"/>
      <c r="DZ73" s="165"/>
      <c r="EA73" s="165"/>
      <c r="EB73" s="165"/>
      <c r="EC73" s="165"/>
      <c r="EE73" s="165"/>
      <c r="EF73" s="165"/>
      <c r="EG73" s="165"/>
      <c r="EH73" s="165"/>
      <c r="EI73" s="165"/>
      <c r="EJ73" s="165"/>
      <c r="PA73" s="11"/>
    </row>
    <row r="74" spans="1:417" x14ac:dyDescent="0.25">
      <c r="A74" s="105"/>
      <c r="B74" s="105"/>
      <c r="C74" s="105"/>
      <c r="D74" s="194"/>
      <c r="E74" s="105"/>
      <c r="F74" s="105"/>
      <c r="G74" s="105"/>
      <c r="H74" s="105"/>
      <c r="I74" s="105"/>
      <c r="J74" s="105"/>
      <c r="K74" s="105"/>
      <c r="L74" s="105"/>
      <c r="M74" s="105"/>
      <c r="N74" s="105"/>
      <c r="O74" s="105"/>
      <c r="P74" s="105"/>
      <c r="Q74" s="105"/>
      <c r="R74" s="105"/>
      <c r="S74" s="105"/>
      <c r="T74" s="105"/>
      <c r="U74" s="105"/>
      <c r="V74" s="105"/>
      <c r="W74" s="105"/>
      <c r="X74" s="105"/>
      <c r="Y74" s="105"/>
      <c r="Z74" s="105"/>
      <c r="AA74" s="105"/>
      <c r="AB74" s="105"/>
      <c r="AC74" s="105"/>
      <c r="AD74" s="202"/>
      <c r="AE74" s="203"/>
      <c r="AF74" s="203"/>
      <c r="AG74" s="203"/>
      <c r="AH74" s="203"/>
      <c r="AI74" s="203"/>
      <c r="AJ74" s="203"/>
      <c r="AK74" s="203"/>
      <c r="AL74" s="204"/>
      <c r="AM74" s="105"/>
      <c r="AN74" s="105"/>
      <c r="AO74" s="105"/>
      <c r="AP74" s="105"/>
      <c r="AQ74" s="105"/>
      <c r="AR74" s="105"/>
      <c r="AS74" s="105"/>
      <c r="AT74" s="105"/>
      <c r="AU74" s="105"/>
      <c r="AV74" s="530"/>
      <c r="AW74" s="105"/>
      <c r="AX74" s="105"/>
      <c r="AY74" s="105"/>
      <c r="AZ74" s="105"/>
      <c r="BA74" s="105"/>
      <c r="BB74" s="105"/>
      <c r="BC74" s="105"/>
      <c r="BD74" s="105"/>
      <c r="BE74" s="105"/>
      <c r="BF74" s="105"/>
      <c r="BG74" s="105"/>
      <c r="BH74" s="105"/>
      <c r="BI74" s="105"/>
      <c r="BJ74" s="105"/>
      <c r="BK74" s="105"/>
      <c r="BL74" s="105"/>
      <c r="BM74" s="105"/>
      <c r="BN74" s="105"/>
      <c r="BO74" s="105"/>
      <c r="BP74" s="202"/>
      <c r="BQ74" s="203"/>
      <c r="BR74" s="203"/>
      <c r="BS74" s="203"/>
      <c r="BT74" s="203"/>
      <c r="BU74" s="203"/>
      <c r="BV74" s="203"/>
      <c r="BW74" s="203"/>
      <c r="BX74" s="203"/>
      <c r="BY74" s="203"/>
      <c r="BZ74" s="204"/>
      <c r="CA74" s="105"/>
      <c r="CB74" s="105"/>
      <c r="CC74" s="105"/>
      <c r="CD74" s="105"/>
      <c r="CE74" s="105"/>
      <c r="CF74" s="105"/>
      <c r="CG74" s="105"/>
      <c r="CH74" s="105"/>
      <c r="CI74" s="105"/>
      <c r="CJ74" s="105"/>
      <c r="CK74" s="105"/>
      <c r="CL74" s="105"/>
      <c r="CM74" s="530"/>
      <c r="CN74" s="105"/>
      <c r="CO74" s="105"/>
      <c r="CP74" s="105"/>
      <c r="CQ74" s="105"/>
      <c r="CR74" s="105"/>
      <c r="CS74" s="105"/>
      <c r="CT74" s="105"/>
      <c r="CU74" s="105"/>
      <c r="CV74" s="105"/>
      <c r="CW74" s="105"/>
      <c r="DE74" s="36"/>
      <c r="DF74" s="36"/>
      <c r="DG74" s="36"/>
      <c r="DH74" s="36"/>
      <c r="DI74" s="36"/>
      <c r="DJ74" s="36"/>
      <c r="DK74" s="36"/>
      <c r="DL74" s="36"/>
      <c r="DM74" s="36"/>
      <c r="PA74" s="11"/>
    </row>
    <row r="75" spans="1:417" ht="16.5" x14ac:dyDescent="0.3">
      <c r="A75" s="281"/>
      <c r="B75" s="281"/>
      <c r="C75" s="105"/>
      <c r="D75" s="236" t="s">
        <v>68</v>
      </c>
      <c r="E75" s="140" t="str">
        <f t="shared" ref="E75:AJ75" si="62">HLOOKUP(E73,NUMBERS_to_LETTERS,2,FALSE)</f>
        <v>Z</v>
      </c>
      <c r="F75" s="140" t="str">
        <f t="shared" si="62"/>
        <v>G</v>
      </c>
      <c r="G75" s="140" t="str">
        <f t="shared" si="62"/>
        <v>G</v>
      </c>
      <c r="H75" s="140" t="str">
        <f t="shared" si="62"/>
        <v>D</v>
      </c>
      <c r="I75" s="140" t="str">
        <f t="shared" si="62"/>
        <v>L</v>
      </c>
      <c r="J75" s="140" t="str">
        <f t="shared" si="62"/>
        <v>J</v>
      </c>
      <c r="K75" s="140" t="str">
        <f t="shared" si="62"/>
        <v>I</v>
      </c>
      <c r="L75" s="140" t="str">
        <f t="shared" si="62"/>
        <v>J</v>
      </c>
      <c r="M75" s="140" t="str">
        <f t="shared" si="62"/>
        <v>N</v>
      </c>
      <c r="N75" s="140" t="str">
        <f t="shared" si="62"/>
        <v>U</v>
      </c>
      <c r="O75" s="140" t="str">
        <f t="shared" si="62"/>
        <v>R</v>
      </c>
      <c r="P75" s="140" t="str">
        <f t="shared" si="62"/>
        <v>M</v>
      </c>
      <c r="Q75" s="140" t="str">
        <f t="shared" si="62"/>
        <v>A</v>
      </c>
      <c r="R75" s="140" t="str">
        <f t="shared" si="62"/>
        <v>S</v>
      </c>
      <c r="S75" s="140" t="str">
        <f t="shared" si="62"/>
        <v>V</v>
      </c>
      <c r="T75" s="140" t="str">
        <f t="shared" si="62"/>
        <v>I</v>
      </c>
      <c r="U75" s="140" t="str">
        <f t="shared" si="62"/>
        <v>L</v>
      </c>
      <c r="V75" s="140" t="str">
        <f t="shared" si="62"/>
        <v>X</v>
      </c>
      <c r="W75" s="140" t="str">
        <f t="shared" si="62"/>
        <v>H</v>
      </c>
      <c r="X75" s="140" t="str">
        <f t="shared" si="62"/>
        <v>I</v>
      </c>
      <c r="Y75" s="140" t="str">
        <f t="shared" si="62"/>
        <v>A</v>
      </c>
      <c r="Z75" s="140" t="str">
        <f t="shared" si="62"/>
        <v>Y</v>
      </c>
      <c r="AA75" s="140" t="str">
        <f t="shared" si="62"/>
        <v>U</v>
      </c>
      <c r="AB75" s="140" t="str">
        <f t="shared" si="62"/>
        <v>O</v>
      </c>
      <c r="AC75" s="140" t="str">
        <f t="shared" si="62"/>
        <v>H</v>
      </c>
      <c r="AD75" s="206" t="str">
        <f t="shared" si="62"/>
        <v>O</v>
      </c>
      <c r="AE75" s="207" t="str">
        <f t="shared" si="62"/>
        <v>P</v>
      </c>
      <c r="AF75" s="207" t="str">
        <f t="shared" si="62"/>
        <v>V</v>
      </c>
      <c r="AG75" s="207" t="str">
        <f t="shared" si="62"/>
        <v>C</v>
      </c>
      <c r="AH75" s="207" t="str">
        <f t="shared" si="62"/>
        <v>O</v>
      </c>
      <c r="AI75" s="207" t="str">
        <f t="shared" si="62"/>
        <v>M</v>
      </c>
      <c r="AJ75" s="207" t="str">
        <f t="shared" si="62"/>
        <v>R</v>
      </c>
      <c r="AK75" s="207" t="str">
        <f t="shared" ref="AK75:BP75" si="63">HLOOKUP(AK73,NUMBERS_to_LETTERS,2,FALSE)</f>
        <v>B</v>
      </c>
      <c r="AL75" s="208" t="str">
        <f t="shared" si="63"/>
        <v>E</v>
      </c>
      <c r="AM75" s="140" t="str">
        <f t="shared" si="63"/>
        <v>I</v>
      </c>
      <c r="AN75" s="140" t="str">
        <f t="shared" si="63"/>
        <v>W</v>
      </c>
      <c r="AO75" s="140" t="str">
        <f t="shared" si="63"/>
        <v>C</v>
      </c>
      <c r="AP75" s="140" t="str">
        <f t="shared" si="63"/>
        <v>C</v>
      </c>
      <c r="AQ75" s="140" t="str">
        <f t="shared" si="63"/>
        <v>N</v>
      </c>
      <c r="AR75" s="140" t="str">
        <f t="shared" si="63"/>
        <v>E</v>
      </c>
      <c r="AS75" s="140" t="str">
        <f t="shared" si="63"/>
        <v>P</v>
      </c>
      <c r="AT75" s="140" t="str">
        <f t="shared" si="63"/>
        <v>T</v>
      </c>
      <c r="AU75" s="140" t="str">
        <f t="shared" si="63"/>
        <v>Y</v>
      </c>
      <c r="AV75" s="531" t="str">
        <f t="shared" si="63"/>
        <v>S</v>
      </c>
      <c r="AW75" s="140" t="str">
        <f t="shared" si="63"/>
        <v>O</v>
      </c>
      <c r="AX75" s="140" t="str">
        <f t="shared" si="63"/>
        <v>N</v>
      </c>
      <c r="AY75" s="140" t="str">
        <f t="shared" si="63"/>
        <v>A</v>
      </c>
      <c r="AZ75" s="140" t="str">
        <f t="shared" si="63"/>
        <v>V</v>
      </c>
      <c r="BA75" s="140" t="str">
        <f t="shared" si="63"/>
        <v>K</v>
      </c>
      <c r="BB75" s="140" t="str">
        <f t="shared" si="63"/>
        <v>V</v>
      </c>
      <c r="BC75" s="140" t="str">
        <f t="shared" si="63"/>
        <v>G</v>
      </c>
      <c r="BD75" s="140" t="str">
        <f t="shared" si="63"/>
        <v>Y</v>
      </c>
      <c r="BE75" s="140" t="str">
        <f t="shared" si="63"/>
        <v>U</v>
      </c>
      <c r="BF75" s="140" t="str">
        <f t="shared" si="63"/>
        <v>V</v>
      </c>
      <c r="BG75" s="140" t="str">
        <f t="shared" si="63"/>
        <v>T</v>
      </c>
      <c r="BH75" s="140" t="str">
        <f t="shared" si="63"/>
        <v>W</v>
      </c>
      <c r="BI75" s="140" t="str">
        <f t="shared" si="63"/>
        <v>D</v>
      </c>
      <c r="BJ75" s="140" t="str">
        <f t="shared" si="63"/>
        <v>P</v>
      </c>
      <c r="BK75" s="140" t="str">
        <f t="shared" si="63"/>
        <v>A</v>
      </c>
      <c r="BL75" s="140" t="str">
        <f t="shared" si="63"/>
        <v>S</v>
      </c>
      <c r="BM75" s="140" t="str">
        <f t="shared" si="63"/>
        <v>H</v>
      </c>
      <c r="BN75" s="140" t="str">
        <f t="shared" si="63"/>
        <v>I</v>
      </c>
      <c r="BO75" s="140" t="str">
        <f t="shared" si="63"/>
        <v>O</v>
      </c>
      <c r="BP75" s="206" t="str">
        <f t="shared" si="63"/>
        <v>P</v>
      </c>
      <c r="BQ75" s="207" t="str">
        <f t="shared" ref="BQ75:CW75" si="64">HLOOKUP(BQ73,NUMBERS_to_LETTERS,2,FALSE)</f>
        <v>W</v>
      </c>
      <c r="BR75" s="207" t="str">
        <f t="shared" si="64"/>
        <v>W</v>
      </c>
      <c r="BS75" s="207" t="str">
        <f t="shared" si="64"/>
        <v>R</v>
      </c>
      <c r="BT75" s="207" t="str">
        <f t="shared" si="64"/>
        <v>P</v>
      </c>
      <c r="BU75" s="207" t="str">
        <f t="shared" si="64"/>
        <v>Z</v>
      </c>
      <c r="BV75" s="207" t="str">
        <f t="shared" si="64"/>
        <v>P</v>
      </c>
      <c r="BW75" s="207" t="str">
        <f t="shared" si="64"/>
        <v>V</v>
      </c>
      <c r="BX75" s="207" t="str">
        <f t="shared" si="64"/>
        <v>U</v>
      </c>
      <c r="BY75" s="207" t="str">
        <f t="shared" si="64"/>
        <v>C</v>
      </c>
      <c r="BZ75" s="208" t="str">
        <f t="shared" si="64"/>
        <v>G</v>
      </c>
      <c r="CA75" s="140" t="str">
        <f t="shared" si="64"/>
        <v>A</v>
      </c>
      <c r="CB75" s="140" t="str">
        <f t="shared" si="64"/>
        <v>O</v>
      </c>
      <c r="CC75" s="140" t="str">
        <f t="shared" si="64"/>
        <v>Z</v>
      </c>
      <c r="CD75" s="140" t="str">
        <f t="shared" si="64"/>
        <v>Q</v>
      </c>
      <c r="CE75" s="140" t="str">
        <f t="shared" si="64"/>
        <v>E</v>
      </c>
      <c r="CF75" s="140" t="str">
        <f t="shared" si="64"/>
        <v>K</v>
      </c>
      <c r="CG75" s="140" t="str">
        <f t="shared" si="64"/>
        <v>J</v>
      </c>
      <c r="CH75" s="140" t="str">
        <f t="shared" si="64"/>
        <v>E</v>
      </c>
      <c r="CI75" s="140" t="str">
        <f t="shared" si="64"/>
        <v>J</v>
      </c>
      <c r="CJ75" s="140" t="str">
        <f t="shared" si="64"/>
        <v>A</v>
      </c>
      <c r="CK75" s="140" t="str">
        <f t="shared" si="64"/>
        <v>V</v>
      </c>
      <c r="CL75" s="140" t="str">
        <f t="shared" si="64"/>
        <v>S</v>
      </c>
      <c r="CM75" s="531" t="str">
        <f t="shared" si="64"/>
        <v>K</v>
      </c>
      <c r="CN75" s="140" t="str">
        <f t="shared" si="64"/>
        <v>Y</v>
      </c>
      <c r="CO75" s="140" t="str">
        <f t="shared" si="64"/>
        <v>M</v>
      </c>
      <c r="CP75" s="140" t="str">
        <f t="shared" si="64"/>
        <v>Z</v>
      </c>
      <c r="CQ75" s="140" t="str">
        <f t="shared" si="64"/>
        <v>Y</v>
      </c>
      <c r="CR75" s="140" t="str">
        <f t="shared" si="64"/>
        <v>P</v>
      </c>
      <c r="CS75" s="140" t="str">
        <f t="shared" si="64"/>
        <v>R</v>
      </c>
      <c r="CT75" s="140" t="str">
        <f t="shared" si="64"/>
        <v>E</v>
      </c>
      <c r="CU75" s="140" t="str">
        <f t="shared" si="64"/>
        <v>E</v>
      </c>
      <c r="CV75" s="140" t="str">
        <f t="shared" si="64"/>
        <v>K</v>
      </c>
      <c r="CW75" s="140" t="str">
        <f t="shared" si="64"/>
        <v>Z</v>
      </c>
      <c r="CX75" s="34"/>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c r="EI75" s="33"/>
      <c r="EJ75" s="33"/>
      <c r="EK75" s="33"/>
      <c r="EL75" s="33"/>
      <c r="EM75" s="33"/>
      <c r="EN75" s="33"/>
      <c r="EO75" s="33"/>
      <c r="EP75" s="33"/>
      <c r="EQ75" s="33"/>
      <c r="ER75" s="33"/>
      <c r="ES75" s="33"/>
      <c r="ET75" s="33"/>
      <c r="EU75" s="33"/>
      <c r="EV75" s="33"/>
      <c r="EW75" s="33"/>
      <c r="EX75" s="33"/>
      <c r="EY75" s="33"/>
      <c r="EZ75" s="33"/>
      <c r="FA75" s="33"/>
      <c r="FB75" s="33"/>
      <c r="FC75" s="33"/>
      <c r="FD75" s="33"/>
      <c r="FE75" s="33"/>
      <c r="FF75" s="33"/>
      <c r="FG75" s="33"/>
      <c r="FH75" s="33"/>
      <c r="FI75" s="33"/>
      <c r="FJ75" s="33"/>
      <c r="FK75" s="33"/>
      <c r="FL75" s="33"/>
      <c r="FM75" s="33"/>
      <c r="FN75" s="33"/>
      <c r="FO75" s="33"/>
      <c r="FP75" s="33"/>
      <c r="FQ75" s="33"/>
      <c r="FR75" s="33"/>
      <c r="FS75" s="33"/>
      <c r="FT75" s="33"/>
      <c r="FU75" s="33"/>
      <c r="FV75" s="33"/>
      <c r="FW75" s="33"/>
      <c r="FX75" s="33"/>
      <c r="FY75" s="33"/>
      <c r="FZ75" s="33"/>
      <c r="GA75" s="33"/>
      <c r="GB75" s="33"/>
      <c r="GC75" s="33"/>
      <c r="GD75" s="33"/>
      <c r="GE75" s="33"/>
      <c r="GF75" s="33"/>
      <c r="GG75" s="33"/>
      <c r="GH75" s="33"/>
      <c r="GI75" s="33"/>
      <c r="GJ75" s="33"/>
      <c r="GK75" s="33"/>
      <c r="GL75" s="33"/>
      <c r="GM75" s="33"/>
      <c r="GN75" s="33"/>
      <c r="GO75" s="33"/>
      <c r="GP75" s="33"/>
      <c r="GQ75" s="33"/>
      <c r="GR75" s="33"/>
      <c r="GS75" s="33"/>
      <c r="GT75" s="33"/>
      <c r="GU75" s="33"/>
      <c r="GV75" s="33"/>
      <c r="GW75" s="33"/>
      <c r="GX75" s="33"/>
      <c r="GY75" s="33"/>
      <c r="GZ75" s="33"/>
      <c r="HA75" s="33"/>
      <c r="HB75" s="33"/>
      <c r="HC75" s="33"/>
      <c r="HD75" s="33"/>
      <c r="HE75" s="33"/>
      <c r="HF75" s="33"/>
      <c r="HG75" s="33"/>
      <c r="HH75" s="33"/>
      <c r="HI75" s="33"/>
      <c r="HJ75" s="33"/>
      <c r="HK75" s="33"/>
      <c r="HL75" s="33"/>
      <c r="HM75" s="33"/>
      <c r="HN75" s="33"/>
      <c r="HO75" s="33"/>
      <c r="HP75" s="33"/>
      <c r="HQ75" s="33"/>
      <c r="HR75" s="33"/>
      <c r="HS75" s="33"/>
      <c r="HT75" s="33"/>
      <c r="HU75" s="33"/>
      <c r="HV75" s="33"/>
      <c r="HW75" s="33"/>
      <c r="HX75" s="33"/>
      <c r="HY75" s="33"/>
      <c r="HZ75" s="33"/>
      <c r="IA75" s="33"/>
      <c r="IB75" s="33"/>
      <c r="IC75" s="33"/>
      <c r="ID75" s="33"/>
      <c r="IE75" s="33"/>
      <c r="IF75" s="33"/>
      <c r="IG75" s="33"/>
      <c r="IH75" s="33"/>
      <c r="II75" s="33"/>
      <c r="IJ75" s="33"/>
      <c r="IK75" s="33"/>
      <c r="IL75" s="33"/>
      <c r="IM75" s="33"/>
      <c r="IN75" s="33"/>
      <c r="IO75" s="33"/>
      <c r="IP75" s="33"/>
      <c r="IQ75" s="33"/>
      <c r="IR75" s="33"/>
      <c r="IS75" s="33"/>
      <c r="IT75" s="33"/>
      <c r="IU75" s="33"/>
      <c r="IV75" s="33"/>
      <c r="IW75" s="33"/>
      <c r="IX75" s="33"/>
      <c r="IY75" s="33"/>
      <c r="IZ75" s="33"/>
      <c r="JA75" s="33"/>
      <c r="JB75" s="33"/>
      <c r="JC75" s="33"/>
      <c r="JD75" s="33"/>
      <c r="JE75" s="33"/>
      <c r="JF75" s="33"/>
      <c r="JG75" s="33"/>
      <c r="JH75" s="33"/>
      <c r="JI75" s="33"/>
      <c r="JJ75" s="33"/>
      <c r="JK75" s="33"/>
      <c r="JL75" s="33"/>
      <c r="JM75" s="33"/>
      <c r="JN75" s="33"/>
      <c r="JO75" s="33"/>
      <c r="JP75" s="33"/>
      <c r="JQ75" s="33"/>
      <c r="JR75" s="33"/>
      <c r="JS75" s="33"/>
      <c r="JT75" s="33"/>
      <c r="JU75" s="33"/>
      <c r="JV75" s="33"/>
      <c r="JW75" s="33"/>
      <c r="JX75" s="33"/>
      <c r="JY75" s="33"/>
      <c r="JZ75" s="33"/>
      <c r="KA75" s="33"/>
      <c r="KB75" s="33"/>
      <c r="PA75" s="11"/>
    </row>
    <row r="76" spans="1:417" ht="16.5" x14ac:dyDescent="0.3">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c r="AA76" s="105"/>
      <c r="AB76" s="105"/>
      <c r="AC76" s="105"/>
      <c r="AD76" s="202"/>
      <c r="AE76" s="203"/>
      <c r="AF76" s="203"/>
      <c r="AG76" s="203"/>
      <c r="AH76" s="203"/>
      <c r="AI76" s="203"/>
      <c r="AJ76" s="203"/>
      <c r="AK76" s="203"/>
      <c r="AL76" s="204"/>
      <c r="AM76" s="105"/>
      <c r="AN76" s="105"/>
      <c r="AO76" s="105"/>
      <c r="AP76" s="105"/>
      <c r="AQ76" s="105"/>
      <c r="AR76" s="105"/>
      <c r="AS76" s="105"/>
      <c r="AT76" s="105"/>
      <c r="AU76" s="105"/>
      <c r="AV76" s="530"/>
      <c r="AW76" s="105"/>
      <c r="AX76" s="105"/>
      <c r="AY76" s="105"/>
      <c r="AZ76" s="105"/>
      <c r="BA76" s="105"/>
      <c r="BB76" s="105"/>
      <c r="BC76" s="105"/>
      <c r="BD76" s="105"/>
      <c r="BE76" s="105"/>
      <c r="BF76" s="105"/>
      <c r="BG76" s="105"/>
      <c r="BH76" s="105"/>
      <c r="BI76" s="105"/>
      <c r="BJ76" s="105"/>
      <c r="BK76" s="105"/>
      <c r="BL76" s="105"/>
      <c r="BM76" s="105"/>
      <c r="BN76" s="105"/>
      <c r="BO76" s="105"/>
      <c r="BP76" s="202"/>
      <c r="BQ76" s="203"/>
      <c r="BR76" s="203"/>
      <c r="BS76" s="203"/>
      <c r="BT76" s="203"/>
      <c r="BU76" s="203"/>
      <c r="BV76" s="203"/>
      <c r="BW76" s="203"/>
      <c r="BX76" s="203"/>
      <c r="BY76" s="203"/>
      <c r="BZ76" s="204"/>
      <c r="CA76" s="105"/>
      <c r="CB76" s="105"/>
      <c r="CC76" s="105"/>
      <c r="CD76" s="105"/>
      <c r="CE76" s="105"/>
      <c r="CF76" s="105"/>
      <c r="CG76" s="105"/>
      <c r="CH76" s="105"/>
      <c r="CI76" s="105"/>
      <c r="CJ76" s="105"/>
      <c r="CK76" s="105"/>
      <c r="CL76" s="105"/>
      <c r="CM76" s="530"/>
      <c r="CN76" s="105"/>
      <c r="CO76" s="105"/>
      <c r="CP76" s="105"/>
      <c r="CQ76" s="105"/>
      <c r="CR76" s="105"/>
      <c r="CS76" s="105"/>
      <c r="CT76" s="105"/>
      <c r="CU76" s="105"/>
      <c r="CV76" s="105"/>
      <c r="CW76" s="105"/>
      <c r="CX76" s="35"/>
      <c r="PA76" s="11"/>
    </row>
    <row r="77" spans="1:417" ht="17.25" x14ac:dyDescent="0.35">
      <c r="A77" s="105"/>
      <c r="B77" s="105"/>
      <c r="C77" s="105"/>
      <c r="D77" s="105"/>
      <c r="E77" s="209">
        <v>1</v>
      </c>
      <c r="F77" s="209">
        <v>2</v>
      </c>
      <c r="G77" s="209">
        <v>3</v>
      </c>
      <c r="H77" s="209">
        <v>4</v>
      </c>
      <c r="I77" s="209">
        <v>5</v>
      </c>
      <c r="J77" s="209">
        <v>6</v>
      </c>
      <c r="K77" s="209">
        <v>7</v>
      </c>
      <c r="L77" s="209">
        <v>8</v>
      </c>
      <c r="M77" s="209">
        <v>9</v>
      </c>
      <c r="N77" s="209">
        <v>10</v>
      </c>
      <c r="O77" s="209">
        <v>11</v>
      </c>
      <c r="P77" s="209">
        <v>12</v>
      </c>
      <c r="Q77" s="209">
        <v>13</v>
      </c>
      <c r="R77" s="209">
        <v>14</v>
      </c>
      <c r="S77" s="209">
        <v>15</v>
      </c>
      <c r="T77" s="209">
        <v>16</v>
      </c>
      <c r="U77" s="209">
        <v>17</v>
      </c>
      <c r="V77" s="209">
        <v>18</v>
      </c>
      <c r="W77" s="209">
        <v>19</v>
      </c>
      <c r="X77" s="209">
        <v>20</v>
      </c>
      <c r="Y77" s="209">
        <v>21</v>
      </c>
      <c r="Z77" s="209">
        <v>22</v>
      </c>
      <c r="AA77" s="209">
        <v>23</v>
      </c>
      <c r="AB77" s="209">
        <v>24</v>
      </c>
      <c r="AC77" s="213">
        <v>25</v>
      </c>
      <c r="AD77" s="214">
        <v>26</v>
      </c>
      <c r="AE77" s="215">
        <v>27</v>
      </c>
      <c r="AF77" s="215">
        <v>28</v>
      </c>
      <c r="AG77" s="215">
        <v>29</v>
      </c>
      <c r="AH77" s="215">
        <v>30</v>
      </c>
      <c r="AI77" s="215">
        <v>31</v>
      </c>
      <c r="AJ77" s="215">
        <v>32</v>
      </c>
      <c r="AK77" s="215">
        <v>33</v>
      </c>
      <c r="AL77" s="216">
        <v>34</v>
      </c>
      <c r="AM77" s="217">
        <v>35</v>
      </c>
      <c r="AN77" s="209">
        <v>36</v>
      </c>
      <c r="AO77" s="209">
        <v>37</v>
      </c>
      <c r="AP77" s="209">
        <v>38</v>
      </c>
      <c r="AQ77" s="209">
        <v>39</v>
      </c>
      <c r="AR77" s="209">
        <v>40</v>
      </c>
      <c r="AS77" s="209">
        <v>41</v>
      </c>
      <c r="AT77" s="209">
        <v>42</v>
      </c>
      <c r="AU77" s="209">
        <v>43</v>
      </c>
      <c r="AV77" s="532">
        <v>44</v>
      </c>
      <c r="AW77" s="209">
        <v>45</v>
      </c>
      <c r="AX77" s="209">
        <v>46</v>
      </c>
      <c r="AY77" s="209">
        <v>47</v>
      </c>
      <c r="AZ77" s="209">
        <v>48</v>
      </c>
      <c r="BA77" s="209">
        <v>49</v>
      </c>
      <c r="BB77" s="209">
        <v>50</v>
      </c>
      <c r="BC77" s="209">
        <v>51</v>
      </c>
      <c r="BD77" s="209">
        <v>52</v>
      </c>
      <c r="BE77" s="210">
        <v>53</v>
      </c>
      <c r="BF77" s="209">
        <v>54</v>
      </c>
      <c r="BG77" s="212">
        <v>55</v>
      </c>
      <c r="BH77" s="209">
        <v>56</v>
      </c>
      <c r="BI77" s="209">
        <v>57</v>
      </c>
      <c r="BJ77" s="209">
        <v>58</v>
      </c>
      <c r="BK77" s="209">
        <v>59</v>
      </c>
      <c r="BL77" s="209">
        <v>60</v>
      </c>
      <c r="BM77" s="209">
        <v>61</v>
      </c>
      <c r="BN77" s="209">
        <v>62</v>
      </c>
      <c r="BO77" s="213">
        <v>63</v>
      </c>
      <c r="BP77" s="214">
        <v>64</v>
      </c>
      <c r="BQ77" s="215">
        <v>65</v>
      </c>
      <c r="BR77" s="215">
        <v>66</v>
      </c>
      <c r="BS77" s="215">
        <v>67</v>
      </c>
      <c r="BT77" s="215">
        <v>68</v>
      </c>
      <c r="BU77" s="215">
        <v>69</v>
      </c>
      <c r="BV77" s="215">
        <v>70</v>
      </c>
      <c r="BW77" s="215">
        <v>71</v>
      </c>
      <c r="BX77" s="215">
        <v>72</v>
      </c>
      <c r="BY77" s="215">
        <v>73</v>
      </c>
      <c r="BZ77" s="216">
        <v>74</v>
      </c>
      <c r="CA77" s="217">
        <v>75</v>
      </c>
      <c r="CB77" s="209">
        <v>76</v>
      </c>
      <c r="CC77" s="209">
        <v>77</v>
      </c>
      <c r="CD77" s="209">
        <v>78</v>
      </c>
      <c r="CE77" s="209">
        <v>79</v>
      </c>
      <c r="CF77" s="209">
        <v>80</v>
      </c>
      <c r="CG77" s="209">
        <v>81</v>
      </c>
      <c r="CH77" s="209">
        <v>82</v>
      </c>
      <c r="CI77" s="209">
        <v>83</v>
      </c>
      <c r="CJ77" s="209">
        <v>84</v>
      </c>
      <c r="CK77" s="209">
        <v>85</v>
      </c>
      <c r="CL77" s="209">
        <v>86</v>
      </c>
      <c r="CM77" s="532">
        <v>87</v>
      </c>
      <c r="CN77" s="209">
        <v>88</v>
      </c>
      <c r="CO77" s="209">
        <v>89</v>
      </c>
      <c r="CP77" s="209">
        <v>90</v>
      </c>
      <c r="CQ77" s="209">
        <v>91</v>
      </c>
      <c r="CR77" s="209">
        <v>92</v>
      </c>
      <c r="CS77" s="209">
        <v>93</v>
      </c>
      <c r="CT77" s="209">
        <v>94</v>
      </c>
      <c r="CU77" s="209">
        <v>95</v>
      </c>
      <c r="CV77" s="209">
        <v>96</v>
      </c>
      <c r="CW77" s="209">
        <v>97</v>
      </c>
      <c r="CX77" s="35"/>
      <c r="PA77" s="11"/>
    </row>
    <row r="78" spans="1:417" s="245" customFormat="1" ht="16.5" x14ac:dyDescent="0.25">
      <c r="A78" s="282"/>
      <c r="B78" s="283"/>
      <c r="C78" s="283"/>
      <c r="D78" s="283"/>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t="s">
        <v>30</v>
      </c>
      <c r="AE78" s="282" t="s">
        <v>31</v>
      </c>
      <c r="AF78" s="282" t="s">
        <v>32</v>
      </c>
      <c r="AG78" s="282" t="s">
        <v>33</v>
      </c>
      <c r="AH78" s="282" t="s">
        <v>34</v>
      </c>
      <c r="AI78" s="282" t="s">
        <v>35</v>
      </c>
      <c r="AJ78" s="282" t="s">
        <v>36</v>
      </c>
      <c r="AK78" s="282" t="s">
        <v>37</v>
      </c>
      <c r="AL78" s="282" t="s">
        <v>33</v>
      </c>
      <c r="AM78" s="282"/>
      <c r="AN78" s="282"/>
      <c r="AO78" s="282"/>
      <c r="AP78" s="282"/>
      <c r="AQ78" s="282"/>
      <c r="AR78" s="282"/>
      <c r="AS78" s="282"/>
      <c r="AT78" s="282"/>
      <c r="AU78" s="282"/>
      <c r="AV78" s="282" t="s">
        <v>37</v>
      </c>
      <c r="AW78" s="282"/>
      <c r="AX78" s="282"/>
      <c r="AY78" s="282"/>
      <c r="AZ78" s="282"/>
      <c r="BA78" s="282"/>
      <c r="BB78" s="282"/>
      <c r="BC78" s="282"/>
      <c r="BD78" s="282"/>
      <c r="BE78" s="282"/>
      <c r="BF78" s="282"/>
      <c r="BG78" s="282"/>
      <c r="BH78" s="282"/>
      <c r="BI78" s="282"/>
      <c r="BJ78" s="282"/>
      <c r="BK78" s="282"/>
      <c r="BL78" s="282"/>
      <c r="BM78" s="282"/>
      <c r="BN78" s="282"/>
      <c r="BO78" s="282"/>
      <c r="BP78" s="284" t="s">
        <v>39</v>
      </c>
      <c r="BQ78" s="284" t="s">
        <v>35</v>
      </c>
      <c r="BR78" s="284" t="s">
        <v>32</v>
      </c>
      <c r="BS78" s="284" t="s">
        <v>38</v>
      </c>
      <c r="BT78" s="284" t="s">
        <v>40</v>
      </c>
      <c r="BU78" s="284" t="s">
        <v>30</v>
      </c>
      <c r="BV78" s="284" t="s">
        <v>41</v>
      </c>
      <c r="BW78" s="284" t="s">
        <v>38</v>
      </c>
      <c r="BX78" s="284" t="s">
        <v>31</v>
      </c>
      <c r="BY78" s="284" t="s">
        <v>41</v>
      </c>
      <c r="BZ78" s="284" t="s">
        <v>42</v>
      </c>
      <c r="CA78" s="282"/>
      <c r="CB78" s="282"/>
      <c r="CC78" s="282"/>
      <c r="CD78" s="282"/>
      <c r="CE78" s="282"/>
      <c r="CF78" s="282"/>
      <c r="CG78" s="282"/>
      <c r="CH78" s="282"/>
      <c r="CI78" s="282"/>
      <c r="CJ78" s="282"/>
      <c r="CK78" s="282"/>
      <c r="CL78" s="282"/>
      <c r="CM78" s="282" t="s">
        <v>42</v>
      </c>
      <c r="CN78" s="282"/>
      <c r="CO78" s="282"/>
      <c r="CP78" s="282"/>
      <c r="CQ78" s="282"/>
      <c r="CR78" s="282"/>
      <c r="CS78" s="282"/>
      <c r="CT78" s="282"/>
      <c r="CU78" s="282"/>
      <c r="CV78" s="282"/>
      <c r="CW78" s="291" t="s">
        <v>151</v>
      </c>
      <c r="CX78" s="246"/>
    </row>
    <row r="79" spans="1:417" ht="16.5" x14ac:dyDescent="0.3">
      <c r="B79" s="36"/>
      <c r="C79" s="36"/>
      <c r="D79" s="38"/>
      <c r="CX79" s="35"/>
      <c r="PA79" s="11"/>
    </row>
    <row r="80" spans="1:417" ht="15.75" x14ac:dyDescent="0.3">
      <c r="A80" s="48"/>
      <c r="B80" s="48"/>
      <c r="C80" s="48"/>
      <c r="D80" s="38"/>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c r="CD80" s="42"/>
      <c r="CE80" s="42"/>
      <c r="CF80" s="42"/>
      <c r="CG80" s="42"/>
      <c r="CH80" s="42"/>
      <c r="CI80" s="42"/>
      <c r="CJ80" s="42"/>
      <c r="CK80" s="42"/>
      <c r="CL80" s="42"/>
      <c r="CM80" s="42"/>
      <c r="CN80" s="42"/>
      <c r="CO80" s="42"/>
      <c r="CP80" s="42"/>
      <c r="CQ80" s="42"/>
      <c r="CR80" s="42"/>
      <c r="CS80" s="42"/>
      <c r="CT80" s="42"/>
      <c r="CU80" s="42"/>
      <c r="CV80" s="42"/>
      <c r="CW80" s="42"/>
      <c r="PA80" s="11"/>
    </row>
    <row r="81" spans="1:417" ht="15.75" x14ac:dyDescent="0.3">
      <c r="A81" s="48"/>
      <c r="B81" s="48"/>
      <c r="C81" s="48"/>
      <c r="D81" s="38"/>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42"/>
      <c r="CU81" s="42"/>
      <c r="CV81" s="42"/>
      <c r="CW81" s="42"/>
      <c r="PA81" s="11"/>
    </row>
    <row r="82" spans="1:417" ht="15.75" x14ac:dyDescent="0.3">
      <c r="A82" s="244"/>
      <c r="B82" s="244"/>
      <c r="C82" s="244"/>
      <c r="D82" s="252" t="s">
        <v>106</v>
      </c>
      <c r="E82" s="285" t="s">
        <v>36</v>
      </c>
      <c r="F82" s="286" t="s">
        <v>39</v>
      </c>
      <c r="G82" s="286" t="s">
        <v>41</v>
      </c>
      <c r="H82" s="286" t="s">
        <v>52</v>
      </c>
      <c r="I82" s="286" t="s">
        <v>35</v>
      </c>
      <c r="J82" s="286" t="s">
        <v>45</v>
      </c>
      <c r="K82" s="286" t="s">
        <v>44</v>
      </c>
      <c r="L82" s="286" t="s">
        <v>34</v>
      </c>
      <c r="M82" s="286" t="s">
        <v>40</v>
      </c>
      <c r="N82" s="286" t="s">
        <v>50</v>
      </c>
      <c r="O82" s="286" t="s">
        <v>42</v>
      </c>
      <c r="P82" s="286" t="s">
        <v>38</v>
      </c>
      <c r="Q82" s="286" t="s">
        <v>54</v>
      </c>
      <c r="R82" s="286" t="s">
        <v>30</v>
      </c>
      <c r="S82" s="286" t="s">
        <v>31</v>
      </c>
      <c r="T82" s="286" t="s">
        <v>49</v>
      </c>
      <c r="U82" s="286" t="s">
        <v>48</v>
      </c>
      <c r="V82" s="286" t="s">
        <v>32</v>
      </c>
      <c r="W82" s="286" t="s">
        <v>37</v>
      </c>
      <c r="X82" s="286" t="s">
        <v>33</v>
      </c>
      <c r="Y82" s="286" t="s">
        <v>29</v>
      </c>
      <c r="Z82" s="286" t="s">
        <v>47</v>
      </c>
      <c r="AA82" s="286" t="s">
        <v>46</v>
      </c>
      <c r="AB82" s="286" t="s">
        <v>43</v>
      </c>
      <c r="AC82" s="286" t="s">
        <v>53</v>
      </c>
      <c r="AD82" s="287" t="s">
        <v>51</v>
      </c>
      <c r="AE82" s="199"/>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c r="BU82" s="42"/>
      <c r="BV82" s="42"/>
      <c r="BW82" s="42"/>
      <c r="BX82" s="42"/>
      <c r="BY82" s="42"/>
      <c r="BZ82" s="42"/>
      <c r="CA82" s="42"/>
      <c r="CB82" s="42"/>
      <c r="CC82" s="42"/>
      <c r="CD82" s="42"/>
      <c r="CE82" s="42"/>
      <c r="CF82" s="42"/>
      <c r="CG82" s="42"/>
      <c r="CH82" s="42"/>
      <c r="CI82" s="42"/>
      <c r="CJ82" s="42"/>
      <c r="CK82" s="42"/>
      <c r="CL82" s="42"/>
      <c r="CM82" s="42"/>
      <c r="CN82" s="42"/>
      <c r="CO82" s="42"/>
      <c r="CP82" s="42"/>
      <c r="CQ82" s="42"/>
      <c r="CR82" s="42"/>
      <c r="CS82" s="42"/>
      <c r="CT82" s="42"/>
      <c r="CU82" s="42"/>
      <c r="CV82" s="42"/>
      <c r="CW82" s="42"/>
      <c r="PA82" s="11"/>
    </row>
    <row r="83" spans="1:417" ht="15.75" x14ac:dyDescent="0.3">
      <c r="A83" s="244"/>
      <c r="B83" s="244"/>
      <c r="C83" s="244"/>
      <c r="D83" s="252" t="s">
        <v>107</v>
      </c>
      <c r="E83" s="288">
        <f>COUNTIF(RECONVERSION,E82)</f>
        <v>6</v>
      </c>
      <c r="F83" s="288">
        <f t="shared" ref="F83:AD83" si="65">COUNTIF(RECONVERSION,F82)</f>
        <v>1</v>
      </c>
      <c r="G83" s="288">
        <f t="shared" si="65"/>
        <v>4</v>
      </c>
      <c r="H83" s="288">
        <f t="shared" si="65"/>
        <v>2</v>
      </c>
      <c r="I83" s="288">
        <f t="shared" si="65"/>
        <v>6</v>
      </c>
      <c r="J83" s="288">
        <f t="shared" si="65"/>
        <v>0</v>
      </c>
      <c r="K83" s="288">
        <f t="shared" si="65"/>
        <v>4</v>
      </c>
      <c r="L83" s="288">
        <f t="shared" si="65"/>
        <v>3</v>
      </c>
      <c r="M83" s="288">
        <f t="shared" si="65"/>
        <v>5</v>
      </c>
      <c r="N83" s="288">
        <f t="shared" si="65"/>
        <v>4</v>
      </c>
      <c r="O83" s="288">
        <f t="shared" si="65"/>
        <v>4</v>
      </c>
      <c r="P83" s="288">
        <f t="shared" si="65"/>
        <v>2</v>
      </c>
      <c r="Q83" s="288">
        <f t="shared" si="65"/>
        <v>3</v>
      </c>
      <c r="R83" s="288">
        <f t="shared" si="65"/>
        <v>3</v>
      </c>
      <c r="S83" s="288">
        <f t="shared" si="65"/>
        <v>6</v>
      </c>
      <c r="T83" s="288">
        <f t="shared" si="65"/>
        <v>7</v>
      </c>
      <c r="U83" s="288">
        <f t="shared" si="65"/>
        <v>1</v>
      </c>
      <c r="V83" s="288">
        <f t="shared" si="65"/>
        <v>4</v>
      </c>
      <c r="W83" s="288">
        <f t="shared" si="65"/>
        <v>4</v>
      </c>
      <c r="X83" s="288">
        <f t="shared" si="65"/>
        <v>2</v>
      </c>
      <c r="Y83" s="288">
        <f t="shared" si="65"/>
        <v>4</v>
      </c>
      <c r="Z83" s="288">
        <f t="shared" si="65"/>
        <v>7</v>
      </c>
      <c r="AA83" s="288">
        <f t="shared" si="65"/>
        <v>4</v>
      </c>
      <c r="AB83" s="288">
        <f t="shared" si="65"/>
        <v>1</v>
      </c>
      <c r="AC83" s="288">
        <f t="shared" si="65"/>
        <v>5</v>
      </c>
      <c r="AD83" s="288">
        <f t="shared" si="65"/>
        <v>5</v>
      </c>
      <c r="AE83" s="289">
        <f>SUM(E83:AD83)</f>
        <v>97</v>
      </c>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42"/>
      <c r="CU83" s="42"/>
      <c r="CV83" s="42"/>
      <c r="CW83" s="42"/>
      <c r="PA83" s="11"/>
    </row>
    <row r="84" spans="1:417" x14ac:dyDescent="0.25">
      <c r="A84" s="48"/>
      <c r="B84" s="48"/>
      <c r="C84" s="48"/>
      <c r="D84" s="48"/>
      <c r="Q84" s="249"/>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8"/>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PA84" s="11"/>
    </row>
    <row r="85" spans="1:417" x14ac:dyDescent="0.25">
      <c r="A85" s="244"/>
      <c r="B85" s="244"/>
      <c r="C85" s="244"/>
      <c r="D85" s="290" t="s">
        <v>137</v>
      </c>
      <c r="E85" s="248" t="s">
        <v>40</v>
      </c>
      <c r="F85" s="248" t="s">
        <v>39</v>
      </c>
      <c r="G85" s="248" t="s">
        <v>35</v>
      </c>
      <c r="H85" s="248" t="s">
        <v>30</v>
      </c>
      <c r="I85" s="248" t="s">
        <v>49</v>
      </c>
      <c r="J85" s="248" t="s">
        <v>38</v>
      </c>
      <c r="K85" s="248" t="s">
        <v>48</v>
      </c>
      <c r="L85" s="248" t="s">
        <v>53</v>
      </c>
      <c r="M85" s="248" t="s">
        <v>34</v>
      </c>
      <c r="N85" s="248" t="s">
        <v>50</v>
      </c>
      <c r="O85" s="248" t="s">
        <v>31</v>
      </c>
      <c r="P85" s="248" t="s">
        <v>37</v>
      </c>
      <c r="Q85" s="248" t="s">
        <v>47</v>
      </c>
      <c r="R85" s="248" t="s">
        <v>46</v>
      </c>
      <c r="S85" s="248" t="s">
        <v>41</v>
      </c>
      <c r="T85" s="248" t="s">
        <v>45</v>
      </c>
      <c r="U85" s="248" t="s">
        <v>42</v>
      </c>
      <c r="V85" s="248" t="s">
        <v>32</v>
      </c>
      <c r="W85" s="248" t="s">
        <v>29</v>
      </c>
      <c r="X85" s="248" t="s">
        <v>36</v>
      </c>
      <c r="Y85" s="248" t="s">
        <v>44</v>
      </c>
      <c r="Z85" s="248" t="s">
        <v>54</v>
      </c>
      <c r="AA85" s="248" t="s">
        <v>43</v>
      </c>
      <c r="AB85" s="248" t="s">
        <v>51</v>
      </c>
      <c r="AC85" s="248" t="s">
        <v>52</v>
      </c>
      <c r="AD85" s="248" t="s">
        <v>33</v>
      </c>
      <c r="AE85" s="244"/>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48"/>
      <c r="CA85" s="48"/>
      <c r="CB85" s="48"/>
      <c r="CC85" s="48"/>
      <c r="CD85" s="48"/>
      <c r="CE85" s="48"/>
      <c r="CF85" s="48"/>
      <c r="CG85" s="48"/>
      <c r="CH85" s="48"/>
      <c r="CI85" s="48"/>
      <c r="CJ85" s="48"/>
      <c r="CK85" s="48"/>
      <c r="CL85" s="48"/>
      <c r="CM85" s="48"/>
      <c r="CN85" s="48"/>
      <c r="CO85" s="48"/>
      <c r="CP85" s="48"/>
      <c r="CQ85" s="48"/>
      <c r="CR85" s="48"/>
      <c r="CS85" s="48"/>
      <c r="CT85" s="48"/>
      <c r="CU85" s="48"/>
      <c r="CV85" s="48"/>
      <c r="CW85" s="48"/>
      <c r="PA85" s="11"/>
    </row>
    <row r="86" spans="1:417" ht="15.75" x14ac:dyDescent="0.3">
      <c r="A86" s="105"/>
      <c r="B86" s="105"/>
      <c r="C86" s="105"/>
      <c r="D86" s="195" t="s">
        <v>138</v>
      </c>
      <c r="E86" s="247">
        <v>7</v>
      </c>
      <c r="F86" s="247">
        <v>6</v>
      </c>
      <c r="G86" s="247">
        <v>6</v>
      </c>
      <c r="H86" s="247">
        <v>6</v>
      </c>
      <c r="I86" s="247">
        <v>6</v>
      </c>
      <c r="J86" s="247">
        <v>5</v>
      </c>
      <c r="K86" s="247">
        <v>5</v>
      </c>
      <c r="L86" s="247">
        <v>5</v>
      </c>
      <c r="M86" s="247">
        <v>4</v>
      </c>
      <c r="N86" s="247">
        <v>4</v>
      </c>
      <c r="O86" s="247">
        <v>4</v>
      </c>
      <c r="P86" s="247">
        <v>4</v>
      </c>
      <c r="Q86" s="247">
        <v>4</v>
      </c>
      <c r="R86" s="247">
        <v>4</v>
      </c>
      <c r="S86" s="247">
        <v>3</v>
      </c>
      <c r="T86" s="247">
        <v>3</v>
      </c>
      <c r="U86" s="247">
        <v>3</v>
      </c>
      <c r="V86" s="247">
        <v>3</v>
      </c>
      <c r="W86" s="247">
        <v>3</v>
      </c>
      <c r="X86" s="247">
        <v>2</v>
      </c>
      <c r="Y86" s="247">
        <v>2</v>
      </c>
      <c r="Z86" s="247">
        <v>2</v>
      </c>
      <c r="AA86" s="247">
        <v>2</v>
      </c>
      <c r="AB86" s="247">
        <v>2</v>
      </c>
      <c r="AC86" s="247">
        <v>1</v>
      </c>
      <c r="AD86" s="247">
        <v>1</v>
      </c>
      <c r="AE86" s="289">
        <f>SUM(E86:AD86)</f>
        <v>97</v>
      </c>
      <c r="PA86" s="11"/>
    </row>
    <row r="87" spans="1:417" x14ac:dyDescent="0.25">
      <c r="AE87" s="36"/>
      <c r="PA87" s="11"/>
    </row>
    <row r="88" spans="1:417" x14ac:dyDescent="0.25">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36"/>
      <c r="PA88" s="11"/>
    </row>
    <row r="89" spans="1:417" x14ac:dyDescent="0.25">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36"/>
      <c r="PA89" s="11"/>
    </row>
    <row r="90" spans="1:417" x14ac:dyDescent="0.25">
      <c r="PA90" s="11"/>
    </row>
    <row r="91" spans="1:417" x14ac:dyDescent="0.25">
      <c r="PA91" s="11"/>
    </row>
    <row r="92" spans="1:417" x14ac:dyDescent="0.25">
      <c r="PA92" s="11"/>
    </row>
    <row r="93" spans="1:417" x14ac:dyDescent="0.25">
      <c r="PA93" s="11"/>
    </row>
    <row r="94" spans="1:417" x14ac:dyDescent="0.25">
      <c r="PA94" s="11"/>
    </row>
    <row r="95" spans="1:417" x14ac:dyDescent="0.25">
      <c r="PA95" s="11"/>
    </row>
    <row r="96" spans="1:417" x14ac:dyDescent="0.25">
      <c r="PA96" s="11"/>
    </row>
    <row r="97" spans="417:417" x14ac:dyDescent="0.25">
      <c r="PA97" s="11"/>
    </row>
    <row r="98" spans="417:417" x14ac:dyDescent="0.25">
      <c r="PA98" s="11"/>
    </row>
  </sheetData>
  <sheetProtection password="8930" sheet="1" objects="1" scenarios="1"/>
  <conditionalFormatting sqref="BP75">
    <cfRule type="cellIs" dxfId="11" priority="13" operator="equal">
      <formula>"B"</formula>
    </cfRule>
  </conditionalFormatting>
  <conditionalFormatting sqref="BQ75 AI75">
    <cfRule type="cellIs" dxfId="10" priority="12" operator="equal">
      <formula>"E"</formula>
    </cfRule>
  </conditionalFormatting>
  <conditionalFormatting sqref="BR75 AF75">
    <cfRule type="cellIs" dxfId="9" priority="11" operator="equal">
      <formula>"R"</formula>
    </cfRule>
  </conditionalFormatting>
  <conditionalFormatting sqref="BS75 BW75">
    <cfRule type="cellIs" dxfId="8" priority="10" operator="equal">
      <formula>"L"</formula>
    </cfRule>
  </conditionalFormatting>
  <conditionalFormatting sqref="BT75">
    <cfRule type="cellIs" dxfId="7" priority="9" operator="equal">
      <formula>"I"</formula>
    </cfRule>
  </conditionalFormatting>
  <conditionalFormatting sqref="BU75 AD75">
    <cfRule type="cellIs" dxfId="6" priority="8" operator="equal">
      <formula>"N"</formula>
    </cfRule>
  </conditionalFormatting>
  <conditionalFormatting sqref="BV75 BY75">
    <cfRule type="cellIs" dxfId="5" priority="7" operator="equal">
      <formula>"C"</formula>
    </cfRule>
  </conditionalFormatting>
  <conditionalFormatting sqref="BX75 AE75">
    <cfRule type="cellIs" dxfId="4" priority="6" operator="equal">
      <formula>"O"</formula>
    </cfRule>
  </conditionalFormatting>
  <conditionalFormatting sqref="BZ75">
    <cfRule type="cellIs" dxfId="3" priority="5" operator="equal">
      <formula>"K"</formula>
    </cfRule>
  </conditionalFormatting>
  <conditionalFormatting sqref="AG75 AL75">
    <cfRule type="cellIs" dxfId="2" priority="4" operator="equal">
      <formula>"T"</formula>
    </cfRule>
  </conditionalFormatting>
  <conditionalFormatting sqref="AH75">
    <cfRule type="cellIs" dxfId="1" priority="3" operator="equal">
      <formula>"H"</formula>
    </cfRule>
  </conditionalFormatting>
  <conditionalFormatting sqref="AJ75">
    <cfRule type="cellIs" priority="2" operator="equal">
      <formula>"A"</formula>
    </cfRule>
  </conditionalFormatting>
  <conditionalFormatting sqref="AK75">
    <cfRule type="cellIs" dxfId="0" priority="1" operator="equal">
      <formula>"S"</formula>
    </cfRule>
  </conditionalFormatting>
  <pageMargins left="0" right="0" top="0" bottom="0" header="0" footer="0"/>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T100"/>
  <sheetViews>
    <sheetView showGridLines="0" workbookViewId="0"/>
  </sheetViews>
  <sheetFormatPr defaultColWidth="4" defaultRowHeight="16.5" x14ac:dyDescent="0.25"/>
  <cols>
    <col min="2" max="2" width="18.7109375" style="293" customWidth="1"/>
    <col min="3" max="3" width="4.42578125" style="292" customWidth="1"/>
    <col min="4" max="5" width="4.42578125" style="292" bestFit="1" customWidth="1"/>
    <col min="6" max="6" width="4" style="292"/>
    <col min="18" max="18" width="4.42578125" bestFit="1" customWidth="1"/>
    <col min="24" max="24" width="4" customWidth="1"/>
    <col min="45" max="46" width="7.28515625" customWidth="1"/>
  </cols>
  <sheetData>
    <row r="1" spans="2:28" x14ac:dyDescent="0.25">
      <c r="B1" s="371"/>
      <c r="C1" s="370"/>
      <c r="D1" s="370"/>
      <c r="E1" s="370"/>
      <c r="F1" s="372"/>
    </row>
    <row r="2" spans="2:28" x14ac:dyDescent="0.25">
      <c r="B2" s="373" t="s">
        <v>152</v>
      </c>
      <c r="C2" s="324"/>
      <c r="D2" s="324"/>
      <c r="E2" s="324"/>
      <c r="F2" s="374"/>
      <c r="K2" s="387" t="s">
        <v>191</v>
      </c>
      <c r="P2" s="436"/>
      <c r="Q2" s="436"/>
      <c r="R2" s="436"/>
      <c r="S2" s="436"/>
      <c r="T2" s="436"/>
      <c r="U2" s="436"/>
      <c r="V2" s="436"/>
      <c r="W2" s="436"/>
      <c r="X2" s="436"/>
      <c r="Y2" s="436"/>
      <c r="Z2" s="436"/>
      <c r="AA2" s="436"/>
      <c r="AB2" s="436"/>
    </row>
    <row r="3" spans="2:28" x14ac:dyDescent="0.25">
      <c r="B3" s="328" t="s">
        <v>153</v>
      </c>
      <c r="C3" s="324"/>
      <c r="D3" s="324"/>
      <c r="E3" s="324"/>
      <c r="F3" s="374"/>
      <c r="H3" s="353">
        <v>1</v>
      </c>
      <c r="I3" s="354">
        <v>1</v>
      </c>
      <c r="J3" s="355">
        <v>1</v>
      </c>
      <c r="K3" s="356">
        <v>0</v>
      </c>
      <c r="L3" s="356">
        <v>0</v>
      </c>
      <c r="M3" s="356">
        <v>0</v>
      </c>
      <c r="N3" s="357">
        <v>0</v>
      </c>
      <c r="P3" s="436"/>
      <c r="Q3" s="436"/>
      <c r="R3" s="436"/>
      <c r="S3" s="436"/>
      <c r="T3" s="436"/>
      <c r="U3" s="436"/>
      <c r="V3" s="436"/>
      <c r="W3" s="436"/>
      <c r="X3" s="436"/>
      <c r="Y3" s="436"/>
      <c r="Z3" s="436"/>
      <c r="AA3" s="436"/>
      <c r="AB3" s="436"/>
    </row>
    <row r="4" spans="2:28" x14ac:dyDescent="0.25">
      <c r="B4" s="328" t="s">
        <v>154</v>
      </c>
      <c r="C4" s="375" t="s">
        <v>155</v>
      </c>
      <c r="D4" s="375"/>
      <c r="E4" s="324"/>
      <c r="F4" s="374"/>
      <c r="H4" s="353">
        <v>2</v>
      </c>
      <c r="I4" s="358">
        <v>1</v>
      </c>
      <c r="J4" s="359">
        <v>1</v>
      </c>
      <c r="K4" s="360">
        <v>0</v>
      </c>
      <c r="L4" s="360">
        <v>0</v>
      </c>
      <c r="M4" s="360">
        <v>0</v>
      </c>
      <c r="N4" s="361">
        <v>1</v>
      </c>
      <c r="P4" s="436"/>
      <c r="Q4" s="436"/>
      <c r="R4" s="436"/>
      <c r="S4" s="436"/>
      <c r="T4" s="436"/>
      <c r="U4" s="436"/>
      <c r="V4" s="436"/>
      <c r="W4" s="436"/>
      <c r="X4" s="436"/>
      <c r="Y4" s="436"/>
      <c r="Z4" s="436"/>
      <c r="AA4" s="436"/>
      <c r="AB4" s="436"/>
    </row>
    <row r="5" spans="2:28" ht="17.25" thickBot="1" x14ac:dyDescent="0.3">
      <c r="B5" s="328" t="s">
        <v>156</v>
      </c>
      <c r="C5" s="375" t="s">
        <v>157</v>
      </c>
      <c r="D5" s="375"/>
      <c r="E5" s="324"/>
      <c r="F5" s="374"/>
      <c r="H5" s="353">
        <v>3</v>
      </c>
      <c r="I5" s="358">
        <v>1</v>
      </c>
      <c r="J5" s="359">
        <v>1</v>
      </c>
      <c r="K5" s="360">
        <v>0</v>
      </c>
      <c r="L5" s="360">
        <v>0</v>
      </c>
      <c r="M5" s="359">
        <v>1</v>
      </c>
      <c r="N5" s="361">
        <v>1</v>
      </c>
      <c r="P5" s="436"/>
      <c r="Q5" s="436"/>
      <c r="R5" s="436"/>
      <c r="S5" s="436"/>
      <c r="T5" s="436"/>
      <c r="U5" s="436"/>
      <c r="V5" s="436"/>
      <c r="W5" s="436"/>
      <c r="X5" s="436"/>
      <c r="Y5" s="436"/>
      <c r="Z5" s="436"/>
      <c r="AA5" s="436"/>
      <c r="AB5" s="436"/>
    </row>
    <row r="6" spans="2:28" ht="17.25" thickTop="1" x14ac:dyDescent="0.25">
      <c r="B6" s="376">
        <f>63+369+336</f>
        <v>768</v>
      </c>
      <c r="C6" s="377" t="s">
        <v>165</v>
      </c>
      <c r="D6" s="377"/>
      <c r="E6" s="324"/>
      <c r="F6" s="374"/>
      <c r="H6" s="353">
        <v>4</v>
      </c>
      <c r="I6" s="358">
        <v>1</v>
      </c>
      <c r="J6" s="359">
        <v>1</v>
      </c>
      <c r="K6" s="360">
        <v>0</v>
      </c>
      <c r="L6" s="360">
        <v>0</v>
      </c>
      <c r="M6" s="359">
        <v>1</v>
      </c>
      <c r="N6" s="362">
        <v>0</v>
      </c>
      <c r="P6" s="436"/>
      <c r="Q6" s="436"/>
      <c r="R6" s="436"/>
      <c r="S6" s="436"/>
      <c r="T6" s="436"/>
      <c r="U6" s="436"/>
      <c r="V6" s="436"/>
      <c r="W6" s="436"/>
      <c r="X6" s="436"/>
      <c r="Y6" s="436"/>
      <c r="Z6" s="436"/>
      <c r="AA6" s="436"/>
      <c r="AB6" s="436"/>
    </row>
    <row r="7" spans="2:28" x14ac:dyDescent="0.25">
      <c r="B7" s="324"/>
      <c r="C7" s="324"/>
      <c r="D7" s="324"/>
      <c r="E7" s="324"/>
      <c r="F7" s="374"/>
      <c r="H7" s="353">
        <v>5</v>
      </c>
      <c r="I7" s="358">
        <v>1</v>
      </c>
      <c r="J7" s="359">
        <v>1</v>
      </c>
      <c r="K7" s="360">
        <v>0</v>
      </c>
      <c r="L7" s="359">
        <v>1</v>
      </c>
      <c r="M7" s="359">
        <v>1</v>
      </c>
      <c r="N7" s="362">
        <v>0</v>
      </c>
      <c r="P7" s="436"/>
      <c r="Q7" s="436"/>
      <c r="R7" s="436"/>
      <c r="S7" s="436"/>
      <c r="T7" s="436"/>
      <c r="U7" s="436"/>
      <c r="V7" s="436"/>
      <c r="W7" s="436"/>
      <c r="X7" s="436"/>
      <c r="Y7" s="436"/>
      <c r="Z7" s="436"/>
      <c r="AA7" s="436"/>
      <c r="AB7" s="436"/>
    </row>
    <row r="8" spans="2:28" x14ac:dyDescent="0.25">
      <c r="B8" s="324"/>
      <c r="C8" s="324"/>
      <c r="D8" s="324"/>
      <c r="E8" s="324"/>
      <c r="F8" s="374"/>
      <c r="H8" s="353">
        <v>6</v>
      </c>
      <c r="I8" s="358">
        <v>1</v>
      </c>
      <c r="J8" s="359">
        <v>1</v>
      </c>
      <c r="K8" s="360">
        <v>0</v>
      </c>
      <c r="L8" s="359">
        <v>1</v>
      </c>
      <c r="M8" s="359">
        <v>1</v>
      </c>
      <c r="N8" s="361">
        <v>1</v>
      </c>
      <c r="P8" s="436"/>
      <c r="Q8" s="436"/>
      <c r="R8" s="436"/>
      <c r="S8" s="436"/>
      <c r="T8" s="436"/>
      <c r="U8" s="436"/>
      <c r="V8" s="436"/>
      <c r="W8" s="436"/>
      <c r="X8" s="436"/>
      <c r="Y8" s="436"/>
      <c r="Z8" s="436"/>
      <c r="AA8" s="436"/>
      <c r="AB8" s="436"/>
    </row>
    <row r="9" spans="2:28" x14ac:dyDescent="0.25">
      <c r="B9" s="373" t="s">
        <v>174</v>
      </c>
      <c r="C9" s="324"/>
      <c r="D9" s="324"/>
      <c r="E9" s="324"/>
      <c r="F9" s="374"/>
      <c r="H9" s="353">
        <v>7</v>
      </c>
      <c r="I9" s="358">
        <v>1</v>
      </c>
      <c r="J9" s="359">
        <v>1</v>
      </c>
      <c r="K9" s="360">
        <v>0</v>
      </c>
      <c r="L9" s="359">
        <v>1</v>
      </c>
      <c r="M9" s="360">
        <v>0</v>
      </c>
      <c r="N9" s="361">
        <v>1</v>
      </c>
      <c r="P9" s="436"/>
      <c r="Q9" s="436"/>
      <c r="R9" s="436"/>
      <c r="S9" s="436"/>
      <c r="T9" s="436"/>
      <c r="U9" s="436"/>
      <c r="V9" s="436"/>
      <c r="W9" s="436"/>
      <c r="X9" s="436"/>
      <c r="Y9" s="436"/>
      <c r="Z9" s="436"/>
      <c r="AA9" s="436"/>
      <c r="AB9" s="436"/>
    </row>
    <row r="10" spans="2:28" x14ac:dyDescent="0.25">
      <c r="B10" s="328" t="s">
        <v>153</v>
      </c>
      <c r="C10" s="324"/>
      <c r="D10" s="324"/>
      <c r="E10" s="324"/>
      <c r="F10" s="374"/>
      <c r="H10" s="353">
        <v>8</v>
      </c>
      <c r="I10" s="358">
        <v>1</v>
      </c>
      <c r="J10" s="359">
        <v>1</v>
      </c>
      <c r="K10" s="360">
        <v>0</v>
      </c>
      <c r="L10" s="359">
        <v>1</v>
      </c>
      <c r="M10" s="360">
        <v>0</v>
      </c>
      <c r="N10" s="362">
        <v>0</v>
      </c>
      <c r="P10" s="436"/>
      <c r="Q10" s="436"/>
      <c r="R10" s="436"/>
      <c r="S10" s="436"/>
      <c r="T10" s="436"/>
      <c r="U10" s="436"/>
      <c r="V10" s="436"/>
      <c r="W10" s="436"/>
      <c r="X10" s="436"/>
      <c r="Y10" s="436"/>
      <c r="Z10" s="436"/>
      <c r="AA10" s="436"/>
      <c r="AB10" s="436"/>
    </row>
    <row r="11" spans="2:28" x14ac:dyDescent="0.25">
      <c r="B11" s="328" t="s">
        <v>159</v>
      </c>
      <c r="C11" s="324"/>
      <c r="D11" s="324"/>
      <c r="E11" s="324"/>
      <c r="F11" s="374"/>
      <c r="H11" s="353">
        <v>9</v>
      </c>
      <c r="I11" s="358">
        <v>1</v>
      </c>
      <c r="J11" s="359">
        <v>1</v>
      </c>
      <c r="K11" s="359">
        <v>1</v>
      </c>
      <c r="L11" s="359">
        <v>1</v>
      </c>
      <c r="M11" s="360">
        <v>0</v>
      </c>
      <c r="N11" s="362">
        <v>0</v>
      </c>
      <c r="P11" s="436"/>
      <c r="Q11" s="436"/>
      <c r="R11" s="436"/>
      <c r="S11" s="436"/>
      <c r="T11" s="436"/>
      <c r="U11" s="436"/>
      <c r="V11" s="436"/>
      <c r="W11" s="436"/>
      <c r="X11" s="436"/>
      <c r="Y11" s="436"/>
      <c r="Z11" s="436"/>
      <c r="AA11" s="436"/>
      <c r="AB11" s="436"/>
    </row>
    <row r="12" spans="2:28" x14ac:dyDescent="0.25">
      <c r="B12" s="378" t="s">
        <v>158</v>
      </c>
      <c r="C12" s="375" t="s">
        <v>182</v>
      </c>
      <c r="D12" s="375"/>
      <c r="E12" s="324"/>
      <c r="F12" s="374"/>
      <c r="H12" s="353">
        <v>10</v>
      </c>
      <c r="I12" s="358">
        <v>1</v>
      </c>
      <c r="J12" s="359">
        <v>1</v>
      </c>
      <c r="K12" s="359">
        <v>1</v>
      </c>
      <c r="L12" s="359">
        <v>1</v>
      </c>
      <c r="M12" s="360">
        <v>0</v>
      </c>
      <c r="N12" s="361">
        <v>1</v>
      </c>
      <c r="P12" s="436"/>
      <c r="Q12" s="436"/>
      <c r="R12" s="436"/>
      <c r="S12" s="436"/>
      <c r="T12" s="436"/>
      <c r="U12" s="436"/>
      <c r="V12" s="436"/>
      <c r="W12" s="436"/>
      <c r="X12" s="436"/>
      <c r="Y12" s="436"/>
      <c r="Z12" s="436"/>
      <c r="AA12" s="436"/>
      <c r="AB12" s="436"/>
    </row>
    <row r="13" spans="2:28" ht="17.25" thickBot="1" x14ac:dyDescent="0.3">
      <c r="B13" s="328" t="s">
        <v>156</v>
      </c>
      <c r="C13" s="375" t="s">
        <v>164</v>
      </c>
      <c r="D13" s="375"/>
      <c r="E13" s="324"/>
      <c r="F13" s="374"/>
      <c r="H13" s="353">
        <v>11</v>
      </c>
      <c r="I13" s="358">
        <v>1</v>
      </c>
      <c r="J13" s="359">
        <v>1</v>
      </c>
      <c r="K13" s="359">
        <v>1</v>
      </c>
      <c r="L13" s="359">
        <v>1</v>
      </c>
      <c r="M13" s="359">
        <v>1</v>
      </c>
      <c r="N13" s="361">
        <v>1</v>
      </c>
      <c r="P13" s="436"/>
      <c r="Q13" s="436"/>
      <c r="R13" s="436"/>
      <c r="S13" s="436"/>
      <c r="T13" s="436"/>
      <c r="U13" s="436"/>
      <c r="V13" s="436"/>
      <c r="W13" s="436"/>
      <c r="X13" s="436"/>
      <c r="Y13" s="436"/>
      <c r="Z13" s="436"/>
      <c r="AA13" s="436"/>
      <c r="AB13" s="436"/>
    </row>
    <row r="14" spans="2:28" ht="17.25" thickTop="1" x14ac:dyDescent="0.25">
      <c r="B14" s="376">
        <f>63+369+1+336</f>
        <v>769</v>
      </c>
      <c r="C14" s="377" t="s">
        <v>161</v>
      </c>
      <c r="D14" s="377"/>
      <c r="E14" s="324"/>
      <c r="F14" s="374"/>
      <c r="H14" s="353">
        <v>12</v>
      </c>
      <c r="I14" s="358">
        <v>1</v>
      </c>
      <c r="J14" s="359">
        <v>1</v>
      </c>
      <c r="K14" s="359">
        <v>1</v>
      </c>
      <c r="L14" s="359">
        <v>1</v>
      </c>
      <c r="M14" s="359">
        <v>1</v>
      </c>
      <c r="N14" s="362">
        <v>0</v>
      </c>
      <c r="P14" s="436"/>
      <c r="Q14" s="436"/>
      <c r="R14" s="436"/>
      <c r="S14" s="436"/>
      <c r="T14" s="436"/>
      <c r="U14" s="436"/>
      <c r="V14" s="436"/>
      <c r="W14" s="436"/>
      <c r="X14" s="436"/>
      <c r="Y14" s="436"/>
      <c r="Z14" s="436"/>
      <c r="AA14" s="436"/>
      <c r="AB14" s="436"/>
    </row>
    <row r="15" spans="2:28" x14ac:dyDescent="0.25">
      <c r="B15" s="324"/>
      <c r="C15" s="324"/>
      <c r="D15" s="324"/>
      <c r="E15" s="324"/>
      <c r="F15" s="374"/>
      <c r="H15" s="353">
        <v>13</v>
      </c>
      <c r="I15" s="358">
        <v>1</v>
      </c>
      <c r="J15" s="359">
        <v>1</v>
      </c>
      <c r="K15" s="359">
        <v>1</v>
      </c>
      <c r="L15" s="360">
        <v>0</v>
      </c>
      <c r="M15" s="359">
        <v>1</v>
      </c>
      <c r="N15" s="362">
        <v>0</v>
      </c>
      <c r="P15" s="436"/>
      <c r="Q15" s="436"/>
      <c r="R15" s="436"/>
      <c r="S15" s="436"/>
      <c r="T15" s="436"/>
      <c r="U15" s="436"/>
      <c r="V15" s="436"/>
      <c r="W15" s="436"/>
      <c r="X15" s="436"/>
      <c r="Y15" s="436"/>
      <c r="Z15" s="436"/>
      <c r="AA15" s="436"/>
      <c r="AB15" s="436"/>
    </row>
    <row r="16" spans="2:28" x14ac:dyDescent="0.25">
      <c r="B16" s="328"/>
      <c r="C16" s="324"/>
      <c r="D16" s="324"/>
      <c r="E16" s="324"/>
      <c r="F16" s="374"/>
      <c r="H16" s="353">
        <v>14</v>
      </c>
      <c r="I16" s="358">
        <v>1</v>
      </c>
      <c r="J16" s="359">
        <v>1</v>
      </c>
      <c r="K16" s="359">
        <v>1</v>
      </c>
      <c r="L16" s="360">
        <v>0</v>
      </c>
      <c r="M16" s="359">
        <v>1</v>
      </c>
      <c r="N16" s="361">
        <v>1</v>
      </c>
      <c r="P16" s="436"/>
      <c r="Q16" s="436"/>
      <c r="R16" s="436"/>
      <c r="S16" s="436"/>
      <c r="T16" s="436"/>
      <c r="U16" s="436"/>
      <c r="V16" s="436"/>
      <c r="W16" s="436"/>
      <c r="X16" s="436"/>
      <c r="Y16" s="436"/>
      <c r="Z16" s="436"/>
      <c r="AA16" s="436"/>
      <c r="AB16" s="436"/>
    </row>
    <row r="17" spans="2:28" x14ac:dyDescent="0.25">
      <c r="B17" s="373" t="s">
        <v>168</v>
      </c>
      <c r="C17" s="324"/>
      <c r="D17" s="324"/>
      <c r="E17" s="324"/>
      <c r="F17" s="374"/>
      <c r="H17" s="353">
        <v>15</v>
      </c>
      <c r="I17" s="358">
        <v>1</v>
      </c>
      <c r="J17" s="359">
        <v>1</v>
      </c>
      <c r="K17" s="359">
        <v>1</v>
      </c>
      <c r="L17" s="360">
        <v>0</v>
      </c>
      <c r="M17" s="360">
        <v>0</v>
      </c>
      <c r="N17" s="361">
        <v>1</v>
      </c>
      <c r="P17" s="436"/>
      <c r="Q17" s="436"/>
      <c r="R17" s="436"/>
      <c r="S17" s="436"/>
      <c r="T17" s="436"/>
      <c r="U17" s="436"/>
      <c r="V17" s="436"/>
      <c r="W17" s="436"/>
      <c r="X17" s="436"/>
      <c r="Y17" s="436"/>
      <c r="Z17" s="436"/>
      <c r="AA17" s="436"/>
      <c r="AB17" s="436"/>
    </row>
    <row r="18" spans="2:28" x14ac:dyDescent="0.25">
      <c r="B18" s="373" t="s">
        <v>169</v>
      </c>
      <c r="C18" s="324"/>
      <c r="D18" s="324"/>
      <c r="E18" s="324"/>
      <c r="F18" s="374"/>
      <c r="H18" s="353">
        <v>16</v>
      </c>
      <c r="I18" s="358">
        <v>1</v>
      </c>
      <c r="J18" s="359">
        <v>1</v>
      </c>
      <c r="K18" s="359">
        <v>1</v>
      </c>
      <c r="L18" s="360">
        <v>0</v>
      </c>
      <c r="M18" s="360">
        <v>0</v>
      </c>
      <c r="N18" s="362">
        <v>0</v>
      </c>
    </row>
    <row r="19" spans="2:28" x14ac:dyDescent="0.25">
      <c r="B19" s="328" t="s">
        <v>153</v>
      </c>
      <c r="C19" s="324"/>
      <c r="D19" s="324"/>
      <c r="E19" s="324"/>
      <c r="F19" s="374"/>
      <c r="H19" s="353">
        <v>17</v>
      </c>
      <c r="I19" s="358">
        <v>1</v>
      </c>
      <c r="J19" s="360">
        <v>0</v>
      </c>
      <c r="K19" s="359">
        <v>1</v>
      </c>
      <c r="L19" s="360">
        <v>0</v>
      </c>
      <c r="M19" s="360">
        <v>0</v>
      </c>
      <c r="N19" s="362">
        <v>0</v>
      </c>
      <c r="P19" s="436"/>
      <c r="Q19" s="436"/>
      <c r="R19" s="436"/>
      <c r="S19" s="436"/>
      <c r="T19" s="436"/>
      <c r="U19" s="436"/>
      <c r="V19" s="436"/>
      <c r="W19" s="436"/>
      <c r="X19" s="436"/>
      <c r="Y19" s="436"/>
      <c r="Z19" s="436"/>
      <c r="AA19" s="436"/>
      <c r="AB19" s="436"/>
    </row>
    <row r="20" spans="2:28" x14ac:dyDescent="0.25">
      <c r="B20" s="328" t="s">
        <v>166</v>
      </c>
      <c r="C20" s="375" t="s">
        <v>180</v>
      </c>
      <c r="D20" s="375"/>
      <c r="E20" s="324"/>
      <c r="F20" s="374"/>
      <c r="H20" s="353">
        <v>18</v>
      </c>
      <c r="I20" s="358">
        <v>1</v>
      </c>
      <c r="J20" s="360">
        <v>0</v>
      </c>
      <c r="K20" s="359">
        <v>1</v>
      </c>
      <c r="L20" s="360">
        <v>0</v>
      </c>
      <c r="M20" s="360">
        <v>0</v>
      </c>
      <c r="N20" s="361">
        <v>1</v>
      </c>
      <c r="P20" s="436"/>
      <c r="Q20" s="436"/>
      <c r="R20" s="436"/>
      <c r="S20" s="436"/>
      <c r="T20" s="436"/>
      <c r="U20" s="436"/>
      <c r="V20" s="436"/>
      <c r="W20" s="436"/>
      <c r="X20" s="436"/>
      <c r="Y20" s="436"/>
      <c r="Z20" s="436"/>
      <c r="AA20" s="436"/>
      <c r="AB20" s="436"/>
    </row>
    <row r="21" spans="2:28" x14ac:dyDescent="0.25">
      <c r="B21" s="328" t="s">
        <v>156</v>
      </c>
      <c r="C21" s="375" t="s">
        <v>181</v>
      </c>
      <c r="D21" s="375"/>
      <c r="E21" s="324"/>
      <c r="F21" s="374"/>
      <c r="H21" s="353">
        <v>19</v>
      </c>
      <c r="I21" s="358">
        <v>1</v>
      </c>
      <c r="J21" s="360">
        <v>0</v>
      </c>
      <c r="K21" s="359">
        <v>1</v>
      </c>
      <c r="L21" s="360">
        <v>0</v>
      </c>
      <c r="M21" s="359">
        <v>1</v>
      </c>
      <c r="N21" s="361">
        <v>1</v>
      </c>
      <c r="P21" s="436"/>
      <c r="Q21" s="436"/>
      <c r="R21" s="436"/>
      <c r="S21" s="436"/>
      <c r="T21" s="436"/>
      <c r="U21" s="436"/>
      <c r="V21" s="436"/>
      <c r="W21" s="436"/>
      <c r="X21" s="436"/>
      <c r="Y21" s="436"/>
      <c r="Z21" s="436"/>
      <c r="AA21" s="436"/>
      <c r="AB21" s="436"/>
    </row>
    <row r="22" spans="2:28" ht="17.25" thickBot="1" x14ac:dyDescent="0.3">
      <c r="B22" s="378" t="s">
        <v>160</v>
      </c>
      <c r="C22" s="375" t="s">
        <v>163</v>
      </c>
      <c r="D22" s="375"/>
      <c r="E22" s="324"/>
      <c r="F22" s="374"/>
      <c r="H22" s="353">
        <v>20</v>
      </c>
      <c r="I22" s="358">
        <v>1</v>
      </c>
      <c r="J22" s="360">
        <v>0</v>
      </c>
      <c r="K22" s="359">
        <v>1</v>
      </c>
      <c r="L22" s="360">
        <v>0</v>
      </c>
      <c r="M22" s="359">
        <v>1</v>
      </c>
      <c r="N22" s="362">
        <v>0</v>
      </c>
      <c r="P22" s="436"/>
      <c r="Q22" s="436"/>
      <c r="R22" s="436"/>
      <c r="S22" s="436"/>
      <c r="T22" s="436"/>
      <c r="U22" s="436"/>
      <c r="V22" s="436"/>
      <c r="W22" s="436"/>
      <c r="X22" s="436"/>
      <c r="Y22" s="436"/>
      <c r="Z22" s="436"/>
      <c r="AA22" s="436"/>
      <c r="AB22" s="436"/>
    </row>
    <row r="23" spans="2:28" ht="17.25" thickTop="1" x14ac:dyDescent="0.25">
      <c r="B23" s="376">
        <f>63+369+1+336+1</f>
        <v>770</v>
      </c>
      <c r="C23" s="377" t="s">
        <v>162</v>
      </c>
      <c r="D23" s="377"/>
      <c r="E23" s="377"/>
      <c r="F23" s="374"/>
      <c r="H23" s="353">
        <v>21</v>
      </c>
      <c r="I23" s="358">
        <v>1</v>
      </c>
      <c r="J23" s="360">
        <v>0</v>
      </c>
      <c r="K23" s="359">
        <v>1</v>
      </c>
      <c r="L23" s="359">
        <v>1</v>
      </c>
      <c r="M23" s="359">
        <v>1</v>
      </c>
      <c r="N23" s="362">
        <v>0</v>
      </c>
      <c r="P23" s="436"/>
      <c r="Q23" s="436"/>
      <c r="R23" s="436"/>
      <c r="S23" s="436"/>
      <c r="T23" s="436"/>
      <c r="U23" s="436"/>
      <c r="V23" s="436"/>
      <c r="W23" s="436"/>
      <c r="X23" s="436"/>
      <c r="Y23" s="436"/>
      <c r="Z23" s="436"/>
      <c r="AA23" s="436"/>
      <c r="AB23" s="436"/>
    </row>
    <row r="24" spans="2:28" x14ac:dyDescent="0.25">
      <c r="B24" s="328"/>
      <c r="C24" s="324"/>
      <c r="D24" s="324"/>
      <c r="E24" s="324"/>
      <c r="F24" s="374"/>
      <c r="H24" s="353">
        <v>22</v>
      </c>
      <c r="I24" s="358">
        <v>1</v>
      </c>
      <c r="J24" s="360">
        <v>0</v>
      </c>
      <c r="K24" s="359">
        <v>1</v>
      </c>
      <c r="L24" s="359">
        <v>1</v>
      </c>
      <c r="M24" s="359">
        <v>1</v>
      </c>
      <c r="N24" s="361">
        <v>1</v>
      </c>
      <c r="P24" s="436"/>
      <c r="Q24" s="436"/>
      <c r="R24" s="436"/>
      <c r="S24" s="436"/>
      <c r="T24" s="436"/>
      <c r="U24" s="436"/>
      <c r="V24" s="436"/>
      <c r="W24" s="436"/>
      <c r="X24" s="436"/>
      <c r="Y24" s="436"/>
      <c r="Z24" s="436"/>
      <c r="AA24" s="436"/>
      <c r="AB24" s="436"/>
    </row>
    <row r="25" spans="2:28" x14ac:dyDescent="0.25">
      <c r="B25" s="328"/>
      <c r="C25" s="324"/>
      <c r="D25" s="324"/>
      <c r="E25" s="324"/>
      <c r="F25" s="374"/>
      <c r="H25" s="353">
        <v>23</v>
      </c>
      <c r="I25" s="358">
        <v>1</v>
      </c>
      <c r="J25" s="360">
        <v>0</v>
      </c>
      <c r="K25" s="359">
        <v>1</v>
      </c>
      <c r="L25" s="359">
        <v>1</v>
      </c>
      <c r="M25" s="360">
        <v>0</v>
      </c>
      <c r="N25" s="361">
        <v>1</v>
      </c>
      <c r="P25" s="436"/>
      <c r="Q25" s="436"/>
      <c r="R25" s="436"/>
      <c r="S25" s="436"/>
      <c r="T25" s="436"/>
      <c r="U25" s="436"/>
      <c r="V25" s="436"/>
      <c r="W25" s="436"/>
      <c r="X25" s="436"/>
      <c r="Y25" s="436"/>
      <c r="Z25" s="436"/>
      <c r="AA25" s="436"/>
      <c r="AB25" s="436"/>
    </row>
    <row r="26" spans="2:28" x14ac:dyDescent="0.25">
      <c r="B26" s="373" t="s">
        <v>170</v>
      </c>
      <c r="C26" s="324"/>
      <c r="D26" s="324"/>
      <c r="E26" s="324"/>
      <c r="F26" s="374"/>
      <c r="H26" s="353">
        <v>24</v>
      </c>
      <c r="I26" s="358">
        <v>1</v>
      </c>
      <c r="J26" s="360">
        <v>0</v>
      </c>
      <c r="K26" s="359">
        <v>1</v>
      </c>
      <c r="L26" s="359">
        <v>1</v>
      </c>
      <c r="M26" s="360">
        <v>0</v>
      </c>
      <c r="N26" s="362">
        <v>0</v>
      </c>
      <c r="P26" s="436"/>
      <c r="Q26" s="436"/>
      <c r="R26" s="436"/>
      <c r="S26" s="436"/>
      <c r="T26" s="436"/>
      <c r="U26" s="436"/>
      <c r="V26" s="436"/>
      <c r="W26" s="436"/>
      <c r="X26" s="436"/>
      <c r="Y26" s="436"/>
      <c r="Z26" s="436"/>
      <c r="AA26" s="436"/>
      <c r="AB26" s="436"/>
    </row>
    <row r="27" spans="2:28" x14ac:dyDescent="0.25">
      <c r="B27" s="373" t="s">
        <v>169</v>
      </c>
      <c r="C27" s="324"/>
      <c r="D27" s="324"/>
      <c r="E27" s="324"/>
      <c r="F27" s="374"/>
      <c r="H27" s="353">
        <v>25</v>
      </c>
      <c r="I27" s="358">
        <v>1</v>
      </c>
      <c r="J27" s="360">
        <v>0</v>
      </c>
      <c r="K27" s="360">
        <v>0</v>
      </c>
      <c r="L27" s="359">
        <v>1</v>
      </c>
      <c r="M27" s="360">
        <v>0</v>
      </c>
      <c r="N27" s="362">
        <v>0</v>
      </c>
      <c r="P27" s="436"/>
      <c r="Q27" s="436"/>
      <c r="R27" s="436"/>
      <c r="S27" s="436"/>
      <c r="T27" s="436"/>
      <c r="U27" s="436"/>
      <c r="V27" s="436"/>
      <c r="W27" s="436"/>
      <c r="X27" s="436"/>
      <c r="Y27" s="436"/>
      <c r="Z27" s="436"/>
      <c r="AA27" s="436"/>
      <c r="AB27" s="436"/>
    </row>
    <row r="28" spans="2:28" x14ac:dyDescent="0.25">
      <c r="B28" s="328" t="s">
        <v>153</v>
      </c>
      <c r="C28" s="324"/>
      <c r="D28" s="324"/>
      <c r="E28" s="324"/>
      <c r="F28" s="374"/>
      <c r="H28" s="353">
        <v>26</v>
      </c>
      <c r="I28" s="358">
        <v>1</v>
      </c>
      <c r="J28" s="360">
        <v>0</v>
      </c>
      <c r="K28" s="360">
        <v>0</v>
      </c>
      <c r="L28" s="359">
        <v>1</v>
      </c>
      <c r="M28" s="360">
        <v>0</v>
      </c>
      <c r="N28" s="361">
        <v>1</v>
      </c>
      <c r="P28" s="436"/>
      <c r="Q28" s="436"/>
      <c r="R28" s="436"/>
      <c r="S28" s="436"/>
      <c r="T28" s="436"/>
      <c r="U28" s="436"/>
      <c r="V28" s="436"/>
      <c r="W28" s="436"/>
      <c r="X28" s="436"/>
      <c r="Y28" s="436"/>
      <c r="Z28" s="436"/>
      <c r="AA28" s="436"/>
      <c r="AB28" s="436"/>
    </row>
    <row r="29" spans="2:28" x14ac:dyDescent="0.25">
      <c r="B29" s="328" t="s">
        <v>166</v>
      </c>
      <c r="C29" s="375" t="s">
        <v>178</v>
      </c>
      <c r="D29" s="375"/>
      <c r="E29" s="375"/>
      <c r="F29" s="374"/>
      <c r="H29" s="353">
        <v>27</v>
      </c>
      <c r="I29" s="358">
        <v>1</v>
      </c>
      <c r="J29" s="360">
        <v>0</v>
      </c>
      <c r="K29" s="360">
        <v>0</v>
      </c>
      <c r="L29" s="359">
        <v>1</v>
      </c>
      <c r="M29" s="359">
        <v>1</v>
      </c>
      <c r="N29" s="361">
        <v>1</v>
      </c>
      <c r="P29" s="436"/>
      <c r="Q29" s="436"/>
      <c r="R29" s="436"/>
      <c r="S29" s="436"/>
      <c r="T29" s="436"/>
      <c r="U29" s="436"/>
      <c r="V29" s="436"/>
      <c r="W29" s="436"/>
      <c r="X29" s="436"/>
      <c r="Y29" s="436"/>
      <c r="Z29" s="436"/>
      <c r="AA29" s="436"/>
      <c r="AB29" s="436"/>
    </row>
    <row r="30" spans="2:28" x14ac:dyDescent="0.25">
      <c r="B30" s="378" t="s">
        <v>171</v>
      </c>
      <c r="C30" s="375" t="s">
        <v>179</v>
      </c>
      <c r="D30" s="375"/>
      <c r="E30" s="375"/>
      <c r="F30" s="374"/>
      <c r="H30" s="353">
        <v>28</v>
      </c>
      <c r="I30" s="358">
        <v>1</v>
      </c>
      <c r="J30" s="360">
        <v>0</v>
      </c>
      <c r="K30" s="360">
        <v>0</v>
      </c>
      <c r="L30" s="359">
        <v>1</v>
      </c>
      <c r="M30" s="359">
        <v>1</v>
      </c>
      <c r="N30" s="362">
        <v>0</v>
      </c>
      <c r="P30" s="436"/>
      <c r="Q30" s="436"/>
      <c r="R30" s="436"/>
      <c r="S30" s="436"/>
      <c r="T30" s="436"/>
      <c r="U30" s="436"/>
      <c r="V30" s="436"/>
      <c r="W30" s="436"/>
      <c r="X30" s="436"/>
      <c r="Y30" s="436"/>
      <c r="Z30" s="436"/>
      <c r="AA30" s="436"/>
      <c r="AB30" s="436"/>
    </row>
    <row r="31" spans="2:28" ht="17.25" thickBot="1" x14ac:dyDescent="0.3">
      <c r="B31" s="328" t="s">
        <v>167</v>
      </c>
      <c r="C31" s="375" t="s">
        <v>172</v>
      </c>
      <c r="D31" s="375"/>
      <c r="E31" s="375"/>
      <c r="F31" s="374"/>
      <c r="H31" s="353">
        <v>29</v>
      </c>
      <c r="I31" s="358">
        <v>1</v>
      </c>
      <c r="J31" s="360">
        <v>0</v>
      </c>
      <c r="K31" s="360">
        <v>0</v>
      </c>
      <c r="L31" s="360">
        <v>0</v>
      </c>
      <c r="M31" s="359">
        <v>1</v>
      </c>
      <c r="N31" s="362">
        <v>0</v>
      </c>
      <c r="P31" s="436"/>
      <c r="Q31" s="436"/>
      <c r="R31" s="436"/>
      <c r="S31" s="436"/>
      <c r="T31" s="436"/>
      <c r="U31" s="436"/>
      <c r="V31" s="436"/>
      <c r="W31" s="436"/>
      <c r="X31" s="436"/>
      <c r="Y31" s="436"/>
      <c r="Z31" s="436"/>
      <c r="AA31" s="436"/>
      <c r="AB31" s="436"/>
    </row>
    <row r="32" spans="2:28" ht="17.25" thickTop="1" x14ac:dyDescent="0.25">
      <c r="B32" s="376">
        <f>63+369+1+1+336+1</f>
        <v>771</v>
      </c>
      <c r="C32" s="377" t="s">
        <v>173</v>
      </c>
      <c r="D32" s="324"/>
      <c r="E32" s="324"/>
      <c r="F32" s="374"/>
      <c r="H32" s="353">
        <v>30</v>
      </c>
      <c r="I32" s="358">
        <v>1</v>
      </c>
      <c r="J32" s="360">
        <v>0</v>
      </c>
      <c r="K32" s="360">
        <v>0</v>
      </c>
      <c r="L32" s="360">
        <v>0</v>
      </c>
      <c r="M32" s="359">
        <v>1</v>
      </c>
      <c r="N32" s="361">
        <v>1</v>
      </c>
      <c r="P32" s="436"/>
      <c r="Q32" s="436"/>
      <c r="R32" s="436"/>
      <c r="S32" s="436"/>
      <c r="T32" s="436"/>
      <c r="U32" s="436"/>
      <c r="V32" s="436"/>
      <c r="W32" s="436"/>
      <c r="X32" s="436"/>
      <c r="Y32" s="436"/>
      <c r="Z32" s="436"/>
      <c r="AA32" s="436"/>
      <c r="AB32" s="436"/>
    </row>
    <row r="33" spans="2:46" x14ac:dyDescent="0.25">
      <c r="B33" s="328"/>
      <c r="C33" s="324"/>
      <c r="D33" s="324"/>
      <c r="E33" s="324"/>
      <c r="F33" s="374"/>
      <c r="H33" s="353">
        <v>31</v>
      </c>
      <c r="I33" s="358">
        <v>1</v>
      </c>
      <c r="J33" s="360">
        <v>0</v>
      </c>
      <c r="K33" s="360">
        <v>0</v>
      </c>
      <c r="L33" s="360">
        <v>0</v>
      </c>
      <c r="M33" s="360">
        <v>0</v>
      </c>
      <c r="N33" s="361">
        <v>1</v>
      </c>
      <c r="P33" s="436"/>
      <c r="Q33" s="436"/>
      <c r="R33" s="436"/>
      <c r="S33" s="436"/>
      <c r="T33" s="436"/>
      <c r="U33" s="436"/>
      <c r="V33" s="436"/>
      <c r="W33" s="436"/>
      <c r="X33" s="436"/>
      <c r="Y33" s="436"/>
      <c r="Z33" s="436"/>
      <c r="AA33" s="436"/>
      <c r="AB33" s="436"/>
    </row>
    <row r="34" spans="2:46" x14ac:dyDescent="0.25">
      <c r="B34" s="328"/>
      <c r="C34" s="324"/>
      <c r="D34" s="324"/>
      <c r="E34" s="324"/>
      <c r="F34" s="374"/>
      <c r="H34" s="353">
        <v>32</v>
      </c>
      <c r="I34" s="358">
        <v>1</v>
      </c>
      <c r="J34" s="360">
        <v>0</v>
      </c>
      <c r="K34" s="360">
        <v>0</v>
      </c>
      <c r="L34" s="360">
        <v>0</v>
      </c>
      <c r="M34" s="360">
        <v>0</v>
      </c>
      <c r="N34" s="362">
        <v>0</v>
      </c>
      <c r="P34" s="436"/>
      <c r="Q34" s="436"/>
      <c r="R34" s="436"/>
      <c r="S34" s="436"/>
      <c r="T34" s="436"/>
      <c r="U34" s="436"/>
      <c r="V34" s="436"/>
      <c r="W34" s="436"/>
      <c r="X34" s="436"/>
      <c r="Y34" s="436"/>
      <c r="Z34" s="436"/>
      <c r="AA34" s="436"/>
      <c r="AB34" s="436"/>
    </row>
    <row r="35" spans="2:46" x14ac:dyDescent="0.25">
      <c r="B35" s="373" t="s">
        <v>175</v>
      </c>
      <c r="C35" s="324"/>
      <c r="D35" s="324"/>
      <c r="E35" s="324"/>
      <c r="F35" s="374"/>
      <c r="H35" s="353">
        <v>33</v>
      </c>
      <c r="I35" s="358">
        <v>1</v>
      </c>
      <c r="J35" s="360">
        <v>0</v>
      </c>
      <c r="K35" s="360">
        <v>0</v>
      </c>
      <c r="L35" s="360">
        <v>0</v>
      </c>
      <c r="M35" s="360">
        <v>0</v>
      </c>
      <c r="N35" s="362">
        <v>0</v>
      </c>
    </row>
    <row r="36" spans="2:46" x14ac:dyDescent="0.25">
      <c r="B36" s="328" t="s">
        <v>153</v>
      </c>
      <c r="C36" s="324"/>
      <c r="D36" s="324"/>
      <c r="E36" s="324"/>
      <c r="F36" s="374"/>
      <c r="H36" s="353">
        <v>34</v>
      </c>
      <c r="I36" s="358">
        <v>1</v>
      </c>
      <c r="J36" s="360">
        <v>0</v>
      </c>
      <c r="K36" s="360">
        <v>0</v>
      </c>
      <c r="L36" s="360">
        <v>0</v>
      </c>
      <c r="M36" s="360">
        <v>0</v>
      </c>
      <c r="N36" s="361">
        <v>1</v>
      </c>
    </row>
    <row r="37" spans="2:46" x14ac:dyDescent="0.25">
      <c r="B37" s="328" t="s">
        <v>154</v>
      </c>
      <c r="C37" s="375"/>
      <c r="D37" s="333" t="s">
        <v>177</v>
      </c>
      <c r="E37" s="375"/>
      <c r="F37" s="379"/>
      <c r="H37" s="353">
        <v>35</v>
      </c>
      <c r="I37" s="358">
        <v>1</v>
      </c>
      <c r="J37" s="360">
        <v>0</v>
      </c>
      <c r="K37" s="360">
        <v>0</v>
      </c>
      <c r="L37" s="360">
        <v>0</v>
      </c>
      <c r="M37" s="359">
        <v>1</v>
      </c>
      <c r="N37" s="361">
        <v>1</v>
      </c>
    </row>
    <row r="38" spans="2:46" x14ac:dyDescent="0.25">
      <c r="B38" s="328" t="s">
        <v>156</v>
      </c>
      <c r="C38" s="375"/>
      <c r="D38" s="333" t="s">
        <v>183</v>
      </c>
      <c r="E38" s="375"/>
      <c r="F38" s="379"/>
      <c r="H38" s="353">
        <v>36</v>
      </c>
      <c r="I38" s="358">
        <v>1</v>
      </c>
      <c r="J38" s="360">
        <v>0</v>
      </c>
      <c r="K38" s="360">
        <v>0</v>
      </c>
      <c r="L38" s="360">
        <v>0</v>
      </c>
      <c r="M38" s="359">
        <v>1</v>
      </c>
      <c r="N38" s="362">
        <v>0</v>
      </c>
      <c r="Q38" s="631"/>
      <c r="R38" s="632"/>
      <c r="S38" s="632"/>
      <c r="T38" s="632"/>
      <c r="U38" s="632"/>
      <c r="V38" s="632"/>
      <c r="W38" s="632"/>
      <c r="X38" s="632"/>
      <c r="Y38" s="632"/>
      <c r="Z38" s="632"/>
      <c r="AA38" s="633"/>
    </row>
    <row r="39" spans="2:46" ht="17.25" thickBot="1" x14ac:dyDescent="0.3">
      <c r="B39" s="378" t="s">
        <v>176</v>
      </c>
      <c r="C39" s="375"/>
      <c r="D39" s="333" t="s">
        <v>184</v>
      </c>
      <c r="E39" s="375"/>
      <c r="F39" s="379"/>
      <c r="H39" s="353">
        <v>37</v>
      </c>
      <c r="I39" s="358">
        <v>1</v>
      </c>
      <c r="J39" s="360">
        <v>0</v>
      </c>
      <c r="K39" s="360">
        <v>0</v>
      </c>
      <c r="L39" s="359">
        <v>1</v>
      </c>
      <c r="M39" s="359">
        <v>1</v>
      </c>
      <c r="N39" s="362">
        <v>0</v>
      </c>
      <c r="Q39" s="634"/>
      <c r="R39" s="635" t="s">
        <v>319</v>
      </c>
      <c r="S39" s="635"/>
      <c r="T39" s="635"/>
      <c r="U39" s="635"/>
      <c r="V39" s="635"/>
      <c r="W39" s="635"/>
      <c r="X39" s="635"/>
      <c r="Y39" s="635"/>
      <c r="Z39" s="635"/>
      <c r="AA39" s="636"/>
    </row>
    <row r="40" spans="2:46" ht="17.25" thickTop="1" x14ac:dyDescent="0.25">
      <c r="B40" s="376">
        <f>63+369+336-1</f>
        <v>767</v>
      </c>
      <c r="C40" s="377" t="s">
        <v>185</v>
      </c>
      <c r="D40" s="377"/>
      <c r="E40" s="324"/>
      <c r="F40" s="374"/>
      <c r="H40" s="353">
        <v>38</v>
      </c>
      <c r="I40" s="358">
        <v>1</v>
      </c>
      <c r="J40" s="360">
        <v>0</v>
      </c>
      <c r="K40" s="360">
        <v>0</v>
      </c>
      <c r="L40" s="359">
        <v>1</v>
      </c>
      <c r="M40" s="359">
        <v>1</v>
      </c>
      <c r="N40" s="361">
        <v>1</v>
      </c>
      <c r="Q40" s="634"/>
      <c r="R40" s="635" t="s">
        <v>320</v>
      </c>
      <c r="S40" s="635"/>
      <c r="T40" s="635"/>
      <c r="U40" s="635"/>
      <c r="V40" s="635"/>
      <c r="W40" s="635"/>
      <c r="X40" s="635"/>
      <c r="Y40" s="635"/>
      <c r="Z40" s="635"/>
      <c r="AA40" s="636"/>
    </row>
    <row r="41" spans="2:46" x14ac:dyDescent="0.25">
      <c r="B41" s="328"/>
      <c r="C41" s="324"/>
      <c r="D41" s="324"/>
      <c r="E41" s="324"/>
      <c r="F41" s="374"/>
      <c r="H41" s="353">
        <v>39</v>
      </c>
      <c r="I41" s="358">
        <v>1</v>
      </c>
      <c r="J41" s="360">
        <v>0</v>
      </c>
      <c r="K41" s="360">
        <v>0</v>
      </c>
      <c r="L41" s="359">
        <v>1</v>
      </c>
      <c r="M41" s="360">
        <v>0</v>
      </c>
      <c r="N41" s="361">
        <v>1</v>
      </c>
      <c r="Q41" s="637"/>
      <c r="R41" s="638"/>
      <c r="S41" s="638"/>
      <c r="T41" s="638"/>
      <c r="U41" s="638"/>
      <c r="V41" s="638"/>
      <c r="W41" s="638"/>
      <c r="X41" s="638"/>
      <c r="Y41" s="638"/>
      <c r="Z41" s="638"/>
      <c r="AA41" s="639"/>
    </row>
    <row r="42" spans="2:46" x14ac:dyDescent="0.25">
      <c r="B42" s="328"/>
      <c r="C42" s="324"/>
      <c r="D42" s="324"/>
      <c r="E42" s="324"/>
      <c r="F42" s="374"/>
      <c r="H42" s="353">
        <v>40</v>
      </c>
      <c r="I42" s="358">
        <v>1</v>
      </c>
      <c r="J42" s="360">
        <v>0</v>
      </c>
      <c r="K42" s="360">
        <v>0</v>
      </c>
      <c r="L42" s="359">
        <v>1</v>
      </c>
      <c r="M42" s="360">
        <v>0</v>
      </c>
      <c r="N42" s="362">
        <v>0</v>
      </c>
    </row>
    <row r="43" spans="2:46" x14ac:dyDescent="0.25">
      <c r="C43" s="324"/>
      <c r="D43" s="324"/>
      <c r="E43" s="324"/>
      <c r="F43" s="374"/>
      <c r="H43" s="353">
        <v>41</v>
      </c>
      <c r="I43" s="358">
        <v>1</v>
      </c>
      <c r="J43" s="360">
        <v>0</v>
      </c>
      <c r="K43" s="359">
        <v>1</v>
      </c>
      <c r="L43" s="359">
        <v>1</v>
      </c>
      <c r="M43" s="360">
        <v>0</v>
      </c>
      <c r="N43" s="362">
        <v>0</v>
      </c>
    </row>
    <row r="44" spans="2:46" x14ac:dyDescent="0.25">
      <c r="C44" s="324"/>
      <c r="D44" s="324"/>
      <c r="E44" s="324"/>
      <c r="F44" s="374"/>
      <c r="H44" s="353">
        <v>42</v>
      </c>
      <c r="I44" s="358">
        <v>1</v>
      </c>
      <c r="J44" s="360">
        <v>0</v>
      </c>
      <c r="K44" s="359">
        <v>1</v>
      </c>
      <c r="L44" s="359">
        <v>1</v>
      </c>
      <c r="M44" s="360">
        <v>0</v>
      </c>
      <c r="N44" s="361">
        <v>1</v>
      </c>
      <c r="Q44" s="640"/>
      <c r="R44" s="641"/>
      <c r="S44" s="641"/>
      <c r="T44" s="641"/>
      <c r="U44" s="641"/>
      <c r="V44" s="641"/>
      <c r="W44" s="641"/>
      <c r="X44" s="641"/>
      <c r="Y44" s="641"/>
      <c r="Z44" s="641"/>
      <c r="AA44" s="641"/>
      <c r="AB44" s="641"/>
      <c r="AC44" s="641"/>
      <c r="AD44" s="641"/>
      <c r="AE44" s="641"/>
      <c r="AF44" s="641"/>
      <c r="AG44" s="641"/>
      <c r="AH44" s="641"/>
      <c r="AI44" s="641"/>
      <c r="AJ44" s="641"/>
      <c r="AK44" s="641"/>
      <c r="AL44" s="641"/>
      <c r="AM44" s="641"/>
      <c r="AN44" s="641"/>
      <c r="AO44" s="641"/>
      <c r="AP44" s="641"/>
      <c r="AQ44" s="641"/>
      <c r="AR44" s="641"/>
      <c r="AS44" s="641"/>
      <c r="AT44" s="642"/>
    </row>
    <row r="45" spans="2:46" x14ac:dyDescent="0.25">
      <c r="B45" s="434">
        <f>2*2*11*13</f>
        <v>572</v>
      </c>
      <c r="C45" s="324"/>
      <c r="D45" s="324"/>
      <c r="E45" s="324"/>
      <c r="F45" s="374"/>
      <c r="H45" s="353">
        <v>43</v>
      </c>
      <c r="I45" s="358">
        <v>1</v>
      </c>
      <c r="J45" s="360">
        <v>0</v>
      </c>
      <c r="K45" s="359">
        <v>1</v>
      </c>
      <c r="L45" s="359">
        <v>1</v>
      </c>
      <c r="M45" s="359">
        <v>1</v>
      </c>
      <c r="N45" s="361">
        <v>1</v>
      </c>
      <c r="Q45" s="643"/>
      <c r="R45" s="667" t="s">
        <v>321</v>
      </c>
      <c r="S45" s="644" t="s">
        <v>36</v>
      </c>
      <c r="T45" s="644" t="s">
        <v>39</v>
      </c>
      <c r="U45" s="644" t="s">
        <v>41</v>
      </c>
      <c r="V45" s="644" t="s">
        <v>52</v>
      </c>
      <c r="W45" s="644" t="s">
        <v>35</v>
      </c>
      <c r="X45" s="644" t="s">
        <v>45</v>
      </c>
      <c r="Y45" s="644" t="s">
        <v>44</v>
      </c>
      <c r="Z45" s="644" t="s">
        <v>34</v>
      </c>
      <c r="AA45" s="644" t="s">
        <v>40</v>
      </c>
      <c r="AB45" s="644" t="s">
        <v>50</v>
      </c>
      <c r="AC45" s="670" t="s">
        <v>42</v>
      </c>
      <c r="AD45" s="644" t="s">
        <v>38</v>
      </c>
      <c r="AE45" s="644" t="s">
        <v>54</v>
      </c>
      <c r="AF45" s="644" t="s">
        <v>30</v>
      </c>
      <c r="AG45" s="644" t="s">
        <v>31</v>
      </c>
      <c r="AH45" s="644" t="s">
        <v>49</v>
      </c>
      <c r="AI45" s="644" t="s">
        <v>48</v>
      </c>
      <c r="AJ45" s="644" t="s">
        <v>32</v>
      </c>
      <c r="AK45" s="644" t="s">
        <v>37</v>
      </c>
      <c r="AL45" s="644" t="s">
        <v>33</v>
      </c>
      <c r="AM45" s="644" t="s">
        <v>29</v>
      </c>
      <c r="AN45" s="644" t="s">
        <v>47</v>
      </c>
      <c r="AO45" s="644" t="s">
        <v>46</v>
      </c>
      <c r="AP45" s="644" t="s">
        <v>43</v>
      </c>
      <c r="AQ45" s="644" t="s">
        <v>53</v>
      </c>
      <c r="AR45" s="644" t="s">
        <v>51</v>
      </c>
      <c r="AS45" s="645"/>
      <c r="AT45" s="646"/>
    </row>
    <row r="46" spans="2:46" ht="16.5" customHeight="1" x14ac:dyDescent="0.25">
      <c r="B46" s="328"/>
      <c r="C46" s="324"/>
      <c r="D46" s="324"/>
      <c r="E46" s="324"/>
      <c r="F46" s="374"/>
      <c r="H46" s="353">
        <v>44</v>
      </c>
      <c r="I46" s="358">
        <v>1</v>
      </c>
      <c r="J46" s="360">
        <v>0</v>
      </c>
      <c r="K46" s="359">
        <v>1</v>
      </c>
      <c r="L46" s="359">
        <v>1</v>
      </c>
      <c r="M46" s="359">
        <v>1</v>
      </c>
      <c r="N46" s="362">
        <v>0</v>
      </c>
      <c r="Q46" s="643"/>
      <c r="R46" s="647" t="s">
        <v>322</v>
      </c>
      <c r="S46" s="648">
        <v>4</v>
      </c>
      <c r="T46" s="648">
        <v>5</v>
      </c>
      <c r="U46" s="648">
        <v>2</v>
      </c>
      <c r="V46" s="648">
        <v>3</v>
      </c>
      <c r="W46" s="648">
        <v>2</v>
      </c>
      <c r="X46" s="648">
        <v>4</v>
      </c>
      <c r="Y46" s="648">
        <v>4</v>
      </c>
      <c r="Z46" s="648">
        <v>2</v>
      </c>
      <c r="AA46" s="648">
        <v>4</v>
      </c>
      <c r="AB46" s="648">
        <v>3</v>
      </c>
      <c r="AC46" s="671">
        <v>8</v>
      </c>
      <c r="AD46" s="648">
        <v>4</v>
      </c>
      <c r="AE46" s="648">
        <v>1</v>
      </c>
      <c r="AF46" s="648">
        <v>3</v>
      </c>
      <c r="AG46" s="648">
        <v>5</v>
      </c>
      <c r="AH46" s="648">
        <v>3</v>
      </c>
      <c r="AI46" s="648">
        <v>4</v>
      </c>
      <c r="AJ46" s="648">
        <v>4</v>
      </c>
      <c r="AK46" s="648">
        <v>6</v>
      </c>
      <c r="AL46" s="648">
        <v>6</v>
      </c>
      <c r="AM46" s="648">
        <v>6</v>
      </c>
      <c r="AN46" s="648">
        <v>2</v>
      </c>
      <c r="AO46" s="648">
        <v>5</v>
      </c>
      <c r="AP46" s="648">
        <v>2</v>
      </c>
      <c r="AQ46" s="648">
        <v>1</v>
      </c>
      <c r="AR46" s="648">
        <v>4</v>
      </c>
      <c r="AS46" s="649">
        <f>SUM(S46:AR46)</f>
        <v>97</v>
      </c>
      <c r="AT46" s="650">
        <f>COUNTIF(S46:AR46,"&gt;0")</f>
        <v>26</v>
      </c>
    </row>
    <row r="47" spans="2:46" ht="16.5" customHeight="1" x14ac:dyDescent="0.25">
      <c r="B47" s="328"/>
      <c r="C47" s="324"/>
      <c r="D47" s="324"/>
      <c r="E47" s="324"/>
      <c r="F47" s="374"/>
      <c r="H47" s="353">
        <v>45</v>
      </c>
      <c r="I47" s="358">
        <v>1</v>
      </c>
      <c r="J47" s="360">
        <v>0</v>
      </c>
      <c r="K47" s="359">
        <v>1</v>
      </c>
      <c r="L47" s="360">
        <v>0</v>
      </c>
      <c r="M47" s="359">
        <v>1</v>
      </c>
      <c r="N47" s="362">
        <v>0</v>
      </c>
      <c r="Q47" s="651"/>
      <c r="R47" s="652" t="s">
        <v>323</v>
      </c>
      <c r="S47" s="653">
        <f>S46-1</f>
        <v>3</v>
      </c>
      <c r="T47" s="653">
        <f t="shared" ref="T47:AR47" si="0">T46-1</f>
        <v>4</v>
      </c>
      <c r="U47" s="653">
        <f t="shared" si="0"/>
        <v>1</v>
      </c>
      <c r="V47" s="653">
        <f t="shared" si="0"/>
        <v>2</v>
      </c>
      <c r="W47" s="653">
        <f t="shared" si="0"/>
        <v>1</v>
      </c>
      <c r="X47" s="653">
        <f t="shared" si="0"/>
        <v>3</v>
      </c>
      <c r="Y47" s="653">
        <f t="shared" si="0"/>
        <v>3</v>
      </c>
      <c r="Z47" s="653">
        <f t="shared" si="0"/>
        <v>1</v>
      </c>
      <c r="AA47" s="653">
        <f t="shared" si="0"/>
        <v>3</v>
      </c>
      <c r="AB47" s="653">
        <f t="shared" si="0"/>
        <v>2</v>
      </c>
      <c r="AC47" s="672">
        <f t="shared" si="0"/>
        <v>7</v>
      </c>
      <c r="AD47" s="653">
        <f t="shared" si="0"/>
        <v>3</v>
      </c>
      <c r="AE47" s="653">
        <f t="shared" si="0"/>
        <v>0</v>
      </c>
      <c r="AF47" s="653">
        <f t="shared" si="0"/>
        <v>2</v>
      </c>
      <c r="AG47" s="653">
        <f t="shared" si="0"/>
        <v>4</v>
      </c>
      <c r="AH47" s="653">
        <f t="shared" si="0"/>
        <v>2</v>
      </c>
      <c r="AI47" s="653">
        <f t="shared" si="0"/>
        <v>3</v>
      </c>
      <c r="AJ47" s="653">
        <f t="shared" si="0"/>
        <v>3</v>
      </c>
      <c r="AK47" s="653">
        <f t="shared" si="0"/>
        <v>5</v>
      </c>
      <c r="AL47" s="653">
        <f t="shared" si="0"/>
        <v>5</v>
      </c>
      <c r="AM47" s="653">
        <f t="shared" si="0"/>
        <v>5</v>
      </c>
      <c r="AN47" s="653">
        <f t="shared" si="0"/>
        <v>1</v>
      </c>
      <c r="AO47" s="653">
        <f t="shared" si="0"/>
        <v>4</v>
      </c>
      <c r="AP47" s="653">
        <f t="shared" si="0"/>
        <v>1</v>
      </c>
      <c r="AQ47" s="653">
        <f t="shared" si="0"/>
        <v>0</v>
      </c>
      <c r="AR47" s="653">
        <f t="shared" si="0"/>
        <v>3</v>
      </c>
      <c r="AS47" s="654">
        <f>AS46*(AS46-1)</f>
        <v>9312</v>
      </c>
      <c r="AT47" s="646"/>
    </row>
    <row r="48" spans="2:46" ht="16.5" customHeight="1" x14ac:dyDescent="0.25">
      <c r="B48" s="381"/>
      <c r="C48" s="380"/>
      <c r="D48" s="380"/>
      <c r="E48" s="380"/>
      <c r="F48" s="382"/>
      <c r="H48" s="353">
        <v>46</v>
      </c>
      <c r="I48" s="358">
        <v>1</v>
      </c>
      <c r="J48" s="360">
        <v>0</v>
      </c>
      <c r="K48" s="359">
        <v>1</v>
      </c>
      <c r="L48" s="360">
        <v>0</v>
      </c>
      <c r="M48" s="359">
        <v>1</v>
      </c>
      <c r="N48" s="361">
        <v>1</v>
      </c>
      <c r="Q48" s="651"/>
      <c r="R48" s="655" t="s">
        <v>324</v>
      </c>
      <c r="S48" s="641">
        <f>S46*S47</f>
        <v>12</v>
      </c>
      <c r="T48" s="641">
        <f t="shared" ref="T48:AR48" si="1">T46*T47</f>
        <v>20</v>
      </c>
      <c r="U48" s="641">
        <f t="shared" si="1"/>
        <v>2</v>
      </c>
      <c r="V48" s="641">
        <f t="shared" si="1"/>
        <v>6</v>
      </c>
      <c r="W48" s="641">
        <f t="shared" si="1"/>
        <v>2</v>
      </c>
      <c r="X48" s="641">
        <f t="shared" si="1"/>
        <v>12</v>
      </c>
      <c r="Y48" s="641">
        <f t="shared" si="1"/>
        <v>12</v>
      </c>
      <c r="Z48" s="641">
        <f t="shared" si="1"/>
        <v>2</v>
      </c>
      <c r="AA48" s="641">
        <f t="shared" si="1"/>
        <v>12</v>
      </c>
      <c r="AB48" s="641">
        <f t="shared" si="1"/>
        <v>6</v>
      </c>
      <c r="AC48" s="673">
        <f t="shared" si="1"/>
        <v>56</v>
      </c>
      <c r="AD48" s="641">
        <f t="shared" si="1"/>
        <v>12</v>
      </c>
      <c r="AE48" s="641">
        <f t="shared" si="1"/>
        <v>0</v>
      </c>
      <c r="AF48" s="641">
        <f t="shared" si="1"/>
        <v>6</v>
      </c>
      <c r="AG48" s="641">
        <f t="shared" si="1"/>
        <v>20</v>
      </c>
      <c r="AH48" s="641">
        <f t="shared" si="1"/>
        <v>6</v>
      </c>
      <c r="AI48" s="641">
        <f t="shared" si="1"/>
        <v>12</v>
      </c>
      <c r="AJ48" s="641">
        <f t="shared" si="1"/>
        <v>12</v>
      </c>
      <c r="AK48" s="641">
        <f t="shared" si="1"/>
        <v>30</v>
      </c>
      <c r="AL48" s="641">
        <f t="shared" si="1"/>
        <v>30</v>
      </c>
      <c r="AM48" s="641">
        <f t="shared" si="1"/>
        <v>30</v>
      </c>
      <c r="AN48" s="641">
        <f t="shared" si="1"/>
        <v>2</v>
      </c>
      <c r="AO48" s="641">
        <f t="shared" si="1"/>
        <v>20</v>
      </c>
      <c r="AP48" s="641">
        <f t="shared" si="1"/>
        <v>2</v>
      </c>
      <c r="AQ48" s="641">
        <f t="shared" si="1"/>
        <v>0</v>
      </c>
      <c r="AR48" s="641">
        <f t="shared" si="1"/>
        <v>12</v>
      </c>
      <c r="AS48" s="656">
        <f>SUM(S48:AR48)</f>
        <v>336</v>
      </c>
      <c r="AT48" s="657" t="s">
        <v>325</v>
      </c>
    </row>
    <row r="49" spans="3:46" ht="16.5" customHeight="1" x14ac:dyDescent="0.25">
      <c r="H49" s="353">
        <v>47</v>
      </c>
      <c r="I49" s="358">
        <v>1</v>
      </c>
      <c r="J49" s="360">
        <v>0</v>
      </c>
      <c r="K49" s="359">
        <v>1</v>
      </c>
      <c r="L49" s="360">
        <v>0</v>
      </c>
      <c r="M49" s="360">
        <v>0</v>
      </c>
      <c r="N49" s="361">
        <v>1</v>
      </c>
      <c r="Q49" s="651"/>
      <c r="R49" s="678" t="s">
        <v>331</v>
      </c>
      <c r="S49" s="658"/>
      <c r="T49" s="658"/>
      <c r="U49" s="658"/>
      <c r="V49" s="658"/>
      <c r="W49" s="658"/>
      <c r="X49" s="658"/>
      <c r="Y49" s="658"/>
      <c r="Z49" s="658"/>
      <c r="AA49" s="658"/>
      <c r="AB49" s="658"/>
      <c r="AC49" s="669"/>
      <c r="AD49" s="658"/>
      <c r="AE49" s="658"/>
      <c r="AF49" s="658"/>
      <c r="AG49" s="658"/>
      <c r="AH49" s="658"/>
      <c r="AI49" s="658"/>
      <c r="AJ49" s="658"/>
      <c r="AK49" s="658"/>
      <c r="AL49" s="658"/>
      <c r="AM49" s="658"/>
      <c r="AN49" s="658"/>
      <c r="AO49" s="658"/>
      <c r="AP49" s="658"/>
      <c r="AQ49" s="658"/>
      <c r="AR49" s="658"/>
      <c r="AS49" s="659">
        <f>0.0385*AS46*(AS46-1)</f>
        <v>358.512</v>
      </c>
      <c r="AT49" s="646"/>
    </row>
    <row r="50" spans="3:46" ht="16.5" customHeight="1" x14ac:dyDescent="0.25">
      <c r="H50" s="353">
        <v>48</v>
      </c>
      <c r="I50" s="358">
        <v>1</v>
      </c>
      <c r="J50" s="360">
        <v>0</v>
      </c>
      <c r="K50" s="359">
        <v>1</v>
      </c>
      <c r="L50" s="360">
        <v>0</v>
      </c>
      <c r="M50" s="360">
        <v>0</v>
      </c>
      <c r="N50" s="362">
        <v>0</v>
      </c>
      <c r="Q50" s="651"/>
      <c r="R50" s="677" t="s">
        <v>332</v>
      </c>
      <c r="S50" s="660"/>
      <c r="T50" s="660"/>
      <c r="U50" s="660"/>
      <c r="V50" s="660"/>
      <c r="W50" s="660"/>
      <c r="X50" s="660"/>
      <c r="Y50" s="660"/>
      <c r="Z50" s="660"/>
      <c r="AA50" s="660"/>
      <c r="AB50" s="660"/>
      <c r="AC50" s="660"/>
      <c r="AD50" s="660"/>
      <c r="AE50" s="660"/>
      <c r="AF50" s="660"/>
      <c r="AG50" s="660"/>
      <c r="AH50" s="660"/>
      <c r="AI50" s="660"/>
      <c r="AJ50" s="660"/>
      <c r="AK50" s="660"/>
      <c r="AL50" s="660"/>
      <c r="AM50" s="660"/>
      <c r="AN50" s="660"/>
      <c r="AO50" s="660"/>
      <c r="AP50" s="660"/>
      <c r="AQ50" s="660"/>
      <c r="AR50" s="660"/>
      <c r="AS50" s="668">
        <f>0.0667*AS46*(AS46-1)</f>
        <v>621.11040000000003</v>
      </c>
      <c r="AT50" s="661" t="s">
        <v>326</v>
      </c>
    </row>
    <row r="51" spans="3:46" ht="16.5" customHeight="1" x14ac:dyDescent="0.25">
      <c r="H51" s="353">
        <v>49</v>
      </c>
      <c r="I51" s="358">
        <v>1</v>
      </c>
      <c r="J51" s="359">
        <v>1</v>
      </c>
      <c r="K51" s="359">
        <v>1</v>
      </c>
      <c r="L51" s="360">
        <v>0</v>
      </c>
      <c r="M51" s="360">
        <v>0</v>
      </c>
      <c r="N51" s="362">
        <v>0</v>
      </c>
      <c r="Q51" s="651"/>
      <c r="R51" s="676" t="s">
        <v>329</v>
      </c>
      <c r="S51" s="674"/>
      <c r="T51" s="674"/>
      <c r="U51" s="674"/>
      <c r="V51" s="674"/>
      <c r="W51" s="674"/>
      <c r="X51" s="674"/>
      <c r="Y51" s="674"/>
      <c r="Z51" s="674"/>
      <c r="AA51" s="674"/>
      <c r="AB51" s="674"/>
      <c r="AC51" s="674"/>
      <c r="AD51" s="674"/>
      <c r="AE51" s="674"/>
      <c r="AF51" s="674"/>
      <c r="AG51" s="674"/>
      <c r="AH51" s="674"/>
      <c r="AI51" s="679"/>
      <c r="AJ51" s="679"/>
      <c r="AK51" s="674"/>
      <c r="AL51" s="674"/>
      <c r="AM51" s="674"/>
      <c r="AN51" s="679" t="s">
        <v>333</v>
      </c>
      <c r="AO51" s="674"/>
      <c r="AP51" s="674"/>
      <c r="AQ51" s="674"/>
      <c r="AR51" s="674"/>
      <c r="AS51" s="675">
        <f>AS48/AS49</f>
        <v>0.93720712277413309</v>
      </c>
      <c r="AT51" s="646"/>
    </row>
    <row r="52" spans="3:46" ht="16.5" customHeight="1" x14ac:dyDescent="0.25">
      <c r="H52" s="353">
        <v>50</v>
      </c>
      <c r="I52" s="358">
        <v>1</v>
      </c>
      <c r="J52" s="359">
        <v>1</v>
      </c>
      <c r="K52" s="359">
        <v>1</v>
      </c>
      <c r="L52" s="360">
        <v>0</v>
      </c>
      <c r="M52" s="360">
        <v>0</v>
      </c>
      <c r="N52" s="361">
        <v>1</v>
      </c>
      <c r="Q52" s="651"/>
      <c r="R52" s="676" t="s">
        <v>330</v>
      </c>
      <c r="S52" s="674"/>
      <c r="T52" s="674"/>
      <c r="U52" s="674"/>
      <c r="V52" s="674"/>
      <c r="W52" s="674"/>
      <c r="X52" s="674"/>
      <c r="Y52" s="674"/>
      <c r="Z52" s="674"/>
      <c r="AA52" s="674"/>
      <c r="AB52" s="674"/>
      <c r="AC52" s="674"/>
      <c r="AD52" s="674"/>
      <c r="AE52" s="674"/>
      <c r="AF52" s="674"/>
      <c r="AG52" s="674"/>
      <c r="AH52" s="674"/>
      <c r="AI52" s="674"/>
      <c r="AJ52" s="674"/>
      <c r="AK52" s="674"/>
      <c r="AL52" s="674"/>
      <c r="AM52" s="674"/>
      <c r="AN52" s="674"/>
      <c r="AO52" s="674"/>
      <c r="AP52" s="674"/>
      <c r="AQ52" s="674"/>
      <c r="AR52" s="674"/>
      <c r="AS52" s="675">
        <f>AS48/AS50</f>
        <v>0.54096663008701829</v>
      </c>
      <c r="AT52" s="646"/>
    </row>
    <row r="53" spans="3:46" ht="16.5" customHeight="1" x14ac:dyDescent="0.25">
      <c r="H53" s="353">
        <v>51</v>
      </c>
      <c r="I53" s="358">
        <v>1</v>
      </c>
      <c r="J53" s="359">
        <v>1</v>
      </c>
      <c r="K53" s="359">
        <v>1</v>
      </c>
      <c r="L53" s="360">
        <v>0</v>
      </c>
      <c r="M53" s="359">
        <v>1</v>
      </c>
      <c r="N53" s="361">
        <v>1</v>
      </c>
      <c r="Q53" s="651"/>
      <c r="R53" s="662"/>
      <c r="S53" s="662"/>
      <c r="T53" s="662"/>
      <c r="U53" s="662"/>
      <c r="V53" s="662"/>
      <c r="W53" s="662"/>
      <c r="X53" s="662"/>
      <c r="Y53" s="662"/>
      <c r="Z53" s="662"/>
      <c r="AA53" s="662"/>
      <c r="AB53" s="662"/>
      <c r="AC53" s="662"/>
      <c r="AD53" s="662"/>
      <c r="AE53" s="662"/>
      <c r="AF53" s="662"/>
      <c r="AG53" s="662"/>
      <c r="AH53" s="662"/>
      <c r="AI53" s="662"/>
      <c r="AJ53" s="662"/>
      <c r="AK53" s="662"/>
      <c r="AL53" s="662"/>
      <c r="AM53" s="662"/>
      <c r="AN53" s="662"/>
      <c r="AO53" s="662"/>
      <c r="AP53" s="662"/>
      <c r="AQ53" s="662"/>
      <c r="AR53" s="662"/>
      <c r="AS53" s="662"/>
      <c r="AT53" s="646"/>
    </row>
    <row r="54" spans="3:46" x14ac:dyDescent="0.25">
      <c r="H54" s="353">
        <v>52</v>
      </c>
      <c r="I54" s="358">
        <v>1</v>
      </c>
      <c r="J54" s="359">
        <v>1</v>
      </c>
      <c r="K54" s="359">
        <v>1</v>
      </c>
      <c r="L54" s="360">
        <v>0</v>
      </c>
      <c r="M54" s="359">
        <v>1</v>
      </c>
      <c r="N54" s="362">
        <v>0</v>
      </c>
      <c r="Q54" s="663" t="s">
        <v>326</v>
      </c>
      <c r="R54" s="664" t="s">
        <v>327</v>
      </c>
      <c r="S54" s="665"/>
      <c r="T54" s="665"/>
      <c r="U54" s="665"/>
      <c r="V54" s="665"/>
      <c r="W54" s="665"/>
      <c r="X54" s="665"/>
      <c r="Y54" s="665"/>
      <c r="Z54" s="665"/>
      <c r="AA54" s="665"/>
      <c r="AB54" s="665"/>
      <c r="AC54" s="665"/>
      <c r="AD54" s="665"/>
      <c r="AE54" s="665"/>
      <c r="AF54" s="665"/>
      <c r="AG54" s="665"/>
      <c r="AH54" s="665"/>
      <c r="AI54" s="665"/>
      <c r="AJ54" s="665"/>
      <c r="AK54" s="665"/>
      <c r="AL54" s="665"/>
      <c r="AM54" s="665"/>
      <c r="AN54" s="665"/>
      <c r="AO54" s="665"/>
      <c r="AP54" s="665"/>
      <c r="AQ54" s="665"/>
      <c r="AR54" s="665"/>
      <c r="AS54" s="665"/>
      <c r="AT54" s="666"/>
    </row>
    <row r="55" spans="3:46" x14ac:dyDescent="0.25">
      <c r="H55" s="353">
        <v>53</v>
      </c>
      <c r="I55" s="358">
        <v>1</v>
      </c>
      <c r="J55" s="359">
        <v>1</v>
      </c>
      <c r="K55" s="359">
        <v>1</v>
      </c>
      <c r="L55" s="359">
        <v>1</v>
      </c>
      <c r="M55" s="359">
        <v>1</v>
      </c>
      <c r="N55" s="362">
        <v>0</v>
      </c>
    </row>
    <row r="56" spans="3:46" x14ac:dyDescent="0.25">
      <c r="H56" s="353">
        <v>54</v>
      </c>
      <c r="I56" s="358">
        <v>1</v>
      </c>
      <c r="J56" s="359">
        <v>1</v>
      </c>
      <c r="K56" s="359">
        <v>1</v>
      </c>
      <c r="L56" s="359">
        <v>1</v>
      </c>
      <c r="M56" s="359">
        <v>1</v>
      </c>
      <c r="N56" s="361">
        <v>1</v>
      </c>
      <c r="Q56" t="s">
        <v>328</v>
      </c>
    </row>
    <row r="57" spans="3:46" x14ac:dyDescent="0.25">
      <c r="H57" s="353">
        <v>55</v>
      </c>
      <c r="I57" s="358">
        <v>1</v>
      </c>
      <c r="J57" s="359">
        <v>1</v>
      </c>
      <c r="K57" s="359">
        <v>1</v>
      </c>
      <c r="L57" s="359">
        <v>1</v>
      </c>
      <c r="M57" s="360">
        <v>0</v>
      </c>
      <c r="N57" s="361">
        <v>1</v>
      </c>
    </row>
    <row r="58" spans="3:46" x14ac:dyDescent="0.25">
      <c r="H58" s="353">
        <v>56</v>
      </c>
      <c r="I58" s="358">
        <v>1</v>
      </c>
      <c r="J58" s="359">
        <v>1</v>
      </c>
      <c r="K58" s="359">
        <v>1</v>
      </c>
      <c r="L58" s="359">
        <v>1</v>
      </c>
      <c r="M58" s="360">
        <v>0</v>
      </c>
      <c r="N58" s="362">
        <v>0</v>
      </c>
    </row>
    <row r="59" spans="3:46" x14ac:dyDescent="0.25">
      <c r="H59" s="353">
        <v>57</v>
      </c>
      <c r="I59" s="358">
        <v>1</v>
      </c>
      <c r="J59" s="359">
        <v>1</v>
      </c>
      <c r="K59" s="360">
        <v>0</v>
      </c>
      <c r="L59" s="359">
        <v>1</v>
      </c>
      <c r="M59" s="360">
        <v>0</v>
      </c>
      <c r="N59" s="362">
        <v>0</v>
      </c>
      <c r="Q59" s="387">
        <v>1</v>
      </c>
      <c r="R59" s="680">
        <f>56*Q59</f>
        <v>56</v>
      </c>
    </row>
    <row r="60" spans="3:46" x14ac:dyDescent="0.25">
      <c r="C60" s="592"/>
      <c r="D60" s="593"/>
      <c r="E60" s="594"/>
      <c r="F60" s="592"/>
      <c r="G60" s="595"/>
      <c r="H60" s="353">
        <v>58</v>
      </c>
      <c r="I60" s="358">
        <v>1</v>
      </c>
      <c r="J60" s="359">
        <v>1</v>
      </c>
      <c r="K60" s="360">
        <v>0</v>
      </c>
      <c r="L60" s="359">
        <v>1</v>
      </c>
      <c r="M60" s="360">
        <v>0</v>
      </c>
      <c r="N60" s="361">
        <v>1</v>
      </c>
      <c r="Q60" s="387">
        <v>2</v>
      </c>
      <c r="R60" s="680">
        <f t="shared" ref="R60:R80" si="2">56*Q60</f>
        <v>112</v>
      </c>
    </row>
    <row r="61" spans="3:46" ht="18" x14ac:dyDescent="0.25">
      <c r="C61" s="592"/>
      <c r="D61" s="589"/>
      <c r="E61" s="589"/>
      <c r="F61" s="589"/>
      <c r="G61" s="595"/>
      <c r="H61" s="353">
        <v>59</v>
      </c>
      <c r="I61" s="358">
        <v>1</v>
      </c>
      <c r="J61" s="359">
        <v>1</v>
      </c>
      <c r="K61" s="360">
        <v>0</v>
      </c>
      <c r="L61" s="359">
        <v>1</v>
      </c>
      <c r="M61" s="359">
        <v>1</v>
      </c>
      <c r="N61" s="361">
        <v>1</v>
      </c>
      <c r="Q61" s="387">
        <v>3</v>
      </c>
      <c r="R61" s="680">
        <f t="shared" si="2"/>
        <v>168</v>
      </c>
    </row>
    <row r="62" spans="3:46" ht="18" x14ac:dyDescent="0.25">
      <c r="C62" s="589"/>
      <c r="D62" s="590"/>
      <c r="E62" s="590"/>
      <c r="F62" s="591"/>
      <c r="G62" s="595"/>
      <c r="H62" s="353">
        <v>60</v>
      </c>
      <c r="I62" s="358">
        <v>1</v>
      </c>
      <c r="J62" s="359">
        <v>1</v>
      </c>
      <c r="K62" s="360">
        <v>0</v>
      </c>
      <c r="L62" s="359">
        <v>1</v>
      </c>
      <c r="M62" s="359">
        <v>1</v>
      </c>
      <c r="N62" s="362">
        <v>0</v>
      </c>
      <c r="Q62" s="387">
        <v>4</v>
      </c>
      <c r="R62" s="680">
        <f t="shared" si="2"/>
        <v>224</v>
      </c>
    </row>
    <row r="63" spans="3:46" ht="18" x14ac:dyDescent="0.25">
      <c r="C63" s="589"/>
      <c r="D63" s="591"/>
      <c r="E63" s="590"/>
      <c r="F63" s="590"/>
      <c r="G63" s="595"/>
      <c r="H63" s="353">
        <v>61</v>
      </c>
      <c r="I63" s="358">
        <v>1</v>
      </c>
      <c r="J63" s="359">
        <v>1</v>
      </c>
      <c r="K63" s="360">
        <v>0</v>
      </c>
      <c r="L63" s="360">
        <v>0</v>
      </c>
      <c r="M63" s="359">
        <v>1</v>
      </c>
      <c r="N63" s="362">
        <v>0</v>
      </c>
      <c r="Q63" s="387">
        <v>5</v>
      </c>
      <c r="R63" s="680">
        <f t="shared" si="2"/>
        <v>280</v>
      </c>
    </row>
    <row r="64" spans="3:46" ht="18" x14ac:dyDescent="0.25">
      <c r="C64" s="589"/>
      <c r="D64" s="591"/>
      <c r="E64" s="591"/>
      <c r="F64" s="590"/>
      <c r="G64" s="595"/>
      <c r="H64" s="353">
        <v>62</v>
      </c>
      <c r="I64" s="358">
        <v>1</v>
      </c>
      <c r="J64" s="359">
        <v>1</v>
      </c>
      <c r="K64" s="360">
        <v>0</v>
      </c>
      <c r="L64" s="360">
        <v>0</v>
      </c>
      <c r="M64" s="359">
        <v>1</v>
      </c>
      <c r="N64" s="361">
        <v>1</v>
      </c>
      <c r="Q64" s="387">
        <v>6</v>
      </c>
      <c r="R64" s="680">
        <f t="shared" si="2"/>
        <v>336</v>
      </c>
    </row>
    <row r="65" spans="3:18" ht="18" x14ac:dyDescent="0.25">
      <c r="C65" s="589"/>
      <c r="D65" s="590"/>
      <c r="E65" s="590"/>
      <c r="F65" s="590"/>
      <c r="G65" s="595"/>
      <c r="H65" s="353">
        <v>63</v>
      </c>
      <c r="I65" s="358">
        <v>1</v>
      </c>
      <c r="J65" s="359">
        <v>1</v>
      </c>
      <c r="K65" s="360">
        <v>0</v>
      </c>
      <c r="L65" s="360">
        <v>0</v>
      </c>
      <c r="M65" s="360">
        <v>0</v>
      </c>
      <c r="N65" s="361">
        <v>1</v>
      </c>
      <c r="Q65" s="387">
        <v>7</v>
      </c>
      <c r="R65" s="680">
        <f t="shared" si="2"/>
        <v>392</v>
      </c>
    </row>
    <row r="66" spans="3:18" ht="18" x14ac:dyDescent="0.25">
      <c r="C66" s="589"/>
      <c r="D66" s="590"/>
      <c r="E66" s="591"/>
      <c r="F66" s="591"/>
      <c r="G66" s="595"/>
      <c r="H66" s="353">
        <v>64</v>
      </c>
      <c r="I66" s="358">
        <v>1</v>
      </c>
      <c r="J66" s="359">
        <v>1</v>
      </c>
      <c r="K66" s="360">
        <v>0</v>
      </c>
      <c r="L66" s="360">
        <v>0</v>
      </c>
      <c r="M66" s="360">
        <v>0</v>
      </c>
      <c r="N66" s="362">
        <v>0</v>
      </c>
      <c r="Q66" s="387">
        <v>8</v>
      </c>
      <c r="R66" s="680">
        <f t="shared" si="2"/>
        <v>448</v>
      </c>
    </row>
    <row r="67" spans="3:18" ht="18" x14ac:dyDescent="0.25">
      <c r="C67" s="589"/>
      <c r="D67" s="590"/>
      <c r="E67" s="590"/>
      <c r="F67" s="590"/>
      <c r="G67" s="595"/>
      <c r="H67" s="353">
        <v>65</v>
      </c>
      <c r="I67" s="364">
        <v>0</v>
      </c>
      <c r="J67" s="359">
        <v>1</v>
      </c>
      <c r="K67" s="360">
        <v>0</v>
      </c>
      <c r="L67" s="360">
        <v>0</v>
      </c>
      <c r="M67" s="360">
        <v>0</v>
      </c>
      <c r="N67" s="362">
        <v>0</v>
      </c>
      <c r="Q67" s="387">
        <v>9</v>
      </c>
      <c r="R67" s="680">
        <f t="shared" si="2"/>
        <v>504</v>
      </c>
    </row>
    <row r="68" spans="3:18" ht="18" x14ac:dyDescent="0.25">
      <c r="C68" s="589"/>
      <c r="D68" s="590"/>
      <c r="E68" s="591"/>
      <c r="F68" s="591"/>
      <c r="G68" s="595"/>
      <c r="H68" s="353">
        <v>66</v>
      </c>
      <c r="I68" s="364">
        <v>0</v>
      </c>
      <c r="J68" s="359">
        <v>1</v>
      </c>
      <c r="K68" s="360">
        <v>0</v>
      </c>
      <c r="L68" s="360">
        <v>0</v>
      </c>
      <c r="M68" s="360">
        <v>0</v>
      </c>
      <c r="N68" s="361">
        <v>1</v>
      </c>
      <c r="Q68" s="387">
        <v>10</v>
      </c>
      <c r="R68" s="680">
        <f t="shared" si="2"/>
        <v>560</v>
      </c>
    </row>
    <row r="69" spans="3:18" ht="18" x14ac:dyDescent="0.25">
      <c r="C69" s="589"/>
      <c r="D69" s="591"/>
      <c r="E69" s="591"/>
      <c r="F69" s="591"/>
      <c r="G69" s="595"/>
      <c r="H69" s="353">
        <v>67</v>
      </c>
      <c r="I69" s="364">
        <v>0</v>
      </c>
      <c r="J69" s="359">
        <v>1</v>
      </c>
      <c r="K69" s="360">
        <v>0</v>
      </c>
      <c r="L69" s="360">
        <v>0</v>
      </c>
      <c r="M69" s="359">
        <v>1</v>
      </c>
      <c r="N69" s="361">
        <v>1</v>
      </c>
      <c r="Q69" s="387">
        <v>11</v>
      </c>
      <c r="R69" s="680">
        <f t="shared" si="2"/>
        <v>616</v>
      </c>
    </row>
    <row r="70" spans="3:18" ht="18" x14ac:dyDescent="0.25">
      <c r="C70" s="589"/>
      <c r="D70" s="590"/>
      <c r="E70" s="590"/>
      <c r="F70" s="590"/>
      <c r="G70" s="595"/>
      <c r="H70" s="353">
        <v>68</v>
      </c>
      <c r="I70" s="364">
        <v>0</v>
      </c>
      <c r="J70" s="359">
        <v>1</v>
      </c>
      <c r="K70" s="360">
        <v>0</v>
      </c>
      <c r="L70" s="360">
        <v>0</v>
      </c>
      <c r="M70" s="359">
        <v>1</v>
      </c>
      <c r="N70" s="362">
        <v>0</v>
      </c>
      <c r="Q70" s="387">
        <v>12</v>
      </c>
      <c r="R70" s="680">
        <f t="shared" si="2"/>
        <v>672</v>
      </c>
    </row>
    <row r="71" spans="3:18" ht="18" x14ac:dyDescent="0.25">
      <c r="C71" s="589"/>
      <c r="D71" s="590"/>
      <c r="E71" s="591"/>
      <c r="F71" s="591"/>
      <c r="G71" s="595"/>
      <c r="H71" s="353">
        <v>69</v>
      </c>
      <c r="I71" s="364">
        <v>0</v>
      </c>
      <c r="J71" s="359">
        <v>1</v>
      </c>
      <c r="K71" s="360">
        <v>0</v>
      </c>
      <c r="L71" s="359">
        <v>1</v>
      </c>
      <c r="M71" s="359">
        <v>1</v>
      </c>
      <c r="N71" s="362">
        <v>0</v>
      </c>
      <c r="Q71" s="387">
        <v>13</v>
      </c>
      <c r="R71" s="680">
        <f t="shared" si="2"/>
        <v>728</v>
      </c>
    </row>
    <row r="72" spans="3:18" ht="18" x14ac:dyDescent="0.25">
      <c r="C72" s="589"/>
      <c r="D72" s="590"/>
      <c r="E72" s="590"/>
      <c r="F72" s="590"/>
      <c r="G72" s="595"/>
      <c r="H72" s="353">
        <v>70</v>
      </c>
      <c r="I72" s="364">
        <v>0</v>
      </c>
      <c r="J72" s="359">
        <v>1</v>
      </c>
      <c r="K72" s="360">
        <v>0</v>
      </c>
      <c r="L72" s="359">
        <v>1</v>
      </c>
      <c r="M72" s="359">
        <v>1</v>
      </c>
      <c r="N72" s="361">
        <v>1</v>
      </c>
      <c r="Q72" s="387">
        <v>14</v>
      </c>
      <c r="R72" s="680">
        <f t="shared" si="2"/>
        <v>784</v>
      </c>
    </row>
    <row r="73" spans="3:18" ht="18" x14ac:dyDescent="0.25">
      <c r="C73" s="589"/>
      <c r="D73" s="591"/>
      <c r="E73" s="591"/>
      <c r="F73" s="590"/>
      <c r="G73" s="595"/>
      <c r="H73" s="353">
        <v>71</v>
      </c>
      <c r="I73" s="364">
        <v>0</v>
      </c>
      <c r="J73" s="359">
        <v>1</v>
      </c>
      <c r="K73" s="360">
        <v>0</v>
      </c>
      <c r="L73" s="359">
        <v>1</v>
      </c>
      <c r="M73" s="360">
        <v>0</v>
      </c>
      <c r="N73" s="361">
        <v>1</v>
      </c>
      <c r="Q73" s="387">
        <v>15</v>
      </c>
      <c r="R73" s="680">
        <f t="shared" si="2"/>
        <v>840</v>
      </c>
    </row>
    <row r="74" spans="3:18" ht="18" x14ac:dyDescent="0.25">
      <c r="C74" s="589"/>
      <c r="D74" s="590"/>
      <c r="E74" s="590"/>
      <c r="F74" s="590"/>
      <c r="G74" s="595"/>
      <c r="H74" s="353">
        <v>72</v>
      </c>
      <c r="I74" s="364">
        <v>0</v>
      </c>
      <c r="J74" s="359">
        <v>1</v>
      </c>
      <c r="K74" s="360">
        <v>0</v>
      </c>
      <c r="L74" s="359">
        <v>1</v>
      </c>
      <c r="M74" s="360">
        <v>0</v>
      </c>
      <c r="N74" s="362">
        <v>0</v>
      </c>
      <c r="Q74" s="387">
        <v>16</v>
      </c>
      <c r="R74" s="680">
        <f t="shared" si="2"/>
        <v>896</v>
      </c>
    </row>
    <row r="75" spans="3:18" ht="18" x14ac:dyDescent="0.25">
      <c r="C75" s="589"/>
      <c r="D75" s="591"/>
      <c r="E75" s="590"/>
      <c r="F75" s="591"/>
      <c r="G75" s="595"/>
      <c r="H75" s="353">
        <v>73</v>
      </c>
      <c r="I75" s="364">
        <v>0</v>
      </c>
      <c r="J75" s="359">
        <v>1</v>
      </c>
      <c r="K75" s="359">
        <v>1</v>
      </c>
      <c r="L75" s="359">
        <v>1</v>
      </c>
      <c r="M75" s="360">
        <v>0</v>
      </c>
      <c r="N75" s="362">
        <v>0</v>
      </c>
      <c r="Q75" s="387">
        <v>17</v>
      </c>
      <c r="R75" s="680">
        <f t="shared" si="2"/>
        <v>952</v>
      </c>
    </row>
    <row r="76" spans="3:18" ht="18" x14ac:dyDescent="0.25">
      <c r="C76" s="589"/>
      <c r="D76" s="590"/>
      <c r="E76" s="591"/>
      <c r="F76" s="590"/>
      <c r="G76" s="595"/>
      <c r="H76" s="353">
        <v>74</v>
      </c>
      <c r="I76" s="364">
        <v>0</v>
      </c>
      <c r="J76" s="359">
        <v>1</v>
      </c>
      <c r="K76" s="359">
        <v>1</v>
      </c>
      <c r="L76" s="359">
        <v>1</v>
      </c>
      <c r="M76" s="360">
        <v>0</v>
      </c>
      <c r="N76" s="361">
        <v>1</v>
      </c>
      <c r="Q76" s="387">
        <v>18</v>
      </c>
      <c r="R76" s="680">
        <f t="shared" si="2"/>
        <v>1008</v>
      </c>
    </row>
    <row r="77" spans="3:18" ht="18" x14ac:dyDescent="0.25">
      <c r="C77" s="589"/>
      <c r="D77" s="591"/>
      <c r="E77" s="590"/>
      <c r="F77" s="591"/>
      <c r="G77" s="595"/>
      <c r="H77" s="353">
        <v>75</v>
      </c>
      <c r="I77" s="364">
        <v>0</v>
      </c>
      <c r="J77" s="359">
        <v>1</v>
      </c>
      <c r="K77" s="359">
        <v>1</v>
      </c>
      <c r="L77" s="359">
        <v>1</v>
      </c>
      <c r="M77" s="359">
        <v>1</v>
      </c>
      <c r="N77" s="361">
        <v>1</v>
      </c>
      <c r="Q77" s="387">
        <v>19</v>
      </c>
      <c r="R77" s="680">
        <f t="shared" si="2"/>
        <v>1064</v>
      </c>
    </row>
    <row r="78" spans="3:18" ht="18" x14ac:dyDescent="0.25">
      <c r="C78" s="589"/>
      <c r="D78" s="591"/>
      <c r="E78" s="590"/>
      <c r="F78" s="590"/>
      <c r="G78" s="595"/>
      <c r="H78" s="353">
        <v>76</v>
      </c>
      <c r="I78" s="364">
        <v>0</v>
      </c>
      <c r="J78" s="359">
        <v>1</v>
      </c>
      <c r="K78" s="359">
        <v>1</v>
      </c>
      <c r="L78" s="359">
        <v>1</v>
      </c>
      <c r="M78" s="359">
        <v>1</v>
      </c>
      <c r="N78" s="362">
        <v>0</v>
      </c>
      <c r="Q78" s="387">
        <v>20</v>
      </c>
      <c r="R78" s="680">
        <f t="shared" si="2"/>
        <v>1120</v>
      </c>
    </row>
    <row r="79" spans="3:18" ht="18" x14ac:dyDescent="0.25">
      <c r="C79" s="589"/>
      <c r="D79" s="591"/>
      <c r="E79" s="590"/>
      <c r="F79" s="591"/>
      <c r="G79" s="595"/>
      <c r="H79" s="353">
        <v>77</v>
      </c>
      <c r="I79" s="364">
        <v>0</v>
      </c>
      <c r="J79" s="359">
        <v>1</v>
      </c>
      <c r="K79" s="359">
        <v>1</v>
      </c>
      <c r="L79" s="360">
        <v>0</v>
      </c>
      <c r="M79" s="359">
        <v>1</v>
      </c>
      <c r="N79" s="362">
        <v>0</v>
      </c>
      <c r="Q79" s="387">
        <v>21</v>
      </c>
      <c r="R79" s="680">
        <f t="shared" si="2"/>
        <v>1176</v>
      </c>
    </row>
    <row r="80" spans="3:18" ht="18" x14ac:dyDescent="0.25">
      <c r="C80" s="589"/>
      <c r="D80" s="591"/>
      <c r="E80" s="590"/>
      <c r="F80" s="590"/>
      <c r="G80" s="595"/>
      <c r="H80" s="353">
        <v>78</v>
      </c>
      <c r="I80" s="364">
        <v>0</v>
      </c>
      <c r="J80" s="359">
        <v>1</v>
      </c>
      <c r="K80" s="359">
        <v>1</v>
      </c>
      <c r="L80" s="360">
        <v>0</v>
      </c>
      <c r="M80" s="359">
        <v>1</v>
      </c>
      <c r="N80" s="361">
        <v>1</v>
      </c>
      <c r="Q80" s="387">
        <v>22</v>
      </c>
      <c r="R80" s="680">
        <f t="shared" si="2"/>
        <v>1232</v>
      </c>
    </row>
    <row r="81" spans="2:14" ht="18" x14ac:dyDescent="0.25">
      <c r="C81" s="589"/>
      <c r="D81" s="590"/>
      <c r="E81" s="591"/>
      <c r="F81" s="590"/>
      <c r="G81" s="595"/>
      <c r="H81" s="353">
        <v>79</v>
      </c>
      <c r="I81" s="364">
        <v>0</v>
      </c>
      <c r="J81" s="359">
        <v>1</v>
      </c>
      <c r="K81" s="359">
        <v>1</v>
      </c>
      <c r="L81" s="360">
        <v>0</v>
      </c>
      <c r="M81" s="360">
        <v>0</v>
      </c>
      <c r="N81" s="361">
        <v>1</v>
      </c>
    </row>
    <row r="82" spans="2:14" ht="18" x14ac:dyDescent="0.25">
      <c r="C82" s="589"/>
      <c r="D82" s="591"/>
      <c r="E82" s="590"/>
      <c r="F82" s="591"/>
      <c r="G82" s="595"/>
      <c r="H82" s="353">
        <v>80</v>
      </c>
      <c r="I82" s="364">
        <v>0</v>
      </c>
      <c r="J82" s="359">
        <v>1</v>
      </c>
      <c r="K82" s="359">
        <v>1</v>
      </c>
      <c r="L82" s="360">
        <v>0</v>
      </c>
      <c r="M82" s="360">
        <v>0</v>
      </c>
      <c r="N82" s="362">
        <v>0</v>
      </c>
    </row>
    <row r="83" spans="2:14" ht="18" x14ac:dyDescent="0.25">
      <c r="C83" s="589"/>
      <c r="D83" s="591"/>
      <c r="E83" s="591"/>
      <c r="F83" s="591"/>
      <c r="G83" s="595"/>
      <c r="H83" s="353">
        <v>81</v>
      </c>
      <c r="I83" s="364">
        <v>0</v>
      </c>
      <c r="J83" s="360">
        <v>0</v>
      </c>
      <c r="K83" s="359">
        <v>1</v>
      </c>
      <c r="L83" s="360">
        <v>0</v>
      </c>
      <c r="M83" s="360">
        <v>0</v>
      </c>
      <c r="N83" s="362">
        <v>0</v>
      </c>
    </row>
    <row r="84" spans="2:14" x14ac:dyDescent="0.25">
      <c r="C84" s="592"/>
      <c r="D84" s="591"/>
      <c r="E84" s="591"/>
      <c r="F84" s="591"/>
      <c r="G84" s="595"/>
      <c r="H84" s="353">
        <v>82</v>
      </c>
      <c r="I84" s="364">
        <v>0</v>
      </c>
      <c r="J84" s="360">
        <v>0</v>
      </c>
      <c r="K84" s="359">
        <v>1</v>
      </c>
      <c r="L84" s="360">
        <v>0</v>
      </c>
      <c r="M84" s="360">
        <v>0</v>
      </c>
      <c r="N84" s="361">
        <v>1</v>
      </c>
    </row>
    <row r="85" spans="2:14" x14ac:dyDescent="0.25">
      <c r="B85" s="351"/>
      <c r="C85" s="300"/>
      <c r="D85" s="300"/>
      <c r="E85" s="299"/>
      <c r="F85" s="299"/>
      <c r="H85" s="353">
        <v>83</v>
      </c>
      <c r="I85" s="364">
        <v>0</v>
      </c>
      <c r="J85" s="360">
        <v>0</v>
      </c>
      <c r="K85" s="359">
        <v>1</v>
      </c>
      <c r="L85" s="360">
        <v>0</v>
      </c>
      <c r="M85" s="359">
        <v>1</v>
      </c>
      <c r="N85" s="361">
        <v>1</v>
      </c>
    </row>
    <row r="86" spans="2:14" x14ac:dyDescent="0.25">
      <c r="B86" s="351"/>
      <c r="C86" s="300"/>
      <c r="D86" s="300"/>
      <c r="E86" s="299"/>
      <c r="F86" s="299"/>
      <c r="H86" s="353">
        <v>84</v>
      </c>
      <c r="I86" s="364">
        <v>0</v>
      </c>
      <c r="J86" s="360">
        <v>0</v>
      </c>
      <c r="K86" s="359">
        <v>1</v>
      </c>
      <c r="L86" s="360">
        <v>0</v>
      </c>
      <c r="M86" s="359">
        <v>1</v>
      </c>
      <c r="N86" s="362">
        <v>0</v>
      </c>
    </row>
    <row r="87" spans="2:14" x14ac:dyDescent="0.25">
      <c r="B87" s="351"/>
      <c r="C87" s="300"/>
      <c r="D87" s="300"/>
      <c r="E87" s="299"/>
      <c r="F87" s="299"/>
      <c r="H87" s="353">
        <v>85</v>
      </c>
      <c r="I87" s="364">
        <v>0</v>
      </c>
      <c r="J87" s="360">
        <v>0</v>
      </c>
      <c r="K87" s="359">
        <v>1</v>
      </c>
      <c r="L87" s="359">
        <v>1</v>
      </c>
      <c r="M87" s="359">
        <v>1</v>
      </c>
      <c r="N87" s="362">
        <v>0</v>
      </c>
    </row>
    <row r="88" spans="2:14" x14ac:dyDescent="0.25">
      <c r="B88" s="351"/>
      <c r="C88" s="300"/>
      <c r="D88" s="300"/>
      <c r="E88" s="299"/>
      <c r="F88" s="299"/>
      <c r="H88" s="353">
        <v>86</v>
      </c>
      <c r="I88" s="364">
        <v>0</v>
      </c>
      <c r="J88" s="360">
        <v>0</v>
      </c>
      <c r="K88" s="359">
        <v>1</v>
      </c>
      <c r="L88" s="359">
        <v>1</v>
      </c>
      <c r="M88" s="359">
        <v>1</v>
      </c>
      <c r="N88" s="361">
        <v>1</v>
      </c>
    </row>
    <row r="89" spans="2:14" x14ac:dyDescent="0.25">
      <c r="B89" s="351"/>
      <c r="C89" s="300"/>
      <c r="D89" s="300"/>
      <c r="E89" s="300"/>
      <c r="F89" s="299"/>
      <c r="H89" s="353">
        <v>87</v>
      </c>
      <c r="I89" s="364">
        <v>0</v>
      </c>
      <c r="J89" s="360">
        <v>0</v>
      </c>
      <c r="K89" s="359">
        <v>1</v>
      </c>
      <c r="L89" s="359">
        <v>1</v>
      </c>
      <c r="M89" s="360">
        <v>0</v>
      </c>
      <c r="N89" s="361">
        <v>1</v>
      </c>
    </row>
    <row r="90" spans="2:14" x14ac:dyDescent="0.25">
      <c r="B90" s="351"/>
      <c r="C90" s="300"/>
      <c r="D90" s="300"/>
      <c r="E90" s="300"/>
      <c r="F90" s="299"/>
      <c r="H90" s="353">
        <v>88</v>
      </c>
      <c r="I90" s="364">
        <v>0</v>
      </c>
      <c r="J90" s="360">
        <v>0</v>
      </c>
      <c r="K90" s="359">
        <v>1</v>
      </c>
      <c r="L90" s="359">
        <v>1</v>
      </c>
      <c r="M90" s="360">
        <v>0</v>
      </c>
      <c r="N90" s="361">
        <v>0</v>
      </c>
    </row>
    <row r="91" spans="2:14" x14ac:dyDescent="0.25">
      <c r="B91" s="351"/>
      <c r="C91" s="300"/>
      <c r="D91" s="300"/>
      <c r="E91" s="300"/>
      <c r="F91" s="299"/>
      <c r="H91" s="353">
        <v>89</v>
      </c>
      <c r="I91" s="364">
        <v>0</v>
      </c>
      <c r="J91" s="360">
        <v>0</v>
      </c>
      <c r="K91" s="360">
        <v>0</v>
      </c>
      <c r="L91" s="359">
        <v>1</v>
      </c>
      <c r="M91" s="360">
        <v>0</v>
      </c>
      <c r="N91" s="361">
        <v>0</v>
      </c>
    </row>
    <row r="92" spans="2:14" x14ac:dyDescent="0.25">
      <c r="B92" s="351"/>
      <c r="C92" s="300"/>
      <c r="D92" s="300"/>
      <c r="E92" s="300"/>
      <c r="F92" s="299"/>
      <c r="H92" s="353">
        <v>90</v>
      </c>
      <c r="I92" s="364">
        <v>0</v>
      </c>
      <c r="J92" s="360">
        <v>0</v>
      </c>
      <c r="K92" s="360">
        <v>0</v>
      </c>
      <c r="L92" s="359">
        <v>1</v>
      </c>
      <c r="M92" s="360">
        <v>0</v>
      </c>
      <c r="N92" s="361">
        <v>1</v>
      </c>
    </row>
    <row r="93" spans="2:14" x14ac:dyDescent="0.25">
      <c r="B93" s="351"/>
      <c r="C93" s="300"/>
      <c r="D93" s="300"/>
      <c r="E93" s="300"/>
      <c r="F93" s="300"/>
      <c r="H93" s="353">
        <v>91</v>
      </c>
      <c r="I93" s="364">
        <v>0</v>
      </c>
      <c r="J93" s="360">
        <v>0</v>
      </c>
      <c r="K93" s="360">
        <v>0</v>
      </c>
      <c r="L93" s="359">
        <v>1</v>
      </c>
      <c r="M93" s="359">
        <v>1</v>
      </c>
      <c r="N93" s="361">
        <v>1</v>
      </c>
    </row>
    <row r="94" spans="2:14" x14ac:dyDescent="0.25">
      <c r="B94" s="351"/>
      <c r="C94" s="300"/>
      <c r="D94" s="300"/>
      <c r="E94" s="300"/>
      <c r="F94" s="300"/>
      <c r="H94" s="353">
        <v>92</v>
      </c>
      <c r="I94" s="364">
        <v>0</v>
      </c>
      <c r="J94" s="360">
        <v>0</v>
      </c>
      <c r="K94" s="360">
        <v>0</v>
      </c>
      <c r="L94" s="359">
        <v>1</v>
      </c>
      <c r="M94" s="359">
        <v>1</v>
      </c>
      <c r="N94" s="362">
        <v>0</v>
      </c>
    </row>
    <row r="95" spans="2:14" x14ac:dyDescent="0.25">
      <c r="B95" s="351"/>
      <c r="C95" s="300"/>
      <c r="D95" s="300"/>
      <c r="E95" s="300"/>
      <c r="F95" s="300"/>
      <c r="H95" s="353">
        <v>93</v>
      </c>
      <c r="I95" s="364">
        <v>0</v>
      </c>
      <c r="J95" s="360">
        <v>0</v>
      </c>
      <c r="K95" s="360">
        <v>0</v>
      </c>
      <c r="L95" s="360">
        <v>0</v>
      </c>
      <c r="M95" s="359">
        <v>1</v>
      </c>
      <c r="N95" s="362">
        <v>0</v>
      </c>
    </row>
    <row r="96" spans="2:14" x14ac:dyDescent="0.25">
      <c r="B96" s="351"/>
      <c r="C96" s="300"/>
      <c r="D96" s="300"/>
      <c r="E96" s="300"/>
      <c r="F96" s="300"/>
      <c r="H96" s="353">
        <v>94</v>
      </c>
      <c r="I96" s="364">
        <v>0</v>
      </c>
      <c r="J96" s="360">
        <v>0</v>
      </c>
      <c r="K96" s="360">
        <v>0</v>
      </c>
      <c r="L96" s="360">
        <v>0</v>
      </c>
      <c r="M96" s="359">
        <v>1</v>
      </c>
      <c r="N96" s="361">
        <v>1</v>
      </c>
    </row>
    <row r="97" spans="2:14" x14ac:dyDescent="0.25">
      <c r="B97" s="351"/>
      <c r="C97" s="300"/>
      <c r="D97" s="300"/>
      <c r="E97" s="300"/>
      <c r="F97" s="300"/>
      <c r="H97" s="353">
        <v>95</v>
      </c>
      <c r="I97" s="364">
        <v>0</v>
      </c>
      <c r="J97" s="360">
        <v>0</v>
      </c>
      <c r="K97" s="360">
        <v>0</v>
      </c>
      <c r="L97" s="360">
        <v>0</v>
      </c>
      <c r="M97" s="360">
        <v>0</v>
      </c>
      <c r="N97" s="361">
        <v>1</v>
      </c>
    </row>
    <row r="98" spans="2:14" x14ac:dyDescent="0.25">
      <c r="B98" s="314"/>
      <c r="C98" s="302"/>
      <c r="D98" s="303"/>
      <c r="E98" s="304"/>
      <c r="F98" s="303"/>
      <c r="H98" s="353">
        <v>96</v>
      </c>
      <c r="I98" s="364">
        <v>0</v>
      </c>
      <c r="J98" s="360">
        <v>0</v>
      </c>
      <c r="K98" s="360">
        <v>0</v>
      </c>
      <c r="L98" s="360">
        <v>0</v>
      </c>
      <c r="M98" s="360">
        <v>0</v>
      </c>
      <c r="N98" s="362">
        <v>0</v>
      </c>
    </row>
    <row r="99" spans="2:14" x14ac:dyDescent="0.25">
      <c r="H99" s="353">
        <v>97</v>
      </c>
      <c r="I99" s="365">
        <v>0</v>
      </c>
      <c r="J99" s="366">
        <v>0</v>
      </c>
      <c r="K99" s="366">
        <v>0</v>
      </c>
      <c r="L99" s="366">
        <v>0</v>
      </c>
      <c r="M99" s="366">
        <v>0</v>
      </c>
      <c r="N99" s="367">
        <v>0</v>
      </c>
    </row>
    <row r="100" spans="2:14" x14ac:dyDescent="0.25">
      <c r="H100" s="325"/>
      <c r="I100" s="368">
        <f>SUM(COUNTIF(I3:N82,1),COUNTIF(I83:N99,1))</f>
        <v>304</v>
      </c>
      <c r="J100" s="350"/>
      <c r="K100" s="681">
        <f>I100+N100</f>
        <v>582</v>
      </c>
      <c r="L100" s="682"/>
      <c r="M100" s="350"/>
      <c r="N100" s="369">
        <f>SUM(COUNTIF(I3:N82,0),COUNTIF(I83:N99,0))</f>
        <v>278</v>
      </c>
    </row>
  </sheetData>
  <mergeCells count="1">
    <mergeCell ref="K100:L100"/>
  </mergeCells>
  <pageMargins left="0" right="0" top="0" bottom="0" header="0" footer="0"/>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18</vt:i4>
      </vt:variant>
    </vt:vector>
  </HeadingPairs>
  <TitlesOfParts>
    <vt:vector size="23" baseType="lpstr">
      <vt:lpstr>LAYER_TWO</vt:lpstr>
      <vt:lpstr>SO_THEN_WHAT</vt:lpstr>
      <vt:lpstr>TRIAL_PROCESSOR_UP</vt:lpstr>
      <vt:lpstr>PROCESSOR_DOWN</vt:lpstr>
      <vt:lpstr>NOTES_MEDITATIONS_MISC.</vt:lpstr>
      <vt:lpstr>GRAY_32_128</vt:lpstr>
      <vt:lpstr>PROCESSOR_DOWN!LANDING_PAD_DOWN</vt:lpstr>
      <vt:lpstr>PROCESSOR_DOWN!LETTERS_to_NUMBERS</vt:lpstr>
      <vt:lpstr>TRIAL_PROCESSOR_UP!LETTERS_to_NUMBERS</vt:lpstr>
      <vt:lpstr>PROCESSOR_DOWN!NUMBERS_to_LETTERS</vt:lpstr>
      <vt:lpstr>TRIAL_PROCESSOR_UP!NUMBERS_to_LETTERS</vt:lpstr>
      <vt:lpstr>TRIAL_PROCESSOR_UP!REC_FREQ_1</vt:lpstr>
      <vt:lpstr>TRIAL_PROCESSOR_UP!REC_FREQ_2</vt:lpstr>
      <vt:lpstr>PROCESSOR_DOWN!RECONVERSION</vt:lpstr>
      <vt:lpstr>TRIAL_PROCESSOR_UP!RECONVERSION</vt:lpstr>
      <vt:lpstr>TRIAL_PROCESSOR_UP!REVERSER_Up_to_400</vt:lpstr>
      <vt:lpstr>TRIAL_PROCESSOR_UP!SPACE_2</vt:lpstr>
      <vt:lpstr>TRIAL_PROCESSOR_UP!SPACE_3</vt:lpstr>
      <vt:lpstr>TRIAL_PROCESSOR_UP!SPACED_ROW_for_LP</vt:lpstr>
      <vt:lpstr>TRIAL_PROCESSOR_UP!SPACED_ROW_for_RVRSR</vt:lpstr>
      <vt:lpstr>PROCESSOR_DOWN!Spaced_Row_LP_DDown</vt:lpstr>
      <vt:lpstr>PROCESSOR_DOWN!Spaced_Row_Rvrsr_Down</vt:lpstr>
      <vt:lpstr>STD._BINARY_32_128</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2020-05-31T18:33:08Z</dcterms:modified>
</cp:coreProperties>
</file>