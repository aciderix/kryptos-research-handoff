
<file path=[Content_Types].xml><?xml version="1.0" encoding="utf-8"?>
<Types xmlns="http://schemas.openxmlformats.org/package/2006/content-types">
  <Override PartName="/xl/charts/chart2.xml" ContentType="application/vnd.openxmlformats-officedocument.drawingml.chart+xml"/>
  <Override PartName="/xl/worksheets/sheet3.xml" ContentType="application/vnd.openxmlformats-officedocument.spreadsheetml.worksheet+xml"/>
  <Default Extension="rels" ContentType="application/vnd.openxmlformats-package.relationships+xml"/>
  <Override PartName="/xl/worksheets/sheet12.xml" ContentType="application/vnd.openxmlformats-officedocument.spreadsheetml.worksheet+xml"/>
  <Default Extension="jpeg" ContentType="image/jpeg"/>
  <Default Extension="xml" ContentType="application/xml"/>
  <Override PartName="/xl/charts/chart7.xml" ContentType="application/vnd.openxmlformats-officedocument.drawingml.chart+xml"/>
  <Override PartName="/xl/worksheets/sheet10.xml" ContentType="application/vnd.openxmlformats-officedocument.spreadsheetml.worksheet+xml"/>
  <Override PartName="/xl/calcChain.xml" ContentType="application/vnd.openxmlformats-officedocument.spreadsheetml.calcChain+xml"/>
  <Override PartName="/xl/worksheets/sheet1.xml" ContentType="application/vnd.openxmlformats-officedocument.spreadsheetml.workshee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0" yWindow="220" windowWidth="46960" windowHeight="26400" tabRatio="500" activeTab="7"/>
  </bookViews>
  <sheets>
    <sheet name="Layer 2 and 3 (2)" sheetId="12" r:id="rId1"/>
    <sheet name="Sheet1" sheetId="1" r:id="rId2"/>
    <sheet name="Sheet2" sheetId="2" r:id="rId3"/>
    <sheet name="Matches" sheetId="4" r:id="rId4"/>
    <sheet name="Remains" sheetId="5" r:id="rId5"/>
    <sheet name="Sheet3" sheetId="6" r:id="rId6"/>
    <sheet name="Sheet4" sheetId="7" r:id="rId7"/>
    <sheet name="Layer 2 and 3" sheetId="8" r:id="rId8"/>
    <sheet name="SDS" sheetId="9" r:id="rId9"/>
    <sheet name="Sheet7" sheetId="10" r:id="rId10"/>
    <sheet name="Sheet6" sheetId="14" r:id="rId11"/>
    <sheet name="Sheet8" sheetId="15" r:id="rId1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O3" i="8"/>
  <c r="Q3"/>
  <c r="O4"/>
  <c r="Q4"/>
  <c r="O5"/>
  <c r="Q5"/>
  <c r="O6"/>
  <c r="Q6"/>
  <c r="O7"/>
  <c r="Q7"/>
  <c r="O8"/>
  <c r="Q8"/>
  <c r="O9"/>
  <c r="Q9"/>
  <c r="O10"/>
  <c r="Q10"/>
  <c r="O11"/>
  <c r="Q11"/>
  <c r="O12"/>
  <c r="Q12"/>
  <c r="O13"/>
  <c r="Q13"/>
  <c r="O14"/>
  <c r="Q14"/>
  <c r="O15"/>
  <c r="Q15"/>
  <c r="O16"/>
  <c r="Q16"/>
  <c r="O17"/>
  <c r="Q17"/>
  <c r="O18"/>
  <c r="Q18"/>
  <c r="O19"/>
  <c r="Q19"/>
  <c r="O20"/>
  <c r="Q20"/>
  <c r="O21"/>
  <c r="Q21"/>
  <c r="O22"/>
  <c r="Q22"/>
  <c r="O23"/>
  <c r="Q23"/>
  <c r="O24"/>
  <c r="Q24"/>
  <c r="O25"/>
  <c r="Q25"/>
  <c r="O26"/>
  <c r="Q26"/>
  <c r="W3"/>
  <c r="O27"/>
  <c r="Q27"/>
  <c r="W4"/>
  <c r="O28"/>
  <c r="Q28"/>
  <c r="W5"/>
  <c r="O29"/>
  <c r="Q29"/>
  <c r="W6"/>
  <c r="O30"/>
  <c r="Q30"/>
  <c r="W7"/>
  <c r="O31"/>
  <c r="Q31"/>
  <c r="W8"/>
  <c r="O32"/>
  <c r="Q32"/>
  <c r="W9"/>
  <c r="O33"/>
  <c r="Q33"/>
  <c r="W10"/>
  <c r="O34"/>
  <c r="Q34"/>
  <c r="W11"/>
  <c r="O35"/>
  <c r="Q35"/>
  <c r="W12"/>
  <c r="O36"/>
  <c r="Q36"/>
  <c r="W13"/>
  <c r="O37"/>
  <c r="Q37"/>
  <c r="W14"/>
  <c r="O38"/>
  <c r="Q38"/>
  <c r="W15"/>
  <c r="O39"/>
  <c r="Q39"/>
  <c r="W16"/>
  <c r="O40"/>
  <c r="Q40"/>
  <c r="W17"/>
  <c r="O41"/>
  <c r="Q41"/>
  <c r="W18"/>
  <c r="O42"/>
  <c r="Q42"/>
  <c r="W19"/>
  <c r="O43"/>
  <c r="Q43"/>
  <c r="W20"/>
  <c r="O44"/>
  <c r="Q44"/>
  <c r="W21"/>
  <c r="O45"/>
  <c r="Q45"/>
  <c r="W22"/>
  <c r="O46"/>
  <c r="Q46"/>
  <c r="W23"/>
  <c r="O47"/>
  <c r="Q47"/>
  <c r="W24"/>
  <c r="O48"/>
  <c r="Q48"/>
  <c r="W25"/>
  <c r="O49"/>
  <c r="Q49"/>
  <c r="W26"/>
  <c r="O50"/>
  <c r="Q50"/>
  <c r="W27"/>
  <c r="O51"/>
  <c r="Q51"/>
  <c r="W28"/>
  <c r="O2"/>
  <c r="Q2"/>
  <c r="W2"/>
  <c r="N3"/>
  <c r="P3"/>
  <c r="N4"/>
  <c r="P4"/>
  <c r="N5"/>
  <c r="P5"/>
  <c r="N6"/>
  <c r="P6"/>
  <c r="N7"/>
  <c r="P7"/>
  <c r="N8"/>
  <c r="P8"/>
  <c r="N9"/>
  <c r="P9"/>
  <c r="N10"/>
  <c r="P10"/>
  <c r="N11"/>
  <c r="P11"/>
  <c r="N12"/>
  <c r="P12"/>
  <c r="N13"/>
  <c r="P13"/>
  <c r="N14"/>
  <c r="P14"/>
  <c r="N15"/>
  <c r="P15"/>
  <c r="N16"/>
  <c r="P16"/>
  <c r="N17"/>
  <c r="P17"/>
  <c r="N18"/>
  <c r="P18"/>
  <c r="N19"/>
  <c r="P19"/>
  <c r="N20"/>
  <c r="P20"/>
  <c r="N21"/>
  <c r="P21"/>
  <c r="N22"/>
  <c r="P22"/>
  <c r="N23"/>
  <c r="P23"/>
  <c r="N24"/>
  <c r="P24"/>
  <c r="N25"/>
  <c r="P25"/>
  <c r="N26"/>
  <c r="P26"/>
  <c r="V3"/>
  <c r="N27"/>
  <c r="P27"/>
  <c r="V4"/>
  <c r="N28"/>
  <c r="P28"/>
  <c r="V5"/>
  <c r="N29"/>
  <c r="P29"/>
  <c r="V6"/>
  <c r="N30"/>
  <c r="P30"/>
  <c r="V7"/>
  <c r="N31"/>
  <c r="P31"/>
  <c r="V8"/>
  <c r="N32"/>
  <c r="P32"/>
  <c r="V9"/>
  <c r="N33"/>
  <c r="P33"/>
  <c r="V10"/>
  <c r="N34"/>
  <c r="P34"/>
  <c r="V11"/>
  <c r="N35"/>
  <c r="P35"/>
  <c r="V12"/>
  <c r="N36"/>
  <c r="P36"/>
  <c r="V13"/>
  <c r="N37"/>
  <c r="P37"/>
  <c r="V14"/>
  <c r="N38"/>
  <c r="P38"/>
  <c r="V15"/>
  <c r="N39"/>
  <c r="P39"/>
  <c r="V16"/>
  <c r="N40"/>
  <c r="P40"/>
  <c r="V17"/>
  <c r="N41"/>
  <c r="P41"/>
  <c r="V18"/>
  <c r="N42"/>
  <c r="P42"/>
  <c r="V19"/>
  <c r="N43"/>
  <c r="P43"/>
  <c r="V20"/>
  <c r="N44"/>
  <c r="P44"/>
  <c r="V21"/>
  <c r="N45"/>
  <c r="P45"/>
  <c r="V22"/>
  <c r="N46"/>
  <c r="P46"/>
  <c r="V23"/>
  <c r="N47"/>
  <c r="P47"/>
  <c r="V24"/>
  <c r="N48"/>
  <c r="P48"/>
  <c r="V25"/>
  <c r="N49"/>
  <c r="P49"/>
  <c r="V26"/>
  <c r="N50"/>
  <c r="P50"/>
  <c r="V27"/>
  <c r="N51"/>
  <c r="P51"/>
  <c r="V28"/>
  <c r="N2"/>
  <c r="P2"/>
  <c r="V2"/>
  <c r="S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R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2"/>
  <c r="A81"/>
  <c r="J80"/>
  <c r="J79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K3"/>
  <c r="J27"/>
  <c r="K4"/>
  <c r="J28"/>
  <c r="K5"/>
  <c r="J29"/>
  <c r="K6"/>
  <c r="J30"/>
  <c r="K7"/>
  <c r="J31"/>
  <c r="K8"/>
  <c r="J32"/>
  <c r="K9"/>
  <c r="J33"/>
  <c r="K10"/>
  <c r="J34"/>
  <c r="K11"/>
  <c r="J35"/>
  <c r="K12"/>
  <c r="J36"/>
  <c r="K13"/>
  <c r="J37"/>
  <c r="K14"/>
  <c r="J38"/>
  <c r="K15"/>
  <c r="J39"/>
  <c r="K16"/>
  <c r="J40"/>
  <c r="K17"/>
  <c r="J41"/>
  <c r="K18"/>
  <c r="J42"/>
  <c r="K19"/>
  <c r="J43"/>
  <c r="K20"/>
  <c r="J44"/>
  <c r="K21"/>
  <c r="J45"/>
  <c r="K22"/>
  <c r="J46"/>
  <c r="K23"/>
  <c r="J47"/>
  <c r="K24"/>
  <c r="J48"/>
  <c r="K25"/>
  <c r="J49"/>
  <c r="K26"/>
  <c r="J50"/>
  <c r="K27"/>
  <c r="J51"/>
  <c r="K28"/>
  <c r="J52"/>
  <c r="K29"/>
  <c r="J53"/>
  <c r="K30"/>
  <c r="J54"/>
  <c r="K31"/>
  <c r="J55"/>
  <c r="K32"/>
  <c r="J56"/>
  <c r="K33"/>
  <c r="J57"/>
  <c r="K34"/>
  <c r="J58"/>
  <c r="K35"/>
  <c r="J59"/>
  <c r="K36"/>
  <c r="J60"/>
  <c r="K37"/>
  <c r="J61"/>
  <c r="K38"/>
  <c r="J62"/>
  <c r="K39"/>
  <c r="J63"/>
  <c r="K40"/>
  <c r="J64"/>
  <c r="K41"/>
  <c r="J65"/>
  <c r="K42"/>
  <c r="J66"/>
  <c r="K43"/>
  <c r="J67"/>
  <c r="K44"/>
  <c r="J68"/>
  <c r="K45"/>
  <c r="J69"/>
  <c r="K46"/>
  <c r="J70"/>
  <c r="K47"/>
  <c r="J71"/>
  <c r="K48"/>
  <c r="J72"/>
  <c r="K49"/>
  <c r="J73"/>
  <c r="K50"/>
  <c r="J74"/>
  <c r="K51"/>
  <c r="J75"/>
  <c r="K52"/>
  <c r="J76"/>
  <c r="K53"/>
  <c r="J2"/>
  <c r="K2"/>
  <c r="J75" i="12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K52"/>
  <c r="J51"/>
  <c r="K51"/>
  <c r="J50"/>
  <c r="K50"/>
  <c r="J49"/>
  <c r="K49"/>
  <c r="J48"/>
  <c r="K48"/>
  <c r="J47"/>
  <c r="K47"/>
  <c r="J46"/>
  <c r="K46"/>
  <c r="J45"/>
  <c r="K45"/>
  <c r="J44"/>
  <c r="K44"/>
  <c r="J43"/>
  <c r="K43"/>
  <c r="J42"/>
  <c r="K42"/>
  <c r="J41"/>
  <c r="K41"/>
  <c r="J40"/>
  <c r="K40"/>
  <c r="J39"/>
  <c r="K39"/>
  <c r="J38"/>
  <c r="K38"/>
  <c r="J37"/>
  <c r="K37"/>
  <c r="J36"/>
  <c r="K36"/>
  <c r="J35"/>
  <c r="K35"/>
  <c r="J34"/>
  <c r="K34"/>
  <c r="J33"/>
  <c r="K33"/>
  <c r="J32"/>
  <c r="K32"/>
  <c r="J31"/>
  <c r="K31"/>
  <c r="J30"/>
  <c r="K30"/>
  <c r="J29"/>
  <c r="K29"/>
  <c r="J28"/>
  <c r="K28"/>
  <c r="J27"/>
  <c r="K27"/>
  <c r="J26"/>
  <c r="K26"/>
  <c r="J25"/>
  <c r="K25"/>
  <c r="J24"/>
  <c r="K24"/>
  <c r="J23"/>
  <c r="K23"/>
  <c r="J22"/>
  <c r="K22"/>
  <c r="J21"/>
  <c r="K21"/>
  <c r="J20"/>
  <c r="K20"/>
  <c r="J19"/>
  <c r="K19"/>
  <c r="J18"/>
  <c r="K18"/>
  <c r="J17"/>
  <c r="K17"/>
  <c r="J16"/>
  <c r="K16"/>
  <c r="J15"/>
  <c r="K15"/>
  <c r="J14"/>
  <c r="K14"/>
  <c r="J13"/>
  <c r="K13"/>
  <c r="J12"/>
  <c r="K12"/>
  <c r="J11"/>
  <c r="K11"/>
  <c r="J10"/>
  <c r="K10"/>
  <c r="J9"/>
  <c r="K9"/>
  <c r="J8"/>
  <c r="K8"/>
  <c r="J7"/>
  <c r="K7"/>
  <c r="J6"/>
  <c r="K6"/>
  <c r="J5"/>
  <c r="K5"/>
  <c r="J4"/>
  <c r="K4"/>
  <c r="J3"/>
  <c r="K3"/>
  <c r="J2"/>
  <c r="K2"/>
  <c r="J1"/>
  <c r="K1"/>
  <c r="H77" i="4"/>
  <c r="I77"/>
  <c r="L77"/>
  <c r="O77"/>
  <c r="H78"/>
  <c r="I78"/>
  <c r="L78"/>
  <c r="O78"/>
  <c r="H79"/>
  <c r="I79"/>
  <c r="L79"/>
  <c r="O79"/>
  <c r="H80"/>
  <c r="I80"/>
  <c r="L80"/>
  <c r="O80"/>
  <c r="H81"/>
  <c r="I81"/>
  <c r="L81"/>
  <c r="O81"/>
  <c r="H82"/>
  <c r="I82"/>
  <c r="L82"/>
  <c r="O82"/>
  <c r="H83"/>
  <c r="I83"/>
  <c r="L83"/>
  <c r="O83"/>
  <c r="H84"/>
  <c r="I84"/>
  <c r="L84"/>
  <c r="O84"/>
  <c r="H85"/>
  <c r="I85"/>
  <c r="L85"/>
  <c r="O85"/>
  <c r="H86"/>
  <c r="I86"/>
  <c r="L86"/>
  <c r="O86"/>
  <c r="H87"/>
  <c r="I87"/>
  <c r="L87"/>
  <c r="O87"/>
  <c r="H88"/>
  <c r="I88"/>
  <c r="L88"/>
  <c r="O88"/>
  <c r="H89"/>
  <c r="I89"/>
  <c r="L89"/>
  <c r="O89"/>
  <c r="H90"/>
  <c r="I90"/>
  <c r="L90"/>
  <c r="O90"/>
  <c r="H91"/>
  <c r="I91"/>
  <c r="L91"/>
  <c r="O91"/>
  <c r="H92"/>
  <c r="I92"/>
  <c r="L92"/>
  <c r="O92"/>
  <c r="H93"/>
  <c r="I93"/>
  <c r="L93"/>
  <c r="O93"/>
  <c r="H94"/>
  <c r="I94"/>
  <c r="L94"/>
  <c r="O94"/>
  <c r="H95"/>
  <c r="I95"/>
  <c r="L95"/>
  <c r="O95"/>
  <c r="H96"/>
  <c r="I96"/>
  <c r="L96"/>
  <c r="O96"/>
  <c r="H97"/>
  <c r="I97"/>
  <c r="L97"/>
  <c r="O97"/>
  <c r="H98"/>
  <c r="I98"/>
  <c r="L98"/>
  <c r="O98"/>
  <c r="H4"/>
  <c r="I4"/>
  <c r="L4"/>
  <c r="O4"/>
  <c r="H5"/>
  <c r="I5"/>
  <c r="L5"/>
  <c r="O5"/>
  <c r="H6"/>
  <c r="I6"/>
  <c r="L6"/>
  <c r="O6"/>
  <c r="H7"/>
  <c r="I7"/>
  <c r="L7"/>
  <c r="O7"/>
  <c r="H8"/>
  <c r="I8"/>
  <c r="L8"/>
  <c r="O8"/>
  <c r="H9"/>
  <c r="I9"/>
  <c r="L9"/>
  <c r="O9"/>
  <c r="H10"/>
  <c r="I10"/>
  <c r="L10"/>
  <c r="O10"/>
  <c r="H11"/>
  <c r="I11"/>
  <c r="L11"/>
  <c r="O11"/>
  <c r="H12"/>
  <c r="I12"/>
  <c r="L12"/>
  <c r="O12"/>
  <c r="H13"/>
  <c r="I13"/>
  <c r="L13"/>
  <c r="O13"/>
  <c r="H14"/>
  <c r="I14"/>
  <c r="L14"/>
  <c r="O14"/>
  <c r="H15"/>
  <c r="I15"/>
  <c r="L15"/>
  <c r="O15"/>
  <c r="H16"/>
  <c r="I16"/>
  <c r="L16"/>
  <c r="O16"/>
  <c r="H17"/>
  <c r="I17"/>
  <c r="L17"/>
  <c r="O17"/>
  <c r="H18"/>
  <c r="I18"/>
  <c r="L18"/>
  <c r="O18"/>
  <c r="H19"/>
  <c r="I19"/>
  <c r="L19"/>
  <c r="O19"/>
  <c r="H20"/>
  <c r="I20"/>
  <c r="L20"/>
  <c r="O20"/>
  <c r="H21"/>
  <c r="I21"/>
  <c r="L21"/>
  <c r="O21"/>
  <c r="H22"/>
  <c r="I22"/>
  <c r="L22"/>
  <c r="O22"/>
  <c r="H23"/>
  <c r="I23"/>
  <c r="L23"/>
  <c r="O23"/>
  <c r="H24"/>
  <c r="I24"/>
  <c r="L24"/>
  <c r="O24"/>
  <c r="H25"/>
  <c r="I25"/>
  <c r="L25"/>
  <c r="O25"/>
  <c r="H26"/>
  <c r="I26"/>
  <c r="L26"/>
  <c r="O26"/>
  <c r="H27"/>
  <c r="I27"/>
  <c r="L27"/>
  <c r="O27"/>
  <c r="H28"/>
  <c r="I28"/>
  <c r="L28"/>
  <c r="O28"/>
  <c r="H29"/>
  <c r="I29"/>
  <c r="L29"/>
  <c r="O29"/>
  <c r="H30"/>
  <c r="I30"/>
  <c r="L30"/>
  <c r="O30"/>
  <c r="H31"/>
  <c r="I31"/>
  <c r="L31"/>
  <c r="O31"/>
  <c r="H32"/>
  <c r="I32"/>
  <c r="L32"/>
  <c r="O32"/>
  <c r="H33"/>
  <c r="I33"/>
  <c r="L33"/>
  <c r="O33"/>
  <c r="H34"/>
  <c r="I34"/>
  <c r="L34"/>
  <c r="O34"/>
  <c r="H35"/>
  <c r="I35"/>
  <c r="L35"/>
  <c r="O35"/>
  <c r="H36"/>
  <c r="I36"/>
  <c r="L36"/>
  <c r="O36"/>
  <c r="H37"/>
  <c r="I37"/>
  <c r="L37"/>
  <c r="O37"/>
  <c r="H38"/>
  <c r="I38"/>
  <c r="L38"/>
  <c r="O38"/>
  <c r="H39"/>
  <c r="I39"/>
  <c r="L39"/>
  <c r="O39"/>
  <c r="H40"/>
  <c r="I40"/>
  <c r="L40"/>
  <c r="O40"/>
  <c r="H41"/>
  <c r="I41"/>
  <c r="L41"/>
  <c r="O41"/>
  <c r="H42"/>
  <c r="I42"/>
  <c r="L42"/>
  <c r="O42"/>
  <c r="H43"/>
  <c r="I43"/>
  <c r="L43"/>
  <c r="O43"/>
  <c r="H44"/>
  <c r="I44"/>
  <c r="L44"/>
  <c r="O44"/>
  <c r="H45"/>
  <c r="I45"/>
  <c r="L45"/>
  <c r="O45"/>
  <c r="H46"/>
  <c r="I46"/>
  <c r="L46"/>
  <c r="O46"/>
  <c r="H47"/>
  <c r="I47"/>
  <c r="L47"/>
  <c r="O47"/>
  <c r="H48"/>
  <c r="I48"/>
  <c r="L48"/>
  <c r="O48"/>
  <c r="H49"/>
  <c r="I49"/>
  <c r="L49"/>
  <c r="O49"/>
  <c r="H50"/>
  <c r="I50"/>
  <c r="L50"/>
  <c r="O50"/>
  <c r="H51"/>
  <c r="I51"/>
  <c r="L51"/>
  <c r="O51"/>
  <c r="H52"/>
  <c r="I52"/>
  <c r="L52"/>
  <c r="O52"/>
  <c r="H53"/>
  <c r="I53"/>
  <c r="L53"/>
  <c r="O53"/>
  <c r="H54"/>
  <c r="I54"/>
  <c r="L54"/>
  <c r="O54"/>
  <c r="H55"/>
  <c r="I55"/>
  <c r="L55"/>
  <c r="O55"/>
  <c r="H56"/>
  <c r="I56"/>
  <c r="L56"/>
  <c r="O56"/>
  <c r="H57"/>
  <c r="I57"/>
  <c r="L57"/>
  <c r="O57"/>
  <c r="H58"/>
  <c r="I58"/>
  <c r="L58"/>
  <c r="O58"/>
  <c r="H59"/>
  <c r="I59"/>
  <c r="L59"/>
  <c r="O59"/>
  <c r="H60"/>
  <c r="I60"/>
  <c r="L60"/>
  <c r="O60"/>
  <c r="H61"/>
  <c r="I61"/>
  <c r="L61"/>
  <c r="O61"/>
  <c r="H62"/>
  <c r="I62"/>
  <c r="L62"/>
  <c r="O62"/>
  <c r="H63"/>
  <c r="I63"/>
  <c r="L63"/>
  <c r="O63"/>
  <c r="H64"/>
  <c r="I64"/>
  <c r="L64"/>
  <c r="O64"/>
  <c r="H65"/>
  <c r="I65"/>
  <c r="L65"/>
  <c r="O65"/>
  <c r="H66"/>
  <c r="I66"/>
  <c r="L66"/>
  <c r="O66"/>
  <c r="H67"/>
  <c r="I67"/>
  <c r="L67"/>
  <c r="O67"/>
  <c r="H68"/>
  <c r="I68"/>
  <c r="L68"/>
  <c r="O68"/>
  <c r="H69"/>
  <c r="I69"/>
  <c r="L69"/>
  <c r="O69"/>
  <c r="H70"/>
  <c r="I70"/>
  <c r="L70"/>
  <c r="O70"/>
  <c r="H71"/>
  <c r="I71"/>
  <c r="L71"/>
  <c r="O71"/>
  <c r="H72"/>
  <c r="I72"/>
  <c r="L72"/>
  <c r="O72"/>
  <c r="H73"/>
  <c r="I73"/>
  <c r="L73"/>
  <c r="O73"/>
  <c r="H74"/>
  <c r="I74"/>
  <c r="L74"/>
  <c r="O74"/>
  <c r="H75"/>
  <c r="I75"/>
  <c r="L75"/>
  <c r="O75"/>
  <c r="H76"/>
  <c r="I76"/>
  <c r="L76"/>
  <c r="O76"/>
  <c r="H3"/>
  <c r="I3"/>
  <c r="L3"/>
  <c r="O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H99"/>
  <c r="I99"/>
  <c r="L99"/>
  <c r="N76"/>
  <c r="N3"/>
  <c r="F45"/>
  <c r="G45"/>
  <c r="G2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H100"/>
  <c r="I100"/>
  <c r="J77"/>
  <c r="H101"/>
  <c r="I101"/>
  <c r="J78"/>
  <c r="H102"/>
  <c r="I102"/>
  <c r="J79"/>
  <c r="H103"/>
  <c r="I103"/>
  <c r="J80"/>
  <c r="H104"/>
  <c r="I104"/>
  <c r="J81"/>
  <c r="H105"/>
  <c r="I105"/>
  <c r="J82"/>
  <c r="H106"/>
  <c r="I106"/>
  <c r="J83"/>
  <c r="H107"/>
  <c r="I107"/>
  <c r="J84"/>
  <c r="H108"/>
  <c r="I108"/>
  <c r="J85"/>
  <c r="H109"/>
  <c r="I109"/>
  <c r="J86"/>
  <c r="H110"/>
  <c r="I110"/>
  <c r="J87"/>
  <c r="H111"/>
  <c r="I111"/>
  <c r="J88"/>
  <c r="H112"/>
  <c r="I112"/>
  <c r="J89"/>
  <c r="H113"/>
  <c r="I113"/>
  <c r="J90"/>
  <c r="H114"/>
  <c r="I114"/>
  <c r="J91"/>
  <c r="H115"/>
  <c r="I115"/>
  <c r="J92"/>
  <c r="H116"/>
  <c r="I116"/>
  <c r="J93"/>
  <c r="H117"/>
  <c r="I117"/>
  <c r="J94"/>
  <c r="H118"/>
  <c r="I118"/>
  <c r="J95"/>
  <c r="H119"/>
  <c r="I119"/>
  <c r="J96"/>
  <c r="H120"/>
  <c r="I120"/>
  <c r="J97"/>
  <c r="H121"/>
  <c r="I121"/>
  <c r="J98"/>
  <c r="H122"/>
  <c r="I122"/>
  <c r="J99"/>
  <c r="H123"/>
  <c r="I123"/>
  <c r="J100"/>
  <c r="H124"/>
  <c r="I124"/>
  <c r="J101"/>
  <c r="H125"/>
  <c r="I125"/>
  <c r="J102"/>
  <c r="H126"/>
  <c r="I126"/>
  <c r="J103"/>
  <c r="H127"/>
  <c r="I127"/>
  <c r="J104"/>
  <c r="H128"/>
  <c r="I128"/>
  <c r="J105"/>
  <c r="H129"/>
  <c r="I129"/>
  <c r="J106"/>
  <c r="H130"/>
  <c r="I130"/>
  <c r="J107"/>
  <c r="H131"/>
  <c r="I131"/>
  <c r="J108"/>
  <c r="H132"/>
  <c r="I132"/>
  <c r="J109"/>
  <c r="H133"/>
  <c r="I133"/>
  <c r="J110"/>
  <c r="H134"/>
  <c r="I134"/>
  <c r="J111"/>
  <c r="H135"/>
  <c r="I135"/>
  <c r="J112"/>
  <c r="H136"/>
  <c r="I136"/>
  <c r="J113"/>
  <c r="H137"/>
  <c r="I137"/>
  <c r="J114"/>
  <c r="H138"/>
  <c r="I138"/>
  <c r="J115"/>
  <c r="H139"/>
  <c r="I139"/>
  <c r="J116"/>
  <c r="H140"/>
  <c r="I140"/>
  <c r="J117"/>
  <c r="H141"/>
  <c r="I141"/>
  <c r="J118"/>
  <c r="H142"/>
  <c r="I142"/>
  <c r="J119"/>
  <c r="H143"/>
  <c r="I143"/>
  <c r="J120"/>
  <c r="H144"/>
  <c r="I144"/>
  <c r="J121"/>
  <c r="H145"/>
  <c r="I145"/>
  <c r="J122"/>
  <c r="H146"/>
  <c r="I146"/>
  <c r="J123"/>
  <c r="H147"/>
  <c r="I147"/>
  <c r="J124"/>
  <c r="H148"/>
  <c r="I148"/>
  <c r="J125"/>
  <c r="H149"/>
  <c r="I149"/>
  <c r="J126"/>
  <c r="H150"/>
  <c r="I150"/>
  <c r="J127"/>
  <c r="H151"/>
  <c r="I151"/>
  <c r="J128"/>
  <c r="H152"/>
  <c r="I152"/>
  <c r="J129"/>
  <c r="H153"/>
  <c r="I153"/>
  <c r="J130"/>
  <c r="H154"/>
  <c r="I154"/>
  <c r="J131"/>
  <c r="H155"/>
  <c r="I155"/>
  <c r="J132"/>
  <c r="H156"/>
  <c r="I156"/>
  <c r="J133"/>
  <c r="H157"/>
  <c r="I157"/>
  <c r="J134"/>
  <c r="H158"/>
  <c r="I158"/>
  <c r="J135"/>
  <c r="H159"/>
  <c r="I159"/>
  <c r="J136"/>
  <c r="H160"/>
  <c r="I160"/>
  <c r="J137"/>
  <c r="H161"/>
  <c r="I161"/>
  <c r="J138"/>
  <c r="H162"/>
  <c r="I162"/>
  <c r="J139"/>
  <c r="H163"/>
  <c r="I163"/>
  <c r="J140"/>
  <c r="H164"/>
  <c r="I164"/>
  <c r="J141"/>
  <c r="H2"/>
  <c r="I2"/>
  <c r="J2"/>
  <c r="H165"/>
  <c r="G58"/>
  <c r="E53"/>
  <c r="E87"/>
  <c r="E40"/>
  <c r="E28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D10" i="5"/>
  <c r="AD9"/>
  <c r="H3"/>
  <c r="I3"/>
  <c r="U2"/>
  <c r="W2"/>
  <c r="X2"/>
  <c r="H4"/>
  <c r="I4"/>
  <c r="U3"/>
  <c r="W3"/>
  <c r="X3"/>
  <c r="H5"/>
  <c r="I5"/>
  <c r="U4"/>
  <c r="W4"/>
  <c r="X4"/>
  <c r="H6"/>
  <c r="I6"/>
  <c r="U5"/>
  <c r="W5"/>
  <c r="X5"/>
  <c r="H7"/>
  <c r="I7"/>
  <c r="U6"/>
  <c r="W6"/>
  <c r="X6"/>
  <c r="H8"/>
  <c r="I8"/>
  <c r="U7"/>
  <c r="W7"/>
  <c r="X7"/>
  <c r="H9"/>
  <c r="I9"/>
  <c r="U8"/>
  <c r="W8"/>
  <c r="X8"/>
  <c r="H10"/>
  <c r="I10"/>
  <c r="U9"/>
  <c r="W9"/>
  <c r="X9"/>
  <c r="H11"/>
  <c r="I11"/>
  <c r="U10"/>
  <c r="W10"/>
  <c r="X10"/>
  <c r="H12"/>
  <c r="I12"/>
  <c r="U11"/>
  <c r="W11"/>
  <c r="X11"/>
  <c r="H13"/>
  <c r="I13"/>
  <c r="U12"/>
  <c r="W12"/>
  <c r="X12"/>
  <c r="H14"/>
  <c r="I14"/>
  <c r="U13"/>
  <c r="W13"/>
  <c r="X13"/>
  <c r="H15"/>
  <c r="I15"/>
  <c r="U14"/>
  <c r="W14"/>
  <c r="X14"/>
  <c r="H16"/>
  <c r="I16"/>
  <c r="U15"/>
  <c r="W15"/>
  <c r="X15"/>
  <c r="H17"/>
  <c r="I17"/>
  <c r="U16"/>
  <c r="W16"/>
  <c r="X16"/>
  <c r="H18"/>
  <c r="I18"/>
  <c r="U17"/>
  <c r="W17"/>
  <c r="X17"/>
  <c r="H19"/>
  <c r="I19"/>
  <c r="U18"/>
  <c r="W18"/>
  <c r="X18"/>
  <c r="H20"/>
  <c r="I20"/>
  <c r="U19"/>
  <c r="W19"/>
  <c r="X19"/>
  <c r="H21"/>
  <c r="I21"/>
  <c r="U20"/>
  <c r="W20"/>
  <c r="X20"/>
  <c r="H22"/>
  <c r="I22"/>
  <c r="U21"/>
  <c r="W21"/>
  <c r="X21"/>
  <c r="H23"/>
  <c r="I23"/>
  <c r="U22"/>
  <c r="W22"/>
  <c r="X22"/>
  <c r="H24"/>
  <c r="I24"/>
  <c r="U23"/>
  <c r="W23"/>
  <c r="X23"/>
  <c r="H25"/>
  <c r="I25"/>
  <c r="U24"/>
  <c r="W24"/>
  <c r="X24"/>
  <c r="H26"/>
  <c r="I26"/>
  <c r="U25"/>
  <c r="W25"/>
  <c r="X25"/>
  <c r="H27"/>
  <c r="I27"/>
  <c r="U26"/>
  <c r="W26"/>
  <c r="X26"/>
  <c r="H28"/>
  <c r="I28"/>
  <c r="U27"/>
  <c r="W27"/>
  <c r="X27"/>
  <c r="H29"/>
  <c r="I29"/>
  <c r="U28"/>
  <c r="W28"/>
  <c r="X28"/>
  <c r="H30"/>
  <c r="I30"/>
  <c r="U29"/>
  <c r="W29"/>
  <c r="X29"/>
  <c r="H31"/>
  <c r="I31"/>
  <c r="U30"/>
  <c r="W30"/>
  <c r="X30"/>
  <c r="H32"/>
  <c r="I32"/>
  <c r="U31"/>
  <c r="W31"/>
  <c r="X31"/>
  <c r="H33"/>
  <c r="I33"/>
  <c r="U32"/>
  <c r="W32"/>
  <c r="X32"/>
  <c r="H34"/>
  <c r="I34"/>
  <c r="U33"/>
  <c r="W33"/>
  <c r="X33"/>
  <c r="H35"/>
  <c r="I35"/>
  <c r="U34"/>
  <c r="W34"/>
  <c r="X34"/>
  <c r="H36"/>
  <c r="I36"/>
  <c r="U35"/>
  <c r="W35"/>
  <c r="X35"/>
  <c r="H37"/>
  <c r="I37"/>
  <c r="U36"/>
  <c r="W36"/>
  <c r="X36"/>
  <c r="H38"/>
  <c r="I38"/>
  <c r="U37"/>
  <c r="W37"/>
  <c r="X37"/>
  <c r="H39"/>
  <c r="I39"/>
  <c r="U38"/>
  <c r="W38"/>
  <c r="X38"/>
  <c r="H40"/>
  <c r="I40"/>
  <c r="U39"/>
  <c r="W39"/>
  <c r="X39"/>
  <c r="H41"/>
  <c r="I41"/>
  <c r="U40"/>
  <c r="W40"/>
  <c r="X40"/>
  <c r="H42"/>
  <c r="I42"/>
  <c r="U41"/>
  <c r="W41"/>
  <c r="X41"/>
  <c r="H43"/>
  <c r="I43"/>
  <c r="U42"/>
  <c r="W42"/>
  <c r="X42"/>
  <c r="H44"/>
  <c r="I44"/>
  <c r="U43"/>
  <c r="W43"/>
  <c r="X43"/>
  <c r="H45"/>
  <c r="I45"/>
  <c r="U44"/>
  <c r="W44"/>
  <c r="X44"/>
  <c r="H46"/>
  <c r="I46"/>
  <c r="U45"/>
  <c r="W45"/>
  <c r="X45"/>
  <c r="H47"/>
  <c r="I47"/>
  <c r="U46"/>
  <c r="W46"/>
  <c r="X46"/>
  <c r="H48"/>
  <c r="I48"/>
  <c r="U47"/>
  <c r="W47"/>
  <c r="X47"/>
  <c r="H49"/>
  <c r="I49"/>
  <c r="U48"/>
  <c r="W48"/>
  <c r="X48"/>
  <c r="H50"/>
  <c r="I50"/>
  <c r="U49"/>
  <c r="W49"/>
  <c r="X49"/>
  <c r="H51"/>
  <c r="I51"/>
  <c r="U50"/>
  <c r="W50"/>
  <c r="X50"/>
  <c r="H52"/>
  <c r="I52"/>
  <c r="U51"/>
  <c r="W51"/>
  <c r="X51"/>
  <c r="H53"/>
  <c r="I53"/>
  <c r="U52"/>
  <c r="W52"/>
  <c r="X52"/>
  <c r="H54"/>
  <c r="I54"/>
  <c r="U53"/>
  <c r="W53"/>
  <c r="X53"/>
  <c r="H55"/>
  <c r="I55"/>
  <c r="U54"/>
  <c r="W54"/>
  <c r="X54"/>
  <c r="H56"/>
  <c r="I56"/>
  <c r="U55"/>
  <c r="W55"/>
  <c r="X55"/>
  <c r="H57"/>
  <c r="I57"/>
  <c r="U56"/>
  <c r="W56"/>
  <c r="X56"/>
  <c r="H58"/>
  <c r="I58"/>
  <c r="U57"/>
  <c r="W57"/>
  <c r="X57"/>
  <c r="H59"/>
  <c r="I59"/>
  <c r="U58"/>
  <c r="W58"/>
  <c r="X58"/>
  <c r="H60"/>
  <c r="I60"/>
  <c r="U59"/>
  <c r="W59"/>
  <c r="X59"/>
  <c r="H61"/>
  <c r="I61"/>
  <c r="U60"/>
  <c r="W60"/>
  <c r="X60"/>
  <c r="H62"/>
  <c r="I62"/>
  <c r="U61"/>
  <c r="W61"/>
  <c r="X61"/>
  <c r="H63"/>
  <c r="I63"/>
  <c r="U62"/>
  <c r="W62"/>
  <c r="X62"/>
  <c r="H64"/>
  <c r="I64"/>
  <c r="U63"/>
  <c r="W63"/>
  <c r="X63"/>
  <c r="H65"/>
  <c r="I65"/>
  <c r="U64"/>
  <c r="W64"/>
  <c r="X64"/>
  <c r="H66"/>
  <c r="I66"/>
  <c r="U65"/>
  <c r="W65"/>
  <c r="X65"/>
  <c r="H67"/>
  <c r="I67"/>
  <c r="U66"/>
  <c r="W66"/>
  <c r="X66"/>
  <c r="H68"/>
  <c r="I68"/>
  <c r="U67"/>
  <c r="W67"/>
  <c r="X67"/>
  <c r="H69"/>
  <c r="I69"/>
  <c r="U68"/>
  <c r="W68"/>
  <c r="X68"/>
  <c r="H70"/>
  <c r="I70"/>
  <c r="U69"/>
  <c r="W69"/>
  <c r="X69"/>
  <c r="H71"/>
  <c r="I71"/>
  <c r="U70"/>
  <c r="W70"/>
  <c r="X70"/>
  <c r="H72"/>
  <c r="I72"/>
  <c r="U71"/>
  <c r="W71"/>
  <c r="X71"/>
  <c r="H73"/>
  <c r="I73"/>
  <c r="U72"/>
  <c r="W72"/>
  <c r="X72"/>
  <c r="H74"/>
  <c r="I74"/>
  <c r="U73"/>
  <c r="W73"/>
  <c r="X73"/>
  <c r="H75"/>
  <c r="I75"/>
  <c r="U74"/>
  <c r="W74"/>
  <c r="X74"/>
  <c r="H76"/>
  <c r="I76"/>
  <c r="U75"/>
  <c r="W75"/>
  <c r="X75"/>
  <c r="H77"/>
  <c r="I77"/>
  <c r="U76"/>
  <c r="W76"/>
  <c r="X76"/>
  <c r="H78"/>
  <c r="I78"/>
  <c r="U77"/>
  <c r="W77"/>
  <c r="X77"/>
  <c r="H79"/>
  <c r="I79"/>
  <c r="U78"/>
  <c r="W78"/>
  <c r="X78"/>
  <c r="H80"/>
  <c r="I80"/>
  <c r="U79"/>
  <c r="W79"/>
  <c r="X79"/>
  <c r="H81"/>
  <c r="I81"/>
  <c r="U80"/>
  <c r="W80"/>
  <c r="X80"/>
  <c r="H82"/>
  <c r="I82"/>
  <c r="U81"/>
  <c r="W81"/>
  <c r="X81"/>
  <c r="H83"/>
  <c r="I83"/>
  <c r="U82"/>
  <c r="W82"/>
  <c r="X82"/>
  <c r="H84"/>
  <c r="I84"/>
  <c r="U83"/>
  <c r="W83"/>
  <c r="X83"/>
  <c r="H85"/>
  <c r="I85"/>
  <c r="U84"/>
  <c r="W84"/>
  <c r="X84"/>
  <c r="H86"/>
  <c r="I86"/>
  <c r="U85"/>
  <c r="W85"/>
  <c r="X85"/>
  <c r="H87"/>
  <c r="I87"/>
  <c r="U86"/>
  <c r="W86"/>
  <c r="X86"/>
  <c r="H88"/>
  <c r="I88"/>
  <c r="U87"/>
  <c r="W87"/>
  <c r="X87"/>
  <c r="H89"/>
  <c r="I89"/>
  <c r="U88"/>
  <c r="W88"/>
  <c r="X88"/>
  <c r="H90"/>
  <c r="I90"/>
  <c r="U89"/>
  <c r="W89"/>
  <c r="X89"/>
  <c r="H91"/>
  <c r="I91"/>
  <c r="U90"/>
  <c r="W90"/>
  <c r="X90"/>
  <c r="H92"/>
  <c r="I92"/>
  <c r="U91"/>
  <c r="W91"/>
  <c r="X91"/>
  <c r="H93"/>
  <c r="I93"/>
  <c r="U92"/>
  <c r="W92"/>
  <c r="X92"/>
  <c r="H94"/>
  <c r="I94"/>
  <c r="U93"/>
  <c r="W93"/>
  <c r="X93"/>
  <c r="H95"/>
  <c r="I95"/>
  <c r="U94"/>
  <c r="W94"/>
  <c r="X94"/>
  <c r="H96"/>
  <c r="I96"/>
  <c r="U95"/>
  <c r="W95"/>
  <c r="X95"/>
  <c r="H97"/>
  <c r="I97"/>
  <c r="U96"/>
  <c r="W96"/>
  <c r="X96"/>
  <c r="H98"/>
  <c r="I98"/>
  <c r="U97"/>
  <c r="W97"/>
  <c r="X97"/>
  <c r="B172"/>
  <c r="H172"/>
  <c r="B171"/>
  <c r="H2"/>
  <c r="I2"/>
  <c r="L2"/>
  <c r="H99"/>
  <c r="I99"/>
  <c r="H100"/>
  <c r="I100"/>
  <c r="H101"/>
  <c r="I101"/>
  <c r="H102"/>
  <c r="I102"/>
  <c r="H103"/>
  <c r="I103"/>
  <c r="H104"/>
  <c r="I104"/>
  <c r="H105"/>
  <c r="I105"/>
  <c r="H106"/>
  <c r="I106"/>
  <c r="H107"/>
  <c r="I107"/>
  <c r="H108"/>
  <c r="I108"/>
  <c r="H109"/>
  <c r="I109"/>
  <c r="H110"/>
  <c r="I110"/>
  <c r="H111"/>
  <c r="I111"/>
  <c r="H112"/>
  <c r="I112"/>
  <c r="H113"/>
  <c r="I113"/>
  <c r="H114"/>
  <c r="I114"/>
  <c r="H115"/>
  <c r="I115"/>
  <c r="H116"/>
  <c r="I116"/>
  <c r="H117"/>
  <c r="I117"/>
  <c r="H118"/>
  <c r="I118"/>
  <c r="H119"/>
  <c r="I119"/>
  <c r="H120"/>
  <c r="I120"/>
  <c r="H121"/>
  <c r="I121"/>
  <c r="H122"/>
  <c r="I122"/>
  <c r="H123"/>
  <c r="I123"/>
  <c r="H124"/>
  <c r="I124"/>
  <c r="H125"/>
  <c r="I125"/>
  <c r="H126"/>
  <c r="I126"/>
  <c r="H127"/>
  <c r="I127"/>
  <c r="H128"/>
  <c r="I128"/>
  <c r="H129"/>
  <c r="I129"/>
  <c r="H130"/>
  <c r="I130"/>
  <c r="H131"/>
  <c r="I131"/>
  <c r="H132"/>
  <c r="I132"/>
  <c r="H133"/>
  <c r="I133"/>
  <c r="H134"/>
  <c r="I134"/>
  <c r="H135"/>
  <c r="I135"/>
  <c r="H136"/>
  <c r="I136"/>
  <c r="H137"/>
  <c r="I137"/>
  <c r="H138"/>
  <c r="I138"/>
  <c r="H139"/>
  <c r="I139"/>
  <c r="H140"/>
  <c r="I140"/>
  <c r="H141"/>
  <c r="I141"/>
  <c r="H142"/>
  <c r="I142"/>
  <c r="H143"/>
  <c r="I143"/>
  <c r="H144"/>
  <c r="I144"/>
  <c r="H145"/>
  <c r="I145"/>
  <c r="H146"/>
  <c r="I146"/>
  <c r="H147"/>
  <c r="I147"/>
  <c r="H148"/>
  <c r="I148"/>
  <c r="H149"/>
  <c r="I149"/>
  <c r="H150"/>
  <c r="I150"/>
  <c r="H151"/>
  <c r="I151"/>
  <c r="H152"/>
  <c r="I152"/>
  <c r="H153"/>
  <c r="I153"/>
  <c r="H154"/>
  <c r="I154"/>
  <c r="H155"/>
  <c r="I155"/>
  <c r="H156"/>
  <c r="I156"/>
  <c r="H157"/>
  <c r="I157"/>
  <c r="H158"/>
  <c r="I158"/>
  <c r="H159"/>
  <c r="I159"/>
  <c r="H160"/>
  <c r="I160"/>
  <c r="H161"/>
  <c r="I161"/>
  <c r="H162"/>
  <c r="I162"/>
  <c r="H163"/>
  <c r="I163"/>
  <c r="H164"/>
  <c r="I164"/>
  <c r="I166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2"/>
  <c r="H165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T97"/>
  <c r="T96"/>
  <c r="T95"/>
  <c r="T94"/>
  <c r="T93"/>
  <c r="T92"/>
  <c r="T91"/>
  <c r="T90"/>
  <c r="T89"/>
  <c r="T88"/>
  <c r="T87"/>
  <c r="T86"/>
  <c r="E87"/>
  <c r="T85"/>
  <c r="T84"/>
  <c r="T83"/>
  <c r="T82"/>
  <c r="T81"/>
  <c r="T80"/>
  <c r="T79"/>
  <c r="T78"/>
  <c r="T77"/>
  <c r="T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G58"/>
  <c r="T56"/>
  <c r="S56"/>
  <c r="R56"/>
  <c r="T55"/>
  <c r="S55"/>
  <c r="R55"/>
  <c r="T54"/>
  <c r="S54"/>
  <c r="R54"/>
  <c r="T53"/>
  <c r="S53"/>
  <c r="R53"/>
  <c r="T52"/>
  <c r="S52"/>
  <c r="R52"/>
  <c r="E53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F45"/>
  <c r="G45"/>
  <c r="T43"/>
  <c r="S43"/>
  <c r="R43"/>
  <c r="T42"/>
  <c r="S42"/>
  <c r="R42"/>
  <c r="T41"/>
  <c r="S41"/>
  <c r="R41"/>
  <c r="T40"/>
  <c r="S40"/>
  <c r="R40"/>
  <c r="T39"/>
  <c r="S39"/>
  <c r="R39"/>
  <c r="E40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E28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G21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T2"/>
  <c r="S2"/>
  <c r="R2"/>
  <c r="J154" i="9"/>
  <c r="J153"/>
  <c r="J152"/>
  <c r="H152"/>
  <c r="A2"/>
  <c r="B2"/>
  <c r="C2"/>
  <c r="D2"/>
  <c r="E2"/>
  <c r="I2"/>
  <c r="J2"/>
  <c r="A3"/>
  <c r="B3"/>
  <c r="C3"/>
  <c r="D3"/>
  <c r="E3"/>
  <c r="I3"/>
  <c r="J3"/>
  <c r="A4"/>
  <c r="B4"/>
  <c r="C4"/>
  <c r="D4"/>
  <c r="E4"/>
  <c r="I4"/>
  <c r="J4"/>
  <c r="A5"/>
  <c r="B5"/>
  <c r="C5"/>
  <c r="D5"/>
  <c r="E5"/>
  <c r="I5"/>
  <c r="J5"/>
  <c r="A6"/>
  <c r="B6"/>
  <c r="C6"/>
  <c r="D6"/>
  <c r="E6"/>
  <c r="I6"/>
  <c r="J6"/>
  <c r="A7"/>
  <c r="B7"/>
  <c r="C7"/>
  <c r="D7"/>
  <c r="E7"/>
  <c r="I7"/>
  <c r="J7"/>
  <c r="A8"/>
  <c r="B8"/>
  <c r="C8"/>
  <c r="D8"/>
  <c r="E8"/>
  <c r="I8"/>
  <c r="J8"/>
  <c r="A9"/>
  <c r="B9"/>
  <c r="C9"/>
  <c r="D9"/>
  <c r="E9"/>
  <c r="I9"/>
  <c r="J9"/>
  <c r="A10"/>
  <c r="B10"/>
  <c r="C10"/>
  <c r="D10"/>
  <c r="E10"/>
  <c r="I10"/>
  <c r="J10"/>
  <c r="A11"/>
  <c r="B11"/>
  <c r="C11"/>
  <c r="D11"/>
  <c r="E11"/>
  <c r="I11"/>
  <c r="J11"/>
  <c r="A12"/>
  <c r="B12"/>
  <c r="C12"/>
  <c r="D12"/>
  <c r="E12"/>
  <c r="I12"/>
  <c r="J12"/>
  <c r="A13"/>
  <c r="B13"/>
  <c r="C13"/>
  <c r="D13"/>
  <c r="E13"/>
  <c r="I13"/>
  <c r="J13"/>
  <c r="A14"/>
  <c r="B14"/>
  <c r="C14"/>
  <c r="D14"/>
  <c r="E14"/>
  <c r="I14"/>
  <c r="J14"/>
  <c r="A15"/>
  <c r="B15"/>
  <c r="C15"/>
  <c r="D15"/>
  <c r="E15"/>
  <c r="I15"/>
  <c r="J15"/>
  <c r="A16"/>
  <c r="B16"/>
  <c r="C16"/>
  <c r="D16"/>
  <c r="E16"/>
  <c r="I16"/>
  <c r="J16"/>
  <c r="A17"/>
  <c r="B17"/>
  <c r="C17"/>
  <c r="D17"/>
  <c r="E17"/>
  <c r="I17"/>
  <c r="J17"/>
  <c r="A18"/>
  <c r="B18"/>
  <c r="C18"/>
  <c r="D18"/>
  <c r="E18"/>
  <c r="I18"/>
  <c r="J18"/>
  <c r="A19"/>
  <c r="B19"/>
  <c r="C19"/>
  <c r="D19"/>
  <c r="E19"/>
  <c r="I19"/>
  <c r="J19"/>
  <c r="A20"/>
  <c r="B20"/>
  <c r="C20"/>
  <c r="D20"/>
  <c r="E20"/>
  <c r="I20"/>
  <c r="J20"/>
  <c r="A21"/>
  <c r="B21"/>
  <c r="C21"/>
  <c r="D21"/>
  <c r="E21"/>
  <c r="I21"/>
  <c r="J21"/>
  <c r="A22"/>
  <c r="B22"/>
  <c r="C22"/>
  <c r="D22"/>
  <c r="E22"/>
  <c r="I22"/>
  <c r="J22"/>
  <c r="A23"/>
  <c r="B23"/>
  <c r="C23"/>
  <c r="D23"/>
  <c r="E23"/>
  <c r="I23"/>
  <c r="J23"/>
  <c r="A24"/>
  <c r="B24"/>
  <c r="C24"/>
  <c r="D24"/>
  <c r="E24"/>
  <c r="I24"/>
  <c r="J24"/>
  <c r="A25"/>
  <c r="B25"/>
  <c r="C25"/>
  <c r="D25"/>
  <c r="E25"/>
  <c r="I25"/>
  <c r="J25"/>
  <c r="A26"/>
  <c r="B26"/>
  <c r="C26"/>
  <c r="D26"/>
  <c r="E26"/>
  <c r="I26"/>
  <c r="J26"/>
  <c r="A27"/>
  <c r="B27"/>
  <c r="C27"/>
  <c r="D27"/>
  <c r="E27"/>
  <c r="I27"/>
  <c r="J27"/>
  <c r="A28"/>
  <c r="B28"/>
  <c r="C28"/>
  <c r="D28"/>
  <c r="E28"/>
  <c r="I28"/>
  <c r="J28"/>
  <c r="A29"/>
  <c r="B29"/>
  <c r="C29"/>
  <c r="D29"/>
  <c r="E29"/>
  <c r="I29"/>
  <c r="J29"/>
  <c r="A30"/>
  <c r="B30"/>
  <c r="C30"/>
  <c r="D30"/>
  <c r="E30"/>
  <c r="I30"/>
  <c r="J30"/>
  <c r="A31"/>
  <c r="B31"/>
  <c r="C31"/>
  <c r="D31"/>
  <c r="E31"/>
  <c r="I31"/>
  <c r="J31"/>
  <c r="A32"/>
  <c r="B32"/>
  <c r="C32"/>
  <c r="D32"/>
  <c r="E32"/>
  <c r="I32"/>
  <c r="J32"/>
  <c r="A33"/>
  <c r="B33"/>
  <c r="C33"/>
  <c r="D33"/>
  <c r="E33"/>
  <c r="I33"/>
  <c r="J33"/>
  <c r="A34"/>
  <c r="B34"/>
  <c r="C34"/>
  <c r="D34"/>
  <c r="E34"/>
  <c r="I34"/>
  <c r="J34"/>
  <c r="A35"/>
  <c r="B35"/>
  <c r="C35"/>
  <c r="D35"/>
  <c r="E35"/>
  <c r="I35"/>
  <c r="J35"/>
  <c r="A36"/>
  <c r="B36"/>
  <c r="C36"/>
  <c r="D36"/>
  <c r="E36"/>
  <c r="I36"/>
  <c r="J36"/>
  <c r="A37"/>
  <c r="B37"/>
  <c r="C37"/>
  <c r="D37"/>
  <c r="E37"/>
  <c r="I37"/>
  <c r="J37"/>
  <c r="A38"/>
  <c r="B38"/>
  <c r="C38"/>
  <c r="D38"/>
  <c r="E38"/>
  <c r="I38"/>
  <c r="J38"/>
  <c r="A39"/>
  <c r="B39"/>
  <c r="C39"/>
  <c r="D39"/>
  <c r="E39"/>
  <c r="I39"/>
  <c r="J39"/>
  <c r="A40"/>
  <c r="B40"/>
  <c r="C40"/>
  <c r="D40"/>
  <c r="E40"/>
  <c r="I40"/>
  <c r="J40"/>
  <c r="A41"/>
  <c r="B41"/>
  <c r="C41"/>
  <c r="D41"/>
  <c r="E41"/>
  <c r="I41"/>
  <c r="J41"/>
  <c r="A42"/>
  <c r="B42"/>
  <c r="C42"/>
  <c r="D42"/>
  <c r="E42"/>
  <c r="I42"/>
  <c r="J42"/>
  <c r="A43"/>
  <c r="B43"/>
  <c r="C43"/>
  <c r="D43"/>
  <c r="E43"/>
  <c r="I43"/>
  <c r="J43"/>
  <c r="A44"/>
  <c r="B44"/>
  <c r="C44"/>
  <c r="D44"/>
  <c r="E44"/>
  <c r="I44"/>
  <c r="J44"/>
  <c r="A45"/>
  <c r="B45"/>
  <c r="C45"/>
  <c r="D45"/>
  <c r="E45"/>
  <c r="I45"/>
  <c r="J45"/>
  <c r="A46"/>
  <c r="B46"/>
  <c r="C46"/>
  <c r="D46"/>
  <c r="E46"/>
  <c r="I46"/>
  <c r="J46"/>
  <c r="A47"/>
  <c r="B47"/>
  <c r="C47"/>
  <c r="D47"/>
  <c r="E47"/>
  <c r="I47"/>
  <c r="J47"/>
  <c r="A48"/>
  <c r="B48"/>
  <c r="C48"/>
  <c r="D48"/>
  <c r="E48"/>
  <c r="I48"/>
  <c r="J48"/>
  <c r="A49"/>
  <c r="B49"/>
  <c r="C49"/>
  <c r="D49"/>
  <c r="E49"/>
  <c r="I49"/>
  <c r="J49"/>
  <c r="A50"/>
  <c r="B50"/>
  <c r="C50"/>
  <c r="D50"/>
  <c r="E50"/>
  <c r="I50"/>
  <c r="J50"/>
  <c r="A51"/>
  <c r="B51"/>
  <c r="C51"/>
  <c r="D51"/>
  <c r="E51"/>
  <c r="I51"/>
  <c r="J51"/>
  <c r="A52"/>
  <c r="B52"/>
  <c r="C52"/>
  <c r="D52"/>
  <c r="E52"/>
  <c r="I52"/>
  <c r="J52"/>
  <c r="A53"/>
  <c r="B53"/>
  <c r="C53"/>
  <c r="D53"/>
  <c r="E53"/>
  <c r="I53"/>
  <c r="J53"/>
  <c r="A54"/>
  <c r="B54"/>
  <c r="C54"/>
  <c r="D54"/>
  <c r="E54"/>
  <c r="I54"/>
  <c r="J54"/>
  <c r="A55"/>
  <c r="B55"/>
  <c r="C55"/>
  <c r="D55"/>
  <c r="E55"/>
  <c r="I55"/>
  <c r="J55"/>
  <c r="A56"/>
  <c r="B56"/>
  <c r="C56"/>
  <c r="D56"/>
  <c r="E56"/>
  <c r="I56"/>
  <c r="J56"/>
  <c r="A57"/>
  <c r="B57"/>
  <c r="C57"/>
  <c r="D57"/>
  <c r="E57"/>
  <c r="I57"/>
  <c r="J57"/>
  <c r="A58"/>
  <c r="B58"/>
  <c r="C58"/>
  <c r="D58"/>
  <c r="E58"/>
  <c r="I58"/>
  <c r="J58"/>
  <c r="A59"/>
  <c r="B59"/>
  <c r="C59"/>
  <c r="D59"/>
  <c r="E59"/>
  <c r="I59"/>
  <c r="J59"/>
  <c r="A60"/>
  <c r="B60"/>
  <c r="C60"/>
  <c r="D60"/>
  <c r="E60"/>
  <c r="I60"/>
  <c r="J60"/>
  <c r="A61"/>
  <c r="B61"/>
  <c r="C61"/>
  <c r="D61"/>
  <c r="E61"/>
  <c r="I61"/>
  <c r="J61"/>
  <c r="A62"/>
  <c r="B62"/>
  <c r="C62"/>
  <c r="D62"/>
  <c r="E62"/>
  <c r="I62"/>
  <c r="J62"/>
  <c r="A63"/>
  <c r="B63"/>
  <c r="C63"/>
  <c r="D63"/>
  <c r="E63"/>
  <c r="I63"/>
  <c r="J63"/>
  <c r="A64"/>
  <c r="B64"/>
  <c r="C64"/>
  <c r="D64"/>
  <c r="E64"/>
  <c r="I64"/>
  <c r="J64"/>
  <c r="A65"/>
  <c r="B65"/>
  <c r="C65"/>
  <c r="D65"/>
  <c r="E65"/>
  <c r="I65"/>
  <c r="J65"/>
  <c r="A66"/>
  <c r="B66"/>
  <c r="C66"/>
  <c r="D66"/>
  <c r="E66"/>
  <c r="I66"/>
  <c r="J66"/>
  <c r="A67"/>
  <c r="B67"/>
  <c r="C67"/>
  <c r="D67"/>
  <c r="E67"/>
  <c r="I67"/>
  <c r="J67"/>
  <c r="A68"/>
  <c r="B68"/>
  <c r="C68"/>
  <c r="D68"/>
  <c r="E68"/>
  <c r="I68"/>
  <c r="J68"/>
  <c r="A69"/>
  <c r="B69"/>
  <c r="C69"/>
  <c r="D69"/>
  <c r="E69"/>
  <c r="I69"/>
  <c r="J69"/>
  <c r="A70"/>
  <c r="B70"/>
  <c r="C70"/>
  <c r="D70"/>
  <c r="E70"/>
  <c r="I70"/>
  <c r="J70"/>
  <c r="A71"/>
  <c r="B71"/>
  <c r="C71"/>
  <c r="D71"/>
  <c r="E71"/>
  <c r="I71"/>
  <c r="J71"/>
  <c r="A72"/>
  <c r="B72"/>
  <c r="C72"/>
  <c r="D72"/>
  <c r="E72"/>
  <c r="I72"/>
  <c r="J72"/>
  <c r="A73"/>
  <c r="B73"/>
  <c r="C73"/>
  <c r="D73"/>
  <c r="E73"/>
  <c r="I73"/>
  <c r="J73"/>
  <c r="A74"/>
  <c r="B74"/>
  <c r="C74"/>
  <c r="D74"/>
  <c r="E74"/>
  <c r="I74"/>
  <c r="J74"/>
  <c r="A75"/>
  <c r="B75"/>
  <c r="C75"/>
  <c r="D75"/>
  <c r="E75"/>
  <c r="I75"/>
  <c r="J75"/>
  <c r="A76"/>
  <c r="B76"/>
  <c r="C76"/>
  <c r="D76"/>
  <c r="E76"/>
  <c r="I76"/>
  <c r="J76"/>
  <c r="A77"/>
  <c r="B77"/>
  <c r="C77"/>
  <c r="D77"/>
  <c r="E77"/>
  <c r="I77"/>
  <c r="J77"/>
  <c r="A78"/>
  <c r="B78"/>
  <c r="C78"/>
  <c r="D78"/>
  <c r="E78"/>
  <c r="I78"/>
  <c r="J78"/>
  <c r="A79"/>
  <c r="B79"/>
  <c r="C79"/>
  <c r="D79"/>
  <c r="E79"/>
  <c r="I79"/>
  <c r="J79"/>
  <c r="A80"/>
  <c r="B80"/>
  <c r="C80"/>
  <c r="D80"/>
  <c r="E80"/>
  <c r="I80"/>
  <c r="J80"/>
  <c r="A81"/>
  <c r="B81"/>
  <c r="C81"/>
  <c r="D81"/>
  <c r="E81"/>
  <c r="I81"/>
  <c r="J81"/>
  <c r="A82"/>
  <c r="B82"/>
  <c r="C82"/>
  <c r="D82"/>
  <c r="E82"/>
  <c r="I82"/>
  <c r="J82"/>
  <c r="A83"/>
  <c r="B83"/>
  <c r="C83"/>
  <c r="D83"/>
  <c r="E83"/>
  <c r="I83"/>
  <c r="J83"/>
  <c r="A84"/>
  <c r="B84"/>
  <c r="C84"/>
  <c r="D84"/>
  <c r="E84"/>
  <c r="I84"/>
  <c r="J84"/>
  <c r="A85"/>
  <c r="B85"/>
  <c r="C85"/>
  <c r="D85"/>
  <c r="E85"/>
  <c r="I85"/>
  <c r="J85"/>
  <c r="A86"/>
  <c r="B86"/>
  <c r="C86"/>
  <c r="D86"/>
  <c r="E86"/>
  <c r="I86"/>
  <c r="J86"/>
  <c r="A87"/>
  <c r="B87"/>
  <c r="C87"/>
  <c r="D87"/>
  <c r="E87"/>
  <c r="I87"/>
  <c r="J87"/>
  <c r="A88"/>
  <c r="B88"/>
  <c r="C88"/>
  <c r="D88"/>
  <c r="E88"/>
  <c r="I88"/>
  <c r="J88"/>
  <c r="A89"/>
  <c r="B89"/>
  <c r="C89"/>
  <c r="D89"/>
  <c r="E89"/>
  <c r="I89"/>
  <c r="J89"/>
  <c r="A90"/>
  <c r="B90"/>
  <c r="C90"/>
  <c r="D90"/>
  <c r="E90"/>
  <c r="I90"/>
  <c r="J90"/>
  <c r="A91"/>
  <c r="B91"/>
  <c r="C91"/>
  <c r="D91"/>
  <c r="E91"/>
  <c r="I91"/>
  <c r="J91"/>
  <c r="A92"/>
  <c r="B92"/>
  <c r="C92"/>
  <c r="D92"/>
  <c r="E92"/>
  <c r="I92"/>
  <c r="J92"/>
  <c r="A93"/>
  <c r="B93"/>
  <c r="C93"/>
  <c r="D93"/>
  <c r="E93"/>
  <c r="I93"/>
  <c r="J93"/>
  <c r="A94"/>
  <c r="B94"/>
  <c r="C94"/>
  <c r="D94"/>
  <c r="E94"/>
  <c r="I94"/>
  <c r="J94"/>
  <c r="A95"/>
  <c r="B95"/>
  <c r="C95"/>
  <c r="D95"/>
  <c r="E95"/>
  <c r="I95"/>
  <c r="J95"/>
  <c r="A96"/>
  <c r="B96"/>
  <c r="C96"/>
  <c r="D96"/>
  <c r="E96"/>
  <c r="I96"/>
  <c r="J96"/>
  <c r="A97"/>
  <c r="B97"/>
  <c r="C97"/>
  <c r="D97"/>
  <c r="E97"/>
  <c r="I97"/>
  <c r="J97"/>
  <c r="A98"/>
  <c r="B98"/>
  <c r="C98"/>
  <c r="D98"/>
  <c r="E98"/>
  <c r="I98"/>
  <c r="J98"/>
  <c r="A99"/>
  <c r="B99"/>
  <c r="C99"/>
  <c r="D99"/>
  <c r="E99"/>
  <c r="I99"/>
  <c r="J99"/>
  <c r="A100"/>
  <c r="B100"/>
  <c r="C100"/>
  <c r="D100"/>
  <c r="E100"/>
  <c r="I100"/>
  <c r="J100"/>
  <c r="A101"/>
  <c r="B101"/>
  <c r="C101"/>
  <c r="D101"/>
  <c r="E101"/>
  <c r="I101"/>
  <c r="J101"/>
  <c r="A102"/>
  <c r="B102"/>
  <c r="C102"/>
  <c r="D102"/>
  <c r="E102"/>
  <c r="I102"/>
  <c r="J102"/>
  <c r="A103"/>
  <c r="B103"/>
  <c r="C103"/>
  <c r="D103"/>
  <c r="E103"/>
  <c r="I103"/>
  <c r="J103"/>
  <c r="A104"/>
  <c r="B104"/>
  <c r="C104"/>
  <c r="D104"/>
  <c r="E104"/>
  <c r="I104"/>
  <c r="J104"/>
  <c r="A105"/>
  <c r="B105"/>
  <c r="C105"/>
  <c r="D105"/>
  <c r="E105"/>
  <c r="I105"/>
  <c r="J105"/>
  <c r="A106"/>
  <c r="B106"/>
  <c r="C106"/>
  <c r="D106"/>
  <c r="E106"/>
  <c r="I106"/>
  <c r="J106"/>
  <c r="A107"/>
  <c r="B107"/>
  <c r="C107"/>
  <c r="D107"/>
  <c r="E107"/>
  <c r="I107"/>
  <c r="J107"/>
  <c r="A108"/>
  <c r="B108"/>
  <c r="C108"/>
  <c r="D108"/>
  <c r="E108"/>
  <c r="I108"/>
  <c r="J108"/>
  <c r="A109"/>
  <c r="B109"/>
  <c r="C109"/>
  <c r="D109"/>
  <c r="E109"/>
  <c r="I109"/>
  <c r="J109"/>
  <c r="A110"/>
  <c r="B110"/>
  <c r="C110"/>
  <c r="D110"/>
  <c r="E110"/>
  <c r="I110"/>
  <c r="J110"/>
  <c r="A111"/>
  <c r="B111"/>
  <c r="C111"/>
  <c r="D111"/>
  <c r="E111"/>
  <c r="I111"/>
  <c r="J111"/>
  <c r="A112"/>
  <c r="B112"/>
  <c r="C112"/>
  <c r="D112"/>
  <c r="E112"/>
  <c r="I112"/>
  <c r="J112"/>
  <c r="A113"/>
  <c r="B113"/>
  <c r="C113"/>
  <c r="D113"/>
  <c r="E113"/>
  <c r="I113"/>
  <c r="J113"/>
  <c r="A114"/>
  <c r="B114"/>
  <c r="C114"/>
  <c r="D114"/>
  <c r="E114"/>
  <c r="I114"/>
  <c r="J114"/>
  <c r="A115"/>
  <c r="B115"/>
  <c r="C115"/>
  <c r="D115"/>
  <c r="E115"/>
  <c r="I115"/>
  <c r="J115"/>
  <c r="A116"/>
  <c r="B116"/>
  <c r="C116"/>
  <c r="D116"/>
  <c r="E116"/>
  <c r="I116"/>
  <c r="J116"/>
  <c r="A117"/>
  <c r="B117"/>
  <c r="C117"/>
  <c r="D117"/>
  <c r="E117"/>
  <c r="I117"/>
  <c r="J117"/>
  <c r="A118"/>
  <c r="B118"/>
  <c r="C118"/>
  <c r="D118"/>
  <c r="E118"/>
  <c r="I118"/>
  <c r="J118"/>
  <c r="A119"/>
  <c r="B119"/>
  <c r="C119"/>
  <c r="D119"/>
  <c r="E119"/>
  <c r="I119"/>
  <c r="J119"/>
  <c r="A120"/>
  <c r="B120"/>
  <c r="C120"/>
  <c r="D120"/>
  <c r="E120"/>
  <c r="I120"/>
  <c r="J120"/>
  <c r="A121"/>
  <c r="B121"/>
  <c r="C121"/>
  <c r="D121"/>
  <c r="E121"/>
  <c r="I121"/>
  <c r="J121"/>
  <c r="A122"/>
  <c r="B122"/>
  <c r="C122"/>
  <c r="D122"/>
  <c r="E122"/>
  <c r="I122"/>
  <c r="J122"/>
  <c r="A123"/>
  <c r="B123"/>
  <c r="C123"/>
  <c r="D123"/>
  <c r="E123"/>
  <c r="I123"/>
  <c r="J123"/>
  <c r="A124"/>
  <c r="B124"/>
  <c r="C124"/>
  <c r="D124"/>
  <c r="E124"/>
  <c r="I124"/>
  <c r="J124"/>
  <c r="A125"/>
  <c r="B125"/>
  <c r="C125"/>
  <c r="D125"/>
  <c r="E125"/>
  <c r="I125"/>
  <c r="J125"/>
  <c r="A126"/>
  <c r="B126"/>
  <c r="C126"/>
  <c r="D126"/>
  <c r="E126"/>
  <c r="I126"/>
  <c r="J126"/>
  <c r="A127"/>
  <c r="B127"/>
  <c r="C127"/>
  <c r="D127"/>
  <c r="E127"/>
  <c r="I127"/>
  <c r="J127"/>
  <c r="A128"/>
  <c r="B128"/>
  <c r="C128"/>
  <c r="D128"/>
  <c r="E128"/>
  <c r="I128"/>
  <c r="J128"/>
  <c r="A129"/>
  <c r="B129"/>
  <c r="C129"/>
  <c r="D129"/>
  <c r="E129"/>
  <c r="I129"/>
  <c r="J129"/>
  <c r="A130"/>
  <c r="B130"/>
  <c r="C130"/>
  <c r="D130"/>
  <c r="E130"/>
  <c r="I130"/>
  <c r="J130"/>
  <c r="A131"/>
  <c r="B131"/>
  <c r="C131"/>
  <c r="D131"/>
  <c r="E131"/>
  <c r="I131"/>
  <c r="J131"/>
  <c r="A132"/>
  <c r="B132"/>
  <c r="C132"/>
  <c r="D132"/>
  <c r="E132"/>
  <c r="I132"/>
  <c r="J132"/>
  <c r="A133"/>
  <c r="B133"/>
  <c r="C133"/>
  <c r="D133"/>
  <c r="E133"/>
  <c r="I133"/>
  <c r="J133"/>
  <c r="A134"/>
  <c r="B134"/>
  <c r="C134"/>
  <c r="D134"/>
  <c r="E134"/>
  <c r="I134"/>
  <c r="J134"/>
  <c r="A135"/>
  <c r="B135"/>
  <c r="C135"/>
  <c r="D135"/>
  <c r="E135"/>
  <c r="I135"/>
  <c r="J135"/>
  <c r="A136"/>
  <c r="B136"/>
  <c r="C136"/>
  <c r="D136"/>
  <c r="E136"/>
  <c r="I136"/>
  <c r="J136"/>
  <c r="A137"/>
  <c r="B137"/>
  <c r="C137"/>
  <c r="D137"/>
  <c r="E137"/>
  <c r="I137"/>
  <c r="J137"/>
  <c r="A138"/>
  <c r="B138"/>
  <c r="C138"/>
  <c r="D138"/>
  <c r="E138"/>
  <c r="I138"/>
  <c r="J138"/>
  <c r="A139"/>
  <c r="B139"/>
  <c r="C139"/>
  <c r="D139"/>
  <c r="E139"/>
  <c r="I139"/>
  <c r="J139"/>
  <c r="A140"/>
  <c r="B140"/>
  <c r="C140"/>
  <c r="D140"/>
  <c r="E140"/>
  <c r="I140"/>
  <c r="J140"/>
  <c r="A141"/>
  <c r="B141"/>
  <c r="C141"/>
  <c r="D141"/>
  <c r="E141"/>
  <c r="I141"/>
  <c r="J141"/>
  <c r="A142"/>
  <c r="B142"/>
  <c r="C142"/>
  <c r="D142"/>
  <c r="E142"/>
  <c r="I142"/>
  <c r="J142"/>
  <c r="A143"/>
  <c r="B143"/>
  <c r="C143"/>
  <c r="D143"/>
  <c r="E143"/>
  <c r="I143"/>
  <c r="J143"/>
  <c r="A144"/>
  <c r="B144"/>
  <c r="C144"/>
  <c r="D144"/>
  <c r="E144"/>
  <c r="I144"/>
  <c r="J144"/>
  <c r="A145"/>
  <c r="B145"/>
  <c r="C145"/>
  <c r="D145"/>
  <c r="E145"/>
  <c r="I145"/>
  <c r="J145"/>
  <c r="A146"/>
  <c r="B146"/>
  <c r="C146"/>
  <c r="D146"/>
  <c r="E146"/>
  <c r="I146"/>
  <c r="J146"/>
  <c r="A147"/>
  <c r="B147"/>
  <c r="C147"/>
  <c r="D147"/>
  <c r="E147"/>
  <c r="I147"/>
  <c r="J147"/>
  <c r="A148"/>
  <c r="B148"/>
  <c r="C148"/>
  <c r="D148"/>
  <c r="E148"/>
  <c r="I148"/>
  <c r="J148"/>
  <c r="A149"/>
  <c r="B149"/>
  <c r="C149"/>
  <c r="D149"/>
  <c r="E149"/>
  <c r="I149"/>
  <c r="J149"/>
  <c r="A150"/>
  <c r="B150"/>
  <c r="C150"/>
  <c r="D150"/>
  <c r="E150"/>
  <c r="I150"/>
  <c r="J150"/>
  <c r="A151"/>
  <c r="B151"/>
  <c r="C151"/>
  <c r="D151"/>
  <c r="E151"/>
  <c r="I151"/>
  <c r="J151"/>
  <c r="G2"/>
  <c r="H2"/>
  <c r="G3"/>
  <c r="H3"/>
  <c r="G4"/>
  <c r="H4"/>
  <c r="G5"/>
  <c r="H5"/>
  <c r="G6"/>
  <c r="H6"/>
  <c r="G7"/>
  <c r="H7"/>
  <c r="G8"/>
  <c r="H8"/>
  <c r="G9"/>
  <c r="H9"/>
  <c r="G10"/>
  <c r="H10"/>
  <c r="G11"/>
  <c r="H11"/>
  <c r="G12"/>
  <c r="H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27"/>
  <c r="H27"/>
  <c r="G28"/>
  <c r="H28"/>
  <c r="G29"/>
  <c r="H29"/>
  <c r="G30"/>
  <c r="H30"/>
  <c r="G31"/>
  <c r="H31"/>
  <c r="G32"/>
  <c r="H32"/>
  <c r="G33"/>
  <c r="H33"/>
  <c r="G34"/>
  <c r="H34"/>
  <c r="G35"/>
  <c r="H35"/>
  <c r="G36"/>
  <c r="H36"/>
  <c r="G37"/>
  <c r="H37"/>
  <c r="G38"/>
  <c r="H38"/>
  <c r="G39"/>
  <c r="H39"/>
  <c r="G40"/>
  <c r="H40"/>
  <c r="G41"/>
  <c r="H41"/>
  <c r="G42"/>
  <c r="H42"/>
  <c r="G43"/>
  <c r="H43"/>
  <c r="G44"/>
  <c r="H44"/>
  <c r="G45"/>
  <c r="H45"/>
  <c r="G46"/>
  <c r="H46"/>
  <c r="G47"/>
  <c r="H47"/>
  <c r="G48"/>
  <c r="H48"/>
  <c r="G49"/>
  <c r="H49"/>
  <c r="G50"/>
  <c r="H50"/>
  <c r="G51"/>
  <c r="H51"/>
  <c r="G52"/>
  <c r="H52"/>
  <c r="G53"/>
  <c r="H53"/>
  <c r="G54"/>
  <c r="H54"/>
  <c r="G55"/>
  <c r="H55"/>
  <c r="G56"/>
  <c r="H56"/>
  <c r="G57"/>
  <c r="H57"/>
  <c r="G58"/>
  <c r="H58"/>
  <c r="G59"/>
  <c r="H59"/>
  <c r="G60"/>
  <c r="H60"/>
  <c r="G61"/>
  <c r="H61"/>
  <c r="G62"/>
  <c r="H62"/>
  <c r="G63"/>
  <c r="H63"/>
  <c r="G64"/>
  <c r="H64"/>
  <c r="G65"/>
  <c r="H65"/>
  <c r="G66"/>
  <c r="H66"/>
  <c r="G67"/>
  <c r="H67"/>
  <c r="G68"/>
  <c r="H68"/>
  <c r="G69"/>
  <c r="H69"/>
  <c r="G70"/>
  <c r="H70"/>
  <c r="G71"/>
  <c r="H71"/>
  <c r="G72"/>
  <c r="H72"/>
  <c r="G73"/>
  <c r="H73"/>
  <c r="G74"/>
  <c r="H74"/>
  <c r="G75"/>
  <c r="H75"/>
  <c r="G76"/>
  <c r="H76"/>
  <c r="G77"/>
  <c r="H77"/>
  <c r="G78"/>
  <c r="H78"/>
  <c r="G79"/>
  <c r="H79"/>
  <c r="G80"/>
  <c r="H80"/>
  <c r="G81"/>
  <c r="H81"/>
  <c r="G82"/>
  <c r="H82"/>
  <c r="G83"/>
  <c r="H83"/>
  <c r="G84"/>
  <c r="H84"/>
  <c r="G85"/>
  <c r="H85"/>
  <c r="G86"/>
  <c r="H86"/>
  <c r="G87"/>
  <c r="H87"/>
  <c r="G88"/>
  <c r="H88"/>
  <c r="G89"/>
  <c r="H89"/>
  <c r="G90"/>
  <c r="H90"/>
  <c r="G91"/>
  <c r="H91"/>
  <c r="G92"/>
  <c r="H92"/>
  <c r="G93"/>
  <c r="H93"/>
  <c r="G94"/>
  <c r="H94"/>
  <c r="G95"/>
  <c r="H95"/>
  <c r="G96"/>
  <c r="H96"/>
  <c r="G97"/>
  <c r="H97"/>
  <c r="G98"/>
  <c r="H98"/>
  <c r="G99"/>
  <c r="H99"/>
  <c r="G100"/>
  <c r="H100"/>
  <c r="G101"/>
  <c r="H101"/>
  <c r="G102"/>
  <c r="H102"/>
  <c r="G103"/>
  <c r="H103"/>
  <c r="G104"/>
  <c r="H104"/>
  <c r="G105"/>
  <c r="H105"/>
  <c r="G106"/>
  <c r="H106"/>
  <c r="G107"/>
  <c r="H107"/>
  <c r="G108"/>
  <c r="H108"/>
  <c r="G109"/>
  <c r="H109"/>
  <c r="G110"/>
  <c r="H110"/>
  <c r="G111"/>
  <c r="H111"/>
  <c r="G112"/>
  <c r="H112"/>
  <c r="G113"/>
  <c r="H113"/>
  <c r="G114"/>
  <c r="H114"/>
  <c r="G115"/>
  <c r="H115"/>
  <c r="G116"/>
  <c r="H116"/>
  <c r="G117"/>
  <c r="H117"/>
  <c r="G118"/>
  <c r="H118"/>
  <c r="G119"/>
  <c r="H119"/>
  <c r="G120"/>
  <c r="H120"/>
  <c r="G121"/>
  <c r="H121"/>
  <c r="G122"/>
  <c r="H122"/>
  <c r="G123"/>
  <c r="H123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3"/>
  <c r="H133"/>
  <c r="G134"/>
  <c r="H134"/>
  <c r="G135"/>
  <c r="H135"/>
  <c r="G136"/>
  <c r="H136"/>
  <c r="G137"/>
  <c r="H137"/>
  <c r="G138"/>
  <c r="H138"/>
  <c r="G139"/>
  <c r="H139"/>
  <c r="G140"/>
  <c r="H140"/>
  <c r="G141"/>
  <c r="H141"/>
  <c r="G142"/>
  <c r="H142"/>
  <c r="G143"/>
  <c r="H143"/>
  <c r="G144"/>
  <c r="H144"/>
  <c r="G145"/>
  <c r="H145"/>
  <c r="G146"/>
  <c r="H146"/>
  <c r="G147"/>
  <c r="H147"/>
  <c r="G148"/>
  <c r="H148"/>
  <c r="G149"/>
  <c r="H149"/>
  <c r="G150"/>
  <c r="H150"/>
  <c r="G151"/>
  <c r="H151"/>
  <c r="E152"/>
  <c r="A153"/>
  <c r="AJ59" i="1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AK33"/>
  <c r="AK34"/>
  <c r="AK35"/>
  <c r="AK36"/>
  <c r="AK37"/>
  <c r="AK38"/>
  <c r="AK39"/>
  <c r="AK40"/>
  <c r="AK41"/>
  <c r="AK42"/>
  <c r="AK43"/>
  <c r="AK44"/>
  <c r="AK45"/>
  <c r="AK46"/>
  <c r="AK48"/>
  <c r="AK49"/>
  <c r="AK50"/>
  <c r="AK51"/>
  <c r="AK52"/>
  <c r="AK53"/>
  <c r="AK54"/>
  <c r="AK55"/>
  <c r="AK56"/>
  <c r="AK57"/>
  <c r="AK58"/>
  <c r="AK62"/>
  <c r="AL33"/>
  <c r="AL34"/>
  <c r="AL35"/>
  <c r="AL36"/>
  <c r="AL37"/>
  <c r="AL38"/>
  <c r="AL39"/>
  <c r="AL40"/>
  <c r="AL41"/>
  <c r="AL42"/>
  <c r="AL43"/>
  <c r="AL44"/>
  <c r="AL45"/>
  <c r="AL46"/>
  <c r="AL48"/>
  <c r="AL49"/>
  <c r="AL50"/>
  <c r="AL51"/>
  <c r="AL52"/>
  <c r="AL53"/>
  <c r="AL54"/>
  <c r="AL55"/>
  <c r="AL56"/>
  <c r="AL57"/>
  <c r="AL58"/>
  <c r="AL62"/>
  <c r="AM33"/>
  <c r="AM34"/>
  <c r="AM35"/>
  <c r="AM36"/>
  <c r="AM37"/>
  <c r="AM38"/>
  <c r="AM39"/>
  <c r="AM40"/>
  <c r="AM41"/>
  <c r="AM42"/>
  <c r="AM43"/>
  <c r="AM44"/>
  <c r="AM45"/>
  <c r="AM46"/>
  <c r="AM48"/>
  <c r="AM49"/>
  <c r="AM50"/>
  <c r="AM51"/>
  <c r="AM52"/>
  <c r="AM53"/>
  <c r="AM54"/>
  <c r="AM55"/>
  <c r="AM56"/>
  <c r="AM57"/>
  <c r="AM58"/>
  <c r="AM62"/>
  <c r="AN33"/>
  <c r="AN34"/>
  <c r="AN35"/>
  <c r="AN36"/>
  <c r="AN37"/>
  <c r="AN38"/>
  <c r="AN39"/>
  <c r="AN40"/>
  <c r="AN41"/>
  <c r="AN42"/>
  <c r="AN43"/>
  <c r="AN44"/>
  <c r="AN45"/>
  <c r="AN46"/>
  <c r="AN48"/>
  <c r="AN49"/>
  <c r="AN50"/>
  <c r="AN51"/>
  <c r="AN52"/>
  <c r="AN53"/>
  <c r="AN54"/>
  <c r="AN55"/>
  <c r="AN56"/>
  <c r="AN57"/>
  <c r="AN58"/>
  <c r="AN62"/>
  <c r="AO33"/>
  <c r="AO34"/>
  <c r="AO35"/>
  <c r="AO36"/>
  <c r="AO37"/>
  <c r="AO38"/>
  <c r="AO39"/>
  <c r="AO40"/>
  <c r="AO41"/>
  <c r="AO42"/>
  <c r="AO43"/>
  <c r="AO44"/>
  <c r="AO45"/>
  <c r="AO46"/>
  <c r="AO48"/>
  <c r="AO49"/>
  <c r="AO50"/>
  <c r="AO51"/>
  <c r="AO52"/>
  <c r="AO53"/>
  <c r="AO54"/>
  <c r="AO55"/>
  <c r="AO56"/>
  <c r="AO57"/>
  <c r="AO58"/>
  <c r="AO62"/>
  <c r="AP33"/>
  <c r="AP34"/>
  <c r="AP35"/>
  <c r="AP36"/>
  <c r="AP37"/>
  <c r="AP38"/>
  <c r="AP39"/>
  <c r="AP40"/>
  <c r="AP41"/>
  <c r="AP42"/>
  <c r="AP43"/>
  <c r="AP44"/>
  <c r="AP45"/>
  <c r="AP46"/>
  <c r="AP48"/>
  <c r="AP49"/>
  <c r="AP50"/>
  <c r="AP51"/>
  <c r="AP52"/>
  <c r="AP53"/>
  <c r="AP54"/>
  <c r="AP55"/>
  <c r="AP56"/>
  <c r="AP57"/>
  <c r="AP58"/>
  <c r="AP62"/>
  <c r="AQ33"/>
  <c r="AQ34"/>
  <c r="AQ35"/>
  <c r="AQ36"/>
  <c r="AQ37"/>
  <c r="AQ38"/>
  <c r="AQ39"/>
  <c r="AQ40"/>
  <c r="AQ41"/>
  <c r="AQ42"/>
  <c r="AQ43"/>
  <c r="AQ44"/>
  <c r="AQ45"/>
  <c r="AQ46"/>
  <c r="AQ48"/>
  <c r="AQ49"/>
  <c r="AQ50"/>
  <c r="AQ51"/>
  <c r="AQ52"/>
  <c r="AQ53"/>
  <c r="AQ54"/>
  <c r="AQ55"/>
  <c r="AQ56"/>
  <c r="AQ57"/>
  <c r="AQ58"/>
  <c r="AQ62"/>
  <c r="AR33"/>
  <c r="AR34"/>
  <c r="AR35"/>
  <c r="AR36"/>
  <c r="AR37"/>
  <c r="AR38"/>
  <c r="AR39"/>
  <c r="AR40"/>
  <c r="AR41"/>
  <c r="AR42"/>
  <c r="AR43"/>
  <c r="AR44"/>
  <c r="AR45"/>
  <c r="AR46"/>
  <c r="AR48"/>
  <c r="AR49"/>
  <c r="AR50"/>
  <c r="AR51"/>
  <c r="AR52"/>
  <c r="AR53"/>
  <c r="AR54"/>
  <c r="AR55"/>
  <c r="AR56"/>
  <c r="AR57"/>
  <c r="AR58"/>
  <c r="AR62"/>
  <c r="AS33"/>
  <c r="AS34"/>
  <c r="AS35"/>
  <c r="AS36"/>
  <c r="AS37"/>
  <c r="AS38"/>
  <c r="AS39"/>
  <c r="AS40"/>
  <c r="AS41"/>
  <c r="AS42"/>
  <c r="AS43"/>
  <c r="AS44"/>
  <c r="AS45"/>
  <c r="AS46"/>
  <c r="AS48"/>
  <c r="AS49"/>
  <c r="AS50"/>
  <c r="AS51"/>
  <c r="AS52"/>
  <c r="AS53"/>
  <c r="AS54"/>
  <c r="AS55"/>
  <c r="AS56"/>
  <c r="AS57"/>
  <c r="AS58"/>
  <c r="AS62"/>
  <c r="AT33"/>
  <c r="AT34"/>
  <c r="AT35"/>
  <c r="AT36"/>
  <c r="AT37"/>
  <c r="AT38"/>
  <c r="AT39"/>
  <c r="AT40"/>
  <c r="AT41"/>
  <c r="AT42"/>
  <c r="AT43"/>
  <c r="AT44"/>
  <c r="AT45"/>
  <c r="AT46"/>
  <c r="AT48"/>
  <c r="AT49"/>
  <c r="AT50"/>
  <c r="AT51"/>
  <c r="AT52"/>
  <c r="AT53"/>
  <c r="AT54"/>
  <c r="AT55"/>
  <c r="AT56"/>
  <c r="AT57"/>
  <c r="AT58"/>
  <c r="AT62"/>
  <c r="AU33"/>
  <c r="AU34"/>
  <c r="AU35"/>
  <c r="AU36"/>
  <c r="AU37"/>
  <c r="AU38"/>
  <c r="AU39"/>
  <c r="AU40"/>
  <c r="AU41"/>
  <c r="AU42"/>
  <c r="AU43"/>
  <c r="AU44"/>
  <c r="AU45"/>
  <c r="AU46"/>
  <c r="AU48"/>
  <c r="AU49"/>
  <c r="AU50"/>
  <c r="AU51"/>
  <c r="AU52"/>
  <c r="AU53"/>
  <c r="AU54"/>
  <c r="AU55"/>
  <c r="AU56"/>
  <c r="AU57"/>
  <c r="AU58"/>
  <c r="AU62"/>
  <c r="AV33"/>
  <c r="AV34"/>
  <c r="AV35"/>
  <c r="AV36"/>
  <c r="AV37"/>
  <c r="AV38"/>
  <c r="AV39"/>
  <c r="AV40"/>
  <c r="AV41"/>
  <c r="AV42"/>
  <c r="AV43"/>
  <c r="AV44"/>
  <c r="AV45"/>
  <c r="AV46"/>
  <c r="AV48"/>
  <c r="AV49"/>
  <c r="AV50"/>
  <c r="AV51"/>
  <c r="AV52"/>
  <c r="AV53"/>
  <c r="AV54"/>
  <c r="AV55"/>
  <c r="AV56"/>
  <c r="AV57"/>
  <c r="AV58"/>
  <c r="AV62"/>
  <c r="AW33"/>
  <c r="AW34"/>
  <c r="AW35"/>
  <c r="AW36"/>
  <c r="AW37"/>
  <c r="AW38"/>
  <c r="AW39"/>
  <c r="AW40"/>
  <c r="AW41"/>
  <c r="AW42"/>
  <c r="AW43"/>
  <c r="AW44"/>
  <c r="AW45"/>
  <c r="AW46"/>
  <c r="AW48"/>
  <c r="AW49"/>
  <c r="AW50"/>
  <c r="AW51"/>
  <c r="AW52"/>
  <c r="AW53"/>
  <c r="AW54"/>
  <c r="AW55"/>
  <c r="AW56"/>
  <c r="AW57"/>
  <c r="AW58"/>
  <c r="AW62"/>
  <c r="AX33"/>
  <c r="AX34"/>
  <c r="AX35"/>
  <c r="AX36"/>
  <c r="AX37"/>
  <c r="AX38"/>
  <c r="AX39"/>
  <c r="AX40"/>
  <c r="AX41"/>
  <c r="AX42"/>
  <c r="AX43"/>
  <c r="AX44"/>
  <c r="AX45"/>
  <c r="AX46"/>
  <c r="AX48"/>
  <c r="AX49"/>
  <c r="AX50"/>
  <c r="AX51"/>
  <c r="AX52"/>
  <c r="AX53"/>
  <c r="AX54"/>
  <c r="AX55"/>
  <c r="AX56"/>
  <c r="AX57"/>
  <c r="AX58"/>
  <c r="AX62"/>
  <c r="AY33"/>
  <c r="AY34"/>
  <c r="AY35"/>
  <c r="AY36"/>
  <c r="AY37"/>
  <c r="AY38"/>
  <c r="AY39"/>
  <c r="AY40"/>
  <c r="AY41"/>
  <c r="AY42"/>
  <c r="AY43"/>
  <c r="AY44"/>
  <c r="AY45"/>
  <c r="AY46"/>
  <c r="AY48"/>
  <c r="AY49"/>
  <c r="AY50"/>
  <c r="AY51"/>
  <c r="AY52"/>
  <c r="AY53"/>
  <c r="AY54"/>
  <c r="AY55"/>
  <c r="AY56"/>
  <c r="AY57"/>
  <c r="AY58"/>
  <c r="AY62"/>
  <c r="AZ33"/>
  <c r="AZ34"/>
  <c r="AZ35"/>
  <c r="AZ36"/>
  <c r="AZ37"/>
  <c r="AZ38"/>
  <c r="AZ39"/>
  <c r="AZ40"/>
  <c r="AZ41"/>
  <c r="AZ42"/>
  <c r="AZ43"/>
  <c r="AZ44"/>
  <c r="AZ45"/>
  <c r="AZ46"/>
  <c r="AZ48"/>
  <c r="AZ49"/>
  <c r="AZ50"/>
  <c r="AZ51"/>
  <c r="AZ52"/>
  <c r="AZ53"/>
  <c r="AZ54"/>
  <c r="AZ55"/>
  <c r="AZ56"/>
  <c r="AZ57"/>
  <c r="AZ58"/>
  <c r="AZ62"/>
  <c r="BA33"/>
  <c r="BA34"/>
  <c r="BA35"/>
  <c r="BA36"/>
  <c r="BA37"/>
  <c r="BA38"/>
  <c r="BA39"/>
  <c r="BA40"/>
  <c r="BA41"/>
  <c r="BA42"/>
  <c r="BA43"/>
  <c r="BA44"/>
  <c r="BA45"/>
  <c r="BA46"/>
  <c r="BA48"/>
  <c r="BA49"/>
  <c r="BA50"/>
  <c r="BA51"/>
  <c r="BA52"/>
  <c r="BA53"/>
  <c r="BA54"/>
  <c r="BA55"/>
  <c r="BA56"/>
  <c r="BA57"/>
  <c r="BA58"/>
  <c r="BA62"/>
  <c r="BB33"/>
  <c r="BB34"/>
  <c r="BB35"/>
  <c r="BB36"/>
  <c r="BB37"/>
  <c r="BB38"/>
  <c r="BB39"/>
  <c r="BB40"/>
  <c r="BB41"/>
  <c r="BB42"/>
  <c r="BB43"/>
  <c r="BB44"/>
  <c r="BB45"/>
  <c r="BB46"/>
  <c r="BB48"/>
  <c r="BB49"/>
  <c r="BB50"/>
  <c r="BB51"/>
  <c r="BB52"/>
  <c r="BB53"/>
  <c r="BB54"/>
  <c r="BB55"/>
  <c r="BB56"/>
  <c r="BB57"/>
  <c r="BB58"/>
  <c r="BB62"/>
  <c r="BC33"/>
  <c r="BC34"/>
  <c r="BC35"/>
  <c r="BC36"/>
  <c r="BC37"/>
  <c r="BC38"/>
  <c r="BC39"/>
  <c r="BC40"/>
  <c r="BC41"/>
  <c r="BC42"/>
  <c r="BC43"/>
  <c r="BC44"/>
  <c r="BC45"/>
  <c r="BC46"/>
  <c r="BC48"/>
  <c r="BC49"/>
  <c r="BC50"/>
  <c r="BC51"/>
  <c r="BC52"/>
  <c r="BC53"/>
  <c r="BC54"/>
  <c r="BC55"/>
  <c r="BC56"/>
  <c r="BC57"/>
  <c r="BC58"/>
  <c r="BC62"/>
  <c r="BD33"/>
  <c r="BD34"/>
  <c r="BD35"/>
  <c r="BD36"/>
  <c r="BD37"/>
  <c r="BD38"/>
  <c r="BD39"/>
  <c r="BD40"/>
  <c r="BD41"/>
  <c r="BD42"/>
  <c r="BD43"/>
  <c r="BD44"/>
  <c r="BD45"/>
  <c r="BD46"/>
  <c r="BD48"/>
  <c r="BD49"/>
  <c r="BD50"/>
  <c r="BD51"/>
  <c r="BD52"/>
  <c r="BD53"/>
  <c r="BD54"/>
  <c r="BD55"/>
  <c r="BD56"/>
  <c r="BD57"/>
  <c r="BD58"/>
  <c r="BD62"/>
  <c r="BE33"/>
  <c r="BE34"/>
  <c r="BE35"/>
  <c r="BE36"/>
  <c r="BE37"/>
  <c r="BE38"/>
  <c r="BE39"/>
  <c r="BE40"/>
  <c r="BE41"/>
  <c r="BE42"/>
  <c r="BE43"/>
  <c r="BE44"/>
  <c r="BE45"/>
  <c r="BE46"/>
  <c r="BE48"/>
  <c r="BE49"/>
  <c r="BE50"/>
  <c r="BE51"/>
  <c r="BE52"/>
  <c r="BE53"/>
  <c r="BE54"/>
  <c r="BE55"/>
  <c r="BE56"/>
  <c r="BE57"/>
  <c r="BE58"/>
  <c r="BE62"/>
  <c r="BF33"/>
  <c r="BF34"/>
  <c r="BF35"/>
  <c r="BF36"/>
  <c r="BF37"/>
  <c r="BF38"/>
  <c r="BF39"/>
  <c r="BF40"/>
  <c r="BF41"/>
  <c r="BF42"/>
  <c r="BF43"/>
  <c r="BF44"/>
  <c r="BF45"/>
  <c r="BF46"/>
  <c r="BF48"/>
  <c r="BF49"/>
  <c r="BF50"/>
  <c r="BF51"/>
  <c r="BF52"/>
  <c r="BF53"/>
  <c r="BF54"/>
  <c r="BF55"/>
  <c r="BF56"/>
  <c r="BF57"/>
  <c r="BF58"/>
  <c r="BF62"/>
  <c r="BG33"/>
  <c r="BG34"/>
  <c r="BG35"/>
  <c r="BG36"/>
  <c r="BG37"/>
  <c r="BG38"/>
  <c r="BG39"/>
  <c r="BG40"/>
  <c r="BG41"/>
  <c r="BG42"/>
  <c r="BG43"/>
  <c r="BG44"/>
  <c r="BG45"/>
  <c r="BG46"/>
  <c r="BG48"/>
  <c r="BG49"/>
  <c r="BG50"/>
  <c r="BG51"/>
  <c r="BG52"/>
  <c r="BG53"/>
  <c r="BG54"/>
  <c r="BG55"/>
  <c r="BG56"/>
  <c r="BG57"/>
  <c r="BG58"/>
  <c r="BG62"/>
  <c r="BH33"/>
  <c r="BH34"/>
  <c r="BH35"/>
  <c r="BH36"/>
  <c r="BH37"/>
  <c r="BH38"/>
  <c r="BH39"/>
  <c r="BH40"/>
  <c r="BH41"/>
  <c r="BH42"/>
  <c r="BH43"/>
  <c r="BH44"/>
  <c r="BH45"/>
  <c r="BH46"/>
  <c r="BH48"/>
  <c r="BH49"/>
  <c r="BH50"/>
  <c r="BH51"/>
  <c r="BH52"/>
  <c r="BH53"/>
  <c r="BH54"/>
  <c r="BH55"/>
  <c r="BH56"/>
  <c r="BH57"/>
  <c r="BH58"/>
  <c r="BH62"/>
  <c r="BI40"/>
  <c r="BI33"/>
  <c r="BI34"/>
  <c r="BI35"/>
  <c r="BI36"/>
  <c r="BI37"/>
  <c r="BI38"/>
  <c r="BI39"/>
  <c r="BI41"/>
  <c r="BI42"/>
  <c r="BI43"/>
  <c r="BI44"/>
  <c r="BI45"/>
  <c r="BI46"/>
  <c r="BI48"/>
  <c r="BI49"/>
  <c r="BI50"/>
  <c r="BI51"/>
  <c r="BI52"/>
  <c r="BI53"/>
  <c r="BI54"/>
  <c r="BI55"/>
  <c r="BI56"/>
  <c r="BI57"/>
  <c r="BI58"/>
  <c r="BI62"/>
  <c r="BJ40"/>
  <c r="BJ33"/>
  <c r="BJ34"/>
  <c r="BJ35"/>
  <c r="BJ36"/>
  <c r="BJ37"/>
  <c r="BJ38"/>
  <c r="BJ39"/>
  <c r="BJ41"/>
  <c r="BJ42"/>
  <c r="BJ43"/>
  <c r="BJ44"/>
  <c r="BJ45"/>
  <c r="BJ46"/>
  <c r="BJ48"/>
  <c r="BJ49"/>
  <c r="BJ50"/>
  <c r="BJ51"/>
  <c r="BJ52"/>
  <c r="BJ53"/>
  <c r="BJ54"/>
  <c r="BJ55"/>
  <c r="BJ56"/>
  <c r="BJ57"/>
  <c r="BJ58"/>
  <c r="BJ62"/>
  <c r="BK33"/>
  <c r="BK34"/>
  <c r="BK35"/>
  <c r="BK36"/>
  <c r="BK37"/>
  <c r="BK38"/>
  <c r="BK39"/>
  <c r="BK40"/>
  <c r="BK41"/>
  <c r="BK42"/>
  <c r="BK43"/>
  <c r="BK44"/>
  <c r="BK45"/>
  <c r="BK46"/>
  <c r="BK48"/>
  <c r="BK49"/>
  <c r="BK50"/>
  <c r="BK51"/>
  <c r="BK52"/>
  <c r="BK53"/>
  <c r="BK54"/>
  <c r="BK55"/>
  <c r="BK56"/>
  <c r="BK57"/>
  <c r="BK58"/>
  <c r="BK62"/>
  <c r="BL33"/>
  <c r="BL34"/>
  <c r="BL35"/>
  <c r="BL36"/>
  <c r="BL37"/>
  <c r="BL38"/>
  <c r="BL39"/>
  <c r="BL40"/>
  <c r="BL41"/>
  <c r="BL42"/>
  <c r="BL43"/>
  <c r="BL44"/>
  <c r="BL45"/>
  <c r="BL46"/>
  <c r="BL48"/>
  <c r="BL49"/>
  <c r="BL50"/>
  <c r="BL51"/>
  <c r="BL52"/>
  <c r="BL53"/>
  <c r="BL54"/>
  <c r="BL55"/>
  <c r="BL56"/>
  <c r="BL57"/>
  <c r="BL58"/>
  <c r="BL62"/>
  <c r="BM33"/>
  <c r="BM34"/>
  <c r="BM35"/>
  <c r="BM36"/>
  <c r="BM37"/>
  <c r="BM38"/>
  <c r="BM39"/>
  <c r="BM40"/>
  <c r="BM41"/>
  <c r="BM42"/>
  <c r="BM43"/>
  <c r="BM44"/>
  <c r="BM45"/>
  <c r="BM46"/>
  <c r="BM48"/>
  <c r="BM49"/>
  <c r="BM50"/>
  <c r="BM51"/>
  <c r="BM52"/>
  <c r="BM53"/>
  <c r="BM54"/>
  <c r="BM55"/>
  <c r="BM56"/>
  <c r="BM57"/>
  <c r="BM58"/>
  <c r="BM62"/>
  <c r="BN33"/>
  <c r="BN34"/>
  <c r="BN35"/>
  <c r="BN36"/>
  <c r="BN37"/>
  <c r="BN38"/>
  <c r="BN39"/>
  <c r="BN40"/>
  <c r="BN41"/>
  <c r="BN42"/>
  <c r="BN43"/>
  <c r="BN44"/>
  <c r="BN45"/>
  <c r="BN46"/>
  <c r="BN48"/>
  <c r="BN49"/>
  <c r="BN50"/>
  <c r="BN51"/>
  <c r="BN52"/>
  <c r="BN53"/>
  <c r="BN54"/>
  <c r="BN55"/>
  <c r="BN56"/>
  <c r="BN57"/>
  <c r="BN58"/>
  <c r="BN62"/>
  <c r="AJ33"/>
  <c r="AJ34"/>
  <c r="AJ35"/>
  <c r="AJ36"/>
  <c r="AJ37"/>
  <c r="AJ38"/>
  <c r="AJ39"/>
  <c r="AJ40"/>
  <c r="AJ41"/>
  <c r="AJ42"/>
  <c r="AJ43"/>
  <c r="AJ44"/>
  <c r="AJ45"/>
  <c r="AJ46"/>
  <c r="AJ48"/>
  <c r="AJ49"/>
  <c r="AJ50"/>
  <c r="AJ51"/>
  <c r="AJ52"/>
  <c r="AJ53"/>
  <c r="AJ54"/>
  <c r="AJ55"/>
  <c r="AJ56"/>
  <c r="AJ57"/>
  <c r="AJ58"/>
  <c r="AJ62"/>
  <c r="BO58"/>
  <c r="BO57"/>
  <c r="BO56"/>
  <c r="BO55"/>
  <c r="BO54"/>
  <c r="BO53"/>
  <c r="BO52"/>
  <c r="BO51"/>
  <c r="BO50"/>
  <c r="BO49"/>
  <c r="BO48"/>
  <c r="BO46"/>
  <c r="BO45"/>
  <c r="BO44"/>
  <c r="BO43"/>
  <c r="BO42"/>
  <c r="BO41"/>
  <c r="BO40"/>
  <c r="BO39"/>
  <c r="BO38"/>
  <c r="BO37"/>
  <c r="BO36"/>
  <c r="BO35"/>
  <c r="BO34"/>
  <c r="BO33"/>
  <c r="AK2"/>
  <c r="AK3"/>
  <c r="AK4"/>
  <c r="AK5"/>
  <c r="AK6"/>
  <c r="AK7"/>
  <c r="AK8"/>
  <c r="AK9"/>
  <c r="AK10"/>
  <c r="AK11"/>
  <c r="AK12"/>
  <c r="AK13"/>
  <c r="AK14"/>
  <c r="AK15"/>
  <c r="AK17"/>
  <c r="AK18"/>
  <c r="AK19"/>
  <c r="AK20"/>
  <c r="AK21"/>
  <c r="AK22"/>
  <c r="AK23"/>
  <c r="AK24"/>
  <c r="AK25"/>
  <c r="AK26"/>
  <c r="AK27"/>
  <c r="AK28"/>
  <c r="AL2"/>
  <c r="AL3"/>
  <c r="AL4"/>
  <c r="AL5"/>
  <c r="AL6"/>
  <c r="AL7"/>
  <c r="AL8"/>
  <c r="AL9"/>
  <c r="AL10"/>
  <c r="AL11"/>
  <c r="AL12"/>
  <c r="AL13"/>
  <c r="AL14"/>
  <c r="AL15"/>
  <c r="AL17"/>
  <c r="AL18"/>
  <c r="AL19"/>
  <c r="AL20"/>
  <c r="AL21"/>
  <c r="AL22"/>
  <c r="AL23"/>
  <c r="AL24"/>
  <c r="AL25"/>
  <c r="AL26"/>
  <c r="AL27"/>
  <c r="AL28"/>
  <c r="AM2"/>
  <c r="AM3"/>
  <c r="AM4"/>
  <c r="AM5"/>
  <c r="AM6"/>
  <c r="AM7"/>
  <c r="AM8"/>
  <c r="AM9"/>
  <c r="AM10"/>
  <c r="AM11"/>
  <c r="AM12"/>
  <c r="AM13"/>
  <c r="AM14"/>
  <c r="AM15"/>
  <c r="AM17"/>
  <c r="AM18"/>
  <c r="AM19"/>
  <c r="AM20"/>
  <c r="AM21"/>
  <c r="AM22"/>
  <c r="AM23"/>
  <c r="AM24"/>
  <c r="AM25"/>
  <c r="AM26"/>
  <c r="AM27"/>
  <c r="AM28"/>
  <c r="AN2"/>
  <c r="AN3"/>
  <c r="AN4"/>
  <c r="AN5"/>
  <c r="AN6"/>
  <c r="AN7"/>
  <c r="AN8"/>
  <c r="AN9"/>
  <c r="AN10"/>
  <c r="AN11"/>
  <c r="AN12"/>
  <c r="AN13"/>
  <c r="AN14"/>
  <c r="AN15"/>
  <c r="AN17"/>
  <c r="AN18"/>
  <c r="AN19"/>
  <c r="AN20"/>
  <c r="AN21"/>
  <c r="AN22"/>
  <c r="AN23"/>
  <c r="AN24"/>
  <c r="AN25"/>
  <c r="AN26"/>
  <c r="AN27"/>
  <c r="AN28"/>
  <c r="AO2"/>
  <c r="AO3"/>
  <c r="AO4"/>
  <c r="AO5"/>
  <c r="AO6"/>
  <c r="AO7"/>
  <c r="AO8"/>
  <c r="AO9"/>
  <c r="AO10"/>
  <c r="AO11"/>
  <c r="AO12"/>
  <c r="AO13"/>
  <c r="AO14"/>
  <c r="AO15"/>
  <c r="AO17"/>
  <c r="AO18"/>
  <c r="AO19"/>
  <c r="AO20"/>
  <c r="AO21"/>
  <c r="AO22"/>
  <c r="AO23"/>
  <c r="AO24"/>
  <c r="AO25"/>
  <c r="AO26"/>
  <c r="AO27"/>
  <c r="AO28"/>
  <c r="AP2"/>
  <c r="AP3"/>
  <c r="AP4"/>
  <c r="AP5"/>
  <c r="AP6"/>
  <c r="AP7"/>
  <c r="AP8"/>
  <c r="AP9"/>
  <c r="AP10"/>
  <c r="AP11"/>
  <c r="AP12"/>
  <c r="AP13"/>
  <c r="AP14"/>
  <c r="AP15"/>
  <c r="AP17"/>
  <c r="AP18"/>
  <c r="AP19"/>
  <c r="AP20"/>
  <c r="AP21"/>
  <c r="AP22"/>
  <c r="AP23"/>
  <c r="AP24"/>
  <c r="AP25"/>
  <c r="AP26"/>
  <c r="AP27"/>
  <c r="AP28"/>
  <c r="AQ2"/>
  <c r="AQ3"/>
  <c r="AQ4"/>
  <c r="AQ5"/>
  <c r="AQ6"/>
  <c r="AQ7"/>
  <c r="AQ8"/>
  <c r="AQ9"/>
  <c r="AQ10"/>
  <c r="AQ11"/>
  <c r="AQ12"/>
  <c r="AQ13"/>
  <c r="AQ14"/>
  <c r="AQ15"/>
  <c r="AQ17"/>
  <c r="AQ18"/>
  <c r="AQ19"/>
  <c r="AQ20"/>
  <c r="AQ21"/>
  <c r="AQ22"/>
  <c r="AQ23"/>
  <c r="AQ24"/>
  <c r="AQ25"/>
  <c r="AQ26"/>
  <c r="AQ27"/>
  <c r="AQ28"/>
  <c r="AR2"/>
  <c r="AR3"/>
  <c r="AR4"/>
  <c r="AR5"/>
  <c r="AR6"/>
  <c r="AR7"/>
  <c r="AR8"/>
  <c r="AR9"/>
  <c r="AR10"/>
  <c r="AR11"/>
  <c r="AR12"/>
  <c r="AR13"/>
  <c r="AR14"/>
  <c r="AR15"/>
  <c r="AR17"/>
  <c r="AR18"/>
  <c r="AR19"/>
  <c r="AR20"/>
  <c r="AR21"/>
  <c r="AR22"/>
  <c r="AR23"/>
  <c r="AR24"/>
  <c r="AR25"/>
  <c r="AR26"/>
  <c r="AR27"/>
  <c r="AR28"/>
  <c r="AS2"/>
  <c r="AS3"/>
  <c r="AS4"/>
  <c r="AS5"/>
  <c r="AS6"/>
  <c r="AS7"/>
  <c r="AS8"/>
  <c r="AS9"/>
  <c r="AS10"/>
  <c r="AS11"/>
  <c r="AS12"/>
  <c r="AS13"/>
  <c r="AS14"/>
  <c r="AS15"/>
  <c r="AS17"/>
  <c r="AS18"/>
  <c r="AS19"/>
  <c r="AS20"/>
  <c r="AS21"/>
  <c r="AS22"/>
  <c r="AS23"/>
  <c r="AS24"/>
  <c r="AS25"/>
  <c r="AS26"/>
  <c r="AS27"/>
  <c r="AS28"/>
  <c r="AT2"/>
  <c r="AT3"/>
  <c r="AT4"/>
  <c r="AT5"/>
  <c r="AT6"/>
  <c r="AT7"/>
  <c r="AT8"/>
  <c r="AT9"/>
  <c r="AT10"/>
  <c r="AT11"/>
  <c r="AT12"/>
  <c r="AT13"/>
  <c r="AT14"/>
  <c r="AT15"/>
  <c r="AT17"/>
  <c r="AT18"/>
  <c r="AT19"/>
  <c r="AT20"/>
  <c r="AT21"/>
  <c r="AT22"/>
  <c r="AT23"/>
  <c r="AT24"/>
  <c r="AT25"/>
  <c r="AT26"/>
  <c r="AT27"/>
  <c r="AT28"/>
  <c r="AU2"/>
  <c r="AU3"/>
  <c r="AU4"/>
  <c r="AU5"/>
  <c r="AU6"/>
  <c r="AU7"/>
  <c r="AU8"/>
  <c r="AU9"/>
  <c r="AU10"/>
  <c r="AU11"/>
  <c r="AU12"/>
  <c r="AU13"/>
  <c r="AU14"/>
  <c r="AU15"/>
  <c r="AU17"/>
  <c r="AU18"/>
  <c r="AU19"/>
  <c r="AU20"/>
  <c r="AU21"/>
  <c r="AU22"/>
  <c r="AU23"/>
  <c r="AU24"/>
  <c r="AU25"/>
  <c r="AU26"/>
  <c r="AU27"/>
  <c r="AU28"/>
  <c r="AV2"/>
  <c r="AV3"/>
  <c r="AV4"/>
  <c r="AV5"/>
  <c r="AV6"/>
  <c r="AV7"/>
  <c r="AV8"/>
  <c r="AV9"/>
  <c r="AV10"/>
  <c r="AV11"/>
  <c r="AV12"/>
  <c r="AV13"/>
  <c r="AV14"/>
  <c r="AV15"/>
  <c r="AV17"/>
  <c r="AV18"/>
  <c r="AV19"/>
  <c r="AV20"/>
  <c r="AV21"/>
  <c r="AV22"/>
  <c r="AV23"/>
  <c r="AV24"/>
  <c r="AV25"/>
  <c r="AV26"/>
  <c r="AV27"/>
  <c r="AV28"/>
  <c r="AW2"/>
  <c r="AW3"/>
  <c r="AW4"/>
  <c r="AW5"/>
  <c r="AW6"/>
  <c r="AW7"/>
  <c r="AW8"/>
  <c r="AW9"/>
  <c r="AW10"/>
  <c r="AW11"/>
  <c r="AW12"/>
  <c r="AW13"/>
  <c r="AW14"/>
  <c r="AW15"/>
  <c r="AW17"/>
  <c r="AW18"/>
  <c r="AW19"/>
  <c r="AW20"/>
  <c r="AW21"/>
  <c r="AW22"/>
  <c r="AW23"/>
  <c r="AW24"/>
  <c r="AW25"/>
  <c r="AW26"/>
  <c r="AW27"/>
  <c r="AW28"/>
  <c r="AX2"/>
  <c r="AX3"/>
  <c r="AX4"/>
  <c r="AX5"/>
  <c r="AX6"/>
  <c r="AX7"/>
  <c r="AX8"/>
  <c r="AX9"/>
  <c r="AX10"/>
  <c r="AX11"/>
  <c r="AX12"/>
  <c r="AX13"/>
  <c r="AX14"/>
  <c r="AX15"/>
  <c r="AX17"/>
  <c r="AX18"/>
  <c r="AX19"/>
  <c r="AX20"/>
  <c r="AX21"/>
  <c r="AX22"/>
  <c r="AX23"/>
  <c r="AX24"/>
  <c r="AX25"/>
  <c r="AX26"/>
  <c r="AX27"/>
  <c r="AX28"/>
  <c r="AY2"/>
  <c r="AY3"/>
  <c r="AY4"/>
  <c r="AY5"/>
  <c r="AY6"/>
  <c r="AY7"/>
  <c r="AY8"/>
  <c r="AY9"/>
  <c r="AY10"/>
  <c r="AY11"/>
  <c r="AY12"/>
  <c r="AY13"/>
  <c r="AY14"/>
  <c r="AY15"/>
  <c r="AY17"/>
  <c r="AY18"/>
  <c r="AY19"/>
  <c r="AY20"/>
  <c r="AY21"/>
  <c r="AY22"/>
  <c r="AY23"/>
  <c r="AY24"/>
  <c r="AY25"/>
  <c r="AY26"/>
  <c r="AY27"/>
  <c r="AY28"/>
  <c r="AZ2"/>
  <c r="AZ3"/>
  <c r="AZ4"/>
  <c r="AZ5"/>
  <c r="AZ6"/>
  <c r="AZ7"/>
  <c r="AZ8"/>
  <c r="AZ9"/>
  <c r="AZ10"/>
  <c r="AZ11"/>
  <c r="AZ12"/>
  <c r="AZ13"/>
  <c r="AZ14"/>
  <c r="AZ15"/>
  <c r="AZ17"/>
  <c r="AZ18"/>
  <c r="AZ19"/>
  <c r="AZ20"/>
  <c r="AZ21"/>
  <c r="AZ22"/>
  <c r="AZ23"/>
  <c r="AZ24"/>
  <c r="AZ25"/>
  <c r="AZ26"/>
  <c r="AZ27"/>
  <c r="AZ28"/>
  <c r="BA2"/>
  <c r="BA3"/>
  <c r="BA4"/>
  <c r="BA5"/>
  <c r="BA6"/>
  <c r="BA7"/>
  <c r="BA8"/>
  <c r="BA9"/>
  <c r="BA10"/>
  <c r="BA11"/>
  <c r="BA12"/>
  <c r="BA13"/>
  <c r="BA14"/>
  <c r="BA15"/>
  <c r="BA17"/>
  <c r="BA18"/>
  <c r="BA19"/>
  <c r="BA20"/>
  <c r="BA21"/>
  <c r="BA22"/>
  <c r="BA23"/>
  <c r="BA24"/>
  <c r="BA25"/>
  <c r="BA26"/>
  <c r="BA27"/>
  <c r="BA28"/>
  <c r="BB2"/>
  <c r="BB3"/>
  <c r="BB4"/>
  <c r="BB5"/>
  <c r="BB6"/>
  <c r="BB7"/>
  <c r="BB8"/>
  <c r="BB9"/>
  <c r="BB10"/>
  <c r="BB11"/>
  <c r="BB12"/>
  <c r="BB13"/>
  <c r="BB14"/>
  <c r="BB15"/>
  <c r="BB17"/>
  <c r="BB18"/>
  <c r="BB19"/>
  <c r="BB20"/>
  <c r="BB21"/>
  <c r="BB22"/>
  <c r="BB23"/>
  <c r="BB24"/>
  <c r="BB25"/>
  <c r="BB26"/>
  <c r="BB27"/>
  <c r="BB28"/>
  <c r="BC2"/>
  <c r="BC3"/>
  <c r="BC4"/>
  <c r="BC5"/>
  <c r="BC6"/>
  <c r="BC7"/>
  <c r="BC8"/>
  <c r="BC9"/>
  <c r="BC10"/>
  <c r="BC11"/>
  <c r="BC12"/>
  <c r="BC13"/>
  <c r="BC14"/>
  <c r="BC15"/>
  <c r="BC17"/>
  <c r="BC18"/>
  <c r="BC19"/>
  <c r="BC20"/>
  <c r="BC21"/>
  <c r="BC22"/>
  <c r="BC23"/>
  <c r="BC24"/>
  <c r="BC25"/>
  <c r="BC26"/>
  <c r="BC27"/>
  <c r="BC28"/>
  <c r="BD2"/>
  <c r="BD3"/>
  <c r="BD4"/>
  <c r="BD5"/>
  <c r="BD6"/>
  <c r="BD7"/>
  <c r="BD8"/>
  <c r="BD9"/>
  <c r="BD10"/>
  <c r="BD11"/>
  <c r="BD12"/>
  <c r="BD13"/>
  <c r="BD14"/>
  <c r="BD15"/>
  <c r="BD17"/>
  <c r="BD18"/>
  <c r="BD19"/>
  <c r="BD20"/>
  <c r="BD21"/>
  <c r="BD22"/>
  <c r="BD23"/>
  <c r="BD24"/>
  <c r="BD25"/>
  <c r="BD26"/>
  <c r="BD27"/>
  <c r="BD28"/>
  <c r="BE2"/>
  <c r="BE3"/>
  <c r="BE4"/>
  <c r="BE5"/>
  <c r="BE6"/>
  <c r="BE7"/>
  <c r="BE8"/>
  <c r="BE9"/>
  <c r="BE10"/>
  <c r="BE11"/>
  <c r="BE12"/>
  <c r="BE13"/>
  <c r="BE14"/>
  <c r="BE15"/>
  <c r="BE17"/>
  <c r="BE18"/>
  <c r="BE19"/>
  <c r="BE20"/>
  <c r="BE21"/>
  <c r="BE22"/>
  <c r="BE23"/>
  <c r="BE24"/>
  <c r="BE25"/>
  <c r="BE26"/>
  <c r="BE27"/>
  <c r="BE28"/>
  <c r="BF2"/>
  <c r="BF3"/>
  <c r="BF4"/>
  <c r="BF5"/>
  <c r="BF6"/>
  <c r="BF7"/>
  <c r="BF8"/>
  <c r="BF9"/>
  <c r="BF10"/>
  <c r="BF11"/>
  <c r="BF12"/>
  <c r="BF13"/>
  <c r="BF14"/>
  <c r="BF15"/>
  <c r="BF17"/>
  <c r="BF18"/>
  <c r="BF19"/>
  <c r="BF20"/>
  <c r="BF21"/>
  <c r="BF22"/>
  <c r="BF23"/>
  <c r="BF24"/>
  <c r="BF25"/>
  <c r="BF26"/>
  <c r="BF27"/>
  <c r="BF28"/>
  <c r="BG2"/>
  <c r="BG3"/>
  <c r="BG4"/>
  <c r="BG5"/>
  <c r="BG6"/>
  <c r="BG7"/>
  <c r="BG8"/>
  <c r="BG9"/>
  <c r="BG10"/>
  <c r="BG11"/>
  <c r="BG12"/>
  <c r="BG13"/>
  <c r="BG14"/>
  <c r="BG15"/>
  <c r="BG17"/>
  <c r="BG18"/>
  <c r="BG19"/>
  <c r="BG20"/>
  <c r="BG21"/>
  <c r="BG22"/>
  <c r="BG23"/>
  <c r="BG24"/>
  <c r="BG25"/>
  <c r="BG26"/>
  <c r="BG27"/>
  <c r="BG28"/>
  <c r="BH2"/>
  <c r="BH3"/>
  <c r="BH4"/>
  <c r="BH5"/>
  <c r="BH6"/>
  <c r="BH7"/>
  <c r="BH8"/>
  <c r="BH9"/>
  <c r="BH10"/>
  <c r="BH11"/>
  <c r="BH12"/>
  <c r="BH13"/>
  <c r="BH14"/>
  <c r="BH15"/>
  <c r="BH17"/>
  <c r="BH18"/>
  <c r="BH19"/>
  <c r="BH20"/>
  <c r="BH21"/>
  <c r="BH22"/>
  <c r="BH23"/>
  <c r="BH24"/>
  <c r="BH25"/>
  <c r="BH26"/>
  <c r="BH27"/>
  <c r="BH28"/>
  <c r="BI2"/>
  <c r="BI3"/>
  <c r="BI4"/>
  <c r="BI5"/>
  <c r="BI6"/>
  <c r="BI7"/>
  <c r="BI8"/>
  <c r="BI9"/>
  <c r="BI10"/>
  <c r="BI11"/>
  <c r="BI12"/>
  <c r="BI13"/>
  <c r="BI14"/>
  <c r="BI15"/>
  <c r="BI17"/>
  <c r="BI18"/>
  <c r="BI19"/>
  <c r="BI20"/>
  <c r="BI21"/>
  <c r="BI22"/>
  <c r="BI23"/>
  <c r="BI24"/>
  <c r="BI25"/>
  <c r="BI26"/>
  <c r="BI27"/>
  <c r="BI28"/>
  <c r="BJ2"/>
  <c r="BJ3"/>
  <c r="BJ4"/>
  <c r="BJ5"/>
  <c r="BJ6"/>
  <c r="BJ7"/>
  <c r="BJ8"/>
  <c r="BJ9"/>
  <c r="BJ10"/>
  <c r="BJ11"/>
  <c r="BJ12"/>
  <c r="BJ13"/>
  <c r="BJ14"/>
  <c r="BJ15"/>
  <c r="BJ17"/>
  <c r="BJ18"/>
  <c r="BJ19"/>
  <c r="BJ20"/>
  <c r="BJ21"/>
  <c r="BJ22"/>
  <c r="BJ23"/>
  <c r="BJ24"/>
  <c r="BJ25"/>
  <c r="BJ26"/>
  <c r="BJ27"/>
  <c r="BJ28"/>
  <c r="BK2"/>
  <c r="BK3"/>
  <c r="BK4"/>
  <c r="BK5"/>
  <c r="BK6"/>
  <c r="BK7"/>
  <c r="BK8"/>
  <c r="BK9"/>
  <c r="BK10"/>
  <c r="BK11"/>
  <c r="BK12"/>
  <c r="BK13"/>
  <c r="BK14"/>
  <c r="BK15"/>
  <c r="BK17"/>
  <c r="BK18"/>
  <c r="BK19"/>
  <c r="BK20"/>
  <c r="BK21"/>
  <c r="BK22"/>
  <c r="BK23"/>
  <c r="BK24"/>
  <c r="BK25"/>
  <c r="BK26"/>
  <c r="BK28"/>
  <c r="BL2"/>
  <c r="BL3"/>
  <c r="BL4"/>
  <c r="BL5"/>
  <c r="BL6"/>
  <c r="BL7"/>
  <c r="BL8"/>
  <c r="BL9"/>
  <c r="BL10"/>
  <c r="BL11"/>
  <c r="BL12"/>
  <c r="BL13"/>
  <c r="BL14"/>
  <c r="BL15"/>
  <c r="BL17"/>
  <c r="BL18"/>
  <c r="BL19"/>
  <c r="BL20"/>
  <c r="BL21"/>
  <c r="BL22"/>
  <c r="BL23"/>
  <c r="BL24"/>
  <c r="BL25"/>
  <c r="BL26"/>
  <c r="BL28"/>
  <c r="BM2"/>
  <c r="BM3"/>
  <c r="BM4"/>
  <c r="BM5"/>
  <c r="BM6"/>
  <c r="BM7"/>
  <c r="BM8"/>
  <c r="BM9"/>
  <c r="BM10"/>
  <c r="BM11"/>
  <c r="BM12"/>
  <c r="BM13"/>
  <c r="BM14"/>
  <c r="BM15"/>
  <c r="BM17"/>
  <c r="BM18"/>
  <c r="BM19"/>
  <c r="BM20"/>
  <c r="BM21"/>
  <c r="BM22"/>
  <c r="BM23"/>
  <c r="BM24"/>
  <c r="BM25"/>
  <c r="BM26"/>
  <c r="BM28"/>
  <c r="BN2"/>
  <c r="BN3"/>
  <c r="BN4"/>
  <c r="BN5"/>
  <c r="BN6"/>
  <c r="BN7"/>
  <c r="BN8"/>
  <c r="BN9"/>
  <c r="BN10"/>
  <c r="BN11"/>
  <c r="BN12"/>
  <c r="BN13"/>
  <c r="BN14"/>
  <c r="BN15"/>
  <c r="BN17"/>
  <c r="BN18"/>
  <c r="BN19"/>
  <c r="BN20"/>
  <c r="BN21"/>
  <c r="BN22"/>
  <c r="BN23"/>
  <c r="BN24"/>
  <c r="BN25"/>
  <c r="BN26"/>
  <c r="BN28"/>
  <c r="AJ2"/>
  <c r="AJ3"/>
  <c r="AJ4"/>
  <c r="AJ5"/>
  <c r="AJ6"/>
  <c r="AJ7"/>
  <c r="AJ8"/>
  <c r="AJ9"/>
  <c r="AJ10"/>
  <c r="AJ11"/>
  <c r="AJ12"/>
  <c r="AJ13"/>
  <c r="AJ14"/>
  <c r="AJ15"/>
  <c r="AJ17"/>
  <c r="AJ18"/>
  <c r="AJ19"/>
  <c r="AJ20"/>
  <c r="AJ21"/>
  <c r="AJ22"/>
  <c r="AJ23"/>
  <c r="AJ24"/>
  <c r="AJ25"/>
  <c r="AJ26"/>
  <c r="AJ27"/>
  <c r="AJ28"/>
  <c r="BO3"/>
  <c r="BO4"/>
  <c r="BO5"/>
  <c r="BO6"/>
  <c r="BO7"/>
  <c r="BO8"/>
  <c r="BO9"/>
  <c r="BO10"/>
  <c r="BO11"/>
  <c r="BO12"/>
  <c r="BO13"/>
  <c r="BO14"/>
  <c r="BO15"/>
  <c r="BO17"/>
  <c r="BO18"/>
  <c r="BO19"/>
  <c r="BO20"/>
  <c r="BO21"/>
  <c r="BO22"/>
  <c r="BO23"/>
  <c r="BO24"/>
  <c r="BO25"/>
  <c r="BO26"/>
  <c r="BO27"/>
  <c r="BO2"/>
  <c r="F108" i="2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"/>
  <c r="F2"/>
  <c r="G2"/>
  <c r="F3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H2"/>
  <c r="F26"/>
  <c r="G26"/>
  <c r="H3"/>
  <c r="F27"/>
  <c r="G27"/>
  <c r="H4"/>
  <c r="F28"/>
  <c r="G28"/>
  <c r="H5"/>
  <c r="F29"/>
  <c r="G29"/>
  <c r="H6"/>
  <c r="F30"/>
  <c r="G30"/>
  <c r="H7"/>
  <c r="F31"/>
  <c r="G31"/>
  <c r="H8"/>
  <c r="F32"/>
  <c r="G32"/>
  <c r="H9"/>
  <c r="F33"/>
  <c r="G33"/>
  <c r="H10"/>
  <c r="F34"/>
  <c r="G34"/>
  <c r="H11"/>
  <c r="F35"/>
  <c r="G35"/>
  <c r="H12"/>
  <c r="F36"/>
  <c r="G36"/>
  <c r="H13"/>
  <c r="F37"/>
  <c r="G37"/>
  <c r="H14"/>
  <c r="F38"/>
  <c r="G38"/>
  <c r="H15"/>
  <c r="F39"/>
  <c r="G39"/>
  <c r="H16"/>
  <c r="F40"/>
  <c r="G40"/>
  <c r="H17"/>
  <c r="F41"/>
  <c r="G41"/>
  <c r="H18"/>
  <c r="F42"/>
  <c r="G42"/>
  <c r="H19"/>
  <c r="F43"/>
  <c r="G43"/>
  <c r="H20"/>
  <c r="F44"/>
  <c r="G44"/>
  <c r="H21"/>
  <c r="F45"/>
  <c r="G45"/>
  <c r="H22"/>
  <c r="F46"/>
  <c r="G46"/>
  <c r="H23"/>
  <c r="F47"/>
  <c r="G47"/>
  <c r="H24"/>
  <c r="F48"/>
  <c r="G48"/>
  <c r="H25"/>
  <c r="F49"/>
  <c r="G49"/>
  <c r="H26"/>
  <c r="F50"/>
  <c r="G50"/>
  <c r="H27"/>
  <c r="F51"/>
  <c r="G51"/>
  <c r="H28"/>
  <c r="F52"/>
  <c r="G52"/>
  <c r="H29"/>
  <c r="F53"/>
  <c r="G53"/>
  <c r="H30"/>
  <c r="F54"/>
  <c r="G54"/>
  <c r="H31"/>
  <c r="F55"/>
  <c r="G55"/>
  <c r="H32"/>
  <c r="F56"/>
  <c r="G56"/>
  <c r="H33"/>
  <c r="F57"/>
  <c r="G57"/>
  <c r="H34"/>
  <c r="F58"/>
  <c r="G58"/>
  <c r="H35"/>
  <c r="F59"/>
  <c r="G59"/>
  <c r="H36"/>
  <c r="F60"/>
  <c r="G60"/>
  <c r="H37"/>
  <c r="F61"/>
  <c r="G61"/>
  <c r="H38"/>
  <c r="F62"/>
  <c r="G62"/>
  <c r="H39"/>
  <c r="F63"/>
  <c r="G63"/>
  <c r="H40"/>
  <c r="F64"/>
  <c r="G64"/>
  <c r="H41"/>
  <c r="F65"/>
  <c r="G65"/>
  <c r="H42"/>
  <c r="F66"/>
  <c r="G66"/>
  <c r="H43"/>
  <c r="F67"/>
  <c r="G67"/>
  <c r="H44"/>
  <c r="F68"/>
  <c r="G68"/>
  <c r="H45"/>
  <c r="F69"/>
  <c r="G69"/>
  <c r="H46"/>
  <c r="F70"/>
  <c r="G70"/>
  <c r="H47"/>
  <c r="F71"/>
  <c r="G71"/>
  <c r="H48"/>
  <c r="F72"/>
  <c r="G72"/>
  <c r="H49"/>
  <c r="F73"/>
  <c r="G73"/>
  <c r="H50"/>
  <c r="F74"/>
  <c r="G74"/>
  <c r="H51"/>
  <c r="F75"/>
  <c r="G75"/>
  <c r="H52"/>
  <c r="F76"/>
  <c r="G76"/>
  <c r="H53"/>
  <c r="F77"/>
  <c r="G77"/>
  <c r="H54"/>
  <c r="F78"/>
  <c r="G78"/>
  <c r="H55"/>
  <c r="F79"/>
  <c r="G79"/>
  <c r="H56"/>
  <c r="F80"/>
  <c r="G80"/>
  <c r="H57"/>
  <c r="F81"/>
  <c r="G81"/>
  <c r="H58"/>
  <c r="F82"/>
  <c r="G82"/>
  <c r="H59"/>
  <c r="F83"/>
  <c r="G83"/>
  <c r="H60"/>
  <c r="F84"/>
  <c r="G84"/>
  <c r="H61"/>
  <c r="F85"/>
  <c r="G85"/>
  <c r="H62"/>
  <c r="F86"/>
  <c r="G86"/>
  <c r="H63"/>
  <c r="F87"/>
  <c r="G87"/>
  <c r="H64"/>
  <c r="F88"/>
  <c r="G88"/>
  <c r="H65"/>
  <c r="F89"/>
  <c r="G89"/>
  <c r="H66"/>
  <c r="F90"/>
  <c r="G90"/>
  <c r="H67"/>
  <c r="F91"/>
  <c r="G91"/>
  <c r="H68"/>
  <c r="F92"/>
  <c r="G92"/>
  <c r="H69"/>
  <c r="F93"/>
  <c r="G93"/>
  <c r="H70"/>
  <c r="F94"/>
  <c r="G94"/>
  <c r="H71"/>
  <c r="F95"/>
  <c r="G95"/>
  <c r="H72"/>
  <c r="F96"/>
  <c r="G96"/>
  <c r="H73"/>
  <c r="F97"/>
  <c r="G97"/>
  <c r="H74"/>
  <c r="F98"/>
  <c r="G98"/>
  <c r="H75"/>
  <c r="F99"/>
  <c r="G99"/>
  <c r="H76"/>
  <c r="F100"/>
  <c r="G100"/>
  <c r="H77"/>
  <c r="F101"/>
  <c r="G101"/>
  <c r="H78"/>
  <c r="F102"/>
  <c r="G102"/>
  <c r="H79"/>
  <c r="F103"/>
  <c r="G103"/>
  <c r="H80"/>
  <c r="F104"/>
  <c r="G104"/>
  <c r="H81"/>
  <c r="F105"/>
  <c r="G105"/>
  <c r="H82"/>
  <c r="F106"/>
  <c r="G106"/>
  <c r="H83"/>
  <c r="F107"/>
  <c r="G107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G1"/>
  <c r="H1"/>
  <c r="K3"/>
  <c r="L3"/>
  <c r="M3"/>
  <c r="K4"/>
  <c r="L4"/>
  <c r="M4"/>
  <c r="K5"/>
  <c r="L5"/>
  <c r="M5"/>
  <c r="K6"/>
  <c r="L6"/>
  <c r="M6"/>
  <c r="K1"/>
  <c r="L1"/>
  <c r="M1"/>
  <c r="K2"/>
  <c r="L2"/>
  <c r="M2"/>
  <c r="C2"/>
  <c r="D2"/>
  <c r="C3"/>
  <c r="D3"/>
  <c r="C4"/>
  <c r="D4"/>
  <c r="C5"/>
  <c r="D5"/>
  <c r="C6"/>
  <c r="D6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E2"/>
  <c r="C26"/>
  <c r="D26"/>
  <c r="E3"/>
  <c r="C27"/>
  <c r="D27"/>
  <c r="E4"/>
  <c r="C28"/>
  <c r="D28"/>
  <c r="E5"/>
  <c r="C29"/>
  <c r="D29"/>
  <c r="E6"/>
  <c r="C30"/>
  <c r="D30"/>
  <c r="E7"/>
  <c r="C31"/>
  <c r="D31"/>
  <c r="E8"/>
  <c r="C32"/>
  <c r="D32"/>
  <c r="E9"/>
  <c r="C33"/>
  <c r="D33"/>
  <c r="E10"/>
  <c r="C34"/>
  <c r="D34"/>
  <c r="E11"/>
  <c r="C35"/>
  <c r="D35"/>
  <c r="E12"/>
  <c r="C36"/>
  <c r="D36"/>
  <c r="E13"/>
  <c r="C37"/>
  <c r="D37"/>
  <c r="E14"/>
  <c r="C38"/>
  <c r="D38"/>
  <c r="E15"/>
  <c r="C39"/>
  <c r="D39"/>
  <c r="E16"/>
  <c r="C40"/>
  <c r="D40"/>
  <c r="E17"/>
  <c r="C41"/>
  <c r="D41"/>
  <c r="E18"/>
  <c r="C42"/>
  <c r="D42"/>
  <c r="E19"/>
  <c r="C43"/>
  <c r="D43"/>
  <c r="E20"/>
  <c r="C44"/>
  <c r="D44"/>
  <c r="E21"/>
  <c r="C45"/>
  <c r="D45"/>
  <c r="E22"/>
  <c r="C46"/>
  <c r="D46"/>
  <c r="E23"/>
  <c r="C47"/>
  <c r="D47"/>
  <c r="E24"/>
  <c r="C48"/>
  <c r="D48"/>
  <c r="E25"/>
  <c r="C49"/>
  <c r="D49"/>
  <c r="E26"/>
  <c r="C50"/>
  <c r="D50"/>
  <c r="E27"/>
  <c r="C51"/>
  <c r="D51"/>
  <c r="E28"/>
  <c r="C52"/>
  <c r="D52"/>
  <c r="E29"/>
  <c r="C53"/>
  <c r="D53"/>
  <c r="E30"/>
  <c r="C54"/>
  <c r="D54"/>
  <c r="E31"/>
  <c r="C55"/>
  <c r="D55"/>
  <c r="E32"/>
  <c r="C56"/>
  <c r="D56"/>
  <c r="E33"/>
  <c r="C57"/>
  <c r="D57"/>
  <c r="E34"/>
  <c r="C58"/>
  <c r="D58"/>
  <c r="E35"/>
  <c r="C59"/>
  <c r="D59"/>
  <c r="E36"/>
  <c r="C60"/>
  <c r="D60"/>
  <c r="E37"/>
  <c r="C61"/>
  <c r="D61"/>
  <c r="E38"/>
  <c r="C62"/>
  <c r="D62"/>
  <c r="E39"/>
  <c r="C63"/>
  <c r="D63"/>
  <c r="E40"/>
  <c r="C64"/>
  <c r="D64"/>
  <c r="E41"/>
  <c r="C65"/>
  <c r="D65"/>
  <c r="E42"/>
  <c r="C66"/>
  <c r="D66"/>
  <c r="E43"/>
  <c r="C67"/>
  <c r="D67"/>
  <c r="E44"/>
  <c r="C68"/>
  <c r="D68"/>
  <c r="E45"/>
  <c r="C69"/>
  <c r="D69"/>
  <c r="E46"/>
  <c r="C70"/>
  <c r="D70"/>
  <c r="E47"/>
  <c r="C71"/>
  <c r="D71"/>
  <c r="E48"/>
  <c r="C72"/>
  <c r="D72"/>
  <c r="E49"/>
  <c r="C73"/>
  <c r="D73"/>
  <c r="E50"/>
  <c r="C74"/>
  <c r="D74"/>
  <c r="E51"/>
  <c r="C75"/>
  <c r="D75"/>
  <c r="E52"/>
  <c r="C76"/>
  <c r="D76"/>
  <c r="E53"/>
  <c r="C77"/>
  <c r="D77"/>
  <c r="E54"/>
  <c r="C78"/>
  <c r="D78"/>
  <c r="E55"/>
  <c r="C79"/>
  <c r="D79"/>
  <c r="E56"/>
  <c r="C80"/>
  <c r="D80"/>
  <c r="E57"/>
  <c r="C81"/>
  <c r="D81"/>
  <c r="E58"/>
  <c r="C82"/>
  <c r="D82"/>
  <c r="E59"/>
  <c r="C83"/>
  <c r="D83"/>
  <c r="E60"/>
  <c r="C84"/>
  <c r="D84"/>
  <c r="E61"/>
  <c r="C85"/>
  <c r="D85"/>
  <c r="E62"/>
  <c r="C86"/>
  <c r="D86"/>
  <c r="E63"/>
  <c r="C87"/>
  <c r="D87"/>
  <c r="E64"/>
  <c r="C88"/>
  <c r="D88"/>
  <c r="E65"/>
  <c r="C89"/>
  <c r="D89"/>
  <c r="E66"/>
  <c r="C90"/>
  <c r="D90"/>
  <c r="E67"/>
  <c r="C91"/>
  <c r="D91"/>
  <c r="E68"/>
  <c r="C92"/>
  <c r="D92"/>
  <c r="E69"/>
  <c r="C93"/>
  <c r="D93"/>
  <c r="E70"/>
  <c r="C94"/>
  <c r="D94"/>
  <c r="E71"/>
  <c r="C95"/>
  <c r="D95"/>
  <c r="E72"/>
  <c r="C96"/>
  <c r="D96"/>
  <c r="E73"/>
  <c r="C97"/>
  <c r="D97"/>
  <c r="E74"/>
  <c r="C98"/>
  <c r="D98"/>
  <c r="E75"/>
  <c r="C99"/>
  <c r="D99"/>
  <c r="E76"/>
  <c r="C100"/>
  <c r="D100"/>
  <c r="E77"/>
  <c r="C101"/>
  <c r="D101"/>
  <c r="E78"/>
  <c r="C102"/>
  <c r="D102"/>
  <c r="E79"/>
  <c r="C103"/>
  <c r="D103"/>
  <c r="E80"/>
  <c r="C104"/>
  <c r="D104"/>
  <c r="E81"/>
  <c r="C105"/>
  <c r="D105"/>
  <c r="E82"/>
  <c r="C106"/>
  <c r="D106"/>
  <c r="E83"/>
  <c r="C107"/>
  <c r="D107"/>
  <c r="E84"/>
  <c r="C108"/>
  <c r="D108"/>
  <c r="E85"/>
  <c r="C109"/>
  <c r="D109"/>
  <c r="E86"/>
  <c r="C110"/>
  <c r="D110"/>
  <c r="E87"/>
  <c r="C111"/>
  <c r="D111"/>
  <c r="E88"/>
  <c r="C112"/>
  <c r="D112"/>
  <c r="E89"/>
  <c r="C113"/>
  <c r="D113"/>
  <c r="E90"/>
  <c r="C114"/>
  <c r="D114"/>
  <c r="E91"/>
  <c r="C115"/>
  <c r="D115"/>
  <c r="E92"/>
  <c r="C116"/>
  <c r="D116"/>
  <c r="E93"/>
  <c r="C117"/>
  <c r="D117"/>
  <c r="E94"/>
  <c r="C118"/>
  <c r="D118"/>
  <c r="E95"/>
  <c r="C119"/>
  <c r="D119"/>
  <c r="E96"/>
  <c r="C120"/>
  <c r="D120"/>
  <c r="E97"/>
  <c r="C121"/>
  <c r="D121"/>
  <c r="E98"/>
  <c r="C122"/>
  <c r="D122"/>
  <c r="E99"/>
  <c r="C123"/>
  <c r="D123"/>
  <c r="E100"/>
  <c r="C124"/>
  <c r="D124"/>
  <c r="E101"/>
  <c r="C125"/>
  <c r="D125"/>
  <c r="E102"/>
  <c r="C126"/>
  <c r="D126"/>
  <c r="E103"/>
  <c r="C127"/>
  <c r="D127"/>
  <c r="E104"/>
  <c r="C128"/>
  <c r="D128"/>
  <c r="E105"/>
  <c r="C129"/>
  <c r="D129"/>
  <c r="E106"/>
  <c r="C130"/>
  <c r="D130"/>
  <c r="E107"/>
  <c r="C1"/>
  <c r="D1"/>
  <c r="E1"/>
  <c r="A2" i="6"/>
  <c r="B2"/>
  <c r="C2"/>
  <c r="D2"/>
  <c r="A3"/>
  <c r="B3"/>
  <c r="C3"/>
  <c r="D3"/>
  <c r="A4"/>
  <c r="B4"/>
  <c r="C4"/>
  <c r="D4"/>
  <c r="A5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C2"/>
  <c r="A26"/>
  <c r="B26"/>
  <c r="C26"/>
  <c r="D26"/>
  <c r="AC3"/>
  <c r="A27"/>
  <c r="B27"/>
  <c r="C27"/>
  <c r="D27"/>
  <c r="AC4"/>
  <c r="A28"/>
  <c r="B28"/>
  <c r="C28"/>
  <c r="D28"/>
  <c r="AC5"/>
  <c r="A29"/>
  <c r="B29"/>
  <c r="C29"/>
  <c r="D29"/>
  <c r="AC6"/>
  <c r="A30"/>
  <c r="B30"/>
  <c r="C30"/>
  <c r="D30"/>
  <c r="AC7"/>
  <c r="A31"/>
  <c r="B31"/>
  <c r="C31"/>
  <c r="D31"/>
  <c r="AC8"/>
  <c r="A32"/>
  <c r="B32"/>
  <c r="C32"/>
  <c r="D32"/>
  <c r="AC9"/>
  <c r="A33"/>
  <c r="B33"/>
  <c r="C33"/>
  <c r="D33"/>
  <c r="AC10"/>
  <c r="A34"/>
  <c r="B34"/>
  <c r="C34"/>
  <c r="D34"/>
  <c r="AC11"/>
  <c r="A35"/>
  <c r="B35"/>
  <c r="C35"/>
  <c r="D35"/>
  <c r="AC12"/>
  <c r="A36"/>
  <c r="B36"/>
  <c r="C36"/>
  <c r="D36"/>
  <c r="AC13"/>
  <c r="A37"/>
  <c r="B37"/>
  <c r="C37"/>
  <c r="D37"/>
  <c r="AC14"/>
  <c r="A38"/>
  <c r="B38"/>
  <c r="C38"/>
  <c r="D38"/>
  <c r="AC15"/>
  <c r="A39"/>
  <c r="B39"/>
  <c r="C39"/>
  <c r="D39"/>
  <c r="AC16"/>
  <c r="A40"/>
  <c r="B40"/>
  <c r="C40"/>
  <c r="D40"/>
  <c r="AC17"/>
  <c r="A41"/>
  <c r="B41"/>
  <c r="C41"/>
  <c r="D41"/>
  <c r="AC18"/>
  <c r="A42"/>
  <c r="B42"/>
  <c r="C42"/>
  <c r="D42"/>
  <c r="AC19"/>
  <c r="A43"/>
  <c r="B43"/>
  <c r="C43"/>
  <c r="D43"/>
  <c r="AC20"/>
  <c r="A44"/>
  <c r="B44"/>
  <c r="C44"/>
  <c r="D44"/>
  <c r="AC21"/>
  <c r="A45"/>
  <c r="B45"/>
  <c r="C45"/>
  <c r="D45"/>
  <c r="AC22"/>
  <c r="A46"/>
  <c r="B46"/>
  <c r="C46"/>
  <c r="D46"/>
  <c r="AC23"/>
  <c r="A47"/>
  <c r="B47"/>
  <c r="C47"/>
  <c r="D47"/>
  <c r="AC24"/>
  <c r="A48"/>
  <c r="B48"/>
  <c r="C48"/>
  <c r="D48"/>
  <c r="AC25"/>
  <c r="A49"/>
  <c r="B49"/>
  <c r="C49"/>
  <c r="D49"/>
  <c r="AC26"/>
  <c r="A50"/>
  <c r="B50"/>
  <c r="C50"/>
  <c r="D50"/>
  <c r="AC27"/>
  <c r="A51"/>
  <c r="B51"/>
  <c r="C51"/>
  <c r="D51"/>
  <c r="AC28"/>
  <c r="A52"/>
  <c r="B52"/>
  <c r="C52"/>
  <c r="D52"/>
  <c r="AC29"/>
  <c r="A53"/>
  <c r="B53"/>
  <c r="C53"/>
  <c r="D53"/>
  <c r="AC30"/>
  <c r="A54"/>
  <c r="B54"/>
  <c r="C54"/>
  <c r="D54"/>
  <c r="AC31"/>
  <c r="A55"/>
  <c r="B55"/>
  <c r="C55"/>
  <c r="D55"/>
  <c r="AC32"/>
  <c r="A56"/>
  <c r="B56"/>
  <c r="C56"/>
  <c r="D56"/>
  <c r="AC33"/>
  <c r="A57"/>
  <c r="B57"/>
  <c r="C57"/>
  <c r="D57"/>
  <c r="AC34"/>
  <c r="A58"/>
  <c r="B58"/>
  <c r="C58"/>
  <c r="D58"/>
  <c r="AC35"/>
  <c r="A59"/>
  <c r="B59"/>
  <c r="C59"/>
  <c r="D59"/>
  <c r="AC36"/>
  <c r="A60"/>
  <c r="B60"/>
  <c r="C60"/>
  <c r="D60"/>
  <c r="AC37"/>
  <c r="A61"/>
  <c r="B61"/>
  <c r="C61"/>
  <c r="D61"/>
  <c r="AC38"/>
  <c r="A62"/>
  <c r="B62"/>
  <c r="C62"/>
  <c r="D62"/>
  <c r="AC39"/>
  <c r="A63"/>
  <c r="B63"/>
  <c r="C63"/>
  <c r="D63"/>
  <c r="AC40"/>
  <c r="A64"/>
  <c r="B64"/>
  <c r="C64"/>
  <c r="D64"/>
  <c r="AC41"/>
  <c r="A65"/>
  <c r="B65"/>
  <c r="C65"/>
  <c r="D65"/>
  <c r="AC42"/>
  <c r="A66"/>
  <c r="B66"/>
  <c r="C66"/>
  <c r="D66"/>
  <c r="AC43"/>
  <c r="A67"/>
  <c r="B67"/>
  <c r="C67"/>
  <c r="D67"/>
  <c r="AC44"/>
  <c r="A68"/>
  <c r="B68"/>
  <c r="C68"/>
  <c r="D68"/>
  <c r="AC45"/>
  <c r="A69"/>
  <c r="B69"/>
  <c r="C69"/>
  <c r="D69"/>
  <c r="AC46"/>
  <c r="A70"/>
  <c r="B70"/>
  <c r="C70"/>
  <c r="D70"/>
  <c r="AC47"/>
  <c r="A71"/>
  <c r="B71"/>
  <c r="C71"/>
  <c r="D71"/>
  <c r="AC48"/>
  <c r="A72"/>
  <c r="B72"/>
  <c r="C72"/>
  <c r="D72"/>
  <c r="AC49"/>
  <c r="A73"/>
  <c r="B73"/>
  <c r="C73"/>
  <c r="D73"/>
  <c r="AC50"/>
  <c r="A74"/>
  <c r="B74"/>
  <c r="C74"/>
  <c r="D74"/>
  <c r="AC51"/>
  <c r="A75"/>
  <c r="B75"/>
  <c r="C75"/>
  <c r="D75"/>
  <c r="AC52"/>
  <c r="A76"/>
  <c r="B76"/>
  <c r="C76"/>
  <c r="D76"/>
  <c r="AC53"/>
  <c r="A77"/>
  <c r="B77"/>
  <c r="C77"/>
  <c r="D77"/>
  <c r="AC54"/>
  <c r="A78"/>
  <c r="B78"/>
  <c r="C78"/>
  <c r="D78"/>
  <c r="AC55"/>
  <c r="A79"/>
  <c r="B79"/>
  <c r="C79"/>
  <c r="D79"/>
  <c r="AC56"/>
  <c r="A80"/>
  <c r="B80"/>
  <c r="C80"/>
  <c r="D80"/>
  <c r="AC57"/>
  <c r="A81"/>
  <c r="B81"/>
  <c r="C81"/>
  <c r="D81"/>
  <c r="AC58"/>
  <c r="A82"/>
  <c r="B82"/>
  <c r="C82"/>
  <c r="D82"/>
  <c r="AC59"/>
  <c r="A83"/>
  <c r="B83"/>
  <c r="C83"/>
  <c r="D83"/>
  <c r="AC60"/>
  <c r="A84"/>
  <c r="B84"/>
  <c r="C84"/>
  <c r="D84"/>
  <c r="AC61"/>
  <c r="A85"/>
  <c r="B85"/>
  <c r="C85"/>
  <c r="D85"/>
  <c r="AC62"/>
  <c r="A86"/>
  <c r="B86"/>
  <c r="C86"/>
  <c r="D86"/>
  <c r="AC63"/>
  <c r="A87"/>
  <c r="B87"/>
  <c r="C87"/>
  <c r="D87"/>
  <c r="AC64"/>
  <c r="A88"/>
  <c r="B88"/>
  <c r="C88"/>
  <c r="D88"/>
  <c r="AC65"/>
  <c r="A89"/>
  <c r="B89"/>
  <c r="C89"/>
  <c r="D89"/>
  <c r="AC66"/>
  <c r="A90"/>
  <c r="B90"/>
  <c r="C90"/>
  <c r="D90"/>
  <c r="AC67"/>
  <c r="A91"/>
  <c r="B91"/>
  <c r="C91"/>
  <c r="D91"/>
  <c r="AC68"/>
  <c r="A92"/>
  <c r="B92"/>
  <c r="C92"/>
  <c r="D92"/>
  <c r="AC69"/>
  <c r="A93"/>
  <c r="B93"/>
  <c r="C93"/>
  <c r="D93"/>
  <c r="AC70"/>
  <c r="A94"/>
  <c r="B94"/>
  <c r="C94"/>
  <c r="D94"/>
  <c r="AC71"/>
  <c r="A95"/>
  <c r="B95"/>
  <c r="C95"/>
  <c r="D95"/>
  <c r="AC72"/>
  <c r="A96"/>
  <c r="B96"/>
  <c r="C96"/>
  <c r="D96"/>
  <c r="AC73"/>
  <c r="A97"/>
  <c r="B97"/>
  <c r="C97"/>
  <c r="D97"/>
  <c r="AC74"/>
  <c r="A98"/>
  <c r="B98"/>
  <c r="C98"/>
  <c r="D98"/>
  <c r="AC75"/>
  <c r="A99"/>
  <c r="B99"/>
  <c r="C99"/>
  <c r="D99"/>
  <c r="AC76"/>
  <c r="A100"/>
  <c r="B100"/>
  <c r="C100"/>
  <c r="D100"/>
  <c r="AC77"/>
  <c r="AC78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AD2"/>
  <c r="E26"/>
  <c r="AD3"/>
  <c r="E27"/>
  <c r="AD4"/>
  <c r="E28"/>
  <c r="AD5"/>
  <c r="E29"/>
  <c r="AD6"/>
  <c r="E30"/>
  <c r="AD7"/>
  <c r="E31"/>
  <c r="AD8"/>
  <c r="E32"/>
  <c r="AD9"/>
  <c r="E33"/>
  <c r="AD10"/>
  <c r="E34"/>
  <c r="AD11"/>
  <c r="E35"/>
  <c r="AD12"/>
  <c r="E36"/>
  <c r="AD13"/>
  <c r="E37"/>
  <c r="AD14"/>
  <c r="E38"/>
  <c r="AD15"/>
  <c r="E39"/>
  <c r="AD16"/>
  <c r="E40"/>
  <c r="AD17"/>
  <c r="E41"/>
  <c r="AD18"/>
  <c r="E42"/>
  <c r="AD19"/>
  <c r="E43"/>
  <c r="AD20"/>
  <c r="E44"/>
  <c r="AD21"/>
  <c r="E45"/>
  <c r="AD22"/>
  <c r="E46"/>
  <c r="AD23"/>
  <c r="E47"/>
  <c r="AD24"/>
  <c r="E48"/>
  <c r="AD25"/>
  <c r="E49"/>
  <c r="AD26"/>
  <c r="E50"/>
  <c r="AD27"/>
  <c r="E51"/>
  <c r="AD28"/>
  <c r="E52"/>
  <c r="AD29"/>
  <c r="E53"/>
  <c r="AD30"/>
  <c r="E54"/>
  <c r="AD31"/>
  <c r="E55"/>
  <c r="AD32"/>
  <c r="E56"/>
  <c r="AD33"/>
  <c r="E57"/>
  <c r="AD34"/>
  <c r="E58"/>
  <c r="AD35"/>
  <c r="E59"/>
  <c r="AD36"/>
  <c r="E60"/>
  <c r="AD37"/>
  <c r="E61"/>
  <c r="AD38"/>
  <c r="E62"/>
  <c r="AD39"/>
  <c r="E63"/>
  <c r="AD40"/>
  <c r="E64"/>
  <c r="AD41"/>
  <c r="E65"/>
  <c r="AD42"/>
  <c r="E66"/>
  <c r="AD43"/>
  <c r="E67"/>
  <c r="AD44"/>
  <c r="E68"/>
  <c r="AD45"/>
  <c r="E69"/>
  <c r="AD46"/>
  <c r="E70"/>
  <c r="AD47"/>
  <c r="E71"/>
  <c r="AD48"/>
  <c r="E72"/>
  <c r="AD49"/>
  <c r="E73"/>
  <c r="AD50"/>
  <c r="E74"/>
  <c r="AD51"/>
  <c r="E75"/>
  <c r="AD52"/>
  <c r="E76"/>
  <c r="AD53"/>
  <c r="E77"/>
  <c r="AD54"/>
  <c r="E78"/>
  <c r="AD55"/>
  <c r="E79"/>
  <c r="AD56"/>
  <c r="E80"/>
  <c r="AD57"/>
  <c r="E81"/>
  <c r="AD58"/>
  <c r="E82"/>
  <c r="AD59"/>
  <c r="E83"/>
  <c r="AD60"/>
  <c r="E84"/>
  <c r="AD61"/>
  <c r="E85"/>
  <c r="AD62"/>
  <c r="E86"/>
  <c r="AD63"/>
  <c r="E87"/>
  <c r="AD64"/>
  <c r="E88"/>
  <c r="AD65"/>
  <c r="E89"/>
  <c r="AD66"/>
  <c r="E90"/>
  <c r="AD67"/>
  <c r="E91"/>
  <c r="AD68"/>
  <c r="E92"/>
  <c r="AD69"/>
  <c r="E93"/>
  <c r="AD70"/>
  <c r="E94"/>
  <c r="AD71"/>
  <c r="E95"/>
  <c r="AD72"/>
  <c r="E96"/>
  <c r="AD73"/>
  <c r="E97"/>
  <c r="AD74"/>
  <c r="E98"/>
  <c r="AD75"/>
  <c r="E99"/>
  <c r="AD76"/>
  <c r="E100"/>
  <c r="AD77"/>
  <c r="AD78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AE2"/>
  <c r="F26"/>
  <c r="AE3"/>
  <c r="F27"/>
  <c r="AE4"/>
  <c r="F28"/>
  <c r="AE5"/>
  <c r="F29"/>
  <c r="AE6"/>
  <c r="F30"/>
  <c r="AE7"/>
  <c r="F31"/>
  <c r="AE8"/>
  <c r="F32"/>
  <c r="AE9"/>
  <c r="F33"/>
  <c r="AE10"/>
  <c r="F34"/>
  <c r="AE11"/>
  <c r="F35"/>
  <c r="AE12"/>
  <c r="F36"/>
  <c r="AE13"/>
  <c r="F37"/>
  <c r="AE14"/>
  <c r="F38"/>
  <c r="AE15"/>
  <c r="F39"/>
  <c r="AE16"/>
  <c r="F40"/>
  <c r="AE17"/>
  <c r="F41"/>
  <c r="AE18"/>
  <c r="F42"/>
  <c r="AE19"/>
  <c r="F43"/>
  <c r="AE20"/>
  <c r="F44"/>
  <c r="AE21"/>
  <c r="F45"/>
  <c r="AE22"/>
  <c r="F46"/>
  <c r="AE23"/>
  <c r="F47"/>
  <c r="AE24"/>
  <c r="F48"/>
  <c r="AE25"/>
  <c r="F49"/>
  <c r="AE26"/>
  <c r="F50"/>
  <c r="AE27"/>
  <c r="F51"/>
  <c r="AE28"/>
  <c r="F52"/>
  <c r="AE29"/>
  <c r="F53"/>
  <c r="AE30"/>
  <c r="F54"/>
  <c r="AE31"/>
  <c r="F55"/>
  <c r="AE32"/>
  <c r="F56"/>
  <c r="AE33"/>
  <c r="F57"/>
  <c r="AE34"/>
  <c r="F58"/>
  <c r="AE35"/>
  <c r="F59"/>
  <c r="AE36"/>
  <c r="F60"/>
  <c r="AE37"/>
  <c r="F61"/>
  <c r="AE38"/>
  <c r="F62"/>
  <c r="AE39"/>
  <c r="F63"/>
  <c r="AE40"/>
  <c r="F64"/>
  <c r="AE41"/>
  <c r="F65"/>
  <c r="AE42"/>
  <c r="F66"/>
  <c r="AE43"/>
  <c r="F67"/>
  <c r="AE44"/>
  <c r="F68"/>
  <c r="AE45"/>
  <c r="F69"/>
  <c r="AE46"/>
  <c r="F70"/>
  <c r="AE47"/>
  <c r="F71"/>
  <c r="AE48"/>
  <c r="F72"/>
  <c r="AE49"/>
  <c r="F73"/>
  <c r="AE50"/>
  <c r="F74"/>
  <c r="AE51"/>
  <c r="F75"/>
  <c r="AE52"/>
  <c r="F76"/>
  <c r="AE53"/>
  <c r="F77"/>
  <c r="AE54"/>
  <c r="F78"/>
  <c r="AE55"/>
  <c r="F79"/>
  <c r="AE56"/>
  <c r="F80"/>
  <c r="AE57"/>
  <c r="F81"/>
  <c r="AE58"/>
  <c r="F82"/>
  <c r="AE59"/>
  <c r="F83"/>
  <c r="AE60"/>
  <c r="F84"/>
  <c r="AE61"/>
  <c r="F85"/>
  <c r="AE62"/>
  <c r="F86"/>
  <c r="AE63"/>
  <c r="F87"/>
  <c r="AE64"/>
  <c r="F88"/>
  <c r="AE65"/>
  <c r="F89"/>
  <c r="AE66"/>
  <c r="F90"/>
  <c r="AE67"/>
  <c r="F91"/>
  <c r="AE68"/>
  <c r="F92"/>
  <c r="AE69"/>
  <c r="F93"/>
  <c r="AE70"/>
  <c r="F94"/>
  <c r="AE71"/>
  <c r="F95"/>
  <c r="AE72"/>
  <c r="F96"/>
  <c r="AE73"/>
  <c r="F97"/>
  <c r="AE74"/>
  <c r="F98"/>
  <c r="AE75"/>
  <c r="F99"/>
  <c r="AE76"/>
  <c r="F100"/>
  <c r="AE77"/>
  <c r="AE78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AF2"/>
  <c r="G26"/>
  <c r="AF3"/>
  <c r="G27"/>
  <c r="AF4"/>
  <c r="G28"/>
  <c r="AF5"/>
  <c r="G29"/>
  <c r="AF6"/>
  <c r="G30"/>
  <c r="AF7"/>
  <c r="G31"/>
  <c r="AF8"/>
  <c r="G32"/>
  <c r="AF9"/>
  <c r="G33"/>
  <c r="AF10"/>
  <c r="G34"/>
  <c r="AF11"/>
  <c r="G35"/>
  <c r="AF12"/>
  <c r="G36"/>
  <c r="AF13"/>
  <c r="G37"/>
  <c r="AF14"/>
  <c r="G38"/>
  <c r="AF15"/>
  <c r="G39"/>
  <c r="AF16"/>
  <c r="G40"/>
  <c r="AF17"/>
  <c r="G41"/>
  <c r="AF18"/>
  <c r="G42"/>
  <c r="AF19"/>
  <c r="G43"/>
  <c r="AF20"/>
  <c r="G44"/>
  <c r="AF21"/>
  <c r="G45"/>
  <c r="AF22"/>
  <c r="G46"/>
  <c r="AF23"/>
  <c r="G47"/>
  <c r="AF24"/>
  <c r="G48"/>
  <c r="AF25"/>
  <c r="G49"/>
  <c r="AF26"/>
  <c r="G50"/>
  <c r="AF27"/>
  <c r="G51"/>
  <c r="AF28"/>
  <c r="G52"/>
  <c r="AF29"/>
  <c r="G53"/>
  <c r="AF30"/>
  <c r="G54"/>
  <c r="AF31"/>
  <c r="G55"/>
  <c r="AF32"/>
  <c r="G56"/>
  <c r="AF33"/>
  <c r="G57"/>
  <c r="AF34"/>
  <c r="G58"/>
  <c r="AF35"/>
  <c r="G59"/>
  <c r="AF36"/>
  <c r="G60"/>
  <c r="AF37"/>
  <c r="G61"/>
  <c r="AF38"/>
  <c r="G62"/>
  <c r="AF39"/>
  <c r="G63"/>
  <c r="AF40"/>
  <c r="G64"/>
  <c r="AF41"/>
  <c r="G65"/>
  <c r="AF42"/>
  <c r="G66"/>
  <c r="AF43"/>
  <c r="G67"/>
  <c r="AF44"/>
  <c r="G68"/>
  <c r="AF45"/>
  <c r="G69"/>
  <c r="AF46"/>
  <c r="G70"/>
  <c r="AF47"/>
  <c r="G71"/>
  <c r="AF48"/>
  <c r="G72"/>
  <c r="AF49"/>
  <c r="G73"/>
  <c r="AF50"/>
  <c r="G74"/>
  <c r="AF51"/>
  <c r="G75"/>
  <c r="AF52"/>
  <c r="G76"/>
  <c r="AF53"/>
  <c r="G77"/>
  <c r="AF54"/>
  <c r="G78"/>
  <c r="AF55"/>
  <c r="G79"/>
  <c r="AF56"/>
  <c r="G80"/>
  <c r="AF57"/>
  <c r="G81"/>
  <c r="AF58"/>
  <c r="G82"/>
  <c r="AF59"/>
  <c r="G83"/>
  <c r="AF60"/>
  <c r="G84"/>
  <c r="AF61"/>
  <c r="G85"/>
  <c r="AF62"/>
  <c r="G86"/>
  <c r="AF63"/>
  <c r="G87"/>
  <c r="AF64"/>
  <c r="G88"/>
  <c r="AF65"/>
  <c r="G89"/>
  <c r="AF66"/>
  <c r="G90"/>
  <c r="AF67"/>
  <c r="G91"/>
  <c r="AF68"/>
  <c r="G92"/>
  <c r="AF69"/>
  <c r="G93"/>
  <c r="AF70"/>
  <c r="G94"/>
  <c r="AF71"/>
  <c r="G95"/>
  <c r="AF72"/>
  <c r="G96"/>
  <c r="AF73"/>
  <c r="G97"/>
  <c r="AF74"/>
  <c r="G98"/>
  <c r="AF75"/>
  <c r="G99"/>
  <c r="AF76"/>
  <c r="G100"/>
  <c r="AF77"/>
  <c r="AF78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AG2"/>
  <c r="H26"/>
  <c r="AG3"/>
  <c r="H27"/>
  <c r="AG4"/>
  <c r="H28"/>
  <c r="AG5"/>
  <c r="H29"/>
  <c r="AG6"/>
  <c r="H30"/>
  <c r="AG7"/>
  <c r="H31"/>
  <c r="AG8"/>
  <c r="H32"/>
  <c r="AG9"/>
  <c r="H33"/>
  <c r="AG10"/>
  <c r="H34"/>
  <c r="AG11"/>
  <c r="H35"/>
  <c r="AG12"/>
  <c r="H36"/>
  <c r="AG13"/>
  <c r="H37"/>
  <c r="AG14"/>
  <c r="H38"/>
  <c r="AG15"/>
  <c r="H39"/>
  <c r="AG16"/>
  <c r="H40"/>
  <c r="AG17"/>
  <c r="H41"/>
  <c r="AG18"/>
  <c r="H42"/>
  <c r="AG19"/>
  <c r="H43"/>
  <c r="AG20"/>
  <c r="H44"/>
  <c r="AG21"/>
  <c r="H45"/>
  <c r="AG22"/>
  <c r="H46"/>
  <c r="AG23"/>
  <c r="H47"/>
  <c r="AG24"/>
  <c r="H48"/>
  <c r="AG25"/>
  <c r="H49"/>
  <c r="AG26"/>
  <c r="H50"/>
  <c r="AG27"/>
  <c r="H51"/>
  <c r="AG28"/>
  <c r="H52"/>
  <c r="AG29"/>
  <c r="H53"/>
  <c r="AG30"/>
  <c r="H54"/>
  <c r="AG31"/>
  <c r="H55"/>
  <c r="AG32"/>
  <c r="H56"/>
  <c r="AG33"/>
  <c r="H57"/>
  <c r="AG34"/>
  <c r="H58"/>
  <c r="AG35"/>
  <c r="H59"/>
  <c r="AG36"/>
  <c r="H60"/>
  <c r="AG37"/>
  <c r="H61"/>
  <c r="AG38"/>
  <c r="H62"/>
  <c r="AG39"/>
  <c r="H63"/>
  <c r="AG40"/>
  <c r="H64"/>
  <c r="AG41"/>
  <c r="H65"/>
  <c r="AG42"/>
  <c r="H66"/>
  <c r="AG43"/>
  <c r="H67"/>
  <c r="AG44"/>
  <c r="H68"/>
  <c r="AG45"/>
  <c r="H69"/>
  <c r="AG46"/>
  <c r="H70"/>
  <c r="AG47"/>
  <c r="H71"/>
  <c r="AG48"/>
  <c r="H72"/>
  <c r="AG49"/>
  <c r="H73"/>
  <c r="AG50"/>
  <c r="H74"/>
  <c r="AG51"/>
  <c r="H75"/>
  <c r="AG52"/>
  <c r="H76"/>
  <c r="AG53"/>
  <c r="H77"/>
  <c r="AG54"/>
  <c r="H78"/>
  <c r="AG55"/>
  <c r="H79"/>
  <c r="AG56"/>
  <c r="H80"/>
  <c r="AG57"/>
  <c r="H81"/>
  <c r="AG58"/>
  <c r="H82"/>
  <c r="AG59"/>
  <c r="H83"/>
  <c r="AG60"/>
  <c r="H84"/>
  <c r="AG61"/>
  <c r="H85"/>
  <c r="AG62"/>
  <c r="H86"/>
  <c r="AG63"/>
  <c r="H87"/>
  <c r="AG64"/>
  <c r="H88"/>
  <c r="AG65"/>
  <c r="H89"/>
  <c r="AG66"/>
  <c r="H90"/>
  <c r="AG67"/>
  <c r="H91"/>
  <c r="AG68"/>
  <c r="H92"/>
  <c r="AG69"/>
  <c r="H93"/>
  <c r="AG70"/>
  <c r="H94"/>
  <c r="AG71"/>
  <c r="H95"/>
  <c r="AG72"/>
  <c r="H96"/>
  <c r="AG73"/>
  <c r="H97"/>
  <c r="AG74"/>
  <c r="H98"/>
  <c r="AG75"/>
  <c r="H99"/>
  <c r="AG76"/>
  <c r="H100"/>
  <c r="AG77"/>
  <c r="AG78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AH2"/>
  <c r="I26"/>
  <c r="AH3"/>
  <c r="I27"/>
  <c r="AH4"/>
  <c r="I28"/>
  <c r="AH5"/>
  <c r="I29"/>
  <c r="AH6"/>
  <c r="I30"/>
  <c r="AH7"/>
  <c r="I31"/>
  <c r="AH8"/>
  <c r="I32"/>
  <c r="AH9"/>
  <c r="I33"/>
  <c r="AH10"/>
  <c r="I34"/>
  <c r="AH11"/>
  <c r="I35"/>
  <c r="AH12"/>
  <c r="I36"/>
  <c r="AH13"/>
  <c r="I37"/>
  <c r="AH14"/>
  <c r="I38"/>
  <c r="AH15"/>
  <c r="I39"/>
  <c r="AH16"/>
  <c r="I40"/>
  <c r="AH17"/>
  <c r="I41"/>
  <c r="AH18"/>
  <c r="I42"/>
  <c r="AH19"/>
  <c r="I43"/>
  <c r="AH20"/>
  <c r="I44"/>
  <c r="AH21"/>
  <c r="I45"/>
  <c r="AH22"/>
  <c r="I46"/>
  <c r="AH23"/>
  <c r="I47"/>
  <c r="AH24"/>
  <c r="I48"/>
  <c r="AH25"/>
  <c r="I49"/>
  <c r="AH26"/>
  <c r="I50"/>
  <c r="AH27"/>
  <c r="I51"/>
  <c r="AH28"/>
  <c r="I52"/>
  <c r="AH29"/>
  <c r="I53"/>
  <c r="AH30"/>
  <c r="I54"/>
  <c r="AH31"/>
  <c r="I55"/>
  <c r="AH32"/>
  <c r="I56"/>
  <c r="AH33"/>
  <c r="I57"/>
  <c r="AH34"/>
  <c r="I58"/>
  <c r="AH35"/>
  <c r="I59"/>
  <c r="AH36"/>
  <c r="I60"/>
  <c r="AH37"/>
  <c r="I61"/>
  <c r="AH38"/>
  <c r="I62"/>
  <c r="AH39"/>
  <c r="I63"/>
  <c r="AH40"/>
  <c r="I64"/>
  <c r="AH41"/>
  <c r="I65"/>
  <c r="AH42"/>
  <c r="I66"/>
  <c r="AH43"/>
  <c r="I67"/>
  <c r="AH44"/>
  <c r="I68"/>
  <c r="AH45"/>
  <c r="I69"/>
  <c r="AH46"/>
  <c r="I70"/>
  <c r="AH47"/>
  <c r="I71"/>
  <c r="AH48"/>
  <c r="I72"/>
  <c r="AH49"/>
  <c r="I73"/>
  <c r="AH50"/>
  <c r="I74"/>
  <c r="AH51"/>
  <c r="I75"/>
  <c r="AH52"/>
  <c r="I76"/>
  <c r="AH53"/>
  <c r="I77"/>
  <c r="AH54"/>
  <c r="I78"/>
  <c r="AH55"/>
  <c r="I79"/>
  <c r="AH56"/>
  <c r="I80"/>
  <c r="AH57"/>
  <c r="I81"/>
  <c r="AH58"/>
  <c r="I82"/>
  <c r="AH59"/>
  <c r="I83"/>
  <c r="AH60"/>
  <c r="I84"/>
  <c r="AH61"/>
  <c r="I85"/>
  <c r="AH62"/>
  <c r="I86"/>
  <c r="AH63"/>
  <c r="I87"/>
  <c r="AH64"/>
  <c r="I88"/>
  <c r="AH65"/>
  <c r="I89"/>
  <c r="AH66"/>
  <c r="I90"/>
  <c r="AH67"/>
  <c r="I91"/>
  <c r="AH68"/>
  <c r="I92"/>
  <c r="AH69"/>
  <c r="I93"/>
  <c r="AH70"/>
  <c r="I94"/>
  <c r="AH71"/>
  <c r="I95"/>
  <c r="AH72"/>
  <c r="I96"/>
  <c r="AH73"/>
  <c r="I97"/>
  <c r="AH74"/>
  <c r="I98"/>
  <c r="AH75"/>
  <c r="I99"/>
  <c r="AH76"/>
  <c r="I100"/>
  <c r="AH77"/>
  <c r="AH78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AI2"/>
  <c r="J26"/>
  <c r="AI3"/>
  <c r="J27"/>
  <c r="AI4"/>
  <c r="J28"/>
  <c r="AI5"/>
  <c r="J29"/>
  <c r="AI6"/>
  <c r="J30"/>
  <c r="AI7"/>
  <c r="J31"/>
  <c r="AI8"/>
  <c r="J32"/>
  <c r="AI9"/>
  <c r="J33"/>
  <c r="AI10"/>
  <c r="J34"/>
  <c r="AI11"/>
  <c r="J35"/>
  <c r="AI12"/>
  <c r="J36"/>
  <c r="AI13"/>
  <c r="J37"/>
  <c r="AI14"/>
  <c r="J38"/>
  <c r="AI15"/>
  <c r="J39"/>
  <c r="AI16"/>
  <c r="J40"/>
  <c r="AI17"/>
  <c r="J41"/>
  <c r="AI18"/>
  <c r="J42"/>
  <c r="AI19"/>
  <c r="J43"/>
  <c r="AI20"/>
  <c r="J44"/>
  <c r="AI21"/>
  <c r="J45"/>
  <c r="AI22"/>
  <c r="J46"/>
  <c r="AI23"/>
  <c r="J47"/>
  <c r="AI24"/>
  <c r="J48"/>
  <c r="AI25"/>
  <c r="J49"/>
  <c r="AI26"/>
  <c r="J50"/>
  <c r="AI27"/>
  <c r="J51"/>
  <c r="AI28"/>
  <c r="J52"/>
  <c r="AI29"/>
  <c r="J53"/>
  <c r="AI30"/>
  <c r="J54"/>
  <c r="AI31"/>
  <c r="J55"/>
  <c r="AI32"/>
  <c r="J56"/>
  <c r="AI33"/>
  <c r="J57"/>
  <c r="AI34"/>
  <c r="J58"/>
  <c r="AI35"/>
  <c r="J59"/>
  <c r="AI36"/>
  <c r="J60"/>
  <c r="AI37"/>
  <c r="J61"/>
  <c r="AI38"/>
  <c r="J62"/>
  <c r="AI39"/>
  <c r="J63"/>
  <c r="AI40"/>
  <c r="J64"/>
  <c r="AI41"/>
  <c r="J65"/>
  <c r="AI42"/>
  <c r="J66"/>
  <c r="AI43"/>
  <c r="J67"/>
  <c r="AI44"/>
  <c r="J68"/>
  <c r="AI45"/>
  <c r="J69"/>
  <c r="AI46"/>
  <c r="J70"/>
  <c r="AI47"/>
  <c r="J71"/>
  <c r="AI48"/>
  <c r="J72"/>
  <c r="AI49"/>
  <c r="J73"/>
  <c r="AI50"/>
  <c r="J74"/>
  <c r="AI51"/>
  <c r="J75"/>
  <c r="AI52"/>
  <c r="J76"/>
  <c r="AI53"/>
  <c r="J77"/>
  <c r="AI54"/>
  <c r="J78"/>
  <c r="AI55"/>
  <c r="J79"/>
  <c r="AI56"/>
  <c r="J80"/>
  <c r="AI57"/>
  <c r="J81"/>
  <c r="AI58"/>
  <c r="J82"/>
  <c r="AI59"/>
  <c r="J83"/>
  <c r="AI60"/>
  <c r="J84"/>
  <c r="AI61"/>
  <c r="J85"/>
  <c r="AI62"/>
  <c r="J86"/>
  <c r="AI63"/>
  <c r="J87"/>
  <c r="AI64"/>
  <c r="J88"/>
  <c r="AI65"/>
  <c r="J89"/>
  <c r="AI66"/>
  <c r="J90"/>
  <c r="AI67"/>
  <c r="J91"/>
  <c r="AI68"/>
  <c r="J92"/>
  <c r="AI69"/>
  <c r="J93"/>
  <c r="AI70"/>
  <c r="J94"/>
  <c r="AI71"/>
  <c r="J95"/>
  <c r="AI72"/>
  <c r="J96"/>
  <c r="AI73"/>
  <c r="J97"/>
  <c r="AI74"/>
  <c r="J98"/>
  <c r="AI75"/>
  <c r="J99"/>
  <c r="AI76"/>
  <c r="J100"/>
  <c r="AI77"/>
  <c r="AI78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AJ2"/>
  <c r="K26"/>
  <c r="AJ3"/>
  <c r="K27"/>
  <c r="AJ4"/>
  <c r="K28"/>
  <c r="AJ5"/>
  <c r="K29"/>
  <c r="AJ6"/>
  <c r="K30"/>
  <c r="AJ7"/>
  <c r="K31"/>
  <c r="AJ8"/>
  <c r="K32"/>
  <c r="AJ9"/>
  <c r="K33"/>
  <c r="AJ10"/>
  <c r="K34"/>
  <c r="AJ11"/>
  <c r="K35"/>
  <c r="AJ12"/>
  <c r="K36"/>
  <c r="AJ13"/>
  <c r="K37"/>
  <c r="AJ14"/>
  <c r="K38"/>
  <c r="AJ15"/>
  <c r="K39"/>
  <c r="AJ16"/>
  <c r="K40"/>
  <c r="AJ17"/>
  <c r="K41"/>
  <c r="AJ18"/>
  <c r="K42"/>
  <c r="AJ19"/>
  <c r="K43"/>
  <c r="AJ20"/>
  <c r="K44"/>
  <c r="AJ21"/>
  <c r="K45"/>
  <c r="AJ22"/>
  <c r="K46"/>
  <c r="AJ23"/>
  <c r="K47"/>
  <c r="AJ24"/>
  <c r="K48"/>
  <c r="AJ25"/>
  <c r="K49"/>
  <c r="AJ26"/>
  <c r="K50"/>
  <c r="AJ27"/>
  <c r="K51"/>
  <c r="AJ28"/>
  <c r="K52"/>
  <c r="AJ29"/>
  <c r="K53"/>
  <c r="AJ30"/>
  <c r="K54"/>
  <c r="AJ31"/>
  <c r="K55"/>
  <c r="AJ32"/>
  <c r="K56"/>
  <c r="AJ33"/>
  <c r="K57"/>
  <c r="AJ34"/>
  <c r="K58"/>
  <c r="AJ35"/>
  <c r="K59"/>
  <c r="AJ36"/>
  <c r="K60"/>
  <c r="AJ37"/>
  <c r="K61"/>
  <c r="AJ38"/>
  <c r="K62"/>
  <c r="AJ39"/>
  <c r="K63"/>
  <c r="AJ40"/>
  <c r="K64"/>
  <c r="AJ41"/>
  <c r="K65"/>
  <c r="AJ42"/>
  <c r="K66"/>
  <c r="AJ43"/>
  <c r="K67"/>
  <c r="AJ44"/>
  <c r="K68"/>
  <c r="AJ45"/>
  <c r="K69"/>
  <c r="AJ46"/>
  <c r="K70"/>
  <c r="AJ47"/>
  <c r="K71"/>
  <c r="AJ48"/>
  <c r="K72"/>
  <c r="AJ49"/>
  <c r="K73"/>
  <c r="AJ50"/>
  <c r="K74"/>
  <c r="AJ51"/>
  <c r="K75"/>
  <c r="AJ52"/>
  <c r="K76"/>
  <c r="AJ53"/>
  <c r="K77"/>
  <c r="AJ54"/>
  <c r="K78"/>
  <c r="AJ55"/>
  <c r="K79"/>
  <c r="AJ56"/>
  <c r="K80"/>
  <c r="AJ57"/>
  <c r="K81"/>
  <c r="AJ58"/>
  <c r="K82"/>
  <c r="AJ59"/>
  <c r="K83"/>
  <c r="AJ60"/>
  <c r="K84"/>
  <c r="AJ61"/>
  <c r="K85"/>
  <c r="AJ62"/>
  <c r="K86"/>
  <c r="AJ63"/>
  <c r="K87"/>
  <c r="AJ64"/>
  <c r="K88"/>
  <c r="AJ65"/>
  <c r="K89"/>
  <c r="AJ66"/>
  <c r="K90"/>
  <c r="AJ67"/>
  <c r="K91"/>
  <c r="AJ68"/>
  <c r="K92"/>
  <c r="AJ69"/>
  <c r="K93"/>
  <c r="AJ70"/>
  <c r="K94"/>
  <c r="AJ71"/>
  <c r="K95"/>
  <c r="AJ72"/>
  <c r="K96"/>
  <c r="AJ73"/>
  <c r="K97"/>
  <c r="AJ74"/>
  <c r="K98"/>
  <c r="AJ75"/>
  <c r="K99"/>
  <c r="AJ76"/>
  <c r="K100"/>
  <c r="AJ77"/>
  <c r="AJ78"/>
  <c r="L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AK2"/>
  <c r="L26"/>
  <c r="AK3"/>
  <c r="L27"/>
  <c r="AK4"/>
  <c r="L28"/>
  <c r="AK5"/>
  <c r="L29"/>
  <c r="AK6"/>
  <c r="L30"/>
  <c r="AK7"/>
  <c r="L31"/>
  <c r="AK8"/>
  <c r="L32"/>
  <c r="AK9"/>
  <c r="L33"/>
  <c r="AK10"/>
  <c r="L34"/>
  <c r="AK11"/>
  <c r="L35"/>
  <c r="AK12"/>
  <c r="L36"/>
  <c r="AK13"/>
  <c r="L37"/>
  <c r="AK14"/>
  <c r="L38"/>
  <c r="AK15"/>
  <c r="L39"/>
  <c r="AK16"/>
  <c r="L40"/>
  <c r="AK17"/>
  <c r="L41"/>
  <c r="AK18"/>
  <c r="L42"/>
  <c r="AK19"/>
  <c r="L43"/>
  <c r="AK20"/>
  <c r="L44"/>
  <c r="AK21"/>
  <c r="L45"/>
  <c r="AK22"/>
  <c r="L46"/>
  <c r="AK23"/>
  <c r="L47"/>
  <c r="AK24"/>
  <c r="L48"/>
  <c r="AK25"/>
  <c r="L49"/>
  <c r="AK26"/>
  <c r="L50"/>
  <c r="AK27"/>
  <c r="L51"/>
  <c r="AK28"/>
  <c r="L52"/>
  <c r="AK29"/>
  <c r="L53"/>
  <c r="AK30"/>
  <c r="L54"/>
  <c r="AK31"/>
  <c r="L55"/>
  <c r="AK32"/>
  <c r="L56"/>
  <c r="AK33"/>
  <c r="L57"/>
  <c r="AK34"/>
  <c r="L58"/>
  <c r="AK35"/>
  <c r="L59"/>
  <c r="AK36"/>
  <c r="L60"/>
  <c r="AK37"/>
  <c r="L61"/>
  <c r="AK38"/>
  <c r="L62"/>
  <c r="AK39"/>
  <c r="L63"/>
  <c r="AK40"/>
  <c r="L64"/>
  <c r="AK41"/>
  <c r="L65"/>
  <c r="AK42"/>
  <c r="L66"/>
  <c r="AK43"/>
  <c r="L67"/>
  <c r="AK44"/>
  <c r="L68"/>
  <c r="AK45"/>
  <c r="L69"/>
  <c r="AK46"/>
  <c r="L70"/>
  <c r="AK47"/>
  <c r="L71"/>
  <c r="AK48"/>
  <c r="L72"/>
  <c r="AK49"/>
  <c r="L73"/>
  <c r="AK50"/>
  <c r="L74"/>
  <c r="AK51"/>
  <c r="L75"/>
  <c r="AK52"/>
  <c r="L76"/>
  <c r="AK53"/>
  <c r="L77"/>
  <c r="AK54"/>
  <c r="L78"/>
  <c r="AK55"/>
  <c r="L79"/>
  <c r="AK56"/>
  <c r="L80"/>
  <c r="AK57"/>
  <c r="L81"/>
  <c r="AK58"/>
  <c r="L82"/>
  <c r="AK59"/>
  <c r="L83"/>
  <c r="AK60"/>
  <c r="L84"/>
  <c r="AK61"/>
  <c r="L85"/>
  <c r="AK62"/>
  <c r="L86"/>
  <c r="AK63"/>
  <c r="L87"/>
  <c r="AK64"/>
  <c r="L88"/>
  <c r="AK65"/>
  <c r="L89"/>
  <c r="AK66"/>
  <c r="L90"/>
  <c r="AK67"/>
  <c r="L91"/>
  <c r="AK68"/>
  <c r="L92"/>
  <c r="AK69"/>
  <c r="L93"/>
  <c r="AK70"/>
  <c r="L94"/>
  <c r="AK71"/>
  <c r="L95"/>
  <c r="AK72"/>
  <c r="L96"/>
  <c r="AK73"/>
  <c r="L97"/>
  <c r="AK74"/>
  <c r="L98"/>
  <c r="AK75"/>
  <c r="L99"/>
  <c r="AK76"/>
  <c r="L100"/>
  <c r="AK77"/>
  <c r="AK78"/>
  <c r="M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AL2"/>
  <c r="M26"/>
  <c r="AL3"/>
  <c r="M27"/>
  <c r="AL4"/>
  <c r="M28"/>
  <c r="AL5"/>
  <c r="M29"/>
  <c r="AL6"/>
  <c r="M30"/>
  <c r="AL7"/>
  <c r="M31"/>
  <c r="AL8"/>
  <c r="M32"/>
  <c r="AL9"/>
  <c r="M33"/>
  <c r="AL10"/>
  <c r="M34"/>
  <c r="AL11"/>
  <c r="M35"/>
  <c r="AL12"/>
  <c r="M36"/>
  <c r="AL13"/>
  <c r="M37"/>
  <c r="AL14"/>
  <c r="M38"/>
  <c r="AL15"/>
  <c r="M39"/>
  <c r="AL16"/>
  <c r="M40"/>
  <c r="AL17"/>
  <c r="M41"/>
  <c r="AL18"/>
  <c r="M42"/>
  <c r="AL19"/>
  <c r="M43"/>
  <c r="AL20"/>
  <c r="M44"/>
  <c r="AL21"/>
  <c r="M45"/>
  <c r="AL22"/>
  <c r="M46"/>
  <c r="AL23"/>
  <c r="M47"/>
  <c r="AL24"/>
  <c r="M48"/>
  <c r="AL25"/>
  <c r="M49"/>
  <c r="AL26"/>
  <c r="M50"/>
  <c r="AL27"/>
  <c r="M51"/>
  <c r="AL28"/>
  <c r="M52"/>
  <c r="AL29"/>
  <c r="M53"/>
  <c r="AL30"/>
  <c r="M54"/>
  <c r="AL31"/>
  <c r="M55"/>
  <c r="AL32"/>
  <c r="M56"/>
  <c r="AL33"/>
  <c r="M57"/>
  <c r="AL34"/>
  <c r="M58"/>
  <c r="AL35"/>
  <c r="M59"/>
  <c r="AL36"/>
  <c r="M60"/>
  <c r="AL37"/>
  <c r="M61"/>
  <c r="AL38"/>
  <c r="M62"/>
  <c r="AL39"/>
  <c r="M63"/>
  <c r="AL40"/>
  <c r="M64"/>
  <c r="AL41"/>
  <c r="M65"/>
  <c r="AL42"/>
  <c r="M66"/>
  <c r="AL43"/>
  <c r="M67"/>
  <c r="AL44"/>
  <c r="M68"/>
  <c r="AL45"/>
  <c r="M69"/>
  <c r="AL46"/>
  <c r="M70"/>
  <c r="AL47"/>
  <c r="M71"/>
  <c r="AL48"/>
  <c r="M72"/>
  <c r="AL49"/>
  <c r="M73"/>
  <c r="AL50"/>
  <c r="M74"/>
  <c r="AL51"/>
  <c r="M75"/>
  <c r="AL52"/>
  <c r="M76"/>
  <c r="AL53"/>
  <c r="M77"/>
  <c r="AL54"/>
  <c r="M78"/>
  <c r="AL55"/>
  <c r="M79"/>
  <c r="AL56"/>
  <c r="M80"/>
  <c r="AL57"/>
  <c r="M81"/>
  <c r="AL58"/>
  <c r="M82"/>
  <c r="AL59"/>
  <c r="M83"/>
  <c r="AL60"/>
  <c r="M84"/>
  <c r="AL61"/>
  <c r="M85"/>
  <c r="AL62"/>
  <c r="M86"/>
  <c r="AL63"/>
  <c r="M87"/>
  <c r="AL64"/>
  <c r="M88"/>
  <c r="AL65"/>
  <c r="M89"/>
  <c r="AL66"/>
  <c r="M90"/>
  <c r="AL67"/>
  <c r="M91"/>
  <c r="AL68"/>
  <c r="M92"/>
  <c r="AL69"/>
  <c r="M93"/>
  <c r="AL70"/>
  <c r="M94"/>
  <c r="AL71"/>
  <c r="M95"/>
  <c r="AL72"/>
  <c r="M96"/>
  <c r="AL73"/>
  <c r="M97"/>
  <c r="AL74"/>
  <c r="M98"/>
  <c r="AL75"/>
  <c r="M99"/>
  <c r="AL76"/>
  <c r="M100"/>
  <c r="AL77"/>
  <c r="AL78"/>
  <c r="N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AM2"/>
  <c r="N26"/>
  <c r="AM3"/>
  <c r="N27"/>
  <c r="AM4"/>
  <c r="N28"/>
  <c r="AM5"/>
  <c r="N29"/>
  <c r="AM6"/>
  <c r="N30"/>
  <c r="AM7"/>
  <c r="N31"/>
  <c r="AM8"/>
  <c r="N32"/>
  <c r="AM9"/>
  <c r="N33"/>
  <c r="AM10"/>
  <c r="N34"/>
  <c r="AM11"/>
  <c r="N35"/>
  <c r="AM12"/>
  <c r="N36"/>
  <c r="AM13"/>
  <c r="N37"/>
  <c r="AM14"/>
  <c r="N38"/>
  <c r="AM15"/>
  <c r="N39"/>
  <c r="AM16"/>
  <c r="N40"/>
  <c r="AM17"/>
  <c r="N41"/>
  <c r="AM18"/>
  <c r="N42"/>
  <c r="AM19"/>
  <c r="N43"/>
  <c r="AM20"/>
  <c r="N44"/>
  <c r="AM21"/>
  <c r="N45"/>
  <c r="AM22"/>
  <c r="N46"/>
  <c r="AM23"/>
  <c r="N47"/>
  <c r="AM24"/>
  <c r="N48"/>
  <c r="AM25"/>
  <c r="N49"/>
  <c r="AM26"/>
  <c r="N50"/>
  <c r="AM27"/>
  <c r="N51"/>
  <c r="AM28"/>
  <c r="N52"/>
  <c r="AM29"/>
  <c r="N53"/>
  <c r="AM30"/>
  <c r="N54"/>
  <c r="AM31"/>
  <c r="N55"/>
  <c r="AM32"/>
  <c r="N56"/>
  <c r="AM33"/>
  <c r="N57"/>
  <c r="AM34"/>
  <c r="N58"/>
  <c r="AM35"/>
  <c r="N59"/>
  <c r="AM36"/>
  <c r="N60"/>
  <c r="AM37"/>
  <c r="N61"/>
  <c r="AM38"/>
  <c r="N62"/>
  <c r="AM39"/>
  <c r="N63"/>
  <c r="AM40"/>
  <c r="N64"/>
  <c r="AM41"/>
  <c r="N65"/>
  <c r="AM42"/>
  <c r="N66"/>
  <c r="AM43"/>
  <c r="N67"/>
  <c r="AM44"/>
  <c r="N68"/>
  <c r="AM45"/>
  <c r="N69"/>
  <c r="AM46"/>
  <c r="N70"/>
  <c r="AM47"/>
  <c r="N71"/>
  <c r="AM48"/>
  <c r="N72"/>
  <c r="AM49"/>
  <c r="N73"/>
  <c r="AM50"/>
  <c r="N74"/>
  <c r="AM51"/>
  <c r="N75"/>
  <c r="AM52"/>
  <c r="N76"/>
  <c r="AM53"/>
  <c r="N77"/>
  <c r="AM54"/>
  <c r="N78"/>
  <c r="AM55"/>
  <c r="N79"/>
  <c r="AM56"/>
  <c r="N80"/>
  <c r="AM57"/>
  <c r="N81"/>
  <c r="AM58"/>
  <c r="N82"/>
  <c r="AM59"/>
  <c r="N83"/>
  <c r="AM60"/>
  <c r="N84"/>
  <c r="AM61"/>
  <c r="N85"/>
  <c r="AM62"/>
  <c r="N86"/>
  <c r="AM63"/>
  <c r="N87"/>
  <c r="AM64"/>
  <c r="N88"/>
  <c r="AM65"/>
  <c r="N89"/>
  <c r="AM66"/>
  <c r="N90"/>
  <c r="AM67"/>
  <c r="N91"/>
  <c r="AM68"/>
  <c r="N92"/>
  <c r="AM69"/>
  <c r="N93"/>
  <c r="AM70"/>
  <c r="N94"/>
  <c r="AM71"/>
  <c r="N95"/>
  <c r="AM72"/>
  <c r="N96"/>
  <c r="AM73"/>
  <c r="N97"/>
  <c r="AM74"/>
  <c r="N98"/>
  <c r="AM75"/>
  <c r="N99"/>
  <c r="AM76"/>
  <c r="N100"/>
  <c r="AM77"/>
  <c r="AM78"/>
  <c r="O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AN2"/>
  <c r="O26"/>
  <c r="AN3"/>
  <c r="O27"/>
  <c r="AN4"/>
  <c r="O28"/>
  <c r="AN5"/>
  <c r="O29"/>
  <c r="AN6"/>
  <c r="O30"/>
  <c r="AN7"/>
  <c r="O31"/>
  <c r="AN8"/>
  <c r="O32"/>
  <c r="AN9"/>
  <c r="O33"/>
  <c r="AN10"/>
  <c r="O34"/>
  <c r="AN11"/>
  <c r="O35"/>
  <c r="AN12"/>
  <c r="O36"/>
  <c r="AN13"/>
  <c r="O37"/>
  <c r="AN14"/>
  <c r="O38"/>
  <c r="AN15"/>
  <c r="O39"/>
  <c r="AN16"/>
  <c r="O40"/>
  <c r="AN17"/>
  <c r="O41"/>
  <c r="AN18"/>
  <c r="O42"/>
  <c r="AN19"/>
  <c r="O43"/>
  <c r="AN20"/>
  <c r="O44"/>
  <c r="AN21"/>
  <c r="O45"/>
  <c r="AN22"/>
  <c r="O46"/>
  <c r="AN23"/>
  <c r="O47"/>
  <c r="AN24"/>
  <c r="O48"/>
  <c r="AN25"/>
  <c r="O49"/>
  <c r="AN26"/>
  <c r="O50"/>
  <c r="AN27"/>
  <c r="O51"/>
  <c r="AN28"/>
  <c r="O52"/>
  <c r="AN29"/>
  <c r="O53"/>
  <c r="AN30"/>
  <c r="O54"/>
  <c r="AN31"/>
  <c r="O55"/>
  <c r="AN32"/>
  <c r="O56"/>
  <c r="AN33"/>
  <c r="O57"/>
  <c r="AN34"/>
  <c r="O58"/>
  <c r="AN35"/>
  <c r="O59"/>
  <c r="AN36"/>
  <c r="O60"/>
  <c r="AN37"/>
  <c r="O61"/>
  <c r="AN38"/>
  <c r="O62"/>
  <c r="AN39"/>
  <c r="O63"/>
  <c r="AN40"/>
  <c r="O64"/>
  <c r="AN41"/>
  <c r="O65"/>
  <c r="AN42"/>
  <c r="O66"/>
  <c r="AN43"/>
  <c r="O67"/>
  <c r="AN44"/>
  <c r="O68"/>
  <c r="AN45"/>
  <c r="O69"/>
  <c r="AN46"/>
  <c r="O70"/>
  <c r="AN47"/>
  <c r="O71"/>
  <c r="AN48"/>
  <c r="O72"/>
  <c r="AN49"/>
  <c r="O73"/>
  <c r="AN50"/>
  <c r="O74"/>
  <c r="AN51"/>
  <c r="O75"/>
  <c r="AN52"/>
  <c r="O76"/>
  <c r="AN53"/>
  <c r="O77"/>
  <c r="AN54"/>
  <c r="O78"/>
  <c r="AN55"/>
  <c r="O79"/>
  <c r="AN56"/>
  <c r="O80"/>
  <c r="AN57"/>
  <c r="O81"/>
  <c r="AN58"/>
  <c r="O82"/>
  <c r="AN59"/>
  <c r="O83"/>
  <c r="AN60"/>
  <c r="O84"/>
  <c r="AN61"/>
  <c r="O85"/>
  <c r="AN62"/>
  <c r="O86"/>
  <c r="AN63"/>
  <c r="O87"/>
  <c r="AN64"/>
  <c r="O88"/>
  <c r="AN65"/>
  <c r="O89"/>
  <c r="AN66"/>
  <c r="O90"/>
  <c r="AN67"/>
  <c r="O91"/>
  <c r="AN68"/>
  <c r="O92"/>
  <c r="AN69"/>
  <c r="O93"/>
  <c r="AN70"/>
  <c r="O94"/>
  <c r="AN71"/>
  <c r="O95"/>
  <c r="AN72"/>
  <c r="O96"/>
  <c r="AN73"/>
  <c r="O97"/>
  <c r="AN74"/>
  <c r="O98"/>
  <c r="AN75"/>
  <c r="O99"/>
  <c r="AN76"/>
  <c r="O100"/>
  <c r="AN77"/>
  <c r="AN78"/>
  <c r="P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AO2"/>
  <c r="P26"/>
  <c r="AO3"/>
  <c r="P27"/>
  <c r="AO4"/>
  <c r="P28"/>
  <c r="AO5"/>
  <c r="P29"/>
  <c r="AO6"/>
  <c r="P30"/>
  <c r="AO7"/>
  <c r="P31"/>
  <c r="AO8"/>
  <c r="P32"/>
  <c r="AO9"/>
  <c r="P33"/>
  <c r="AO10"/>
  <c r="P34"/>
  <c r="AO11"/>
  <c r="P35"/>
  <c r="AO12"/>
  <c r="P36"/>
  <c r="AO13"/>
  <c r="P37"/>
  <c r="AO14"/>
  <c r="P38"/>
  <c r="AO15"/>
  <c r="P39"/>
  <c r="AO16"/>
  <c r="P40"/>
  <c r="AO17"/>
  <c r="P41"/>
  <c r="AO18"/>
  <c r="P42"/>
  <c r="AO19"/>
  <c r="P43"/>
  <c r="AO20"/>
  <c r="P44"/>
  <c r="AO21"/>
  <c r="P45"/>
  <c r="AO22"/>
  <c r="P46"/>
  <c r="AO23"/>
  <c r="P47"/>
  <c r="AO24"/>
  <c r="P48"/>
  <c r="AO25"/>
  <c r="P49"/>
  <c r="AO26"/>
  <c r="P50"/>
  <c r="AO27"/>
  <c r="P51"/>
  <c r="AO28"/>
  <c r="P52"/>
  <c r="AO29"/>
  <c r="P53"/>
  <c r="AO30"/>
  <c r="P54"/>
  <c r="AO31"/>
  <c r="P55"/>
  <c r="AO32"/>
  <c r="P56"/>
  <c r="AO33"/>
  <c r="P57"/>
  <c r="AO34"/>
  <c r="P58"/>
  <c r="AO35"/>
  <c r="P59"/>
  <c r="AO36"/>
  <c r="P60"/>
  <c r="AO37"/>
  <c r="P61"/>
  <c r="AO38"/>
  <c r="P62"/>
  <c r="AO39"/>
  <c r="P63"/>
  <c r="AO40"/>
  <c r="P64"/>
  <c r="AO41"/>
  <c r="P65"/>
  <c r="AO42"/>
  <c r="P66"/>
  <c r="AO43"/>
  <c r="P67"/>
  <c r="AO44"/>
  <c r="P68"/>
  <c r="AO45"/>
  <c r="P69"/>
  <c r="AO46"/>
  <c r="P70"/>
  <c r="AO47"/>
  <c r="P71"/>
  <c r="AO48"/>
  <c r="P72"/>
  <c r="AO49"/>
  <c r="P73"/>
  <c r="AO50"/>
  <c r="P74"/>
  <c r="AO51"/>
  <c r="P75"/>
  <c r="AO52"/>
  <c r="P76"/>
  <c r="AO53"/>
  <c r="P77"/>
  <c r="AO54"/>
  <c r="P78"/>
  <c r="AO55"/>
  <c r="P79"/>
  <c r="AO56"/>
  <c r="P80"/>
  <c r="AO57"/>
  <c r="P81"/>
  <c r="AO58"/>
  <c r="P82"/>
  <c r="AO59"/>
  <c r="P83"/>
  <c r="AO60"/>
  <c r="P84"/>
  <c r="AO61"/>
  <c r="P85"/>
  <c r="AO62"/>
  <c r="P86"/>
  <c r="AO63"/>
  <c r="P87"/>
  <c r="AO64"/>
  <c r="P88"/>
  <c r="AO65"/>
  <c r="P89"/>
  <c r="AO66"/>
  <c r="P90"/>
  <c r="AO67"/>
  <c r="P91"/>
  <c r="AO68"/>
  <c r="P92"/>
  <c r="AO69"/>
  <c r="P93"/>
  <c r="AO70"/>
  <c r="P94"/>
  <c r="AO71"/>
  <c r="P95"/>
  <c r="AO72"/>
  <c r="P96"/>
  <c r="AO73"/>
  <c r="P97"/>
  <c r="AO74"/>
  <c r="P98"/>
  <c r="AO75"/>
  <c r="P99"/>
  <c r="AO76"/>
  <c r="P100"/>
  <c r="AO77"/>
  <c r="AO78"/>
  <c r="Q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AP2"/>
  <c r="Q26"/>
  <c r="AP3"/>
  <c r="Q27"/>
  <c r="AP4"/>
  <c r="Q28"/>
  <c r="AP5"/>
  <c r="Q29"/>
  <c r="AP6"/>
  <c r="Q30"/>
  <c r="AP7"/>
  <c r="Q31"/>
  <c r="AP8"/>
  <c r="Q32"/>
  <c r="AP9"/>
  <c r="Q33"/>
  <c r="AP10"/>
  <c r="Q34"/>
  <c r="AP11"/>
  <c r="Q35"/>
  <c r="AP12"/>
  <c r="Q36"/>
  <c r="AP13"/>
  <c r="Q37"/>
  <c r="AP14"/>
  <c r="Q38"/>
  <c r="AP15"/>
  <c r="Q39"/>
  <c r="AP16"/>
  <c r="Q40"/>
  <c r="AP17"/>
  <c r="Q41"/>
  <c r="AP18"/>
  <c r="Q42"/>
  <c r="AP19"/>
  <c r="Q43"/>
  <c r="AP20"/>
  <c r="Q44"/>
  <c r="AP21"/>
  <c r="Q45"/>
  <c r="AP22"/>
  <c r="Q46"/>
  <c r="AP23"/>
  <c r="Q47"/>
  <c r="AP24"/>
  <c r="Q48"/>
  <c r="AP25"/>
  <c r="Q49"/>
  <c r="AP26"/>
  <c r="Q50"/>
  <c r="AP27"/>
  <c r="Q51"/>
  <c r="AP28"/>
  <c r="Q52"/>
  <c r="AP29"/>
  <c r="Q53"/>
  <c r="AP30"/>
  <c r="Q54"/>
  <c r="AP31"/>
  <c r="Q55"/>
  <c r="AP32"/>
  <c r="Q56"/>
  <c r="AP33"/>
  <c r="Q57"/>
  <c r="AP34"/>
  <c r="Q58"/>
  <c r="AP35"/>
  <c r="Q59"/>
  <c r="AP36"/>
  <c r="Q60"/>
  <c r="AP37"/>
  <c r="Q61"/>
  <c r="AP38"/>
  <c r="Q62"/>
  <c r="AP39"/>
  <c r="Q63"/>
  <c r="AP40"/>
  <c r="Q64"/>
  <c r="AP41"/>
  <c r="Q65"/>
  <c r="AP42"/>
  <c r="Q66"/>
  <c r="AP43"/>
  <c r="Q67"/>
  <c r="AP44"/>
  <c r="Q68"/>
  <c r="AP45"/>
  <c r="Q69"/>
  <c r="AP46"/>
  <c r="Q70"/>
  <c r="AP47"/>
  <c r="Q71"/>
  <c r="AP48"/>
  <c r="Q72"/>
  <c r="AP49"/>
  <c r="Q73"/>
  <c r="AP50"/>
  <c r="Q74"/>
  <c r="AP51"/>
  <c r="Q75"/>
  <c r="AP52"/>
  <c r="Q76"/>
  <c r="AP53"/>
  <c r="Q77"/>
  <c r="AP54"/>
  <c r="Q78"/>
  <c r="AP55"/>
  <c r="Q79"/>
  <c r="AP56"/>
  <c r="Q80"/>
  <c r="AP57"/>
  <c r="Q81"/>
  <c r="AP58"/>
  <c r="Q82"/>
  <c r="AP59"/>
  <c r="Q83"/>
  <c r="AP60"/>
  <c r="Q84"/>
  <c r="AP61"/>
  <c r="Q85"/>
  <c r="AP62"/>
  <c r="Q86"/>
  <c r="AP63"/>
  <c r="Q87"/>
  <c r="AP64"/>
  <c r="Q88"/>
  <c r="AP65"/>
  <c r="Q89"/>
  <c r="AP66"/>
  <c r="Q90"/>
  <c r="AP67"/>
  <c r="Q91"/>
  <c r="AP68"/>
  <c r="Q92"/>
  <c r="AP69"/>
  <c r="Q93"/>
  <c r="AP70"/>
  <c r="Q94"/>
  <c r="AP71"/>
  <c r="Q95"/>
  <c r="AP72"/>
  <c r="Q96"/>
  <c r="AP73"/>
  <c r="Q97"/>
  <c r="AP74"/>
  <c r="Q98"/>
  <c r="AP75"/>
  <c r="Q99"/>
  <c r="AP76"/>
  <c r="Q100"/>
  <c r="AP77"/>
  <c r="AP78"/>
  <c r="R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AQ2"/>
  <c r="R26"/>
  <c r="AQ3"/>
  <c r="R27"/>
  <c r="AQ4"/>
  <c r="R28"/>
  <c r="AQ5"/>
  <c r="R29"/>
  <c r="AQ6"/>
  <c r="R30"/>
  <c r="AQ7"/>
  <c r="R31"/>
  <c r="AQ8"/>
  <c r="R32"/>
  <c r="AQ9"/>
  <c r="R33"/>
  <c r="AQ10"/>
  <c r="R34"/>
  <c r="AQ11"/>
  <c r="R35"/>
  <c r="AQ12"/>
  <c r="R36"/>
  <c r="AQ13"/>
  <c r="R37"/>
  <c r="AQ14"/>
  <c r="R38"/>
  <c r="AQ15"/>
  <c r="R39"/>
  <c r="AQ16"/>
  <c r="R40"/>
  <c r="AQ17"/>
  <c r="R41"/>
  <c r="AQ18"/>
  <c r="R42"/>
  <c r="AQ19"/>
  <c r="R43"/>
  <c r="AQ20"/>
  <c r="R44"/>
  <c r="AQ21"/>
  <c r="R45"/>
  <c r="AQ22"/>
  <c r="R46"/>
  <c r="AQ23"/>
  <c r="R47"/>
  <c r="AQ24"/>
  <c r="R48"/>
  <c r="AQ25"/>
  <c r="R49"/>
  <c r="AQ26"/>
  <c r="R50"/>
  <c r="AQ27"/>
  <c r="R51"/>
  <c r="AQ28"/>
  <c r="R52"/>
  <c r="AQ29"/>
  <c r="R53"/>
  <c r="AQ30"/>
  <c r="R54"/>
  <c r="AQ31"/>
  <c r="R55"/>
  <c r="AQ32"/>
  <c r="R56"/>
  <c r="AQ33"/>
  <c r="R57"/>
  <c r="AQ34"/>
  <c r="R58"/>
  <c r="AQ35"/>
  <c r="R59"/>
  <c r="AQ36"/>
  <c r="R60"/>
  <c r="AQ37"/>
  <c r="R61"/>
  <c r="AQ38"/>
  <c r="R62"/>
  <c r="AQ39"/>
  <c r="R63"/>
  <c r="AQ40"/>
  <c r="R64"/>
  <c r="AQ41"/>
  <c r="R65"/>
  <c r="AQ42"/>
  <c r="R66"/>
  <c r="AQ43"/>
  <c r="R67"/>
  <c r="AQ44"/>
  <c r="R68"/>
  <c r="AQ45"/>
  <c r="R69"/>
  <c r="AQ46"/>
  <c r="R70"/>
  <c r="AQ47"/>
  <c r="R71"/>
  <c r="AQ48"/>
  <c r="R72"/>
  <c r="AQ49"/>
  <c r="R73"/>
  <c r="AQ50"/>
  <c r="R74"/>
  <c r="AQ51"/>
  <c r="R75"/>
  <c r="AQ52"/>
  <c r="R76"/>
  <c r="AQ53"/>
  <c r="R77"/>
  <c r="AQ54"/>
  <c r="R78"/>
  <c r="AQ55"/>
  <c r="R79"/>
  <c r="AQ56"/>
  <c r="R80"/>
  <c r="AQ57"/>
  <c r="R81"/>
  <c r="AQ58"/>
  <c r="R82"/>
  <c r="AQ59"/>
  <c r="R83"/>
  <c r="AQ60"/>
  <c r="R84"/>
  <c r="AQ61"/>
  <c r="R85"/>
  <c r="AQ62"/>
  <c r="R86"/>
  <c r="AQ63"/>
  <c r="R87"/>
  <c r="AQ64"/>
  <c r="R88"/>
  <c r="AQ65"/>
  <c r="R89"/>
  <c r="AQ66"/>
  <c r="R90"/>
  <c r="AQ67"/>
  <c r="R91"/>
  <c r="AQ68"/>
  <c r="R92"/>
  <c r="AQ69"/>
  <c r="R93"/>
  <c r="AQ70"/>
  <c r="R94"/>
  <c r="AQ71"/>
  <c r="R95"/>
  <c r="AQ72"/>
  <c r="R96"/>
  <c r="AQ73"/>
  <c r="R97"/>
  <c r="AQ74"/>
  <c r="R98"/>
  <c r="AQ75"/>
  <c r="R99"/>
  <c r="AQ76"/>
  <c r="R100"/>
  <c r="AQ77"/>
  <c r="AQ78"/>
  <c r="S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AR2"/>
  <c r="S26"/>
  <c r="AR3"/>
  <c r="S27"/>
  <c r="AR4"/>
  <c r="S28"/>
  <c r="AR5"/>
  <c r="S29"/>
  <c r="AR6"/>
  <c r="S30"/>
  <c r="AR7"/>
  <c r="S31"/>
  <c r="AR8"/>
  <c r="S32"/>
  <c r="AR9"/>
  <c r="S33"/>
  <c r="AR10"/>
  <c r="S34"/>
  <c r="AR11"/>
  <c r="S35"/>
  <c r="AR12"/>
  <c r="S36"/>
  <c r="AR13"/>
  <c r="S37"/>
  <c r="AR14"/>
  <c r="S38"/>
  <c r="AR15"/>
  <c r="S39"/>
  <c r="AR16"/>
  <c r="S40"/>
  <c r="AR17"/>
  <c r="S41"/>
  <c r="AR18"/>
  <c r="S42"/>
  <c r="AR19"/>
  <c r="S43"/>
  <c r="AR20"/>
  <c r="S44"/>
  <c r="AR21"/>
  <c r="S45"/>
  <c r="AR22"/>
  <c r="S46"/>
  <c r="AR23"/>
  <c r="S47"/>
  <c r="AR24"/>
  <c r="S48"/>
  <c r="AR25"/>
  <c r="S49"/>
  <c r="AR26"/>
  <c r="S50"/>
  <c r="AR27"/>
  <c r="S51"/>
  <c r="AR28"/>
  <c r="S52"/>
  <c r="AR29"/>
  <c r="S53"/>
  <c r="AR30"/>
  <c r="S54"/>
  <c r="AR31"/>
  <c r="S55"/>
  <c r="AR32"/>
  <c r="S56"/>
  <c r="AR33"/>
  <c r="S57"/>
  <c r="AR34"/>
  <c r="S58"/>
  <c r="AR35"/>
  <c r="S59"/>
  <c r="AR36"/>
  <c r="S60"/>
  <c r="AR37"/>
  <c r="S61"/>
  <c r="AR38"/>
  <c r="S62"/>
  <c r="AR39"/>
  <c r="S63"/>
  <c r="AR40"/>
  <c r="S64"/>
  <c r="AR41"/>
  <c r="S65"/>
  <c r="AR42"/>
  <c r="S66"/>
  <c r="AR43"/>
  <c r="S67"/>
  <c r="AR44"/>
  <c r="S68"/>
  <c r="AR45"/>
  <c r="S69"/>
  <c r="AR46"/>
  <c r="S70"/>
  <c r="AR47"/>
  <c r="S71"/>
  <c r="AR48"/>
  <c r="S72"/>
  <c r="AR49"/>
  <c r="S73"/>
  <c r="AR50"/>
  <c r="S74"/>
  <c r="AR51"/>
  <c r="S75"/>
  <c r="AR52"/>
  <c r="S76"/>
  <c r="AR53"/>
  <c r="S77"/>
  <c r="AR54"/>
  <c r="S78"/>
  <c r="AR55"/>
  <c r="S79"/>
  <c r="AR56"/>
  <c r="S80"/>
  <c r="AR57"/>
  <c r="S81"/>
  <c r="AR58"/>
  <c r="S82"/>
  <c r="AR59"/>
  <c r="S83"/>
  <c r="AR60"/>
  <c r="S84"/>
  <c r="AR61"/>
  <c r="S85"/>
  <c r="AR62"/>
  <c r="S86"/>
  <c r="AR63"/>
  <c r="S87"/>
  <c r="AR64"/>
  <c r="S88"/>
  <c r="AR65"/>
  <c r="S89"/>
  <c r="AR66"/>
  <c r="S90"/>
  <c r="AR67"/>
  <c r="S91"/>
  <c r="AR68"/>
  <c r="S92"/>
  <c r="AR69"/>
  <c r="S93"/>
  <c r="AR70"/>
  <c r="S94"/>
  <c r="AR71"/>
  <c r="S95"/>
  <c r="AR72"/>
  <c r="S96"/>
  <c r="AR73"/>
  <c r="S97"/>
  <c r="AR74"/>
  <c r="S98"/>
  <c r="AR75"/>
  <c r="S99"/>
  <c r="AR76"/>
  <c r="S100"/>
  <c r="AR77"/>
  <c r="AR78"/>
  <c r="T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AS2"/>
  <c r="T26"/>
  <c r="AS3"/>
  <c r="T27"/>
  <c r="AS4"/>
  <c r="T28"/>
  <c r="AS5"/>
  <c r="T29"/>
  <c r="AS6"/>
  <c r="T30"/>
  <c r="AS7"/>
  <c r="T31"/>
  <c r="AS8"/>
  <c r="T32"/>
  <c r="AS9"/>
  <c r="T33"/>
  <c r="AS10"/>
  <c r="T34"/>
  <c r="AS11"/>
  <c r="T35"/>
  <c r="AS12"/>
  <c r="T36"/>
  <c r="AS13"/>
  <c r="T37"/>
  <c r="AS14"/>
  <c r="T38"/>
  <c r="AS15"/>
  <c r="T39"/>
  <c r="AS16"/>
  <c r="T40"/>
  <c r="AS17"/>
  <c r="T41"/>
  <c r="AS18"/>
  <c r="T42"/>
  <c r="AS19"/>
  <c r="T43"/>
  <c r="AS20"/>
  <c r="T44"/>
  <c r="AS21"/>
  <c r="T45"/>
  <c r="AS22"/>
  <c r="T46"/>
  <c r="AS23"/>
  <c r="T47"/>
  <c r="AS24"/>
  <c r="T48"/>
  <c r="AS25"/>
  <c r="T49"/>
  <c r="AS26"/>
  <c r="T50"/>
  <c r="AS27"/>
  <c r="T51"/>
  <c r="AS28"/>
  <c r="T52"/>
  <c r="AS29"/>
  <c r="T53"/>
  <c r="AS30"/>
  <c r="T54"/>
  <c r="AS31"/>
  <c r="T55"/>
  <c r="AS32"/>
  <c r="T56"/>
  <c r="AS33"/>
  <c r="T57"/>
  <c r="AS34"/>
  <c r="T58"/>
  <c r="AS35"/>
  <c r="T59"/>
  <c r="AS36"/>
  <c r="T60"/>
  <c r="AS37"/>
  <c r="T61"/>
  <c r="AS38"/>
  <c r="T62"/>
  <c r="AS39"/>
  <c r="T63"/>
  <c r="AS40"/>
  <c r="T64"/>
  <c r="AS41"/>
  <c r="T65"/>
  <c r="AS42"/>
  <c r="T66"/>
  <c r="AS43"/>
  <c r="T67"/>
  <c r="AS44"/>
  <c r="T68"/>
  <c r="AS45"/>
  <c r="T69"/>
  <c r="AS46"/>
  <c r="T70"/>
  <c r="AS47"/>
  <c r="T71"/>
  <c r="AS48"/>
  <c r="T72"/>
  <c r="AS49"/>
  <c r="T73"/>
  <c r="AS50"/>
  <c r="T74"/>
  <c r="AS51"/>
  <c r="T75"/>
  <c r="AS52"/>
  <c r="T76"/>
  <c r="AS53"/>
  <c r="T77"/>
  <c r="AS54"/>
  <c r="T78"/>
  <c r="AS55"/>
  <c r="T79"/>
  <c r="AS56"/>
  <c r="T80"/>
  <c r="AS57"/>
  <c r="T81"/>
  <c r="AS58"/>
  <c r="T82"/>
  <c r="AS59"/>
  <c r="T83"/>
  <c r="AS60"/>
  <c r="T84"/>
  <c r="AS61"/>
  <c r="T85"/>
  <c r="AS62"/>
  <c r="T86"/>
  <c r="AS63"/>
  <c r="T87"/>
  <c r="AS64"/>
  <c r="T88"/>
  <c r="AS65"/>
  <c r="T89"/>
  <c r="AS66"/>
  <c r="T90"/>
  <c r="AS67"/>
  <c r="T91"/>
  <c r="AS68"/>
  <c r="T92"/>
  <c r="AS69"/>
  <c r="T93"/>
  <c r="AS70"/>
  <c r="T94"/>
  <c r="AS71"/>
  <c r="T95"/>
  <c r="AS72"/>
  <c r="T96"/>
  <c r="AS73"/>
  <c r="T97"/>
  <c r="AS74"/>
  <c r="T98"/>
  <c r="AS75"/>
  <c r="T99"/>
  <c r="AS76"/>
  <c r="T100"/>
  <c r="AS77"/>
  <c r="AS78"/>
  <c r="U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AT2"/>
  <c r="U26"/>
  <c r="AT3"/>
  <c r="U27"/>
  <c r="AT4"/>
  <c r="U28"/>
  <c r="AT5"/>
  <c r="U29"/>
  <c r="AT6"/>
  <c r="U30"/>
  <c r="AT7"/>
  <c r="U31"/>
  <c r="AT8"/>
  <c r="U32"/>
  <c r="AT9"/>
  <c r="U33"/>
  <c r="AT10"/>
  <c r="U34"/>
  <c r="AT11"/>
  <c r="U35"/>
  <c r="AT12"/>
  <c r="U36"/>
  <c r="AT13"/>
  <c r="U37"/>
  <c r="AT14"/>
  <c r="U38"/>
  <c r="AT15"/>
  <c r="U39"/>
  <c r="AT16"/>
  <c r="U40"/>
  <c r="AT17"/>
  <c r="U41"/>
  <c r="AT18"/>
  <c r="U42"/>
  <c r="AT19"/>
  <c r="U43"/>
  <c r="AT20"/>
  <c r="U44"/>
  <c r="AT21"/>
  <c r="U45"/>
  <c r="AT22"/>
  <c r="U46"/>
  <c r="AT23"/>
  <c r="U47"/>
  <c r="AT24"/>
  <c r="U48"/>
  <c r="AT25"/>
  <c r="U49"/>
  <c r="AT26"/>
  <c r="U50"/>
  <c r="AT27"/>
  <c r="U51"/>
  <c r="AT28"/>
  <c r="U52"/>
  <c r="AT29"/>
  <c r="U53"/>
  <c r="AT30"/>
  <c r="U54"/>
  <c r="AT31"/>
  <c r="U55"/>
  <c r="AT32"/>
  <c r="U56"/>
  <c r="AT33"/>
  <c r="U57"/>
  <c r="AT34"/>
  <c r="U58"/>
  <c r="AT35"/>
  <c r="U59"/>
  <c r="AT36"/>
  <c r="U60"/>
  <c r="AT37"/>
  <c r="U61"/>
  <c r="AT38"/>
  <c r="U62"/>
  <c r="AT39"/>
  <c r="U63"/>
  <c r="AT40"/>
  <c r="U64"/>
  <c r="AT41"/>
  <c r="U65"/>
  <c r="AT42"/>
  <c r="U66"/>
  <c r="AT43"/>
  <c r="U67"/>
  <c r="AT44"/>
  <c r="U68"/>
  <c r="AT45"/>
  <c r="U69"/>
  <c r="AT46"/>
  <c r="U70"/>
  <c r="AT47"/>
  <c r="U71"/>
  <c r="AT48"/>
  <c r="U72"/>
  <c r="AT49"/>
  <c r="U73"/>
  <c r="AT50"/>
  <c r="U74"/>
  <c r="AT51"/>
  <c r="U75"/>
  <c r="AT52"/>
  <c r="U76"/>
  <c r="AT53"/>
  <c r="U77"/>
  <c r="AT54"/>
  <c r="U78"/>
  <c r="AT55"/>
  <c r="U79"/>
  <c r="AT56"/>
  <c r="U80"/>
  <c r="AT57"/>
  <c r="U81"/>
  <c r="AT58"/>
  <c r="U82"/>
  <c r="AT59"/>
  <c r="U83"/>
  <c r="AT60"/>
  <c r="U84"/>
  <c r="AT61"/>
  <c r="U85"/>
  <c r="AT62"/>
  <c r="U86"/>
  <c r="AT63"/>
  <c r="U87"/>
  <c r="AT64"/>
  <c r="U88"/>
  <c r="AT65"/>
  <c r="U89"/>
  <c r="AT66"/>
  <c r="U90"/>
  <c r="AT67"/>
  <c r="U91"/>
  <c r="AT68"/>
  <c r="U92"/>
  <c r="AT69"/>
  <c r="U93"/>
  <c r="AT70"/>
  <c r="U94"/>
  <c r="AT71"/>
  <c r="U95"/>
  <c r="AT72"/>
  <c r="U96"/>
  <c r="AT73"/>
  <c r="U97"/>
  <c r="AT74"/>
  <c r="U98"/>
  <c r="AT75"/>
  <c r="U99"/>
  <c r="AT76"/>
  <c r="U100"/>
  <c r="AT77"/>
  <c r="AT78"/>
  <c r="V2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AU2"/>
  <c r="V26"/>
  <c r="AU3"/>
  <c r="V27"/>
  <c r="AU4"/>
  <c r="V28"/>
  <c r="AU5"/>
  <c r="V29"/>
  <c r="AU6"/>
  <c r="V30"/>
  <c r="AU7"/>
  <c r="V31"/>
  <c r="AU8"/>
  <c r="V32"/>
  <c r="AU9"/>
  <c r="V33"/>
  <c r="AU10"/>
  <c r="V34"/>
  <c r="AU11"/>
  <c r="V35"/>
  <c r="AU12"/>
  <c r="V36"/>
  <c r="AU13"/>
  <c r="V37"/>
  <c r="AU14"/>
  <c r="V38"/>
  <c r="AU15"/>
  <c r="V39"/>
  <c r="AU16"/>
  <c r="V40"/>
  <c r="AU17"/>
  <c r="V41"/>
  <c r="AU18"/>
  <c r="V42"/>
  <c r="AU19"/>
  <c r="V43"/>
  <c r="AU20"/>
  <c r="V44"/>
  <c r="AU21"/>
  <c r="V45"/>
  <c r="AU22"/>
  <c r="V46"/>
  <c r="AU23"/>
  <c r="V47"/>
  <c r="AU24"/>
  <c r="V48"/>
  <c r="AU25"/>
  <c r="V49"/>
  <c r="AU26"/>
  <c r="V50"/>
  <c r="AU27"/>
  <c r="V51"/>
  <c r="AU28"/>
  <c r="V52"/>
  <c r="AU29"/>
  <c r="V53"/>
  <c r="AU30"/>
  <c r="V54"/>
  <c r="AU31"/>
  <c r="V55"/>
  <c r="AU32"/>
  <c r="V56"/>
  <c r="AU33"/>
  <c r="V57"/>
  <c r="AU34"/>
  <c r="V58"/>
  <c r="AU35"/>
  <c r="V59"/>
  <c r="AU36"/>
  <c r="V60"/>
  <c r="AU37"/>
  <c r="V61"/>
  <c r="AU38"/>
  <c r="V62"/>
  <c r="AU39"/>
  <c r="V63"/>
  <c r="AU40"/>
  <c r="V64"/>
  <c r="AU41"/>
  <c r="V65"/>
  <c r="AU42"/>
  <c r="V66"/>
  <c r="AU43"/>
  <c r="V67"/>
  <c r="AU44"/>
  <c r="V68"/>
  <c r="AU45"/>
  <c r="V69"/>
  <c r="AU46"/>
  <c r="V70"/>
  <c r="AU47"/>
  <c r="V71"/>
  <c r="AU48"/>
  <c r="V72"/>
  <c r="AU49"/>
  <c r="V73"/>
  <c r="AU50"/>
  <c r="V74"/>
  <c r="AU51"/>
  <c r="V75"/>
  <c r="AU52"/>
  <c r="V76"/>
  <c r="AU53"/>
  <c r="V77"/>
  <c r="AU54"/>
  <c r="V78"/>
  <c r="AU55"/>
  <c r="V79"/>
  <c r="AU56"/>
  <c r="V80"/>
  <c r="AU57"/>
  <c r="V81"/>
  <c r="AU58"/>
  <c r="V82"/>
  <c r="AU59"/>
  <c r="V83"/>
  <c r="AU60"/>
  <c r="V84"/>
  <c r="AU61"/>
  <c r="V85"/>
  <c r="AU62"/>
  <c r="V86"/>
  <c r="AU63"/>
  <c r="V87"/>
  <c r="AU64"/>
  <c r="V88"/>
  <c r="AU65"/>
  <c r="V89"/>
  <c r="AU66"/>
  <c r="V90"/>
  <c r="AU67"/>
  <c r="V91"/>
  <c r="AU68"/>
  <c r="V92"/>
  <c r="AU69"/>
  <c r="V93"/>
  <c r="AU70"/>
  <c r="V94"/>
  <c r="AU71"/>
  <c r="V95"/>
  <c r="AU72"/>
  <c r="V96"/>
  <c r="AU73"/>
  <c r="V97"/>
  <c r="AU74"/>
  <c r="V98"/>
  <c r="AU75"/>
  <c r="V99"/>
  <c r="AU76"/>
  <c r="V100"/>
  <c r="AU77"/>
  <c r="AU78"/>
  <c r="W2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AV2"/>
  <c r="W26"/>
  <c r="AV3"/>
  <c r="W27"/>
  <c r="AV4"/>
  <c r="W28"/>
  <c r="AV5"/>
  <c r="W29"/>
  <c r="AV6"/>
  <c r="W30"/>
  <c r="AV7"/>
  <c r="W31"/>
  <c r="AV8"/>
  <c r="W32"/>
  <c r="AV9"/>
  <c r="W33"/>
  <c r="AV10"/>
  <c r="W34"/>
  <c r="AV11"/>
  <c r="W35"/>
  <c r="AV12"/>
  <c r="W36"/>
  <c r="AV13"/>
  <c r="W37"/>
  <c r="AV14"/>
  <c r="W38"/>
  <c r="AV15"/>
  <c r="W39"/>
  <c r="AV16"/>
  <c r="W40"/>
  <c r="AV17"/>
  <c r="W41"/>
  <c r="AV18"/>
  <c r="W42"/>
  <c r="AV19"/>
  <c r="W43"/>
  <c r="AV20"/>
  <c r="W44"/>
  <c r="AV21"/>
  <c r="W45"/>
  <c r="AV22"/>
  <c r="W46"/>
  <c r="AV23"/>
  <c r="W47"/>
  <c r="AV24"/>
  <c r="W48"/>
  <c r="AV25"/>
  <c r="W49"/>
  <c r="AV26"/>
  <c r="W50"/>
  <c r="AV27"/>
  <c r="W51"/>
  <c r="AV28"/>
  <c r="W52"/>
  <c r="AV29"/>
  <c r="W53"/>
  <c r="AV30"/>
  <c r="W54"/>
  <c r="AV31"/>
  <c r="W55"/>
  <c r="AV32"/>
  <c r="W56"/>
  <c r="AV33"/>
  <c r="W57"/>
  <c r="AV34"/>
  <c r="W58"/>
  <c r="AV35"/>
  <c r="W59"/>
  <c r="AV36"/>
  <c r="W60"/>
  <c r="AV37"/>
  <c r="W61"/>
  <c r="AV38"/>
  <c r="W62"/>
  <c r="AV39"/>
  <c r="W63"/>
  <c r="AV40"/>
  <c r="W64"/>
  <c r="AV41"/>
  <c r="W65"/>
  <c r="AV42"/>
  <c r="W66"/>
  <c r="AV43"/>
  <c r="W67"/>
  <c r="AV44"/>
  <c r="W68"/>
  <c r="AV45"/>
  <c r="W69"/>
  <c r="AV46"/>
  <c r="W70"/>
  <c r="AV47"/>
  <c r="W71"/>
  <c r="AV48"/>
  <c r="W72"/>
  <c r="AV49"/>
  <c r="W73"/>
  <c r="AV50"/>
  <c r="W74"/>
  <c r="AV51"/>
  <c r="W75"/>
  <c r="AV52"/>
  <c r="W76"/>
  <c r="AV53"/>
  <c r="W77"/>
  <c r="AV54"/>
  <c r="W78"/>
  <c r="AV55"/>
  <c r="W79"/>
  <c r="AV56"/>
  <c r="W80"/>
  <c r="AV57"/>
  <c r="W81"/>
  <c r="AV58"/>
  <c r="W82"/>
  <c r="AV59"/>
  <c r="W83"/>
  <c r="AV60"/>
  <c r="W84"/>
  <c r="AV61"/>
  <c r="W85"/>
  <c r="AV62"/>
  <c r="W86"/>
  <c r="AV63"/>
  <c r="W87"/>
  <c r="AV64"/>
  <c r="W88"/>
  <c r="AV65"/>
  <c r="W89"/>
  <c r="AV66"/>
  <c r="W90"/>
  <c r="AV67"/>
  <c r="W91"/>
  <c r="AV68"/>
  <c r="W92"/>
  <c r="AV69"/>
  <c r="W93"/>
  <c r="AV70"/>
  <c r="W94"/>
  <c r="AV71"/>
  <c r="W95"/>
  <c r="AV72"/>
  <c r="W96"/>
  <c r="AV73"/>
  <c r="W97"/>
  <c r="AV74"/>
  <c r="W98"/>
  <c r="AV75"/>
  <c r="W99"/>
  <c r="AV76"/>
  <c r="W100"/>
  <c r="AV77"/>
  <c r="AV78"/>
  <c r="X2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AW2"/>
  <c r="X26"/>
  <c r="AW3"/>
  <c r="X27"/>
  <c r="AW4"/>
  <c r="X28"/>
  <c r="AW5"/>
  <c r="X29"/>
  <c r="AW6"/>
  <c r="X30"/>
  <c r="AW7"/>
  <c r="X31"/>
  <c r="AW8"/>
  <c r="X32"/>
  <c r="AW9"/>
  <c r="X33"/>
  <c r="AW10"/>
  <c r="X34"/>
  <c r="AW11"/>
  <c r="X35"/>
  <c r="AW12"/>
  <c r="X36"/>
  <c r="AW13"/>
  <c r="X37"/>
  <c r="AW14"/>
  <c r="X38"/>
  <c r="AW15"/>
  <c r="X39"/>
  <c r="AW16"/>
  <c r="X40"/>
  <c r="AW17"/>
  <c r="X41"/>
  <c r="AW18"/>
  <c r="X42"/>
  <c r="AW19"/>
  <c r="X43"/>
  <c r="AW20"/>
  <c r="X44"/>
  <c r="AW21"/>
  <c r="X45"/>
  <c r="AW22"/>
  <c r="X46"/>
  <c r="AW23"/>
  <c r="X47"/>
  <c r="AW24"/>
  <c r="X48"/>
  <c r="AW25"/>
  <c r="X49"/>
  <c r="AW26"/>
  <c r="X50"/>
  <c r="AW27"/>
  <c r="X51"/>
  <c r="AW28"/>
  <c r="X52"/>
  <c r="AW29"/>
  <c r="X53"/>
  <c r="AW30"/>
  <c r="X54"/>
  <c r="AW31"/>
  <c r="X55"/>
  <c r="AW32"/>
  <c r="X56"/>
  <c r="AW33"/>
  <c r="X57"/>
  <c r="AW34"/>
  <c r="X58"/>
  <c r="AW35"/>
  <c r="X59"/>
  <c r="AW36"/>
  <c r="X60"/>
  <c r="AW37"/>
  <c r="X61"/>
  <c r="AW38"/>
  <c r="X62"/>
  <c r="AW39"/>
  <c r="X63"/>
  <c r="AW40"/>
  <c r="X64"/>
  <c r="AW41"/>
  <c r="X65"/>
  <c r="AW42"/>
  <c r="X66"/>
  <c r="AW43"/>
  <c r="X67"/>
  <c r="AW44"/>
  <c r="X68"/>
  <c r="AW45"/>
  <c r="X69"/>
  <c r="AW46"/>
  <c r="X70"/>
  <c r="AW47"/>
  <c r="X71"/>
  <c r="AW48"/>
  <c r="X72"/>
  <c r="AW49"/>
  <c r="X73"/>
  <c r="AW50"/>
  <c r="X74"/>
  <c r="AW51"/>
  <c r="X75"/>
  <c r="AW52"/>
  <c r="X76"/>
  <c r="AW53"/>
  <c r="X77"/>
  <c r="AW54"/>
  <c r="X78"/>
  <c r="AW55"/>
  <c r="X79"/>
  <c r="AW56"/>
  <c r="X80"/>
  <c r="AW57"/>
  <c r="X81"/>
  <c r="AW58"/>
  <c r="X82"/>
  <c r="AW59"/>
  <c r="X83"/>
  <c r="AW60"/>
  <c r="X84"/>
  <c r="AW61"/>
  <c r="X85"/>
  <c r="AW62"/>
  <c r="X86"/>
  <c r="AW63"/>
  <c r="X87"/>
  <c r="AW64"/>
  <c r="X88"/>
  <c r="AW65"/>
  <c r="X89"/>
  <c r="AW66"/>
  <c r="X90"/>
  <c r="AW67"/>
  <c r="X91"/>
  <c r="AW68"/>
  <c r="X92"/>
  <c r="AW69"/>
  <c r="X93"/>
  <c r="AW70"/>
  <c r="X94"/>
  <c r="AW71"/>
  <c r="X95"/>
  <c r="AW72"/>
  <c r="X96"/>
  <c r="AW73"/>
  <c r="X97"/>
  <c r="AW74"/>
  <c r="X98"/>
  <c r="AW75"/>
  <c r="X99"/>
  <c r="AW76"/>
  <c r="X100"/>
  <c r="AW77"/>
  <c r="AW78"/>
  <c r="Y2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AX2"/>
  <c r="Y26"/>
  <c r="AX3"/>
  <c r="Y27"/>
  <c r="AX4"/>
  <c r="Y28"/>
  <c r="AX5"/>
  <c r="Y29"/>
  <c r="AX6"/>
  <c r="Y30"/>
  <c r="AX7"/>
  <c r="Y31"/>
  <c r="AX8"/>
  <c r="Y32"/>
  <c r="AX9"/>
  <c r="Y33"/>
  <c r="AX10"/>
  <c r="Y34"/>
  <c r="AX11"/>
  <c r="Y35"/>
  <c r="AX12"/>
  <c r="Y36"/>
  <c r="AX13"/>
  <c r="Y37"/>
  <c r="AX14"/>
  <c r="Y38"/>
  <c r="AX15"/>
  <c r="Y39"/>
  <c r="AX16"/>
  <c r="Y40"/>
  <c r="AX17"/>
  <c r="Y41"/>
  <c r="AX18"/>
  <c r="Y42"/>
  <c r="AX19"/>
  <c r="Y43"/>
  <c r="AX20"/>
  <c r="Y44"/>
  <c r="AX21"/>
  <c r="Y45"/>
  <c r="AX22"/>
  <c r="Y46"/>
  <c r="AX23"/>
  <c r="Y47"/>
  <c r="AX24"/>
  <c r="Y48"/>
  <c r="AX25"/>
  <c r="Y49"/>
  <c r="AX26"/>
  <c r="Y50"/>
  <c r="AX27"/>
  <c r="Y51"/>
  <c r="AX28"/>
  <c r="Y52"/>
  <c r="AX29"/>
  <c r="Y53"/>
  <c r="AX30"/>
  <c r="Y54"/>
  <c r="AX31"/>
  <c r="Y55"/>
  <c r="AX32"/>
  <c r="Y56"/>
  <c r="AX33"/>
  <c r="Y57"/>
  <c r="AX34"/>
  <c r="Y58"/>
  <c r="AX35"/>
  <c r="Y59"/>
  <c r="AX36"/>
  <c r="Y60"/>
  <c r="AX37"/>
  <c r="Y61"/>
  <c r="AX38"/>
  <c r="Y62"/>
  <c r="AX39"/>
  <c r="Y63"/>
  <c r="AX40"/>
  <c r="Y64"/>
  <c r="AX41"/>
  <c r="Y65"/>
  <c r="AX42"/>
  <c r="Y66"/>
  <c r="AX43"/>
  <c r="Y67"/>
  <c r="AX44"/>
  <c r="Y68"/>
  <c r="AX45"/>
  <c r="Y69"/>
  <c r="AX46"/>
  <c r="Y70"/>
  <c r="AX47"/>
  <c r="Y71"/>
  <c r="AX48"/>
  <c r="Y72"/>
  <c r="AX49"/>
  <c r="Y73"/>
  <c r="AX50"/>
  <c r="Y74"/>
  <c r="AX51"/>
  <c r="Y75"/>
  <c r="AX52"/>
  <c r="Y76"/>
  <c r="AX53"/>
  <c r="Y77"/>
  <c r="AX54"/>
  <c r="Y78"/>
  <c r="AX55"/>
  <c r="Y79"/>
  <c r="AX56"/>
  <c r="Y80"/>
  <c r="AX57"/>
  <c r="Y81"/>
  <c r="AX58"/>
  <c r="Y82"/>
  <c r="AX59"/>
  <c r="Y83"/>
  <c r="AX60"/>
  <c r="Y84"/>
  <c r="AX61"/>
  <c r="Y85"/>
  <c r="AX62"/>
  <c r="Y86"/>
  <c r="AX63"/>
  <c r="Y87"/>
  <c r="AX64"/>
  <c r="Y88"/>
  <c r="AX65"/>
  <c r="Y89"/>
  <c r="AX66"/>
  <c r="Y90"/>
  <c r="AX67"/>
  <c r="Y91"/>
  <c r="AX68"/>
  <c r="Y92"/>
  <c r="AX69"/>
  <c r="Y93"/>
  <c r="AX70"/>
  <c r="Y94"/>
  <c r="AX71"/>
  <c r="Y95"/>
  <c r="AX72"/>
  <c r="Y96"/>
  <c r="AX73"/>
  <c r="Y97"/>
  <c r="AX74"/>
  <c r="Y98"/>
  <c r="AX75"/>
  <c r="Y99"/>
  <c r="AX76"/>
  <c r="Y100"/>
  <c r="AX77"/>
  <c r="AX78"/>
  <c r="Z2"/>
  <c r="Z3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AY2"/>
  <c r="Z26"/>
  <c r="AY3"/>
  <c r="Z27"/>
  <c r="AY4"/>
  <c r="Z28"/>
  <c r="AY5"/>
  <c r="Z29"/>
  <c r="AY6"/>
  <c r="Z30"/>
  <c r="AY7"/>
  <c r="Z31"/>
  <c r="AY8"/>
  <c r="Z32"/>
  <c r="AY9"/>
  <c r="Z33"/>
  <c r="AY10"/>
  <c r="Z34"/>
  <c r="AY11"/>
  <c r="Z35"/>
  <c r="AY12"/>
  <c r="Z36"/>
  <c r="AY13"/>
  <c r="Z37"/>
  <c r="AY14"/>
  <c r="Z38"/>
  <c r="AY15"/>
  <c r="Z39"/>
  <c r="AY16"/>
  <c r="Z40"/>
  <c r="AY17"/>
  <c r="Z41"/>
  <c r="AY18"/>
  <c r="Z42"/>
  <c r="AY19"/>
  <c r="Z43"/>
  <c r="AY20"/>
  <c r="Z44"/>
  <c r="AY21"/>
  <c r="Z45"/>
  <c r="AY22"/>
  <c r="Z46"/>
  <c r="AY23"/>
  <c r="Z47"/>
  <c r="AY24"/>
  <c r="Z48"/>
  <c r="AY25"/>
  <c r="Z49"/>
  <c r="AY26"/>
  <c r="Z50"/>
  <c r="AY27"/>
  <c r="Z51"/>
  <c r="AY28"/>
  <c r="Z52"/>
  <c r="AY29"/>
  <c r="Z53"/>
  <c r="AY30"/>
  <c r="Z54"/>
  <c r="AY31"/>
  <c r="Z55"/>
  <c r="AY32"/>
  <c r="Z56"/>
  <c r="AY33"/>
  <c r="Z57"/>
  <c r="AY34"/>
  <c r="Z58"/>
  <c r="AY35"/>
  <c r="Z59"/>
  <c r="AY36"/>
  <c r="Z60"/>
  <c r="AY37"/>
  <c r="Z61"/>
  <c r="AY38"/>
  <c r="Z62"/>
  <c r="AY39"/>
  <c r="Z63"/>
  <c r="AY40"/>
  <c r="Z64"/>
  <c r="AY41"/>
  <c r="Z65"/>
  <c r="AY42"/>
  <c r="Z66"/>
  <c r="AY43"/>
  <c r="Z67"/>
  <c r="AY44"/>
  <c r="Z68"/>
  <c r="AY45"/>
  <c r="Z69"/>
  <c r="AY46"/>
  <c r="Z70"/>
  <c r="AY47"/>
  <c r="Z71"/>
  <c r="AY48"/>
  <c r="Z72"/>
  <c r="AY49"/>
  <c r="Z73"/>
  <c r="AY50"/>
  <c r="Z74"/>
  <c r="AY51"/>
  <c r="Z75"/>
  <c r="AY52"/>
  <c r="Z76"/>
  <c r="AY53"/>
  <c r="Z77"/>
  <c r="AY54"/>
  <c r="Z78"/>
  <c r="AY55"/>
  <c r="Z79"/>
  <c r="AY56"/>
  <c r="Z80"/>
  <c r="AY57"/>
  <c r="Z81"/>
  <c r="AY58"/>
  <c r="Z82"/>
  <c r="AY59"/>
  <c r="Z83"/>
  <c r="AY60"/>
  <c r="Z84"/>
  <c r="AY61"/>
  <c r="Z85"/>
  <c r="AY62"/>
  <c r="Z86"/>
  <c r="AY63"/>
  <c r="Z87"/>
  <c r="AY64"/>
  <c r="Z88"/>
  <c r="AY65"/>
  <c r="Z89"/>
  <c r="AY66"/>
  <c r="Z90"/>
  <c r="AY67"/>
  <c r="Z91"/>
  <c r="AY68"/>
  <c r="Z92"/>
  <c r="AY69"/>
  <c r="Z93"/>
  <c r="AY70"/>
  <c r="Z94"/>
  <c r="AY71"/>
  <c r="Z95"/>
  <c r="AY72"/>
  <c r="Z96"/>
  <c r="AY73"/>
  <c r="Z97"/>
  <c r="AY74"/>
  <c r="Z98"/>
  <c r="AY75"/>
  <c r="Z99"/>
  <c r="AY76"/>
  <c r="Z100"/>
  <c r="AY77"/>
  <c r="AY78"/>
  <c r="AA2"/>
  <c r="AA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Z2"/>
  <c r="AA26"/>
  <c r="AZ3"/>
  <c r="AA27"/>
  <c r="AZ4"/>
  <c r="AA28"/>
  <c r="AZ5"/>
  <c r="AA29"/>
  <c r="AZ6"/>
  <c r="AA30"/>
  <c r="AZ7"/>
  <c r="AA31"/>
  <c r="AZ8"/>
  <c r="AA32"/>
  <c r="AZ9"/>
  <c r="AA33"/>
  <c r="AZ10"/>
  <c r="AA34"/>
  <c r="AZ11"/>
  <c r="AA35"/>
  <c r="AZ12"/>
  <c r="AA36"/>
  <c r="AZ13"/>
  <c r="AA37"/>
  <c r="AZ14"/>
  <c r="AA38"/>
  <c r="AZ15"/>
  <c r="AA39"/>
  <c r="AZ16"/>
  <c r="AA40"/>
  <c r="AZ17"/>
  <c r="AA41"/>
  <c r="AZ18"/>
  <c r="AA42"/>
  <c r="AZ19"/>
  <c r="AA43"/>
  <c r="AZ20"/>
  <c r="AA44"/>
  <c r="AZ21"/>
  <c r="AA45"/>
  <c r="AZ22"/>
  <c r="AA46"/>
  <c r="AZ23"/>
  <c r="AA47"/>
  <c r="AZ24"/>
  <c r="AA48"/>
  <c r="AZ25"/>
  <c r="AA49"/>
  <c r="AZ26"/>
  <c r="AA50"/>
  <c r="AZ27"/>
  <c r="AA51"/>
  <c r="AZ28"/>
  <c r="AA52"/>
  <c r="AZ29"/>
  <c r="AA53"/>
  <c r="AZ30"/>
  <c r="AA54"/>
  <c r="AZ31"/>
  <c r="AA55"/>
  <c r="AZ32"/>
  <c r="AA56"/>
  <c r="AZ33"/>
  <c r="AA57"/>
  <c r="AZ34"/>
  <c r="AA58"/>
  <c r="AZ35"/>
  <c r="AA59"/>
  <c r="AZ36"/>
  <c r="AA60"/>
  <c r="AZ37"/>
  <c r="AA61"/>
  <c r="AZ38"/>
  <c r="AA62"/>
  <c r="AZ39"/>
  <c r="AA63"/>
  <c r="AZ40"/>
  <c r="AA64"/>
  <c r="AZ41"/>
  <c r="AA65"/>
  <c r="AZ42"/>
  <c r="AA66"/>
  <c r="AZ43"/>
  <c r="AA67"/>
  <c r="AZ44"/>
  <c r="AA68"/>
  <c r="AZ45"/>
  <c r="AA69"/>
  <c r="AZ46"/>
  <c r="AA70"/>
  <c r="AZ47"/>
  <c r="AA71"/>
  <c r="AZ48"/>
  <c r="AA72"/>
  <c r="AZ49"/>
  <c r="AA73"/>
  <c r="AZ50"/>
  <c r="AA74"/>
  <c r="AZ51"/>
  <c r="AA75"/>
  <c r="AZ52"/>
  <c r="AA76"/>
  <c r="AZ53"/>
  <c r="AA77"/>
  <c r="AZ54"/>
  <c r="AA78"/>
  <c r="AZ55"/>
  <c r="AA79"/>
  <c r="AZ56"/>
  <c r="AA80"/>
  <c r="AZ57"/>
  <c r="AA81"/>
  <c r="AZ58"/>
  <c r="AA82"/>
  <c r="AZ59"/>
  <c r="AA83"/>
  <c r="AZ60"/>
  <c r="AA84"/>
  <c r="AZ61"/>
  <c r="AA85"/>
  <c r="AZ62"/>
  <c r="AA86"/>
  <c r="AZ63"/>
  <c r="AA87"/>
  <c r="AZ64"/>
  <c r="AA88"/>
  <c r="AZ65"/>
  <c r="AA89"/>
  <c r="AZ66"/>
  <c r="AA90"/>
  <c r="AZ67"/>
  <c r="AA91"/>
  <c r="AZ68"/>
  <c r="AA92"/>
  <c r="AZ69"/>
  <c r="AA93"/>
  <c r="AZ70"/>
  <c r="AA94"/>
  <c r="AZ71"/>
  <c r="AA95"/>
  <c r="AZ72"/>
  <c r="AA96"/>
  <c r="AZ73"/>
  <c r="AA97"/>
  <c r="AZ74"/>
  <c r="AA98"/>
  <c r="AZ75"/>
  <c r="AA99"/>
  <c r="AZ76"/>
  <c r="AA100"/>
  <c r="AZ77"/>
  <c r="AZ78"/>
  <c r="AB2"/>
  <c r="AB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AB1"/>
  <c r="A37" i="7"/>
  <c r="C28"/>
  <c r="B3"/>
  <c r="E28"/>
  <c r="F3"/>
  <c r="B4"/>
  <c r="F4"/>
  <c r="B5"/>
  <c r="F5"/>
  <c r="B6"/>
  <c r="F6"/>
  <c r="B7"/>
  <c r="F7"/>
  <c r="B8"/>
  <c r="F8"/>
  <c r="B9"/>
  <c r="F9"/>
  <c r="B10"/>
  <c r="F10"/>
  <c r="B11"/>
  <c r="F11"/>
  <c r="B12"/>
  <c r="F12"/>
  <c r="B13"/>
  <c r="F13"/>
  <c r="B14"/>
  <c r="F14"/>
  <c r="B15"/>
  <c r="F15"/>
  <c r="B16"/>
  <c r="F16"/>
  <c r="B17"/>
  <c r="F17"/>
  <c r="B18"/>
  <c r="F18"/>
  <c r="B19"/>
  <c r="F19"/>
  <c r="B20"/>
  <c r="F20"/>
  <c r="B21"/>
  <c r="F21"/>
  <c r="B22"/>
  <c r="F22"/>
  <c r="B23"/>
  <c r="F23"/>
  <c r="B24"/>
  <c r="F24"/>
  <c r="B25"/>
  <c r="F25"/>
  <c r="B26"/>
  <c r="F26"/>
  <c r="B27"/>
  <c r="F27"/>
  <c r="B2"/>
  <c r="F2"/>
  <c r="B28"/>
  <c r="D28"/>
  <c r="G3" i="14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2"/>
  <c r="H2"/>
  <c r="H3"/>
  <c r="H4"/>
  <c r="H5"/>
  <c r="H6"/>
  <c r="H7"/>
  <c r="H8"/>
  <c r="H9"/>
  <c r="H10"/>
  <c r="H11"/>
  <c r="H12"/>
  <c r="H13"/>
  <c r="H14"/>
  <c r="H15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D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2"/>
  <c r="C3"/>
  <c r="C4"/>
  <c r="C5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B1" i="10"/>
  <c r="C1"/>
  <c r="B2"/>
  <c r="C2"/>
  <c r="B3"/>
  <c r="C3"/>
  <c r="B4"/>
  <c r="C4"/>
  <c r="B5"/>
  <c r="C5"/>
  <c r="B6"/>
  <c r="C6"/>
  <c r="B7"/>
  <c r="C7"/>
  <c r="B8"/>
  <c r="C8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B79"/>
  <c r="C79"/>
  <c r="B80"/>
  <c r="C80"/>
  <c r="B81"/>
  <c r="C81"/>
  <c r="B82"/>
  <c r="C82"/>
  <c r="B83"/>
  <c r="C83"/>
  <c r="B84"/>
  <c r="C84"/>
  <c r="B85"/>
  <c r="C85"/>
  <c r="B86"/>
  <c r="C86"/>
  <c r="B87"/>
  <c r="C87"/>
  <c r="B88"/>
  <c r="C88"/>
  <c r="B89"/>
  <c r="C89"/>
  <c r="B90"/>
  <c r="C90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2"/>
  <c r="C102"/>
  <c r="B103"/>
  <c r="C103"/>
  <c r="B104"/>
  <c r="C104"/>
  <c r="B105"/>
  <c r="C105"/>
  <c r="B106"/>
  <c r="C106"/>
  <c r="B107"/>
  <c r="C107"/>
  <c r="B108"/>
  <c r="C108"/>
  <c r="B109"/>
  <c r="C109"/>
  <c r="B110"/>
  <c r="C110"/>
  <c r="B111"/>
  <c r="C111"/>
  <c r="B112"/>
  <c r="C112"/>
  <c r="B113"/>
  <c r="C113"/>
  <c r="B114"/>
  <c r="C114"/>
  <c r="B115"/>
  <c r="C115"/>
  <c r="B116"/>
  <c r="C116"/>
  <c r="B117"/>
  <c r="C117"/>
  <c r="B118"/>
  <c r="C118"/>
  <c r="B119"/>
  <c r="C119"/>
  <c r="B120"/>
  <c r="C120"/>
  <c r="B121"/>
  <c r="C121"/>
  <c r="B122"/>
  <c r="C122"/>
  <c r="B123"/>
  <c r="C123"/>
  <c r="B124"/>
  <c r="C124"/>
  <c r="B125"/>
  <c r="C125"/>
  <c r="B126"/>
  <c r="C126"/>
  <c r="B127"/>
  <c r="C127"/>
  <c r="B128"/>
  <c r="C128"/>
  <c r="B129"/>
  <c r="C129"/>
  <c r="B130"/>
  <c r="C130"/>
  <c r="B131"/>
  <c r="C131"/>
  <c r="B132"/>
  <c r="C132"/>
  <c r="B133"/>
  <c r="C133"/>
  <c r="B134"/>
  <c r="C134"/>
  <c r="B135"/>
  <c r="C135"/>
  <c r="B136"/>
  <c r="C136"/>
  <c r="B137"/>
  <c r="C137"/>
  <c r="B138"/>
  <c r="C138"/>
  <c r="B139"/>
  <c r="C139"/>
  <c r="B140"/>
  <c r="C140"/>
  <c r="B141"/>
  <c r="C141"/>
  <c r="B142"/>
  <c r="C142"/>
  <c r="B143"/>
  <c r="C143"/>
  <c r="B144"/>
  <c r="C144"/>
  <c r="B145"/>
  <c r="C145"/>
  <c r="B146"/>
  <c r="C146"/>
  <c r="B147"/>
  <c r="C147"/>
  <c r="B148"/>
  <c r="C148"/>
  <c r="B149"/>
  <c r="C149"/>
  <c r="B150"/>
  <c r="C150"/>
  <c r="B151"/>
  <c r="C151"/>
  <c r="B152"/>
  <c r="C152"/>
  <c r="B153"/>
  <c r="C153"/>
  <c r="B154"/>
  <c r="C154"/>
  <c r="B155"/>
  <c r="C155"/>
  <c r="B156"/>
  <c r="C156"/>
  <c r="B157"/>
  <c r="C157"/>
  <c r="B158"/>
  <c r="C158"/>
  <c r="B159"/>
  <c r="C159"/>
  <c r="B160"/>
  <c r="C160"/>
  <c r="B161"/>
  <c r="C161"/>
  <c r="B162"/>
  <c r="C162"/>
  <c r="B163"/>
  <c r="C163"/>
  <c r="B3" i="15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2"/>
  <c r="B1"/>
</calcChain>
</file>

<file path=xl/sharedStrings.xml><?xml version="1.0" encoding="utf-8"?>
<sst xmlns="http://schemas.openxmlformats.org/spreadsheetml/2006/main" count="3249" uniqueCount="355">
  <si>
    <t>POSSIBLE</t>
  </si>
  <si>
    <t>Select 31 of 50 over 150 --&gt; 75+75</t>
    <phoneticPr fontId="2" type="noConversion"/>
  </si>
  <si>
    <t>SDS</t>
    <phoneticPr fontId="2" type="noConversion"/>
  </si>
  <si>
    <t>SDS</t>
    <phoneticPr fontId="2" type="noConversion"/>
  </si>
  <si>
    <t xml:space="preserve"> WHO</t>
  </si>
  <si>
    <t xml:space="preserve"> KNOWS</t>
  </si>
  <si>
    <t xml:space="preserve"> EXACT</t>
  </si>
  <si>
    <t xml:space="preserve"> ONLY</t>
  </si>
  <si>
    <t xml:space="preserve"> WW</t>
  </si>
  <si>
    <t xml:space="preserve"> HIS</t>
  </si>
  <si>
    <t xml:space="preserve"> LAST</t>
  </si>
  <si>
    <t xml:space="preserve"> MESSAGE</t>
  </si>
  <si>
    <t xml:space="preserve"> THIRTY</t>
  </si>
  <si>
    <t>SEE</t>
  </si>
  <si>
    <t>ANYTHING</t>
  </si>
  <si>
    <t>Q</t>
    <phoneticPr fontId="2" type="noConversion"/>
  </si>
  <si>
    <t>??</t>
    <phoneticPr fontId="2" type="noConversion"/>
  </si>
  <si>
    <t>Notations</t>
    <phoneticPr fontId="2" type="noConversion"/>
  </si>
  <si>
    <t>Pos</t>
    <phoneticPr fontId="2" type="noConversion"/>
  </si>
  <si>
    <t>X pos</t>
    <phoneticPr fontId="2" type="noConversion"/>
  </si>
  <si>
    <t>X runs</t>
    <phoneticPr fontId="2" type="noConversion"/>
  </si>
  <si>
    <t>? Pos</t>
    <phoneticPr fontId="2" type="noConversion"/>
  </si>
  <si>
    <t>? Runs</t>
    <phoneticPr fontId="2" type="noConversion"/>
  </si>
  <si>
    <t>Remains</t>
    <phoneticPr fontId="2" type="noConversion"/>
  </si>
  <si>
    <t>WORD</t>
    <phoneticPr fontId="2" type="noConversion"/>
  </si>
  <si>
    <t>S</t>
    <phoneticPr fontId="2" type="noConversion"/>
  </si>
  <si>
    <t>W</t>
    <phoneticPr fontId="2" type="noConversion"/>
  </si>
  <si>
    <t>B</t>
    <phoneticPr fontId="2" type="noConversion"/>
  </si>
  <si>
    <t>R</t>
    <phoneticPr fontId="2" type="noConversion"/>
  </si>
  <si>
    <t>N</t>
    <phoneticPr fontId="2" type="noConversion"/>
  </si>
  <si>
    <t>Y</t>
    <phoneticPr fontId="2" type="noConversion"/>
  </si>
  <si>
    <t>P</t>
    <phoneticPr fontId="2" type="noConversion"/>
  </si>
  <si>
    <t>V</t>
    <phoneticPr fontId="2" type="noConversion"/>
  </si>
  <si>
    <t>T</t>
    <phoneticPr fontId="2" type="noConversion"/>
  </si>
  <si>
    <t>T</t>
    <phoneticPr fontId="2" type="noConversion"/>
  </si>
  <si>
    <t>B</t>
    <phoneticPr fontId="2" type="noConversion"/>
  </si>
  <si>
    <t>E</t>
    <phoneticPr fontId="2" type="noConversion"/>
  </si>
  <si>
    <t>R</t>
    <phoneticPr fontId="2" type="noConversion"/>
  </si>
  <si>
    <t>ABSENCE</t>
  </si>
  <si>
    <t>OF</t>
  </si>
  <si>
    <t>LIGHT</t>
  </si>
  <si>
    <t>LIES</t>
  </si>
  <si>
    <t>NUANCE</t>
  </si>
  <si>
    <t>IQLUSION</t>
  </si>
  <si>
    <t>IT</t>
  </si>
  <si>
    <t>WAS</t>
  </si>
  <si>
    <t>TOTALLY</t>
  </si>
  <si>
    <t>INVISIBLE</t>
  </si>
  <si>
    <t>HOWS</t>
  </si>
  <si>
    <t>THAT</t>
  </si>
  <si>
    <t>THEY</t>
  </si>
  <si>
    <t>USED</t>
  </si>
  <si>
    <t>EARTHS</t>
  </si>
  <si>
    <t>MAGNETIC</t>
  </si>
  <si>
    <t>FIELD</t>
  </si>
  <si>
    <t>INFORMATION</t>
  </si>
  <si>
    <t>GATHERED</t>
  </si>
  <si>
    <t>?</t>
    <phoneticPr fontId="2" type="noConversion"/>
  </si>
  <si>
    <t>K</t>
    <phoneticPr fontId="2" type="noConversion"/>
  </si>
  <si>
    <t xml:space="preserve"> BETWEEN</t>
  </si>
  <si>
    <t xml:space="preserve"> SUBTLE</t>
  </si>
  <si>
    <t xml:space="preserve"> SHADING</t>
  </si>
  <si>
    <t xml:space="preserve"> AND</t>
  </si>
  <si>
    <t xml:space="preserve"> THE</t>
  </si>
  <si>
    <t xml:space="preserve"> ABSENCE</t>
  </si>
  <si>
    <t xml:space="preserve"> OF</t>
  </si>
  <si>
    <t xml:space="preserve"> LIGHT</t>
  </si>
  <si>
    <t>OBKR</t>
    <phoneticPr fontId="2" type="noConversion"/>
  </si>
  <si>
    <t>Letter Pos</t>
    <phoneticPr fontId="2" type="noConversion"/>
  </si>
  <si>
    <t>Python</t>
    <phoneticPr fontId="2" type="noConversion"/>
  </si>
  <si>
    <t>Word Pos</t>
    <phoneticPr fontId="2" type="noConversion"/>
  </si>
  <si>
    <t>L</t>
    <phoneticPr fontId="2" type="noConversion"/>
  </si>
  <si>
    <t>I</t>
    <phoneticPr fontId="2" type="noConversion"/>
  </si>
  <si>
    <t>N</t>
    <phoneticPr fontId="2" type="noConversion"/>
  </si>
  <si>
    <t>BETWEEN</t>
  </si>
  <si>
    <t>SUBTLE</t>
  </si>
  <si>
    <t>SHADING</t>
  </si>
  <si>
    <t>AND</t>
  </si>
  <si>
    <t>THE</t>
  </si>
  <si>
    <t xml:space="preserve"> WIDENING</t>
  </si>
  <si>
    <t xml:space="preserve"> HOLE</t>
  </si>
  <si>
    <t xml:space="preserve"> INSERTED</t>
  </si>
  <si>
    <t xml:space="preserve"> CANDLE</t>
  </si>
  <si>
    <t xml:space="preserve"> PEERED</t>
  </si>
  <si>
    <t xml:space="preserve"> HOT</t>
  </si>
  <si>
    <t xml:space="preserve"> AIR</t>
  </si>
  <si>
    <t xml:space="preserve"> ESCAPING</t>
  </si>
  <si>
    <t xml:space="preserve"> FROM</t>
  </si>
  <si>
    <t xml:space="preserve"> CHAMBER</t>
  </si>
  <si>
    <t xml:space="preserve"> CAUSED</t>
  </si>
  <si>
    <t xml:space="preserve"> FLAME</t>
  </si>
  <si>
    <t xml:space="preserve"> FLICKER</t>
  </si>
  <si>
    <t xml:space="preserve"> BUT</t>
  </si>
  <si>
    <t xml:space="preserve"> PRESENTLY</t>
  </si>
  <si>
    <t xml:space="preserve"> DETAILS</t>
  </si>
  <si>
    <t xml:space="preserve"> ROOM</t>
  </si>
  <si>
    <t xml:space="preserve"> WITHIN</t>
  </si>
  <si>
    <t xml:space="preserve"> EMERGED</t>
  </si>
  <si>
    <t xml:space="preserve"> MIST</t>
  </si>
  <si>
    <t xml:space="preserve"> CAN</t>
  </si>
  <si>
    <t xml:space="preserve"> YOU</t>
  </si>
  <si>
    <t xml:space="preserve"> SEE</t>
  </si>
  <si>
    <t xml:space="preserve"> ANYTHING</t>
  </si>
  <si>
    <t xml:space="preserve"> Q</t>
  </si>
  <si>
    <t>C</t>
    <phoneticPr fontId="2" type="noConversion"/>
  </si>
  <si>
    <t>Y</t>
  </si>
  <si>
    <t>V</t>
  </si>
  <si>
    <t>P</t>
  </si>
  <si>
    <t>?</t>
  </si>
  <si>
    <t>R</t>
  </si>
  <si>
    <t>M</t>
  </si>
  <si>
    <t>X</t>
  </si>
  <si>
    <t>K</t>
  </si>
  <si>
    <t>-&gt;</t>
    <phoneticPr fontId="2" type="noConversion"/>
  </si>
  <si>
    <t>PRESENTLY</t>
  </si>
  <si>
    <t>DETAILS</t>
  </si>
  <si>
    <t>ROOM</t>
  </si>
  <si>
    <t>WITHIN</t>
  </si>
  <si>
    <t>EMERGED</t>
  </si>
  <si>
    <t>MIST</t>
  </si>
  <si>
    <t>CAN</t>
  </si>
  <si>
    <t>YOU</t>
  </si>
  <si>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</si>
  <si>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</si>
  <si>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</si>
  <si>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</si>
  <si>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</si>
  <si>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</si>
  <si>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</si>
  <si>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</si>
  <si>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</si>
  <si>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</si>
  <si>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</si>
  <si>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</si>
  <si>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</si>
  <si>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N</t>
    <phoneticPr fontId="2" type="noConversion"/>
  </si>
  <si>
    <t>C</t>
  </si>
  <si>
    <t>O</t>
  </si>
  <si>
    <t>F</t>
  </si>
  <si>
    <t>Q</t>
  </si>
  <si>
    <t>O</t>
    <phoneticPr fontId="2" type="noConversion"/>
  </si>
  <si>
    <t>J</t>
  </si>
  <si>
    <t>Z</t>
  </si>
  <si>
    <t>Pos</t>
    <phoneticPr fontId="2" type="noConversion"/>
  </si>
  <si>
    <t>SawTooth</t>
    <phoneticPr fontId="2" type="noConversion"/>
  </si>
  <si>
    <t>BURIED</t>
  </si>
  <si>
    <t>OUT</t>
  </si>
  <si>
    <t>THERE</t>
  </si>
  <si>
    <t>SOMEWHERE</t>
  </si>
  <si>
    <t>WHO</t>
  </si>
  <si>
    <t>KNOWS</t>
  </si>
  <si>
    <t>EXACT</t>
  </si>
  <si>
    <t>ONLY</t>
  </si>
  <si>
    <t>WW</t>
  </si>
  <si>
    <t>THIS</t>
  </si>
  <si>
    <t>HIS</t>
  </si>
  <si>
    <t>LAST</t>
  </si>
  <si>
    <t>MESSAGE</t>
  </si>
  <si>
    <t>A</t>
    <phoneticPr fontId="2" type="noConversion"/>
  </si>
  <si>
    <t>S</t>
    <phoneticPr fontId="2" type="noConversion"/>
  </si>
  <si>
    <t>N</t>
    <phoneticPr fontId="2" type="noConversion"/>
  </si>
  <si>
    <t>O</t>
    <phoneticPr fontId="2" type="noConversion"/>
  </si>
  <si>
    <t>H</t>
    <phoneticPr fontId="2" type="noConversion"/>
  </si>
  <si>
    <t>L</t>
    <phoneticPr fontId="2" type="noConversion"/>
  </si>
  <si>
    <t>I</t>
    <phoneticPr fontId="2" type="noConversion"/>
  </si>
  <si>
    <t>C</t>
    <phoneticPr fontId="2" type="noConversion"/>
  </si>
  <si>
    <t>K</t>
    <phoneticPr fontId="2" type="noConversion"/>
  </si>
  <si>
    <t xml:space="preserve"> TINY</t>
  </si>
  <si>
    <t xml:space="preserve"> BREACH</t>
  </si>
  <si>
    <t xml:space="preserve"> IN</t>
  </si>
  <si>
    <t xml:space="preserve"> UPPER</t>
  </si>
  <si>
    <t xml:space="preserve"> LEFT</t>
  </si>
  <si>
    <t xml:space="preserve"> HAND</t>
  </si>
  <si>
    <t xml:space="preserve"> CORNER</t>
  </si>
  <si>
    <t xml:space="preserve"> THEN</t>
  </si>
  <si>
    <t>REMAINS</t>
  </si>
  <si>
    <t>PASSAGE</t>
  </si>
  <si>
    <t>DEBRIS</t>
  </si>
  <si>
    <t>ENCUMBERED</t>
  </si>
  <si>
    <t>LOWER</t>
  </si>
  <si>
    <t>PART</t>
  </si>
  <si>
    <t>DOORWAY</t>
  </si>
  <si>
    <t>REMOVED</t>
  </si>
  <si>
    <t>WITH</t>
  </si>
  <si>
    <t>TREMBLING</t>
  </si>
  <si>
    <t>HANDS</t>
  </si>
  <si>
    <t>MADE</t>
  </si>
  <si>
    <t>TINY</t>
  </si>
  <si>
    <t>BREACH</t>
  </si>
  <si>
    <t>IN</t>
  </si>
  <si>
    <t>UPPER</t>
  </si>
  <si>
    <t>LEFT</t>
  </si>
  <si>
    <t>HAND</t>
  </si>
  <si>
    <t>CORNER</t>
  </si>
  <si>
    <t>THEN</t>
  </si>
  <si>
    <t>WIDENING</t>
  </si>
  <si>
    <t>HOLE</t>
  </si>
  <si>
    <t>LITTLE</t>
  </si>
  <si>
    <t>INSERTED</t>
  </si>
  <si>
    <t>CANDLE</t>
  </si>
  <si>
    <t>PEERED</t>
  </si>
  <si>
    <t>HOT</t>
  </si>
  <si>
    <t>AIR</t>
  </si>
  <si>
    <t>ESCAPING</t>
  </si>
  <si>
    <t>FROM</t>
  </si>
  <si>
    <t>CHAMBER</t>
  </si>
  <si>
    <t>CAUSED</t>
  </si>
  <si>
    <t>FLAME</t>
  </si>
  <si>
    <t>FLICKER</t>
  </si>
  <si>
    <t>BUT</t>
  </si>
  <si>
    <t>N</t>
    <phoneticPr fontId="2" type="noConversion"/>
  </si>
  <si>
    <t>N</t>
    <phoneticPr fontId="2" type="noConversion"/>
  </si>
  <si>
    <t>English</t>
    <phoneticPr fontId="2" type="noConversion"/>
  </si>
  <si>
    <t>Kryptos</t>
    <phoneticPr fontId="2" type="noConversion"/>
  </si>
  <si>
    <t>Count</t>
    <phoneticPr fontId="2" type="noConversion"/>
  </si>
  <si>
    <t>Big Diff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</si>
  <si>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</si>
  <si>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</si>
  <si>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</si>
  <si>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Expected Chars</t>
    <phoneticPr fontId="2" type="noConversion"/>
  </si>
  <si>
    <t>N - due to stops</t>
    <phoneticPr fontId="2" type="noConversion"/>
  </si>
  <si>
    <t>N</t>
    <phoneticPr fontId="2" type="noConversion"/>
  </si>
  <si>
    <t>Y</t>
    <phoneticPr fontId="2" type="noConversion"/>
  </si>
  <si>
    <t>K1 length</t>
    <phoneticPr fontId="2" type="noConversion"/>
  </si>
  <si>
    <t>K2 length</t>
    <phoneticPr fontId="2" type="noConversion"/>
  </si>
  <si>
    <t>K3 length</t>
    <phoneticPr fontId="2" type="noConversion"/>
  </si>
  <si>
    <t>THIRTY</t>
  </si>
  <si>
    <t>EIGHT</t>
  </si>
  <si>
    <t>DEGREES</t>
  </si>
  <si>
    <t>FIFTY</t>
  </si>
  <si>
    <t>SEVEN</t>
  </si>
  <si>
    <t>MINUTES</t>
  </si>
  <si>
    <t>SIX</t>
  </si>
  <si>
    <t>POINT</t>
  </si>
  <si>
    <t>FIVE</t>
  </si>
  <si>
    <t>SECONDS</t>
  </si>
  <si>
    <t>NORTH</t>
  </si>
  <si>
    <t>SEVENTY</t>
  </si>
  <si>
    <t>FORTY</t>
  </si>
  <si>
    <t>FOUR</t>
  </si>
  <si>
    <t>WEST</t>
  </si>
  <si>
    <t>LAYER</t>
  </si>
  <si>
    <t>TWO</t>
  </si>
  <si>
    <t>POSSIBLE</t>
    <phoneticPr fontId="2" type="noConversion"/>
  </si>
  <si>
    <t>??</t>
    <phoneticPr fontId="2" type="noConversion"/>
  </si>
  <si>
    <t>??</t>
    <phoneticPr fontId="2" type="noConversion"/>
  </si>
  <si>
    <t>LOCATION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</si>
  <si>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</si>
  <si>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</si>
  <si>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</si>
  <si>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</si>
  <si>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SLOWLY</t>
  </si>
  <si>
    <t>DESPARATLY</t>
  </si>
  <si>
    <t xml:space="preserve"> TOTALLY</t>
  </si>
  <si>
    <t xml:space="preserve"> INVISIBLE</t>
  </si>
  <si>
    <t xml:space="preserve"> HOWS</t>
  </si>
  <si>
    <t xml:space="preserve"> THAT</t>
  </si>
  <si>
    <t xml:space="preserve"> POSSIBLE</t>
  </si>
  <si>
    <t xml:space="preserve"> THEY</t>
  </si>
  <si>
    <t xml:space="preserve"> USED</t>
  </si>
  <si>
    <t xml:space="preserve"> EARTHS</t>
  </si>
  <si>
    <t xml:space="preserve"> MAGNETIC</t>
  </si>
  <si>
    <t xml:space="preserve"> FIELD</t>
  </si>
  <si>
    <t xml:space="preserve"> X</t>
  </si>
  <si>
    <t xml:space="preserve"> INFORMATION</t>
  </si>
  <si>
    <t xml:space="preserve"> GATHERED</t>
  </si>
  <si>
    <t xml:space="preserve"> TRANSMITTED</t>
  </si>
  <si>
    <t xml:space="preserve"> UNDERGRUUND</t>
  </si>
  <si>
    <t xml:space="preserve"> TO</t>
  </si>
  <si>
    <t xml:space="preserve"> AN</t>
  </si>
  <si>
    <t xml:space="preserve"> UNKNOWN</t>
  </si>
  <si>
    <t xml:space="preserve"> LOCATION</t>
  </si>
  <si>
    <t xml:space="preserve"> DOES</t>
  </si>
  <si>
    <t xml:space="preserve"> LANGLEY</t>
  </si>
  <si>
    <t xml:space="preserve"> KNOW</t>
  </si>
  <si>
    <t xml:space="preserve"> ABOUT</t>
  </si>
  <si>
    <t xml:space="preserve"> THIS</t>
  </si>
  <si>
    <t xml:space="preserve"> SHOULD</t>
  </si>
  <si>
    <t xml:space="preserve"> ITS</t>
  </si>
  <si>
    <t xml:space="preserve"> BURIED</t>
  </si>
  <si>
    <t xml:space="preserve"> OUT</t>
  </si>
  <si>
    <t xml:space="preserve"> THERE</t>
  </si>
  <si>
    <t xml:space="preserve"> SOMEWHERE</t>
  </si>
  <si>
    <t>SSYSXSDNXWYDESNSTYYXSNSSRYSSEFSGEHRRGADDEGRETFNENG</t>
    <phoneticPr fontId="2" type="noConversion"/>
  </si>
  <si>
    <t>TYETEDECDENDDDONNSYTSDSTEXOETYWSSEXTSNSTEHYSTYRTXOYYEFETDRTEYDHSIAYNETDDNEEEIEEDNTRMEDEORYSEMDMTXUEQ</t>
  </si>
  <si>
    <t>K4-I</t>
    <phoneticPr fontId="2" type="noConversion"/>
  </si>
  <si>
    <t>K4-II</t>
    <phoneticPr fontId="2" type="noConversion"/>
  </si>
  <si>
    <t xml:space="preserve"> LIES</t>
  </si>
  <si>
    <t xml:space="preserve"> NUANCE</t>
  </si>
  <si>
    <t xml:space="preserve"> IQLUSION</t>
  </si>
  <si>
    <t xml:space="preserve"> IT</t>
  </si>
  <si>
    <t xml:space="preserve"> WAS</t>
  </si>
  <si>
    <t>&lt;-</t>
    <phoneticPr fontId="2" type="noConversion"/>
  </si>
  <si>
    <t/>
  </si>
  <si>
    <t>?</t>
    <phoneticPr fontId="2" type="noConversion"/>
  </si>
  <si>
    <t>preOut</t>
    <phoneticPr fontId="2" type="noConversion"/>
  </si>
  <si>
    <t>postOut</t>
    <phoneticPr fontId="2" type="noConversion"/>
  </si>
  <si>
    <t>Line</t>
    <phoneticPr fontId="2" type="noConversion"/>
  </si>
  <si>
    <t>Avg24</t>
    <phoneticPr fontId="2" type="noConversion"/>
  </si>
  <si>
    <t>Code</t>
    <phoneticPr fontId="2" type="noConversion"/>
  </si>
  <si>
    <t>??</t>
    <phoneticPr fontId="2" type="noConversion"/>
  </si>
  <si>
    <t>THIS</t>
    <phoneticPr fontId="2" type="noConversion"/>
  </si>
  <si>
    <t>K4</t>
    <phoneticPr fontId="2" type="noConversion"/>
  </si>
  <si>
    <t>subRemains</t>
    <phoneticPr fontId="2" type="noConversion"/>
  </si>
  <si>
    <t>newK4avg24</t>
    <phoneticPr fontId="2" type="noConversion"/>
  </si>
  <si>
    <t>oldK4avg24</t>
    <phoneticPr fontId="2" type="noConversion"/>
  </si>
  <si>
    <t>Odd</t>
    <phoneticPr fontId="2" type="noConversion"/>
  </si>
  <si>
    <t>Even</t>
    <phoneticPr fontId="2" type="noConversion"/>
  </si>
  <si>
    <t>OddAvg24</t>
    <phoneticPr fontId="2" type="noConversion"/>
  </si>
  <si>
    <t>EvenAvg24</t>
    <phoneticPr fontId="2" type="noConversion"/>
  </si>
  <si>
    <t>Ave24</t>
    <phoneticPr fontId="2" type="noConversion"/>
  </si>
  <si>
    <t>TRANSMITTED</t>
  </si>
  <si>
    <t>UNDERGRUUND</t>
  </si>
  <si>
    <t>TO</t>
  </si>
  <si>
    <t>AN</t>
  </si>
  <si>
    <t>UNKNOWN</t>
  </si>
  <si>
    <t>LOCATION</t>
  </si>
  <si>
    <t>DOES</t>
  </si>
  <si>
    <t>LANGLEY</t>
  </si>
  <si>
    <t>KNOW</t>
  </si>
  <si>
    <t>ABOUT</t>
  </si>
  <si>
    <t>SHOULD</t>
  </si>
  <si>
    <t>ITS</t>
  </si>
  <si>
    <t xml:space="preserve"> EIGHT</t>
  </si>
  <si>
    <t xml:space="preserve"> DEGREES</t>
  </si>
  <si>
    <t xml:space="preserve"> FIFTY</t>
  </si>
  <si>
    <t xml:space="preserve"> SEVEN</t>
  </si>
  <si>
    <t xml:space="preserve"> MINUTES</t>
  </si>
  <si>
    <t xml:space="preserve"> SIX</t>
  </si>
  <si>
    <t xml:space="preserve"> POINT</t>
  </si>
  <si>
    <t xml:space="preserve"> FIVE</t>
  </si>
  <si>
    <t xml:space="preserve"> SECONDS</t>
  </si>
  <si>
    <t xml:space="preserve"> NORTH</t>
  </si>
  <si>
    <t xml:space="preserve"> SEVENTY</t>
  </si>
  <si>
    <t xml:space="preserve"> FORTY</t>
  </si>
  <si>
    <t xml:space="preserve"> FOUR</t>
  </si>
  <si>
    <t xml:space="preserve"> WEST</t>
  </si>
  <si>
    <t xml:space="preserve"> LAYER</t>
  </si>
  <si>
    <t xml:space="preserve"> TWO</t>
  </si>
  <si>
    <t xml:space="preserve"> SLOWLY</t>
  </si>
  <si>
    <t xml:space="preserve"> DESPARATLY</t>
  </si>
  <si>
    <t xml:space="preserve"> REMAINS</t>
  </si>
  <si>
    <t xml:space="preserve"> PASSAGE</t>
  </si>
  <si>
    <t xml:space="preserve"> DEBRIS</t>
  </si>
  <si>
    <t xml:space="preserve"> ENCUMBERED</t>
  </si>
  <si>
    <t xml:space="preserve"> LOWER</t>
  </si>
  <si>
    <t xml:space="preserve"> PART</t>
  </si>
  <si>
    <t xml:space="preserve"> DOORWAY</t>
  </si>
  <si>
    <t xml:space="preserve"> REMOVED</t>
  </si>
  <si>
    <t xml:space="preserve"> WITH</t>
  </si>
  <si>
    <t xml:space="preserve"> TREMBLING</t>
  </si>
  <si>
    <t xml:space="preserve"> HANDS</t>
  </si>
  <si>
    <t xml:space="preserve"> I</t>
  </si>
  <si>
    <t xml:space="preserve"> MADE</t>
  </si>
  <si>
    <t xml:space="preserve"> A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</si>
</sst>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name val="Verdana"/>
    </font>
    <font>
      <sz val="14"/>
      <color indexed="63"/>
      <name val="Arial"/>
    </font>
    <font>
      <sz val="8"/>
      <name val="Verdana"/>
    </font>
    <font>
      <sz val="14"/>
      <name val="STIXGeneral-Regular"/>
    </font>
    <font>
      <i/>
      <sz val="8"/>
      <name val="STIXGeneral-Regular"/>
    </font>
    <font>
      <sz val="12"/>
      <name val=".AppleSystemUIFont"/>
      <family val="2"/>
    </font>
    <font>
      <b/>
      <sz val="12"/>
      <color indexed="10"/>
      <name val=".AppleSystemUIFont"/>
      <family val="2"/>
    </font>
    <font>
      <b/>
      <sz val="10"/>
      <color indexed="10"/>
      <name val="Verdana"/>
    </font>
  </fonts>
  <fills count="7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164" fontId="0" fillId="0" borderId="0" xfId="0" applyNumberFormat="1"/>
    <xf numFmtId="0" fontId="5" fillId="0" borderId="2" xfId="0" applyFont="1" applyBorder="1" applyAlignment="1">
      <alignment vertical="top" wrapText="1"/>
    </xf>
    <xf numFmtId="3" fontId="0" fillId="0" borderId="0" xfId="0" applyNumberFormat="1"/>
    <xf numFmtId="3" fontId="5" fillId="0" borderId="2" xfId="0" applyNumberFormat="1" applyFont="1" applyBorder="1" applyAlignment="1">
      <alignment horizontal="right" vertical="top" wrapText="1"/>
    </xf>
    <xf numFmtId="10" fontId="0" fillId="0" borderId="0" xfId="0" applyNumberFormat="1"/>
    <xf numFmtId="10" fontId="5" fillId="0" borderId="2" xfId="0" applyNumberFormat="1" applyFont="1" applyBorder="1" applyAlignment="1">
      <alignment horizontal="right" vertical="top" wrapText="1"/>
    </xf>
    <xf numFmtId="0" fontId="0" fillId="0" borderId="0" xfId="0" applyNumberFormat="1"/>
    <xf numFmtId="2" fontId="0" fillId="0" borderId="0" xfId="0" applyNumberFormat="1"/>
    <xf numFmtId="0" fontId="6" fillId="0" borderId="2" xfId="0" applyFont="1" applyBorder="1" applyAlignment="1">
      <alignment vertical="top" wrapText="1"/>
    </xf>
    <xf numFmtId="10" fontId="6" fillId="0" borderId="2" xfId="0" applyNumberFormat="1" applyFont="1" applyBorder="1" applyAlignment="1">
      <alignment horizontal="right" vertical="top" wrapText="1"/>
    </xf>
    <xf numFmtId="3" fontId="6" fillId="0" borderId="2" xfId="0" applyNumberFormat="1" applyFont="1" applyBorder="1" applyAlignment="1">
      <alignment horizontal="right" vertical="top" wrapText="1"/>
    </xf>
    <xf numFmtId="10" fontId="7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7" fillId="6" borderId="0" xfId="0" applyFont="1" applyFill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/>
      <c:scatterChart>
        <c:scatterStyle val="lineMarker"/>
        <c:ser>
          <c:idx val="1"/>
          <c:order val="0"/>
          <c:spPr>
            <a:ln w="28575">
              <a:noFill/>
            </a:ln>
          </c:spPr>
          <c:yVal>
            <c:numRef>
              <c:f>'Layer 2 and 3 (2)'!$K$1:$K$52</c:f>
              <c:numCache>
                <c:formatCode>General</c:formatCode>
                <c:ptCount val="52"/>
                <c:pt idx="0">
                  <c:v>14.25</c:v>
                </c:pt>
                <c:pt idx="1">
                  <c:v>14.0</c:v>
                </c:pt>
                <c:pt idx="2">
                  <c:v>13.5</c:v>
                </c:pt>
                <c:pt idx="3">
                  <c:v>12.79166666666667</c:v>
                </c:pt>
                <c:pt idx="4">
                  <c:v>12.54166666666667</c:v>
                </c:pt>
                <c:pt idx="5">
                  <c:v>12.66666666666667</c:v>
                </c:pt>
                <c:pt idx="6">
                  <c:v>12.16666666666667</c:v>
                </c:pt>
                <c:pt idx="7">
                  <c:v>12.70833333333333</c:v>
                </c:pt>
                <c:pt idx="8">
                  <c:v>12.66666666666667</c:v>
                </c:pt>
                <c:pt idx="9">
                  <c:v>12.0</c:v>
                </c:pt>
                <c:pt idx="10">
                  <c:v>11.91666666666667</c:v>
                </c:pt>
                <c:pt idx="11">
                  <c:v>11.375</c:v>
                </c:pt>
                <c:pt idx="12">
                  <c:v>11.54166666666667</c:v>
                </c:pt>
                <c:pt idx="13">
                  <c:v>10.95833333333333</c:v>
                </c:pt>
                <c:pt idx="14">
                  <c:v>11.04166666666667</c:v>
                </c:pt>
                <c:pt idx="15">
                  <c:v>10.75</c:v>
                </c:pt>
                <c:pt idx="16">
                  <c:v>11.20833333333333</c:v>
                </c:pt>
                <c:pt idx="17">
                  <c:v>11.66666666666667</c:v>
                </c:pt>
                <c:pt idx="18">
                  <c:v>11.75</c:v>
                </c:pt>
                <c:pt idx="19">
                  <c:v>12.29166666666667</c:v>
                </c:pt>
                <c:pt idx="20">
                  <c:v>12.58333333333333</c:v>
                </c:pt>
                <c:pt idx="21">
                  <c:v>11.75</c:v>
                </c:pt>
                <c:pt idx="22">
                  <c:v>11.20833333333333</c:v>
                </c:pt>
                <c:pt idx="23">
                  <c:v>11.41666666666667</c:v>
                </c:pt>
                <c:pt idx="24">
                  <c:v>11.33333333333333</c:v>
                </c:pt>
                <c:pt idx="25">
                  <c:v>11.25</c:v>
                </c:pt>
                <c:pt idx="26">
                  <c:v>12.125</c:v>
                </c:pt>
                <c:pt idx="27">
                  <c:v>12.58333333333333</c:v>
                </c:pt>
                <c:pt idx="28">
                  <c:v>12.54166666666667</c:v>
                </c:pt>
                <c:pt idx="29">
                  <c:v>12.625</c:v>
                </c:pt>
                <c:pt idx="30">
                  <c:v>13.04166666666667</c:v>
                </c:pt>
                <c:pt idx="31">
                  <c:v>13.08333333333333</c:v>
                </c:pt>
                <c:pt idx="32">
                  <c:v>12.54166666666667</c:v>
                </c:pt>
                <c:pt idx="33">
                  <c:v>12.33333333333333</c:v>
                </c:pt>
                <c:pt idx="34">
                  <c:v>12.5</c:v>
                </c:pt>
                <c:pt idx="35">
                  <c:v>12.79166666666667</c:v>
                </c:pt>
                <c:pt idx="36">
                  <c:v>12.54166666666667</c:v>
                </c:pt>
                <c:pt idx="37">
                  <c:v>13.125</c:v>
                </c:pt>
                <c:pt idx="38">
                  <c:v>13.91666666666667</c:v>
                </c:pt>
                <c:pt idx="39">
                  <c:v>14.33333333333333</c:v>
                </c:pt>
                <c:pt idx="40">
                  <c:v>13.83333333333333</c:v>
                </c:pt>
                <c:pt idx="41">
                  <c:v>12.95833333333333</c:v>
                </c:pt>
                <c:pt idx="42">
                  <c:v>13.5</c:v>
                </c:pt>
                <c:pt idx="43">
                  <c:v>12.75</c:v>
                </c:pt>
                <c:pt idx="44">
                  <c:v>13.0</c:v>
                </c:pt>
                <c:pt idx="45">
                  <c:v>13.66666666666667</c:v>
                </c:pt>
                <c:pt idx="46">
                  <c:v>13.875</c:v>
                </c:pt>
                <c:pt idx="47">
                  <c:v>13.16666666666667</c:v>
                </c:pt>
                <c:pt idx="48">
                  <c:v>13.25</c:v>
                </c:pt>
                <c:pt idx="49">
                  <c:v>12.91666666666667</c:v>
                </c:pt>
                <c:pt idx="50">
                  <c:v>12.83333333333333</c:v>
                </c:pt>
                <c:pt idx="51">
                  <c:v>12.33333333333333</c:v>
                </c:pt>
              </c:numCache>
            </c:numRef>
          </c:yVal>
        </c:ser>
        <c:axId val="480982424"/>
        <c:axId val="480979448"/>
      </c:scatterChart>
      <c:valAx>
        <c:axId val="480982424"/>
        <c:scaling>
          <c:orientation val="minMax"/>
        </c:scaling>
        <c:axPos val="b"/>
        <c:tickLblPos val="nextTo"/>
        <c:crossAx val="480979448"/>
        <c:crosses val="autoZero"/>
        <c:crossBetween val="midCat"/>
      </c:valAx>
      <c:valAx>
        <c:axId val="480979448"/>
        <c:scaling>
          <c:orientation val="minMax"/>
        </c:scaling>
        <c:axPos val="l"/>
        <c:majorGridlines/>
        <c:numFmt formatCode="General" sourceLinked="1"/>
        <c:tickLblPos val="nextTo"/>
        <c:crossAx val="4809824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>
        <c:manualLayout>
          <c:layoutTarget val="inner"/>
          <c:xMode val="edge"/>
          <c:yMode val="edge"/>
          <c:x val="0.0273335518808748"/>
          <c:y val="0.00758533501896334"/>
          <c:w val="0.841549460040473"/>
          <c:h val="0.945617428352429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multiLvlStrRef>
              <c:f>Sheet2!$A$1:$D$130</c:f>
              <c:multiLvlStrCache>
                <c:ptCount val="130"/>
                <c:lvl>
                  <c:pt idx="0">
                    <c:v>1</c:v>
                  </c:pt>
                  <c:pt idx="1">
                    <c:v>18</c:v>
                  </c:pt>
                  <c:pt idx="2">
                    <c:v>18</c:v>
                  </c:pt>
                  <c:pt idx="3">
                    <c:v>0</c:v>
                  </c:pt>
                  <c:pt idx="4">
                    <c:v>19</c:v>
                  </c:pt>
                  <c:pt idx="5">
                    <c:v>0</c:v>
                  </c:pt>
                  <c:pt idx="6">
                    <c:v>14</c:v>
                  </c:pt>
                  <c:pt idx="7">
                    <c:v>11</c:v>
                  </c:pt>
                  <c:pt idx="8">
                    <c:v>11</c:v>
                  </c:pt>
                  <c:pt idx="9">
                    <c:v>13</c:v>
                  </c:pt>
                  <c:pt idx="10">
                    <c:v>8</c:v>
                  </c:pt>
                  <c:pt idx="11">
                    <c:v>8</c:v>
                  </c:pt>
                  <c:pt idx="12">
                    <c:v>22</c:v>
                  </c:pt>
                  <c:pt idx="13">
                    <c:v>19</c:v>
                  </c:pt>
                  <c:pt idx="14">
                    <c:v>8</c:v>
                  </c:pt>
                  <c:pt idx="15">
                    <c:v>7</c:v>
                  </c:pt>
                  <c:pt idx="16">
                    <c:v>19</c:v>
                  </c:pt>
                  <c:pt idx="17">
                    <c:v>15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19</c:v>
                  </c:pt>
                  <c:pt idx="21">
                    <c:v>4</c:v>
                  </c:pt>
                  <c:pt idx="22">
                    <c:v>12</c:v>
                  </c:pt>
                  <c:pt idx="23">
                    <c:v>5</c:v>
                  </c:pt>
                  <c:pt idx="24">
                    <c:v>23</c:v>
                  </c:pt>
                  <c:pt idx="25">
                    <c:v>8</c:v>
                  </c:pt>
                  <c:pt idx="26">
                    <c:v>22</c:v>
                  </c:pt>
                  <c:pt idx="27">
                    <c:v>6</c:v>
                  </c:pt>
                  <c:pt idx="28">
                    <c:v>0</c:v>
                  </c:pt>
                  <c:pt idx="29">
                    <c:v>19</c:v>
                  </c:pt>
                  <c:pt idx="30">
                    <c:v>20</c:v>
                  </c:pt>
                  <c:pt idx="31">
                    <c:v>19</c:v>
                  </c:pt>
                  <c:pt idx="32">
                    <c:v>0</c:v>
                  </c:pt>
                  <c:pt idx="33">
                    <c:v>20</c:v>
                  </c:pt>
                  <c:pt idx="34">
                    <c:v>11</c:v>
                  </c:pt>
                  <c:pt idx="35">
                    <c:v>3</c:v>
                  </c:pt>
                  <c:pt idx="36">
                    <c:v>11</c:v>
                  </c:pt>
                  <c:pt idx="37">
                    <c:v>10</c:v>
                  </c:pt>
                  <c:pt idx="38">
                    <c:v>0</c:v>
                  </c:pt>
                  <c:pt idx="39">
                    <c:v>19</c:v>
                  </c:pt>
                  <c:pt idx="40">
                    <c:v>18</c:v>
                  </c:pt>
                  <c:pt idx="41">
                    <c:v>8</c:v>
                  </c:pt>
                  <c:pt idx="42">
                    <c:v>1</c:v>
                  </c:pt>
                  <c:pt idx="43">
                    <c:v>14</c:v>
                  </c:pt>
                  <c:pt idx="44">
                    <c:v>19</c:v>
                  </c:pt>
                  <c:pt idx="45">
                    <c:v>18</c:v>
                  </c:pt>
                  <c:pt idx="46">
                    <c:v>22</c:v>
                  </c:pt>
                  <c:pt idx="47">
                    <c:v>10</c:v>
                  </c:pt>
                  <c:pt idx="48">
                    <c:v>19</c:v>
                  </c:pt>
                  <c:pt idx="49">
                    <c:v>4</c:v>
                  </c:pt>
                  <c:pt idx="50">
                    <c:v>11</c:v>
                  </c:pt>
                  <c:pt idx="51">
                    <c:v>14</c:v>
                  </c:pt>
                  <c:pt idx="52">
                    <c:v>22</c:v>
                  </c:pt>
                  <c:pt idx="53">
                    <c:v>19</c:v>
                  </c:pt>
                  <c:pt idx="54">
                    <c:v>22</c:v>
                  </c:pt>
                  <c:pt idx="55">
                    <c:v>7</c:v>
                  </c:pt>
                  <c:pt idx="56">
                    <c:v>11</c:v>
                  </c:pt>
                  <c:pt idx="57">
                    <c:v>12</c:v>
                  </c:pt>
                  <c:pt idx="58">
                    <c:v>19</c:v>
                  </c:pt>
                  <c:pt idx="59">
                    <c:v>4</c:v>
                  </c:pt>
                  <c:pt idx="60">
                    <c:v>3</c:v>
                  </c:pt>
                  <c:pt idx="61">
                    <c:v>5</c:v>
                  </c:pt>
                  <c:pt idx="62">
                    <c:v>18</c:v>
                  </c:pt>
                  <c:pt idx="63">
                    <c:v>12</c:v>
                  </c:pt>
                  <c:pt idx="64">
                    <c:v>18</c:v>
                  </c:pt>
                  <c:pt idx="65">
                    <c:v>15</c:v>
                  </c:pt>
                  <c:pt idx="66">
                    <c:v>5</c:v>
                  </c:pt>
                  <c:pt idx="67">
                    <c:v>18</c:v>
                  </c:pt>
                  <c:pt idx="68">
                    <c:v>13</c:v>
                  </c:pt>
                  <c:pt idx="69">
                    <c:v>18</c:v>
                  </c:pt>
                  <c:pt idx="70">
                    <c:v>4</c:v>
                  </c:pt>
                  <c:pt idx="71">
                    <c:v>5</c:v>
                  </c:pt>
                  <c:pt idx="72">
                    <c:v>5</c:v>
                  </c:pt>
                  <c:pt idx="73">
                    <c:v>22</c:v>
                  </c:pt>
                  <c:pt idx="74">
                    <c:v>11</c:v>
                  </c:pt>
                  <c:pt idx="75">
                    <c:v>19</c:v>
                  </c:pt>
                  <c:pt idx="76">
                    <c:v>18</c:v>
                  </c:pt>
                  <c:pt idx="77">
                    <c:v>3</c:v>
                  </c:pt>
                  <c:pt idx="78">
                    <c:v>19</c:v>
                  </c:pt>
                  <c:pt idx="79">
                    <c:v>17</c:v>
                  </c:pt>
                  <c:pt idx="80">
                    <c:v>14</c:v>
                  </c:pt>
                  <c:pt idx="81">
                    <c:v>15</c:v>
                  </c:pt>
                  <c:pt idx="82">
                    <c:v>3</c:v>
                  </c:pt>
                  <c:pt idx="83">
                    <c:v>19</c:v>
                  </c:pt>
                  <c:pt idx="84">
                    <c:v>4</c:v>
                  </c:pt>
                  <c:pt idx="85">
                    <c:v>11</c:v>
                  </c:pt>
                  <c:pt idx="86">
                    <c:v>15</c:v>
                  </c:pt>
                  <c:pt idx="87">
                    <c:v>3</c:v>
                  </c:pt>
                  <c:pt idx="88">
                    <c:v>22</c:v>
                  </c:pt>
                  <c:pt idx="89">
                    <c:v>17</c:v>
                  </c:pt>
                  <c:pt idx="90">
                    <c:v>22</c:v>
                  </c:pt>
                  <c:pt idx="91">
                    <c:v>19</c:v>
                  </c:pt>
                  <c:pt idx="92">
                    <c:v>7</c:v>
                  </c:pt>
                  <c:pt idx="93">
                    <c:v>8</c:v>
                  </c:pt>
                  <c:pt idx="94">
                    <c:v>12</c:v>
                  </c:pt>
                  <c:pt idx="95">
                    <c:v>0</c:v>
                  </c:pt>
                  <c:pt idx="96">
                    <c:v>19</c:v>
                  </c:pt>
                  <c:pt idx="97">
                    <c:v>1</c:v>
                  </c:pt>
                  <c:pt idx="98">
                    <c:v>8</c:v>
                  </c:pt>
                  <c:pt idx="99">
                    <c:v>20</c:v>
                  </c:pt>
                  <c:pt idx="100">
                    <c:v>11</c:v>
                  </c:pt>
                  <c:pt idx="101">
                    <c:v>7</c:v>
                  </c:pt>
                  <c:pt idx="102">
                    <c:v>2</c:v>
                  </c:pt>
                  <c:pt idx="103">
                    <c:v>19</c:v>
                  </c:pt>
                  <c:pt idx="104">
                    <c:v>22</c:v>
                  </c:pt>
                  <c:pt idx="105">
                    <c:v>7</c:v>
                  </c:pt>
                  <c:pt idx="106">
                    <c:v>8</c:v>
                  </c:pt>
                  <c:pt idx="107">
                    <c:v>2</c:v>
                  </c:pt>
                  <c:pt idx="108">
                    <c:v>0</c:v>
                  </c:pt>
                  <c:pt idx="109">
                    <c:v>15</c:v>
                  </c:pt>
                  <c:pt idx="110">
                    <c:v>7</c:v>
                  </c:pt>
                  <c:pt idx="111">
                    <c:v>0</c:v>
                  </c:pt>
                  <c:pt idx="112">
                    <c:v>4</c:v>
                  </c:pt>
                  <c:pt idx="113">
                    <c:v>5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5</c:v>
                  </c:pt>
                  <c:pt idx="117">
                    <c:v>5</c:v>
                  </c:pt>
                  <c:pt idx="118">
                    <c:v>1</c:v>
                  </c:pt>
                  <c:pt idx="119">
                    <c:v>15</c:v>
                  </c:pt>
                  <c:pt idx="120">
                    <c:v>3</c:v>
                  </c:pt>
                  <c:pt idx="121">
                    <c:v>17</c:v>
                  </c:pt>
                  <c:pt idx="122">
                    <c:v>22</c:v>
                  </c:pt>
                  <c:pt idx="123">
                    <c:v>4</c:v>
                  </c:pt>
                  <c:pt idx="124">
                    <c:v>12</c:v>
                  </c:pt>
                  <c:pt idx="125">
                    <c:v>2</c:v>
                  </c:pt>
                  <c:pt idx="126">
                    <c:v>24</c:v>
                  </c:pt>
                  <c:pt idx="127">
                    <c:v>18</c:v>
                  </c:pt>
                  <c:pt idx="128">
                    <c:v>0</c:v>
                  </c:pt>
                  <c:pt idx="129">
                    <c:v>16</c:v>
                  </c:pt>
                </c:lvl>
                <c:lvl>
                  <c:pt idx="0">
                    <c:v>B</c:v>
                  </c:pt>
                  <c:pt idx="1">
                    <c:v>S</c:v>
                  </c:pt>
                  <c:pt idx="2">
                    <c:v>S</c:v>
                  </c:pt>
                  <c:pt idx="3">
                    <c:v>A</c:v>
                  </c:pt>
                  <c:pt idx="4">
                    <c:v>T</c:v>
                  </c:pt>
                  <c:pt idx="5">
                    <c:v>A</c:v>
                  </c:pt>
                  <c:pt idx="6">
                    <c:v>O</c:v>
                  </c:pt>
                  <c:pt idx="7">
                    <c:v>L</c:v>
                  </c:pt>
                  <c:pt idx="8">
                    <c:v>L</c:v>
                  </c:pt>
                  <c:pt idx="9">
                    <c:v>N</c:v>
                  </c:pt>
                  <c:pt idx="10">
                    <c:v>I</c:v>
                  </c:pt>
                  <c:pt idx="11">
                    <c:v>I</c:v>
                  </c:pt>
                  <c:pt idx="12">
                    <c:v>W</c:v>
                  </c:pt>
                  <c:pt idx="13">
                    <c:v>T</c:v>
                  </c:pt>
                  <c:pt idx="14">
                    <c:v>I</c:v>
                  </c:pt>
                  <c:pt idx="15">
                    <c:v>H</c:v>
                  </c:pt>
                  <c:pt idx="16">
                    <c:v>T</c:v>
                  </c:pt>
                  <c:pt idx="17">
                    <c:v>P</c:v>
                  </c:pt>
                  <c:pt idx="18">
                    <c:v>T</c:v>
                  </c:pt>
                  <c:pt idx="19">
                    <c:v>U</c:v>
                  </c:pt>
                  <c:pt idx="20">
                    <c:v>T</c:v>
                  </c:pt>
                  <c:pt idx="21">
                    <c:v>E</c:v>
                  </c:pt>
                  <c:pt idx="22">
                    <c:v>M</c:v>
                  </c:pt>
                  <c:pt idx="23">
                    <c:v>F</c:v>
                  </c:pt>
                  <c:pt idx="24">
                    <c:v>X</c:v>
                  </c:pt>
                  <c:pt idx="25">
                    <c:v>I</c:v>
                  </c:pt>
                  <c:pt idx="26">
                    <c:v>W</c:v>
                  </c:pt>
                  <c:pt idx="27">
                    <c:v>G</c:v>
                  </c:pt>
                  <c:pt idx="28">
                    <c:v>A</c:v>
                  </c:pt>
                  <c:pt idx="29">
                    <c:v>T</c:v>
                  </c:pt>
                  <c:pt idx="30">
                    <c:v>U</c:v>
                  </c:pt>
                  <c:pt idx="31">
                    <c:v>T</c:v>
                  </c:pt>
                  <c:pt idx="32">
                    <c:v>A</c:v>
                  </c:pt>
                  <c:pt idx="33">
                    <c:v>U</c:v>
                  </c:pt>
                  <c:pt idx="34">
                    <c:v>L</c:v>
                  </c:pt>
                  <c:pt idx="35">
                    <c:v>D</c:v>
                  </c:pt>
                  <c:pt idx="36">
                    <c:v>L</c:v>
                  </c:pt>
                  <c:pt idx="37">
                    <c:v>K</c:v>
                  </c:pt>
                  <c:pt idx="38">
                    <c:v>A</c:v>
                  </c:pt>
                  <c:pt idx="39">
                    <c:v>T</c:v>
                  </c:pt>
                  <c:pt idx="40">
                    <c:v>S</c:v>
                  </c:pt>
                  <c:pt idx="41">
                    <c:v>I</c:v>
                  </c:pt>
                  <c:pt idx="42">
                    <c:v>B</c:v>
                  </c:pt>
                  <c:pt idx="43">
                    <c:v>O</c:v>
                  </c:pt>
                  <c:pt idx="44">
                    <c:v>T</c:v>
                  </c:pt>
                  <c:pt idx="45">
                    <c:v>S</c:v>
                  </c:pt>
                  <c:pt idx="46">
                    <c:v>W</c:v>
                  </c:pt>
                  <c:pt idx="47">
                    <c:v>K</c:v>
                  </c:pt>
                  <c:pt idx="48">
                    <c:v>T</c:v>
                  </c:pt>
                  <c:pt idx="49">
                    <c:v>E</c:v>
                  </c:pt>
                  <c:pt idx="50">
                    <c:v>L</c:v>
                  </c:pt>
                  <c:pt idx="51">
                    <c:v>O</c:v>
                  </c:pt>
                  <c:pt idx="52">
                    <c:v>W</c:v>
                  </c:pt>
                  <c:pt idx="53">
                    <c:v>T</c:v>
                  </c:pt>
                  <c:pt idx="54">
                    <c:v>W</c:v>
                  </c:pt>
                  <c:pt idx="55">
                    <c:v>H</c:v>
                  </c:pt>
                  <c:pt idx="56">
                    <c:v>L</c:v>
                  </c:pt>
                  <c:pt idx="57">
                    <c:v>M</c:v>
                  </c:pt>
                  <c:pt idx="58">
                    <c:v>T</c:v>
                  </c:pt>
                  <c:pt idx="59">
                    <c:v>E</c:v>
                  </c:pt>
                  <c:pt idx="60">
                    <c:v>D</c:v>
                  </c:pt>
                  <c:pt idx="61">
                    <c:v>F</c:v>
                  </c:pt>
                  <c:pt idx="62">
                    <c:v>S</c:v>
                  </c:pt>
                  <c:pt idx="63">
                    <c:v>M</c:v>
                  </c:pt>
                  <c:pt idx="64">
                    <c:v>S</c:v>
                  </c:pt>
                  <c:pt idx="65">
                    <c:v>P</c:v>
                  </c:pt>
                  <c:pt idx="66">
                    <c:v>F</c:v>
                  </c:pt>
                  <c:pt idx="67">
                    <c:v>S</c:v>
                  </c:pt>
                  <c:pt idx="68">
                    <c:v>N</c:v>
                  </c:pt>
                  <c:pt idx="69">
                    <c:v>S</c:v>
                  </c:pt>
                  <c:pt idx="70">
                    <c:v>E</c:v>
                  </c:pt>
                  <c:pt idx="71">
                    <c:v>F</c:v>
                  </c:pt>
                  <c:pt idx="72">
                    <c:v>F</c:v>
                  </c:pt>
                  <c:pt idx="73">
                    <c:v>W</c:v>
                  </c:pt>
                  <c:pt idx="74">
                    <c:v>L</c:v>
                  </c:pt>
                  <c:pt idx="75">
                    <c:v>T</c:v>
                  </c:pt>
                  <c:pt idx="76">
                    <c:v>S</c:v>
                  </c:pt>
                  <c:pt idx="77">
                    <c:v>D</c:v>
                  </c:pt>
                  <c:pt idx="78">
                    <c:v>T</c:v>
                  </c:pt>
                  <c:pt idx="79">
                    <c:v>R</c:v>
                  </c:pt>
                  <c:pt idx="80">
                    <c:v>O</c:v>
                  </c:pt>
                  <c:pt idx="81">
                    <c:v>P</c:v>
                  </c:pt>
                  <c:pt idx="82">
                    <c:v>D</c:v>
                  </c:pt>
                  <c:pt idx="83">
                    <c:v>T</c:v>
                  </c:pt>
                  <c:pt idx="84">
                    <c:v>E</c:v>
                  </c:pt>
                  <c:pt idx="85">
                    <c:v>L</c:v>
                  </c:pt>
                  <c:pt idx="86">
                    <c:v>P</c:v>
                  </c:pt>
                  <c:pt idx="87">
                    <c:v>D</c:v>
                  </c:pt>
                  <c:pt idx="88">
                    <c:v>W</c:v>
                  </c:pt>
                  <c:pt idx="89">
                    <c:v>R</c:v>
                  </c:pt>
                  <c:pt idx="90">
                    <c:v>W</c:v>
                  </c:pt>
                  <c:pt idx="91">
                    <c:v>T</c:v>
                  </c:pt>
                  <c:pt idx="92">
                    <c:v>H</c:v>
                  </c:pt>
                  <c:pt idx="93">
                    <c:v>I</c:v>
                  </c:pt>
                  <c:pt idx="94">
                    <c:v>M</c:v>
                  </c:pt>
                  <c:pt idx="95">
                    <c:v>A</c:v>
                  </c:pt>
                  <c:pt idx="96">
                    <c:v>T</c:v>
                  </c:pt>
                  <c:pt idx="97">
                    <c:v>B</c:v>
                  </c:pt>
                  <c:pt idx="98">
                    <c:v>I</c:v>
                  </c:pt>
                  <c:pt idx="99">
                    <c:v>U</c:v>
                  </c:pt>
                  <c:pt idx="100">
                    <c:v>L</c:v>
                  </c:pt>
                  <c:pt idx="101">
                    <c:v>H</c:v>
                  </c:pt>
                  <c:pt idx="102">
                    <c:v>C</c:v>
                  </c:pt>
                  <c:pt idx="103">
                    <c:v>T</c:v>
                  </c:pt>
                  <c:pt idx="104">
                    <c:v>W</c:v>
                  </c:pt>
                  <c:pt idx="105">
                    <c:v>H</c:v>
                  </c:pt>
                  <c:pt idx="106">
                    <c:v>I</c:v>
                  </c:pt>
                  <c:pt idx="107">
                    <c:v>C</c:v>
                  </c:pt>
                  <c:pt idx="108">
                    <c:v>A</c:v>
                  </c:pt>
                  <c:pt idx="109">
                    <c:v>P</c:v>
                  </c:pt>
                  <c:pt idx="110">
                    <c:v>H</c:v>
                  </c:pt>
                  <c:pt idx="111">
                    <c:v>A</c:v>
                  </c:pt>
                  <c:pt idx="112">
                    <c:v>E</c:v>
                  </c:pt>
                  <c:pt idx="113">
                    <c:v>F</c:v>
                  </c:pt>
                  <c:pt idx="114">
                    <c:v>C</c:v>
                  </c:pt>
                  <c:pt idx="115">
                    <c:v>C</c:v>
                  </c:pt>
                  <c:pt idx="116">
                    <c:v>F</c:v>
                  </c:pt>
                  <c:pt idx="117">
                    <c:v>F</c:v>
                  </c:pt>
                  <c:pt idx="118">
                    <c:v>B</c:v>
                  </c:pt>
                  <c:pt idx="119">
                    <c:v>P</c:v>
                  </c:pt>
                  <c:pt idx="120">
                    <c:v>D</c:v>
                  </c:pt>
                  <c:pt idx="121">
                    <c:v>R</c:v>
                  </c:pt>
                  <c:pt idx="122">
                    <c:v>W</c:v>
                  </c:pt>
                  <c:pt idx="123">
                    <c:v>E</c:v>
                  </c:pt>
                  <c:pt idx="124">
                    <c:v>M</c:v>
                  </c:pt>
                  <c:pt idx="125">
                    <c:v>C</c:v>
                  </c:pt>
                  <c:pt idx="126">
                    <c:v>Y</c:v>
                  </c:pt>
                  <c:pt idx="127">
                    <c:v>S</c:v>
                  </c:pt>
                  <c:pt idx="128">
                    <c:v>A</c:v>
                  </c:pt>
                  <c:pt idx="129">
                    <c:v>Q</c:v>
                  </c:pt>
                </c:lvl>
                <c:lvl>
                  <c:pt idx="0">
                    <c:v> BETWEEN</c:v>
                  </c:pt>
                  <c:pt idx="1">
                    <c:v> SUBTLE</c:v>
                  </c:pt>
                  <c:pt idx="2">
                    <c:v> SHADING</c:v>
                  </c:pt>
                  <c:pt idx="3">
                    <c:v> AND</c:v>
                  </c:pt>
                  <c:pt idx="4">
                    <c:v> THE</c:v>
                  </c:pt>
                  <c:pt idx="5">
                    <c:v> ABSENCE</c:v>
                  </c:pt>
                  <c:pt idx="6">
                    <c:v> OF</c:v>
                  </c:pt>
                  <c:pt idx="7">
                    <c:v> LIGHT</c:v>
                  </c:pt>
                  <c:pt idx="8">
                    <c:v> LIES</c:v>
                  </c:pt>
                  <c:pt idx="9">
                    <c:v> NUANCE</c:v>
                  </c:pt>
                  <c:pt idx="10">
                    <c:v> IQLUSION</c:v>
                  </c:pt>
                  <c:pt idx="11">
                    <c:v> IT</c:v>
                  </c:pt>
                  <c:pt idx="12">
                    <c:v> WAS</c:v>
                  </c:pt>
                  <c:pt idx="13">
                    <c:v> TOTALLY</c:v>
                  </c:pt>
                  <c:pt idx="14">
                    <c:v> INVISIBLE</c:v>
                  </c:pt>
                  <c:pt idx="15">
                    <c:v> HOWS</c:v>
                  </c:pt>
                  <c:pt idx="16">
                    <c:v> THAT</c:v>
                  </c:pt>
                  <c:pt idx="17">
                    <c:v> POSSIBLE</c:v>
                  </c:pt>
                  <c:pt idx="18">
                    <c:v> THEY</c:v>
                  </c:pt>
                  <c:pt idx="19">
                    <c:v> USED</c:v>
                  </c:pt>
                  <c:pt idx="20">
                    <c:v> THE</c:v>
                  </c:pt>
                  <c:pt idx="21">
                    <c:v> EARTHS</c:v>
                  </c:pt>
                  <c:pt idx="22">
                    <c:v> MAGNETIC</c:v>
                  </c:pt>
                  <c:pt idx="23">
                    <c:v> FIELD</c:v>
                  </c:pt>
                  <c:pt idx="24">
                    <c:v> X</c:v>
                  </c:pt>
                  <c:pt idx="25">
                    <c:v> INFORMATION</c:v>
                  </c:pt>
                  <c:pt idx="26">
                    <c:v> WAS</c:v>
                  </c:pt>
                  <c:pt idx="27">
                    <c:v> GATHERED</c:v>
                  </c:pt>
                  <c:pt idx="28">
                    <c:v> AND</c:v>
                  </c:pt>
                  <c:pt idx="29">
                    <c:v> TRANSMITTED</c:v>
                  </c:pt>
                  <c:pt idx="30">
                    <c:v> UNDERGRUUND</c:v>
                  </c:pt>
                  <c:pt idx="31">
                    <c:v> TO</c:v>
                  </c:pt>
                  <c:pt idx="32">
                    <c:v> AN</c:v>
                  </c:pt>
                  <c:pt idx="33">
                    <c:v> UNKNOWN</c:v>
                  </c:pt>
                  <c:pt idx="34">
                    <c:v> LOCATION</c:v>
                  </c:pt>
                  <c:pt idx="35">
                    <c:v> DOES</c:v>
                  </c:pt>
                  <c:pt idx="36">
                    <c:v> LANGLEY</c:v>
                  </c:pt>
                  <c:pt idx="37">
                    <c:v> KNOW</c:v>
                  </c:pt>
                  <c:pt idx="38">
                    <c:v> ABOUT</c:v>
                  </c:pt>
                  <c:pt idx="39">
                    <c:v> THIS</c:v>
                  </c:pt>
                  <c:pt idx="40">
                    <c:v> SHOULD</c:v>
                  </c:pt>
                  <c:pt idx="41">
                    <c:v> ITS</c:v>
                  </c:pt>
                  <c:pt idx="42">
                    <c:v> BURIED</c:v>
                  </c:pt>
                  <c:pt idx="43">
                    <c:v> OUT</c:v>
                  </c:pt>
                  <c:pt idx="44">
                    <c:v> THERE</c:v>
                  </c:pt>
                  <c:pt idx="45">
                    <c:v> SOMEWHERE</c:v>
                  </c:pt>
                  <c:pt idx="46">
                    <c:v> WHO</c:v>
                  </c:pt>
                  <c:pt idx="47">
                    <c:v> KNOWS</c:v>
                  </c:pt>
                  <c:pt idx="48">
                    <c:v> THE</c:v>
                  </c:pt>
                  <c:pt idx="49">
                    <c:v> EXACT</c:v>
                  </c:pt>
                  <c:pt idx="50">
                    <c:v> LOCATION</c:v>
                  </c:pt>
                  <c:pt idx="51">
                    <c:v> ONLY</c:v>
                  </c:pt>
                  <c:pt idx="52">
                    <c:v> WW</c:v>
                  </c:pt>
                  <c:pt idx="53">
                    <c:v> THIS</c:v>
                  </c:pt>
                  <c:pt idx="54">
                    <c:v> WAS</c:v>
                  </c:pt>
                  <c:pt idx="55">
                    <c:v> HIS</c:v>
                  </c:pt>
                  <c:pt idx="56">
                    <c:v> LAST</c:v>
                  </c:pt>
                  <c:pt idx="57">
                    <c:v> MESSAGE</c:v>
                  </c:pt>
                  <c:pt idx="58">
                    <c:v> THIRTY</c:v>
                  </c:pt>
                  <c:pt idx="59">
                    <c:v> EIGHT</c:v>
                  </c:pt>
                  <c:pt idx="60">
                    <c:v> DEGREES</c:v>
                  </c:pt>
                  <c:pt idx="61">
                    <c:v> FIFTY</c:v>
                  </c:pt>
                  <c:pt idx="62">
                    <c:v> SEVEN</c:v>
                  </c:pt>
                  <c:pt idx="63">
                    <c:v> MINUTES</c:v>
                  </c:pt>
                  <c:pt idx="64">
                    <c:v> SIX</c:v>
                  </c:pt>
                  <c:pt idx="65">
                    <c:v> POINT</c:v>
                  </c:pt>
                  <c:pt idx="66">
                    <c:v> FIVE</c:v>
                  </c:pt>
                  <c:pt idx="67">
                    <c:v> SECONDS</c:v>
                  </c:pt>
                  <c:pt idx="68">
                    <c:v> NORTH</c:v>
                  </c:pt>
                  <c:pt idx="69">
                    <c:v> SEVENTY</c:v>
                  </c:pt>
                  <c:pt idx="70">
                    <c:v> EIGHT</c:v>
                  </c:pt>
                  <c:pt idx="71">
                    <c:v> FORTY</c:v>
                  </c:pt>
                  <c:pt idx="72">
                    <c:v> FOUR</c:v>
                  </c:pt>
                  <c:pt idx="73">
                    <c:v> WEST</c:v>
                  </c:pt>
                  <c:pt idx="74">
                    <c:v> LAYER</c:v>
                  </c:pt>
                  <c:pt idx="75">
                    <c:v> TWO</c:v>
                  </c:pt>
                  <c:pt idx="76">
                    <c:v> SLOWLY</c:v>
                  </c:pt>
                  <c:pt idx="77">
                    <c:v> DESPARATLY</c:v>
                  </c:pt>
                  <c:pt idx="78">
                    <c:v> THE</c:v>
                  </c:pt>
                  <c:pt idx="79">
                    <c:v> REMAINS</c:v>
                  </c:pt>
                  <c:pt idx="80">
                    <c:v> OF</c:v>
                  </c:pt>
                  <c:pt idx="81">
                    <c:v> PASSAGE</c:v>
                  </c:pt>
                  <c:pt idx="82">
                    <c:v> DEBRIS</c:v>
                  </c:pt>
                  <c:pt idx="83">
                    <c:v> THAT</c:v>
                  </c:pt>
                  <c:pt idx="84">
                    <c:v> ENCUMBERED</c:v>
                  </c:pt>
                  <c:pt idx="85">
                    <c:v> LOWER</c:v>
                  </c:pt>
                  <c:pt idx="86">
                    <c:v> PART</c:v>
                  </c:pt>
                  <c:pt idx="87">
                    <c:v> DOORWAY</c:v>
                  </c:pt>
                  <c:pt idx="88">
                    <c:v> WAS</c:v>
                  </c:pt>
                  <c:pt idx="89">
                    <c:v> REMOVED</c:v>
                  </c:pt>
                  <c:pt idx="90">
                    <c:v> WITH</c:v>
                  </c:pt>
                  <c:pt idx="91">
                    <c:v> TREMBLING</c:v>
                  </c:pt>
                  <c:pt idx="92">
                    <c:v> HANDS</c:v>
                  </c:pt>
                  <c:pt idx="93">
                    <c:v> I</c:v>
                  </c:pt>
                  <c:pt idx="94">
                    <c:v> MADE</c:v>
                  </c:pt>
                  <c:pt idx="95">
                    <c:v> A</c:v>
                  </c:pt>
                  <c:pt idx="96">
                    <c:v> TINY</c:v>
                  </c:pt>
                  <c:pt idx="97">
                    <c:v> BREACH</c:v>
                  </c:pt>
                  <c:pt idx="98">
                    <c:v> IN</c:v>
                  </c:pt>
                  <c:pt idx="99">
                    <c:v> UPPER</c:v>
                  </c:pt>
                  <c:pt idx="100">
                    <c:v> LEFT</c:v>
                  </c:pt>
                  <c:pt idx="101">
                    <c:v> HAND</c:v>
                  </c:pt>
                  <c:pt idx="102">
                    <c:v> CORNER</c:v>
                  </c:pt>
                  <c:pt idx="103">
                    <c:v> THEN</c:v>
                  </c:pt>
                  <c:pt idx="104">
                    <c:v> WIDENING</c:v>
                  </c:pt>
                  <c:pt idx="105">
                    <c:v> HOLE</c:v>
                  </c:pt>
                  <c:pt idx="106">
                    <c:v> INSERTED</c:v>
                  </c:pt>
                  <c:pt idx="107">
                    <c:v> CANDLE</c:v>
                  </c:pt>
                  <c:pt idx="108">
                    <c:v> AND</c:v>
                  </c:pt>
                  <c:pt idx="109">
                    <c:v> PEERED</c:v>
                  </c:pt>
                  <c:pt idx="110">
                    <c:v> HOT</c:v>
                  </c:pt>
                  <c:pt idx="111">
                    <c:v> AIR</c:v>
                  </c:pt>
                  <c:pt idx="112">
                    <c:v> ESCAPING</c:v>
                  </c:pt>
                  <c:pt idx="113">
                    <c:v> FROM</c:v>
                  </c:pt>
                  <c:pt idx="114">
                    <c:v> CHAMBER</c:v>
                  </c:pt>
                  <c:pt idx="115">
                    <c:v> CAUSED</c:v>
                  </c:pt>
                  <c:pt idx="116">
                    <c:v> FLAME</c:v>
                  </c:pt>
                  <c:pt idx="117">
                    <c:v> FLICKER</c:v>
                  </c:pt>
                  <c:pt idx="118">
                    <c:v> BUT</c:v>
                  </c:pt>
                  <c:pt idx="119">
                    <c:v> PRESENTLY</c:v>
                  </c:pt>
                  <c:pt idx="120">
                    <c:v> DETAILS</c:v>
                  </c:pt>
                  <c:pt idx="121">
                    <c:v> ROOM</c:v>
                  </c:pt>
                  <c:pt idx="122">
                    <c:v> WITHIN</c:v>
                  </c:pt>
                  <c:pt idx="123">
                    <c:v> EMERGED</c:v>
                  </c:pt>
                  <c:pt idx="124">
                    <c:v> MIST</c:v>
                  </c:pt>
                  <c:pt idx="125">
                    <c:v> CAN</c:v>
                  </c:pt>
                  <c:pt idx="126">
                    <c:v> YOU</c:v>
                  </c:pt>
                  <c:pt idx="127">
                    <c:v> SEE</c:v>
                  </c:pt>
                  <c:pt idx="128">
                    <c:v> ANYTHING</c:v>
                  </c:pt>
                  <c:pt idx="129">
                    <c:v> Q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</c:lvl>
              </c:multiLvlStrCache>
            </c:multiLvlStrRef>
          </c:xVal>
          <c:yVal>
            <c:numRef>
              <c:f>Sheet2!$E$1:$E$130</c:f>
              <c:numCache>
                <c:formatCode>General</c:formatCode>
                <c:ptCount val="130"/>
                <c:pt idx="0">
                  <c:v>12.08333333333333</c:v>
                </c:pt>
                <c:pt idx="1">
                  <c:v>13.0</c:v>
                </c:pt>
                <c:pt idx="2">
                  <c:v>12.58333333333333</c:v>
                </c:pt>
                <c:pt idx="3">
                  <c:v>12.75</c:v>
                </c:pt>
                <c:pt idx="4">
                  <c:v>13.0</c:v>
                </c:pt>
                <c:pt idx="5">
                  <c:v>12.20833333333333</c:v>
                </c:pt>
                <c:pt idx="6">
                  <c:v>13.0</c:v>
                </c:pt>
                <c:pt idx="7">
                  <c:v>13.25</c:v>
                </c:pt>
                <c:pt idx="8">
                  <c:v>13.58333333333333</c:v>
                </c:pt>
                <c:pt idx="9">
                  <c:v>13.125</c:v>
                </c:pt>
                <c:pt idx="10">
                  <c:v>13.41666666666667</c:v>
                </c:pt>
                <c:pt idx="11">
                  <c:v>13.54166666666667</c:v>
                </c:pt>
                <c:pt idx="12">
                  <c:v>13.33333333333333</c:v>
                </c:pt>
                <c:pt idx="13">
                  <c:v>12.875</c:v>
                </c:pt>
                <c:pt idx="14">
                  <c:v>12.5</c:v>
                </c:pt>
                <c:pt idx="15">
                  <c:v>12.16666666666667</c:v>
                </c:pt>
                <c:pt idx="16">
                  <c:v>12.66666666666667</c:v>
                </c:pt>
                <c:pt idx="17">
                  <c:v>12.625</c:v>
                </c:pt>
                <c:pt idx="18">
                  <c:v>12.33333333333333</c:v>
                </c:pt>
                <c:pt idx="19">
                  <c:v>11.58333333333333</c:v>
                </c:pt>
                <c:pt idx="20">
                  <c:v>11.33333333333333</c:v>
                </c:pt>
                <c:pt idx="21">
                  <c:v>11.33333333333333</c:v>
                </c:pt>
                <c:pt idx="22">
                  <c:v>11.91666666666667</c:v>
                </c:pt>
                <c:pt idx="23">
                  <c:v>12.33333333333333</c:v>
                </c:pt>
                <c:pt idx="24">
                  <c:v>12.54166666666667</c:v>
                </c:pt>
                <c:pt idx="25">
                  <c:v>12.375</c:v>
                </c:pt>
                <c:pt idx="26">
                  <c:v>12.20833333333333</c:v>
                </c:pt>
                <c:pt idx="27">
                  <c:v>11.75</c:v>
                </c:pt>
                <c:pt idx="28">
                  <c:v>12.08333333333333</c:v>
                </c:pt>
                <c:pt idx="29">
                  <c:v>13.0</c:v>
                </c:pt>
                <c:pt idx="30">
                  <c:v>13.0</c:v>
                </c:pt>
                <c:pt idx="31">
                  <c:v>13.08333333333333</c:v>
                </c:pt>
                <c:pt idx="32">
                  <c:v>12.58333333333333</c:v>
                </c:pt>
                <c:pt idx="33">
                  <c:v>13.04166666666667</c:v>
                </c:pt>
                <c:pt idx="34">
                  <c:v>12.70833333333333</c:v>
                </c:pt>
                <c:pt idx="35">
                  <c:v>13.04166666666667</c:v>
                </c:pt>
                <c:pt idx="36">
                  <c:v>13.08333333333333</c:v>
                </c:pt>
                <c:pt idx="37">
                  <c:v>12.75</c:v>
                </c:pt>
                <c:pt idx="38">
                  <c:v>12.54166666666667</c:v>
                </c:pt>
                <c:pt idx="39">
                  <c:v>13.29166666666667</c:v>
                </c:pt>
                <c:pt idx="40">
                  <c:v>13.0</c:v>
                </c:pt>
                <c:pt idx="41">
                  <c:v>13.0</c:v>
                </c:pt>
                <c:pt idx="42">
                  <c:v>13.29166666666667</c:v>
                </c:pt>
                <c:pt idx="43">
                  <c:v>13.45833333333333</c:v>
                </c:pt>
                <c:pt idx="44">
                  <c:v>13.625</c:v>
                </c:pt>
                <c:pt idx="45">
                  <c:v>13.375</c:v>
                </c:pt>
                <c:pt idx="46">
                  <c:v>13.375</c:v>
                </c:pt>
                <c:pt idx="47">
                  <c:v>12.625</c:v>
                </c:pt>
                <c:pt idx="48">
                  <c:v>12.41666666666667</c:v>
                </c:pt>
                <c:pt idx="49">
                  <c:v>11.83333333333333</c:v>
                </c:pt>
                <c:pt idx="50">
                  <c:v>12.58333333333333</c:v>
                </c:pt>
                <c:pt idx="51">
                  <c:v>12.58333333333333</c:v>
                </c:pt>
                <c:pt idx="52">
                  <c:v>12.79166666666667</c:v>
                </c:pt>
                <c:pt idx="53">
                  <c:v>12.625</c:v>
                </c:pt>
                <c:pt idx="54">
                  <c:v>11.95833333333333</c:v>
                </c:pt>
                <c:pt idx="55">
                  <c:v>11.83333333333333</c:v>
                </c:pt>
                <c:pt idx="56">
                  <c:v>12.25</c:v>
                </c:pt>
                <c:pt idx="57">
                  <c:v>12.375</c:v>
                </c:pt>
                <c:pt idx="58">
                  <c:v>12.5</c:v>
                </c:pt>
                <c:pt idx="59">
                  <c:v>11.83333333333333</c:v>
                </c:pt>
                <c:pt idx="60">
                  <c:v>12.45833333333333</c:v>
                </c:pt>
                <c:pt idx="61">
                  <c:v>12.5</c:v>
                </c:pt>
                <c:pt idx="62">
                  <c:v>12.75</c:v>
                </c:pt>
                <c:pt idx="63">
                  <c:v>12.625</c:v>
                </c:pt>
                <c:pt idx="64">
                  <c:v>12.25</c:v>
                </c:pt>
                <c:pt idx="65">
                  <c:v>12.41666666666667</c:v>
                </c:pt>
                <c:pt idx="66">
                  <c:v>12.5</c:v>
                </c:pt>
                <c:pt idx="67">
                  <c:v>13.20833333333333</c:v>
                </c:pt>
                <c:pt idx="68">
                  <c:v>13.25</c:v>
                </c:pt>
                <c:pt idx="69">
                  <c:v>13.0</c:v>
                </c:pt>
                <c:pt idx="70">
                  <c:v>12.58333333333333</c:v>
                </c:pt>
                <c:pt idx="71">
                  <c:v>12.91666666666667</c:v>
                </c:pt>
                <c:pt idx="72">
                  <c:v>12.70833333333333</c:v>
                </c:pt>
                <c:pt idx="73">
                  <c:v>13.29166666666667</c:v>
                </c:pt>
                <c:pt idx="74">
                  <c:v>12.41666666666667</c:v>
                </c:pt>
                <c:pt idx="75">
                  <c:v>12.29166666666667</c:v>
                </c:pt>
                <c:pt idx="76">
                  <c:v>12.33333333333333</c:v>
                </c:pt>
                <c:pt idx="77">
                  <c:v>12.04166666666667</c:v>
                </c:pt>
                <c:pt idx="78">
                  <c:v>12.20833333333333</c:v>
                </c:pt>
                <c:pt idx="79">
                  <c:v>11.5</c:v>
                </c:pt>
                <c:pt idx="80">
                  <c:v>11.58333333333333</c:v>
                </c:pt>
                <c:pt idx="81">
                  <c:v>11.91666666666667</c:v>
                </c:pt>
                <c:pt idx="82">
                  <c:v>11.58333333333333</c:v>
                </c:pt>
                <c:pt idx="83">
                  <c:v>11.79166666666667</c:v>
                </c:pt>
                <c:pt idx="84">
                  <c:v>11.08333333333333</c:v>
                </c:pt>
                <c:pt idx="85">
                  <c:v>10.91666666666667</c:v>
                </c:pt>
                <c:pt idx="86">
                  <c:v>11.08333333333333</c:v>
                </c:pt>
                <c:pt idx="87">
                  <c:v>10.75</c:v>
                </c:pt>
                <c:pt idx="88">
                  <c:v>10.625</c:v>
                </c:pt>
                <c:pt idx="89">
                  <c:v>9.875</c:v>
                </c:pt>
                <c:pt idx="90">
                  <c:v>9.375</c:v>
                </c:pt>
                <c:pt idx="91">
                  <c:v>8.541666666666666</c:v>
                </c:pt>
                <c:pt idx="92">
                  <c:v>7.833333333333332</c:v>
                </c:pt>
                <c:pt idx="93">
                  <c:v>7.75</c:v>
                </c:pt>
                <c:pt idx="94">
                  <c:v>7.625</c:v>
                </c:pt>
                <c:pt idx="95">
                  <c:v>7.166666666666667</c:v>
                </c:pt>
                <c:pt idx="96">
                  <c:v>7.791666666666666</c:v>
                </c:pt>
                <c:pt idx="97">
                  <c:v>7.125</c:v>
                </c:pt>
                <c:pt idx="98">
                  <c:v>7.791666666666666</c:v>
                </c:pt>
                <c:pt idx="99">
                  <c:v>8.375</c:v>
                </c:pt>
                <c:pt idx="100">
                  <c:v>7.708333333333332</c:v>
                </c:pt>
                <c:pt idx="101">
                  <c:v>7.75</c:v>
                </c:pt>
                <c:pt idx="102">
                  <c:v>7.541666666666666</c:v>
                </c:pt>
                <c:pt idx="103">
                  <c:v>8.458333333333333</c:v>
                </c:pt>
                <c:pt idx="104">
                  <c:v>8.416666666666666</c:v>
                </c:pt>
                <c:pt idx="105">
                  <c:v>7.5</c:v>
                </c:pt>
                <c:pt idx="106">
                  <c:v>7.875</c:v>
                </c:pt>
              </c:numCache>
            </c:numRef>
          </c:yVal>
        </c:ser>
        <c:ser>
          <c:idx val="3"/>
          <c:order val="1"/>
          <c:spPr>
            <a:ln w="28575">
              <a:noFill/>
            </a:ln>
          </c:spPr>
          <c:trendline>
            <c:trendlineType val="movingAvg"/>
            <c:period val="2"/>
          </c:trendline>
          <c:xVal>
            <c:multiLvlStrRef>
              <c:f>Sheet2!$A$1:$D$130</c:f>
              <c:multiLvlStrCache>
                <c:ptCount val="130"/>
                <c:lvl>
                  <c:pt idx="0">
                    <c:v>1</c:v>
                  </c:pt>
                  <c:pt idx="1">
                    <c:v>18</c:v>
                  </c:pt>
                  <c:pt idx="2">
                    <c:v>18</c:v>
                  </c:pt>
                  <c:pt idx="3">
                    <c:v>0</c:v>
                  </c:pt>
                  <c:pt idx="4">
                    <c:v>19</c:v>
                  </c:pt>
                  <c:pt idx="5">
                    <c:v>0</c:v>
                  </c:pt>
                  <c:pt idx="6">
                    <c:v>14</c:v>
                  </c:pt>
                  <c:pt idx="7">
                    <c:v>11</c:v>
                  </c:pt>
                  <c:pt idx="8">
                    <c:v>11</c:v>
                  </c:pt>
                  <c:pt idx="9">
                    <c:v>13</c:v>
                  </c:pt>
                  <c:pt idx="10">
                    <c:v>8</c:v>
                  </c:pt>
                  <c:pt idx="11">
                    <c:v>8</c:v>
                  </c:pt>
                  <c:pt idx="12">
                    <c:v>22</c:v>
                  </c:pt>
                  <c:pt idx="13">
                    <c:v>19</c:v>
                  </c:pt>
                  <c:pt idx="14">
                    <c:v>8</c:v>
                  </c:pt>
                  <c:pt idx="15">
                    <c:v>7</c:v>
                  </c:pt>
                  <c:pt idx="16">
                    <c:v>19</c:v>
                  </c:pt>
                  <c:pt idx="17">
                    <c:v>15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19</c:v>
                  </c:pt>
                  <c:pt idx="21">
                    <c:v>4</c:v>
                  </c:pt>
                  <c:pt idx="22">
                    <c:v>12</c:v>
                  </c:pt>
                  <c:pt idx="23">
                    <c:v>5</c:v>
                  </c:pt>
                  <c:pt idx="24">
                    <c:v>23</c:v>
                  </c:pt>
                  <c:pt idx="25">
                    <c:v>8</c:v>
                  </c:pt>
                  <c:pt idx="26">
                    <c:v>22</c:v>
                  </c:pt>
                  <c:pt idx="27">
                    <c:v>6</c:v>
                  </c:pt>
                  <c:pt idx="28">
                    <c:v>0</c:v>
                  </c:pt>
                  <c:pt idx="29">
                    <c:v>19</c:v>
                  </c:pt>
                  <c:pt idx="30">
                    <c:v>20</c:v>
                  </c:pt>
                  <c:pt idx="31">
                    <c:v>19</c:v>
                  </c:pt>
                  <c:pt idx="32">
                    <c:v>0</c:v>
                  </c:pt>
                  <c:pt idx="33">
                    <c:v>20</c:v>
                  </c:pt>
                  <c:pt idx="34">
                    <c:v>11</c:v>
                  </c:pt>
                  <c:pt idx="35">
                    <c:v>3</c:v>
                  </c:pt>
                  <c:pt idx="36">
                    <c:v>11</c:v>
                  </c:pt>
                  <c:pt idx="37">
                    <c:v>10</c:v>
                  </c:pt>
                  <c:pt idx="38">
                    <c:v>0</c:v>
                  </c:pt>
                  <c:pt idx="39">
                    <c:v>19</c:v>
                  </c:pt>
                  <c:pt idx="40">
                    <c:v>18</c:v>
                  </c:pt>
                  <c:pt idx="41">
                    <c:v>8</c:v>
                  </c:pt>
                  <c:pt idx="42">
                    <c:v>1</c:v>
                  </c:pt>
                  <c:pt idx="43">
                    <c:v>14</c:v>
                  </c:pt>
                  <c:pt idx="44">
                    <c:v>19</c:v>
                  </c:pt>
                  <c:pt idx="45">
                    <c:v>18</c:v>
                  </c:pt>
                  <c:pt idx="46">
                    <c:v>22</c:v>
                  </c:pt>
                  <c:pt idx="47">
                    <c:v>10</c:v>
                  </c:pt>
                  <c:pt idx="48">
                    <c:v>19</c:v>
                  </c:pt>
                  <c:pt idx="49">
                    <c:v>4</c:v>
                  </c:pt>
                  <c:pt idx="50">
                    <c:v>11</c:v>
                  </c:pt>
                  <c:pt idx="51">
                    <c:v>14</c:v>
                  </c:pt>
                  <c:pt idx="52">
                    <c:v>22</c:v>
                  </c:pt>
                  <c:pt idx="53">
                    <c:v>19</c:v>
                  </c:pt>
                  <c:pt idx="54">
                    <c:v>22</c:v>
                  </c:pt>
                  <c:pt idx="55">
                    <c:v>7</c:v>
                  </c:pt>
                  <c:pt idx="56">
                    <c:v>11</c:v>
                  </c:pt>
                  <c:pt idx="57">
                    <c:v>12</c:v>
                  </c:pt>
                  <c:pt idx="58">
                    <c:v>19</c:v>
                  </c:pt>
                  <c:pt idx="59">
                    <c:v>4</c:v>
                  </c:pt>
                  <c:pt idx="60">
                    <c:v>3</c:v>
                  </c:pt>
                  <c:pt idx="61">
                    <c:v>5</c:v>
                  </c:pt>
                  <c:pt idx="62">
                    <c:v>18</c:v>
                  </c:pt>
                  <c:pt idx="63">
                    <c:v>12</c:v>
                  </c:pt>
                  <c:pt idx="64">
                    <c:v>18</c:v>
                  </c:pt>
                  <c:pt idx="65">
                    <c:v>15</c:v>
                  </c:pt>
                  <c:pt idx="66">
                    <c:v>5</c:v>
                  </c:pt>
                  <c:pt idx="67">
                    <c:v>18</c:v>
                  </c:pt>
                  <c:pt idx="68">
                    <c:v>13</c:v>
                  </c:pt>
                  <c:pt idx="69">
                    <c:v>18</c:v>
                  </c:pt>
                  <c:pt idx="70">
                    <c:v>4</c:v>
                  </c:pt>
                  <c:pt idx="71">
                    <c:v>5</c:v>
                  </c:pt>
                  <c:pt idx="72">
                    <c:v>5</c:v>
                  </c:pt>
                  <c:pt idx="73">
                    <c:v>22</c:v>
                  </c:pt>
                  <c:pt idx="74">
                    <c:v>11</c:v>
                  </c:pt>
                  <c:pt idx="75">
                    <c:v>19</c:v>
                  </c:pt>
                  <c:pt idx="76">
                    <c:v>18</c:v>
                  </c:pt>
                  <c:pt idx="77">
                    <c:v>3</c:v>
                  </c:pt>
                  <c:pt idx="78">
                    <c:v>19</c:v>
                  </c:pt>
                  <c:pt idx="79">
                    <c:v>17</c:v>
                  </c:pt>
                  <c:pt idx="80">
                    <c:v>14</c:v>
                  </c:pt>
                  <c:pt idx="81">
                    <c:v>15</c:v>
                  </c:pt>
                  <c:pt idx="82">
                    <c:v>3</c:v>
                  </c:pt>
                  <c:pt idx="83">
                    <c:v>19</c:v>
                  </c:pt>
                  <c:pt idx="84">
                    <c:v>4</c:v>
                  </c:pt>
                  <c:pt idx="85">
                    <c:v>11</c:v>
                  </c:pt>
                  <c:pt idx="86">
                    <c:v>15</c:v>
                  </c:pt>
                  <c:pt idx="87">
                    <c:v>3</c:v>
                  </c:pt>
                  <c:pt idx="88">
                    <c:v>22</c:v>
                  </c:pt>
                  <c:pt idx="89">
                    <c:v>17</c:v>
                  </c:pt>
                  <c:pt idx="90">
                    <c:v>22</c:v>
                  </c:pt>
                  <c:pt idx="91">
                    <c:v>19</c:v>
                  </c:pt>
                  <c:pt idx="92">
                    <c:v>7</c:v>
                  </c:pt>
                  <c:pt idx="93">
                    <c:v>8</c:v>
                  </c:pt>
                  <c:pt idx="94">
                    <c:v>12</c:v>
                  </c:pt>
                  <c:pt idx="95">
                    <c:v>0</c:v>
                  </c:pt>
                  <c:pt idx="96">
                    <c:v>19</c:v>
                  </c:pt>
                  <c:pt idx="97">
                    <c:v>1</c:v>
                  </c:pt>
                  <c:pt idx="98">
                    <c:v>8</c:v>
                  </c:pt>
                  <c:pt idx="99">
                    <c:v>20</c:v>
                  </c:pt>
                  <c:pt idx="100">
                    <c:v>11</c:v>
                  </c:pt>
                  <c:pt idx="101">
                    <c:v>7</c:v>
                  </c:pt>
                  <c:pt idx="102">
                    <c:v>2</c:v>
                  </c:pt>
                  <c:pt idx="103">
                    <c:v>19</c:v>
                  </c:pt>
                  <c:pt idx="104">
                    <c:v>22</c:v>
                  </c:pt>
                  <c:pt idx="105">
                    <c:v>7</c:v>
                  </c:pt>
                  <c:pt idx="106">
                    <c:v>8</c:v>
                  </c:pt>
                  <c:pt idx="107">
                    <c:v>2</c:v>
                  </c:pt>
                  <c:pt idx="108">
                    <c:v>0</c:v>
                  </c:pt>
                  <c:pt idx="109">
                    <c:v>15</c:v>
                  </c:pt>
                  <c:pt idx="110">
                    <c:v>7</c:v>
                  </c:pt>
                  <c:pt idx="111">
                    <c:v>0</c:v>
                  </c:pt>
                  <c:pt idx="112">
                    <c:v>4</c:v>
                  </c:pt>
                  <c:pt idx="113">
                    <c:v>5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5</c:v>
                  </c:pt>
                  <c:pt idx="117">
                    <c:v>5</c:v>
                  </c:pt>
                  <c:pt idx="118">
                    <c:v>1</c:v>
                  </c:pt>
                  <c:pt idx="119">
                    <c:v>15</c:v>
                  </c:pt>
                  <c:pt idx="120">
                    <c:v>3</c:v>
                  </c:pt>
                  <c:pt idx="121">
                    <c:v>17</c:v>
                  </c:pt>
                  <c:pt idx="122">
                    <c:v>22</c:v>
                  </c:pt>
                  <c:pt idx="123">
                    <c:v>4</c:v>
                  </c:pt>
                  <c:pt idx="124">
                    <c:v>12</c:v>
                  </c:pt>
                  <c:pt idx="125">
                    <c:v>2</c:v>
                  </c:pt>
                  <c:pt idx="126">
                    <c:v>24</c:v>
                  </c:pt>
                  <c:pt idx="127">
                    <c:v>18</c:v>
                  </c:pt>
                  <c:pt idx="128">
                    <c:v>0</c:v>
                  </c:pt>
                  <c:pt idx="129">
                    <c:v>16</c:v>
                  </c:pt>
                </c:lvl>
                <c:lvl>
                  <c:pt idx="0">
                    <c:v>B</c:v>
                  </c:pt>
                  <c:pt idx="1">
                    <c:v>S</c:v>
                  </c:pt>
                  <c:pt idx="2">
                    <c:v>S</c:v>
                  </c:pt>
                  <c:pt idx="3">
                    <c:v>A</c:v>
                  </c:pt>
                  <c:pt idx="4">
                    <c:v>T</c:v>
                  </c:pt>
                  <c:pt idx="5">
                    <c:v>A</c:v>
                  </c:pt>
                  <c:pt idx="6">
                    <c:v>O</c:v>
                  </c:pt>
                  <c:pt idx="7">
                    <c:v>L</c:v>
                  </c:pt>
                  <c:pt idx="8">
                    <c:v>L</c:v>
                  </c:pt>
                  <c:pt idx="9">
                    <c:v>N</c:v>
                  </c:pt>
                  <c:pt idx="10">
                    <c:v>I</c:v>
                  </c:pt>
                  <c:pt idx="11">
                    <c:v>I</c:v>
                  </c:pt>
                  <c:pt idx="12">
                    <c:v>W</c:v>
                  </c:pt>
                  <c:pt idx="13">
                    <c:v>T</c:v>
                  </c:pt>
                  <c:pt idx="14">
                    <c:v>I</c:v>
                  </c:pt>
                  <c:pt idx="15">
                    <c:v>H</c:v>
                  </c:pt>
                  <c:pt idx="16">
                    <c:v>T</c:v>
                  </c:pt>
                  <c:pt idx="17">
                    <c:v>P</c:v>
                  </c:pt>
                  <c:pt idx="18">
                    <c:v>T</c:v>
                  </c:pt>
                  <c:pt idx="19">
                    <c:v>U</c:v>
                  </c:pt>
                  <c:pt idx="20">
                    <c:v>T</c:v>
                  </c:pt>
                  <c:pt idx="21">
                    <c:v>E</c:v>
                  </c:pt>
                  <c:pt idx="22">
                    <c:v>M</c:v>
                  </c:pt>
                  <c:pt idx="23">
                    <c:v>F</c:v>
                  </c:pt>
                  <c:pt idx="24">
                    <c:v>X</c:v>
                  </c:pt>
                  <c:pt idx="25">
                    <c:v>I</c:v>
                  </c:pt>
                  <c:pt idx="26">
                    <c:v>W</c:v>
                  </c:pt>
                  <c:pt idx="27">
                    <c:v>G</c:v>
                  </c:pt>
                  <c:pt idx="28">
                    <c:v>A</c:v>
                  </c:pt>
                  <c:pt idx="29">
                    <c:v>T</c:v>
                  </c:pt>
                  <c:pt idx="30">
                    <c:v>U</c:v>
                  </c:pt>
                  <c:pt idx="31">
                    <c:v>T</c:v>
                  </c:pt>
                  <c:pt idx="32">
                    <c:v>A</c:v>
                  </c:pt>
                  <c:pt idx="33">
                    <c:v>U</c:v>
                  </c:pt>
                  <c:pt idx="34">
                    <c:v>L</c:v>
                  </c:pt>
                  <c:pt idx="35">
                    <c:v>D</c:v>
                  </c:pt>
                  <c:pt idx="36">
                    <c:v>L</c:v>
                  </c:pt>
                  <c:pt idx="37">
                    <c:v>K</c:v>
                  </c:pt>
                  <c:pt idx="38">
                    <c:v>A</c:v>
                  </c:pt>
                  <c:pt idx="39">
                    <c:v>T</c:v>
                  </c:pt>
                  <c:pt idx="40">
                    <c:v>S</c:v>
                  </c:pt>
                  <c:pt idx="41">
                    <c:v>I</c:v>
                  </c:pt>
                  <c:pt idx="42">
                    <c:v>B</c:v>
                  </c:pt>
                  <c:pt idx="43">
                    <c:v>O</c:v>
                  </c:pt>
                  <c:pt idx="44">
                    <c:v>T</c:v>
                  </c:pt>
                  <c:pt idx="45">
                    <c:v>S</c:v>
                  </c:pt>
                  <c:pt idx="46">
                    <c:v>W</c:v>
                  </c:pt>
                  <c:pt idx="47">
                    <c:v>K</c:v>
                  </c:pt>
                  <c:pt idx="48">
                    <c:v>T</c:v>
                  </c:pt>
                  <c:pt idx="49">
                    <c:v>E</c:v>
                  </c:pt>
                  <c:pt idx="50">
                    <c:v>L</c:v>
                  </c:pt>
                  <c:pt idx="51">
                    <c:v>O</c:v>
                  </c:pt>
                  <c:pt idx="52">
                    <c:v>W</c:v>
                  </c:pt>
                  <c:pt idx="53">
                    <c:v>T</c:v>
                  </c:pt>
                  <c:pt idx="54">
                    <c:v>W</c:v>
                  </c:pt>
                  <c:pt idx="55">
                    <c:v>H</c:v>
                  </c:pt>
                  <c:pt idx="56">
                    <c:v>L</c:v>
                  </c:pt>
                  <c:pt idx="57">
                    <c:v>M</c:v>
                  </c:pt>
                  <c:pt idx="58">
                    <c:v>T</c:v>
                  </c:pt>
                  <c:pt idx="59">
                    <c:v>E</c:v>
                  </c:pt>
                  <c:pt idx="60">
                    <c:v>D</c:v>
                  </c:pt>
                  <c:pt idx="61">
                    <c:v>F</c:v>
                  </c:pt>
                  <c:pt idx="62">
                    <c:v>S</c:v>
                  </c:pt>
                  <c:pt idx="63">
                    <c:v>M</c:v>
                  </c:pt>
                  <c:pt idx="64">
                    <c:v>S</c:v>
                  </c:pt>
                  <c:pt idx="65">
                    <c:v>P</c:v>
                  </c:pt>
                  <c:pt idx="66">
                    <c:v>F</c:v>
                  </c:pt>
                  <c:pt idx="67">
                    <c:v>S</c:v>
                  </c:pt>
                  <c:pt idx="68">
                    <c:v>N</c:v>
                  </c:pt>
                  <c:pt idx="69">
                    <c:v>S</c:v>
                  </c:pt>
                  <c:pt idx="70">
                    <c:v>E</c:v>
                  </c:pt>
                  <c:pt idx="71">
                    <c:v>F</c:v>
                  </c:pt>
                  <c:pt idx="72">
                    <c:v>F</c:v>
                  </c:pt>
                  <c:pt idx="73">
                    <c:v>W</c:v>
                  </c:pt>
                  <c:pt idx="74">
                    <c:v>L</c:v>
                  </c:pt>
                  <c:pt idx="75">
                    <c:v>T</c:v>
                  </c:pt>
                  <c:pt idx="76">
                    <c:v>S</c:v>
                  </c:pt>
                  <c:pt idx="77">
                    <c:v>D</c:v>
                  </c:pt>
                  <c:pt idx="78">
                    <c:v>T</c:v>
                  </c:pt>
                  <c:pt idx="79">
                    <c:v>R</c:v>
                  </c:pt>
                  <c:pt idx="80">
                    <c:v>O</c:v>
                  </c:pt>
                  <c:pt idx="81">
                    <c:v>P</c:v>
                  </c:pt>
                  <c:pt idx="82">
                    <c:v>D</c:v>
                  </c:pt>
                  <c:pt idx="83">
                    <c:v>T</c:v>
                  </c:pt>
                  <c:pt idx="84">
                    <c:v>E</c:v>
                  </c:pt>
                  <c:pt idx="85">
                    <c:v>L</c:v>
                  </c:pt>
                  <c:pt idx="86">
                    <c:v>P</c:v>
                  </c:pt>
                  <c:pt idx="87">
                    <c:v>D</c:v>
                  </c:pt>
                  <c:pt idx="88">
                    <c:v>W</c:v>
                  </c:pt>
                  <c:pt idx="89">
                    <c:v>R</c:v>
                  </c:pt>
                  <c:pt idx="90">
                    <c:v>W</c:v>
                  </c:pt>
                  <c:pt idx="91">
                    <c:v>T</c:v>
                  </c:pt>
                  <c:pt idx="92">
                    <c:v>H</c:v>
                  </c:pt>
                  <c:pt idx="93">
                    <c:v>I</c:v>
                  </c:pt>
                  <c:pt idx="94">
                    <c:v>M</c:v>
                  </c:pt>
                  <c:pt idx="95">
                    <c:v>A</c:v>
                  </c:pt>
                  <c:pt idx="96">
                    <c:v>T</c:v>
                  </c:pt>
                  <c:pt idx="97">
                    <c:v>B</c:v>
                  </c:pt>
                  <c:pt idx="98">
                    <c:v>I</c:v>
                  </c:pt>
                  <c:pt idx="99">
                    <c:v>U</c:v>
                  </c:pt>
                  <c:pt idx="100">
                    <c:v>L</c:v>
                  </c:pt>
                  <c:pt idx="101">
                    <c:v>H</c:v>
                  </c:pt>
                  <c:pt idx="102">
                    <c:v>C</c:v>
                  </c:pt>
                  <c:pt idx="103">
                    <c:v>T</c:v>
                  </c:pt>
                  <c:pt idx="104">
                    <c:v>W</c:v>
                  </c:pt>
                  <c:pt idx="105">
                    <c:v>H</c:v>
                  </c:pt>
                  <c:pt idx="106">
                    <c:v>I</c:v>
                  </c:pt>
                  <c:pt idx="107">
                    <c:v>C</c:v>
                  </c:pt>
                  <c:pt idx="108">
                    <c:v>A</c:v>
                  </c:pt>
                  <c:pt idx="109">
                    <c:v>P</c:v>
                  </c:pt>
                  <c:pt idx="110">
                    <c:v>H</c:v>
                  </c:pt>
                  <c:pt idx="111">
                    <c:v>A</c:v>
                  </c:pt>
                  <c:pt idx="112">
                    <c:v>E</c:v>
                  </c:pt>
                  <c:pt idx="113">
                    <c:v>F</c:v>
                  </c:pt>
                  <c:pt idx="114">
                    <c:v>C</c:v>
                  </c:pt>
                  <c:pt idx="115">
                    <c:v>C</c:v>
                  </c:pt>
                  <c:pt idx="116">
                    <c:v>F</c:v>
                  </c:pt>
                  <c:pt idx="117">
                    <c:v>F</c:v>
                  </c:pt>
                  <c:pt idx="118">
                    <c:v>B</c:v>
                  </c:pt>
                  <c:pt idx="119">
                    <c:v>P</c:v>
                  </c:pt>
                  <c:pt idx="120">
                    <c:v>D</c:v>
                  </c:pt>
                  <c:pt idx="121">
                    <c:v>R</c:v>
                  </c:pt>
                  <c:pt idx="122">
                    <c:v>W</c:v>
                  </c:pt>
                  <c:pt idx="123">
                    <c:v>E</c:v>
                  </c:pt>
                  <c:pt idx="124">
                    <c:v>M</c:v>
                  </c:pt>
                  <c:pt idx="125">
                    <c:v>C</c:v>
                  </c:pt>
                  <c:pt idx="126">
                    <c:v>Y</c:v>
                  </c:pt>
                  <c:pt idx="127">
                    <c:v>S</c:v>
                  </c:pt>
                  <c:pt idx="128">
                    <c:v>A</c:v>
                  </c:pt>
                  <c:pt idx="129">
                    <c:v>Q</c:v>
                  </c:pt>
                </c:lvl>
                <c:lvl>
                  <c:pt idx="0">
                    <c:v> BETWEEN</c:v>
                  </c:pt>
                  <c:pt idx="1">
                    <c:v> SUBTLE</c:v>
                  </c:pt>
                  <c:pt idx="2">
                    <c:v> SHADING</c:v>
                  </c:pt>
                  <c:pt idx="3">
                    <c:v> AND</c:v>
                  </c:pt>
                  <c:pt idx="4">
                    <c:v> THE</c:v>
                  </c:pt>
                  <c:pt idx="5">
                    <c:v> ABSENCE</c:v>
                  </c:pt>
                  <c:pt idx="6">
                    <c:v> OF</c:v>
                  </c:pt>
                  <c:pt idx="7">
                    <c:v> LIGHT</c:v>
                  </c:pt>
                  <c:pt idx="8">
                    <c:v> LIES</c:v>
                  </c:pt>
                  <c:pt idx="9">
                    <c:v> NUANCE</c:v>
                  </c:pt>
                  <c:pt idx="10">
                    <c:v> IQLUSION</c:v>
                  </c:pt>
                  <c:pt idx="11">
                    <c:v> IT</c:v>
                  </c:pt>
                  <c:pt idx="12">
                    <c:v> WAS</c:v>
                  </c:pt>
                  <c:pt idx="13">
                    <c:v> TOTALLY</c:v>
                  </c:pt>
                  <c:pt idx="14">
                    <c:v> INVISIBLE</c:v>
                  </c:pt>
                  <c:pt idx="15">
                    <c:v> HOWS</c:v>
                  </c:pt>
                  <c:pt idx="16">
                    <c:v> THAT</c:v>
                  </c:pt>
                  <c:pt idx="17">
                    <c:v> POSSIBLE</c:v>
                  </c:pt>
                  <c:pt idx="18">
                    <c:v> THEY</c:v>
                  </c:pt>
                  <c:pt idx="19">
                    <c:v> USED</c:v>
                  </c:pt>
                  <c:pt idx="20">
                    <c:v> THE</c:v>
                  </c:pt>
                  <c:pt idx="21">
                    <c:v> EARTHS</c:v>
                  </c:pt>
                  <c:pt idx="22">
                    <c:v> MAGNETIC</c:v>
                  </c:pt>
                  <c:pt idx="23">
                    <c:v> FIELD</c:v>
                  </c:pt>
                  <c:pt idx="24">
                    <c:v> X</c:v>
                  </c:pt>
                  <c:pt idx="25">
                    <c:v> INFORMATION</c:v>
                  </c:pt>
                  <c:pt idx="26">
                    <c:v> WAS</c:v>
                  </c:pt>
                  <c:pt idx="27">
                    <c:v> GATHERED</c:v>
                  </c:pt>
                  <c:pt idx="28">
                    <c:v> AND</c:v>
                  </c:pt>
                  <c:pt idx="29">
                    <c:v> TRANSMITTED</c:v>
                  </c:pt>
                  <c:pt idx="30">
                    <c:v> UNDERGRUUND</c:v>
                  </c:pt>
                  <c:pt idx="31">
                    <c:v> TO</c:v>
                  </c:pt>
                  <c:pt idx="32">
                    <c:v> AN</c:v>
                  </c:pt>
                  <c:pt idx="33">
                    <c:v> UNKNOWN</c:v>
                  </c:pt>
                  <c:pt idx="34">
                    <c:v> LOCATION</c:v>
                  </c:pt>
                  <c:pt idx="35">
                    <c:v> DOES</c:v>
                  </c:pt>
                  <c:pt idx="36">
                    <c:v> LANGLEY</c:v>
                  </c:pt>
                  <c:pt idx="37">
                    <c:v> KNOW</c:v>
                  </c:pt>
                  <c:pt idx="38">
                    <c:v> ABOUT</c:v>
                  </c:pt>
                  <c:pt idx="39">
                    <c:v> THIS</c:v>
                  </c:pt>
                  <c:pt idx="40">
                    <c:v> SHOULD</c:v>
                  </c:pt>
                  <c:pt idx="41">
                    <c:v> ITS</c:v>
                  </c:pt>
                  <c:pt idx="42">
                    <c:v> BURIED</c:v>
                  </c:pt>
                  <c:pt idx="43">
                    <c:v> OUT</c:v>
                  </c:pt>
                  <c:pt idx="44">
                    <c:v> THERE</c:v>
                  </c:pt>
                  <c:pt idx="45">
                    <c:v> SOMEWHERE</c:v>
                  </c:pt>
                  <c:pt idx="46">
                    <c:v> WHO</c:v>
                  </c:pt>
                  <c:pt idx="47">
                    <c:v> KNOWS</c:v>
                  </c:pt>
                  <c:pt idx="48">
                    <c:v> THE</c:v>
                  </c:pt>
                  <c:pt idx="49">
                    <c:v> EXACT</c:v>
                  </c:pt>
                  <c:pt idx="50">
                    <c:v> LOCATION</c:v>
                  </c:pt>
                  <c:pt idx="51">
                    <c:v> ONLY</c:v>
                  </c:pt>
                  <c:pt idx="52">
                    <c:v> WW</c:v>
                  </c:pt>
                  <c:pt idx="53">
                    <c:v> THIS</c:v>
                  </c:pt>
                  <c:pt idx="54">
                    <c:v> WAS</c:v>
                  </c:pt>
                  <c:pt idx="55">
                    <c:v> HIS</c:v>
                  </c:pt>
                  <c:pt idx="56">
                    <c:v> LAST</c:v>
                  </c:pt>
                  <c:pt idx="57">
                    <c:v> MESSAGE</c:v>
                  </c:pt>
                  <c:pt idx="58">
                    <c:v> THIRTY</c:v>
                  </c:pt>
                  <c:pt idx="59">
                    <c:v> EIGHT</c:v>
                  </c:pt>
                  <c:pt idx="60">
                    <c:v> DEGREES</c:v>
                  </c:pt>
                  <c:pt idx="61">
                    <c:v> FIFTY</c:v>
                  </c:pt>
                  <c:pt idx="62">
                    <c:v> SEVEN</c:v>
                  </c:pt>
                  <c:pt idx="63">
                    <c:v> MINUTES</c:v>
                  </c:pt>
                  <c:pt idx="64">
                    <c:v> SIX</c:v>
                  </c:pt>
                  <c:pt idx="65">
                    <c:v> POINT</c:v>
                  </c:pt>
                  <c:pt idx="66">
                    <c:v> FIVE</c:v>
                  </c:pt>
                  <c:pt idx="67">
                    <c:v> SECONDS</c:v>
                  </c:pt>
                  <c:pt idx="68">
                    <c:v> NORTH</c:v>
                  </c:pt>
                  <c:pt idx="69">
                    <c:v> SEVENTY</c:v>
                  </c:pt>
                  <c:pt idx="70">
                    <c:v> EIGHT</c:v>
                  </c:pt>
                  <c:pt idx="71">
                    <c:v> FORTY</c:v>
                  </c:pt>
                  <c:pt idx="72">
                    <c:v> FOUR</c:v>
                  </c:pt>
                  <c:pt idx="73">
                    <c:v> WEST</c:v>
                  </c:pt>
                  <c:pt idx="74">
                    <c:v> LAYER</c:v>
                  </c:pt>
                  <c:pt idx="75">
                    <c:v> TWO</c:v>
                  </c:pt>
                  <c:pt idx="76">
                    <c:v> SLOWLY</c:v>
                  </c:pt>
                  <c:pt idx="77">
                    <c:v> DESPARATLY</c:v>
                  </c:pt>
                  <c:pt idx="78">
                    <c:v> THE</c:v>
                  </c:pt>
                  <c:pt idx="79">
                    <c:v> REMAINS</c:v>
                  </c:pt>
                  <c:pt idx="80">
                    <c:v> OF</c:v>
                  </c:pt>
                  <c:pt idx="81">
                    <c:v> PASSAGE</c:v>
                  </c:pt>
                  <c:pt idx="82">
                    <c:v> DEBRIS</c:v>
                  </c:pt>
                  <c:pt idx="83">
                    <c:v> THAT</c:v>
                  </c:pt>
                  <c:pt idx="84">
                    <c:v> ENCUMBERED</c:v>
                  </c:pt>
                  <c:pt idx="85">
                    <c:v> LOWER</c:v>
                  </c:pt>
                  <c:pt idx="86">
                    <c:v> PART</c:v>
                  </c:pt>
                  <c:pt idx="87">
                    <c:v> DOORWAY</c:v>
                  </c:pt>
                  <c:pt idx="88">
                    <c:v> WAS</c:v>
                  </c:pt>
                  <c:pt idx="89">
                    <c:v> REMOVED</c:v>
                  </c:pt>
                  <c:pt idx="90">
                    <c:v> WITH</c:v>
                  </c:pt>
                  <c:pt idx="91">
                    <c:v> TREMBLING</c:v>
                  </c:pt>
                  <c:pt idx="92">
                    <c:v> HANDS</c:v>
                  </c:pt>
                  <c:pt idx="93">
                    <c:v> I</c:v>
                  </c:pt>
                  <c:pt idx="94">
                    <c:v> MADE</c:v>
                  </c:pt>
                  <c:pt idx="95">
                    <c:v> A</c:v>
                  </c:pt>
                  <c:pt idx="96">
                    <c:v> TINY</c:v>
                  </c:pt>
                  <c:pt idx="97">
                    <c:v> BREACH</c:v>
                  </c:pt>
                  <c:pt idx="98">
                    <c:v> IN</c:v>
                  </c:pt>
                  <c:pt idx="99">
                    <c:v> UPPER</c:v>
                  </c:pt>
                  <c:pt idx="100">
                    <c:v> LEFT</c:v>
                  </c:pt>
                  <c:pt idx="101">
                    <c:v> HAND</c:v>
                  </c:pt>
                  <c:pt idx="102">
                    <c:v> CORNER</c:v>
                  </c:pt>
                  <c:pt idx="103">
                    <c:v> THEN</c:v>
                  </c:pt>
                  <c:pt idx="104">
                    <c:v> WIDENING</c:v>
                  </c:pt>
                  <c:pt idx="105">
                    <c:v> HOLE</c:v>
                  </c:pt>
                  <c:pt idx="106">
                    <c:v> INSERTED</c:v>
                  </c:pt>
                  <c:pt idx="107">
                    <c:v> CANDLE</c:v>
                  </c:pt>
                  <c:pt idx="108">
                    <c:v> AND</c:v>
                  </c:pt>
                  <c:pt idx="109">
                    <c:v> PEERED</c:v>
                  </c:pt>
                  <c:pt idx="110">
                    <c:v> HOT</c:v>
                  </c:pt>
                  <c:pt idx="111">
                    <c:v> AIR</c:v>
                  </c:pt>
                  <c:pt idx="112">
                    <c:v> ESCAPING</c:v>
                  </c:pt>
                  <c:pt idx="113">
                    <c:v> FROM</c:v>
                  </c:pt>
                  <c:pt idx="114">
                    <c:v> CHAMBER</c:v>
                  </c:pt>
                  <c:pt idx="115">
                    <c:v> CAUSED</c:v>
                  </c:pt>
                  <c:pt idx="116">
                    <c:v> FLAME</c:v>
                  </c:pt>
                  <c:pt idx="117">
                    <c:v> FLICKER</c:v>
                  </c:pt>
                  <c:pt idx="118">
                    <c:v> BUT</c:v>
                  </c:pt>
                  <c:pt idx="119">
                    <c:v> PRESENTLY</c:v>
                  </c:pt>
                  <c:pt idx="120">
                    <c:v> DETAILS</c:v>
                  </c:pt>
                  <c:pt idx="121">
                    <c:v> ROOM</c:v>
                  </c:pt>
                  <c:pt idx="122">
                    <c:v> WITHIN</c:v>
                  </c:pt>
                  <c:pt idx="123">
                    <c:v> EMERGED</c:v>
                  </c:pt>
                  <c:pt idx="124">
                    <c:v> MIST</c:v>
                  </c:pt>
                  <c:pt idx="125">
                    <c:v> CAN</c:v>
                  </c:pt>
                  <c:pt idx="126">
                    <c:v> YOU</c:v>
                  </c:pt>
                  <c:pt idx="127">
                    <c:v> SEE</c:v>
                  </c:pt>
                  <c:pt idx="128">
                    <c:v> ANYTHING</c:v>
                  </c:pt>
                  <c:pt idx="129">
                    <c:v> Q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</c:lvl>
              </c:multiLvlStrCache>
            </c:multiLvlStrRef>
          </c:xVal>
          <c:yVal>
            <c:numRef>
              <c:f>Sheet2!$H$1:$H$130</c:f>
              <c:numCache>
                <c:formatCode>General</c:formatCode>
                <c:ptCount val="130"/>
                <c:pt idx="0">
                  <c:v>10.54166666666667</c:v>
                </c:pt>
                <c:pt idx="1">
                  <c:v>10.95833333333333</c:v>
                </c:pt>
                <c:pt idx="2">
                  <c:v>11.33333333333333</c:v>
                </c:pt>
                <c:pt idx="3">
                  <c:v>11.83333333333333</c:v>
                </c:pt>
                <c:pt idx="4">
                  <c:v>11.83333333333333</c:v>
                </c:pt>
                <c:pt idx="5">
                  <c:v>11.79166666666667</c:v>
                </c:pt>
                <c:pt idx="6">
                  <c:v>11.75</c:v>
                </c:pt>
                <c:pt idx="7">
                  <c:v>11.66666666666667</c:v>
                </c:pt>
                <c:pt idx="8">
                  <c:v>11.45833333333333</c:v>
                </c:pt>
                <c:pt idx="9">
                  <c:v>11.25</c:v>
                </c:pt>
                <c:pt idx="10">
                  <c:v>11.625</c:v>
                </c:pt>
                <c:pt idx="11">
                  <c:v>11.625</c:v>
                </c:pt>
                <c:pt idx="12">
                  <c:v>11.58333333333333</c:v>
                </c:pt>
                <c:pt idx="13">
                  <c:v>11.83333333333333</c:v>
                </c:pt>
                <c:pt idx="14">
                  <c:v>11.75</c:v>
                </c:pt>
                <c:pt idx="15">
                  <c:v>12.375</c:v>
                </c:pt>
                <c:pt idx="16">
                  <c:v>12.375</c:v>
                </c:pt>
                <c:pt idx="17">
                  <c:v>11.70833333333333</c:v>
                </c:pt>
                <c:pt idx="18">
                  <c:v>12.29166666666667</c:v>
                </c:pt>
                <c:pt idx="19">
                  <c:v>11.41666666666667</c:v>
                </c:pt>
                <c:pt idx="20">
                  <c:v>12.08333333333333</c:v>
                </c:pt>
                <c:pt idx="21">
                  <c:v>12.08333333333333</c:v>
                </c:pt>
                <c:pt idx="22">
                  <c:v>11.5</c:v>
                </c:pt>
                <c:pt idx="23">
                  <c:v>12.0</c:v>
                </c:pt>
                <c:pt idx="24">
                  <c:v>12.625</c:v>
                </c:pt>
                <c:pt idx="25">
                  <c:v>11.83333333333333</c:v>
                </c:pt>
                <c:pt idx="26">
                  <c:v>12.08333333333333</c:v>
                </c:pt>
                <c:pt idx="27">
                  <c:v>11.875</c:v>
                </c:pt>
                <c:pt idx="28">
                  <c:v>12.75</c:v>
                </c:pt>
                <c:pt idx="29">
                  <c:v>13.54166666666667</c:v>
                </c:pt>
                <c:pt idx="30">
                  <c:v>14.16666666666667</c:v>
                </c:pt>
                <c:pt idx="31">
                  <c:v>14.79166666666667</c:v>
                </c:pt>
                <c:pt idx="32">
                  <c:v>14.95833333333333</c:v>
                </c:pt>
                <c:pt idx="33">
                  <c:v>15.20833333333333</c:v>
                </c:pt>
                <c:pt idx="34">
                  <c:v>14.83333333333333</c:v>
                </c:pt>
                <c:pt idx="35">
                  <c:v>15.29166666666667</c:v>
                </c:pt>
                <c:pt idx="36">
                  <c:v>15.33333333333333</c:v>
                </c:pt>
                <c:pt idx="37">
                  <c:v>15.08333333333333</c:v>
                </c:pt>
                <c:pt idx="38">
                  <c:v>15.16666666666667</c:v>
                </c:pt>
                <c:pt idx="39">
                  <c:v>14.91666666666667</c:v>
                </c:pt>
                <c:pt idx="40">
                  <c:v>14.91666666666667</c:v>
                </c:pt>
                <c:pt idx="41">
                  <c:v>15.75</c:v>
                </c:pt>
                <c:pt idx="42">
                  <c:v>15.79166666666667</c:v>
                </c:pt>
                <c:pt idx="43">
                  <c:v>15.83333333333333</c:v>
                </c:pt>
                <c:pt idx="44">
                  <c:v>15.79166666666667</c:v>
                </c:pt>
                <c:pt idx="45">
                  <c:v>15.91666666666667</c:v>
                </c:pt>
                <c:pt idx="46">
                  <c:v>16.75</c:v>
                </c:pt>
                <c:pt idx="47">
                  <c:v>16.95833333333333</c:v>
                </c:pt>
                <c:pt idx="48">
                  <c:v>17.20833333333333</c:v>
                </c:pt>
                <c:pt idx="49">
                  <c:v>17.75</c:v>
                </c:pt>
                <c:pt idx="50">
                  <c:v>17.75</c:v>
                </c:pt>
                <c:pt idx="51">
                  <c:v>17.91666666666667</c:v>
                </c:pt>
                <c:pt idx="52">
                  <c:v>17.5</c:v>
                </c:pt>
                <c:pt idx="53">
                  <c:v>17.58333333333333</c:v>
                </c:pt>
                <c:pt idx="54">
                  <c:v>17.83333333333333</c:v>
                </c:pt>
                <c:pt idx="55">
                  <c:v>17.25</c:v>
                </c:pt>
                <c:pt idx="56">
                  <c:v>17.25</c:v>
                </c:pt>
                <c:pt idx="57">
                  <c:v>16.66666666666667</c:v>
                </c:pt>
                <c:pt idx="58">
                  <c:v>16.66666666666667</c:v>
                </c:pt>
                <c:pt idx="59">
                  <c:v>16.41666666666667</c:v>
                </c:pt>
                <c:pt idx="60">
                  <c:v>16.41666666666667</c:v>
                </c:pt>
                <c:pt idx="61">
                  <c:v>15.79166666666667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15.79166666666667</c:v>
                </c:pt>
                <c:pt idx="66">
                  <c:v>15.125</c:v>
                </c:pt>
                <c:pt idx="67">
                  <c:v>15.25</c:v>
                </c:pt>
                <c:pt idx="68">
                  <c:v>14.75</c:v>
                </c:pt>
                <c:pt idx="69">
                  <c:v>15.20833333333333</c:v>
                </c:pt>
                <c:pt idx="70">
                  <c:v>14.54166666666667</c:v>
                </c:pt>
                <c:pt idx="71">
                  <c:v>13.91666666666667</c:v>
                </c:pt>
                <c:pt idx="72">
                  <c:v>12.91666666666667</c:v>
                </c:pt>
                <c:pt idx="73">
                  <c:v>13.20833333333333</c:v>
                </c:pt>
                <c:pt idx="74">
                  <c:v>12.70833333333333</c:v>
                </c:pt>
                <c:pt idx="75">
                  <c:v>12.54166666666667</c:v>
                </c:pt>
                <c:pt idx="76">
                  <c:v>12.66666666666667</c:v>
                </c:pt>
                <c:pt idx="77">
                  <c:v>12.45833333333333</c:v>
                </c:pt>
                <c:pt idx="78">
                  <c:v>11.58333333333333</c:v>
                </c:pt>
                <c:pt idx="79">
                  <c:v>12.125</c:v>
                </c:pt>
                <c:pt idx="80">
                  <c:v>11.91666666666667</c:v>
                </c:pt>
                <c:pt idx="81">
                  <c:v>11.95833333333333</c:v>
                </c:pt>
                <c:pt idx="82">
                  <c:v>11.95833333333333</c:v>
                </c:pt>
                <c:pt idx="83">
                  <c:v>11.33333333333333</c:v>
                </c:pt>
                <c:pt idx="84">
                  <c:v>11.0</c:v>
                </c:pt>
                <c:pt idx="85">
                  <c:v>11.36363636363636</c:v>
                </c:pt>
                <c:pt idx="86">
                  <c:v>11.09523809523809</c:v>
                </c:pt>
                <c:pt idx="87">
                  <c:v>10.7</c:v>
                </c:pt>
                <c:pt idx="88">
                  <c:v>10.0</c:v>
                </c:pt>
                <c:pt idx="89">
                  <c:v>9.555555555555555</c:v>
                </c:pt>
                <c:pt idx="90">
                  <c:v>9.941176470588235</c:v>
                </c:pt>
                <c:pt idx="91">
                  <c:v>10.125</c:v>
                </c:pt>
                <c:pt idx="92">
                  <c:v>10.4</c:v>
                </c:pt>
                <c:pt idx="93">
                  <c:v>9.857142857142857</c:v>
                </c:pt>
                <c:pt idx="94">
                  <c:v>10.0</c:v>
                </c:pt>
                <c:pt idx="95">
                  <c:v>10.5</c:v>
                </c:pt>
                <c:pt idx="96">
                  <c:v>11.45454545454545</c:v>
                </c:pt>
                <c:pt idx="97">
                  <c:v>10.2</c:v>
                </c:pt>
                <c:pt idx="98">
                  <c:v>10.55555555555556</c:v>
                </c:pt>
                <c:pt idx="99">
                  <c:v>10.25</c:v>
                </c:pt>
                <c:pt idx="100">
                  <c:v>9.285714285714286</c:v>
                </c:pt>
                <c:pt idx="101">
                  <c:v>7.666666666666667</c:v>
                </c:pt>
                <c:pt idx="102">
                  <c:v>8.6</c:v>
                </c:pt>
                <c:pt idx="103">
                  <c:v>6.5</c:v>
                </c:pt>
                <c:pt idx="104">
                  <c:v>4.333333333333332</c:v>
                </c:pt>
                <c:pt idx="105">
                  <c:v>3.5</c:v>
                </c:pt>
                <c:pt idx="106">
                  <c:v>3.0</c:v>
                </c:pt>
              </c:numCache>
            </c:numRef>
          </c:yVal>
        </c:ser>
        <c:axId val="481046968"/>
        <c:axId val="481051656"/>
      </c:scatterChart>
      <c:valAx>
        <c:axId val="481046968"/>
        <c:scaling>
          <c:orientation val="minMax"/>
        </c:scaling>
        <c:axPos val="b"/>
        <c:tickLblPos val="nextTo"/>
        <c:crossAx val="481051656"/>
        <c:crosses val="autoZero"/>
        <c:crossBetween val="midCat"/>
      </c:valAx>
      <c:valAx>
        <c:axId val="481051656"/>
        <c:scaling>
          <c:orientation val="minMax"/>
        </c:scaling>
        <c:axPos val="l"/>
        <c:majorGridlines/>
        <c:numFmt formatCode="General" sourceLinked="1"/>
        <c:tickLblPos val="nextTo"/>
        <c:crossAx val="48104696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48"/>
  <c:chart>
    <c:plotArea>
      <c:layout/>
      <c:scatterChart>
        <c:scatterStyle val="lineMarker"/>
        <c:ser>
          <c:idx val="0"/>
          <c:order val="0"/>
          <c:tx>
            <c:strRef>
              <c:f>Matches!$J$1</c:f>
              <c:strCache>
                <c:ptCount val="1"/>
                <c:pt idx="0">
                  <c:v>Avg24</c:v>
                </c:pt>
              </c:strCache>
            </c:strRef>
          </c:tx>
          <c:spPr>
            <a:ln w="47625">
              <a:noFill/>
            </a:ln>
          </c:spPr>
          <c:xVal>
            <c:multiLvlStrRef>
              <c:f>Matches!$A$2:$I$76</c:f>
              <c:multiLvlStrCache>
                <c:ptCount val="150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13</c:v>
                  </c:pt>
                  <c:pt idx="76">
                    <c:v>4</c:v>
                  </c:pt>
                  <c:pt idx="77">
                    <c:v>6</c:v>
                  </c:pt>
                  <c:pt idx="78">
                    <c:v>3</c:v>
                  </c:pt>
                  <c:pt idx="79">
                    <c:v>4</c:v>
                  </c:pt>
                  <c:pt idx="80">
                    <c:v>4</c:v>
                  </c:pt>
                  <c:pt idx="81">
                    <c:v>5</c:v>
                  </c:pt>
                  <c:pt idx="82">
                    <c:v>19</c:v>
                  </c:pt>
                  <c:pt idx="83">
                    <c:v>18</c:v>
                  </c:pt>
                  <c:pt idx="84">
                    <c:v>4</c:v>
                  </c:pt>
                  <c:pt idx="85">
                    <c:v>4</c:v>
                  </c:pt>
                  <c:pt idx="86">
                    <c:v>5</c:v>
                  </c:pt>
                  <c:pt idx="87">
                    <c:v>13</c:v>
                  </c:pt>
                  <c:pt idx="88">
                    <c:v>19</c:v>
                  </c:pt>
                  <c:pt idx="89">
                    <c:v>18</c:v>
                  </c:pt>
                  <c:pt idx="90">
                    <c:v>24</c:v>
                  </c:pt>
                  <c:pt idx="91">
                    <c:v>4</c:v>
                  </c:pt>
                  <c:pt idx="92">
                    <c:v>18</c:v>
                  </c:pt>
                  <c:pt idx="93">
                    <c:v>19</c:v>
                  </c:pt>
                  <c:pt idx="94">
                    <c:v>4</c:v>
                  </c:pt>
                  <c:pt idx="95">
                    <c:v>24</c:v>
                  </c:pt>
                  <c:pt idx="96">
                    <c:v>3</c:v>
                  </c:pt>
                  <c:pt idx="97">
                    <c:v>4</c:v>
                  </c:pt>
                  <c:pt idx="98">
                    <c:v>18</c:v>
                  </c:pt>
                  <c:pt idx="99">
                    <c:v>2</c:v>
                  </c:pt>
                  <c:pt idx="100">
                    <c:v>3</c:v>
                  </c:pt>
                  <c:pt idx="101">
                    <c:v>23</c:v>
                  </c:pt>
                  <c:pt idx="102">
                    <c:v>4</c:v>
                  </c:pt>
                  <c:pt idx="103">
                    <c:v>13</c:v>
                  </c:pt>
                  <c:pt idx="104">
                    <c:v>18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14</c:v>
                  </c:pt>
                  <c:pt idx="110">
                    <c:v>13</c:v>
                  </c:pt>
                  <c:pt idx="111">
                    <c:v>13</c:v>
                  </c:pt>
                  <c:pt idx="112">
                    <c:v>13</c:v>
                  </c:pt>
                  <c:pt idx="113">
                    <c:v>23</c:v>
                  </c:pt>
                  <c:pt idx="114">
                    <c:v>18</c:v>
                  </c:pt>
                  <c:pt idx="115">
                    <c:v>24</c:v>
                  </c:pt>
                  <c:pt idx="116">
                    <c:v>22</c:v>
                  </c:pt>
                  <c:pt idx="117">
                    <c:v>19</c:v>
                  </c:pt>
                  <c:pt idx="118">
                    <c:v>18</c:v>
                  </c:pt>
                  <c:pt idx="119">
                    <c:v>24</c:v>
                  </c:pt>
                  <c:pt idx="120">
                    <c:v>3</c:v>
                  </c:pt>
                  <c:pt idx="121">
                    <c:v>18</c:v>
                  </c:pt>
                  <c:pt idx="122">
                    <c:v>3</c:v>
                  </c:pt>
                  <c:pt idx="123">
                    <c:v>19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23</c:v>
                  </c:pt>
                  <c:pt idx="127">
                    <c:v>14</c:v>
                  </c:pt>
                  <c:pt idx="128">
                    <c:v>18</c:v>
                  </c:pt>
                  <c:pt idx="129">
                    <c:v>4</c:v>
                  </c:pt>
                  <c:pt idx="130">
                    <c:v>19</c:v>
                  </c:pt>
                  <c:pt idx="131">
                    <c:v>13</c:v>
                  </c:pt>
                  <c:pt idx="132">
                    <c:v>24</c:v>
                  </c:pt>
                  <c:pt idx="133">
                    <c:v>22</c:v>
                  </c:pt>
                  <c:pt idx="134">
                    <c:v>18</c:v>
                  </c:pt>
                  <c:pt idx="135">
                    <c:v>18</c:v>
                  </c:pt>
                  <c:pt idx="136">
                    <c:v>18</c:v>
                  </c:pt>
                  <c:pt idx="137">
                    <c:v>19</c:v>
                  </c:pt>
                  <c:pt idx="138">
                    <c:v>4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19</c:v>
                  </c:pt>
                  <c:pt idx="142">
                    <c:v>18</c:v>
                  </c:pt>
                  <c:pt idx="143">
                    <c:v>24</c:v>
                  </c:pt>
                  <c:pt idx="144">
                    <c:v>13</c:v>
                  </c:pt>
                  <c:pt idx="145">
                    <c:v>18</c:v>
                  </c:pt>
                  <c:pt idx="146">
                    <c:v>23</c:v>
                  </c:pt>
                  <c:pt idx="147">
                    <c:v>19</c:v>
                  </c:pt>
                  <c:pt idx="148">
                    <c:v>4</c:v>
                  </c:pt>
                  <c:pt idx="149">
                    <c:v>18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N</c:v>
                  </c:pt>
                  <c:pt idx="76">
                    <c:v>E</c:v>
                  </c:pt>
                  <c:pt idx="77">
                    <c:v>G</c:v>
                  </c:pt>
                  <c:pt idx="78">
                    <c:v>D</c:v>
                  </c:pt>
                  <c:pt idx="79">
                    <c:v>E</c:v>
                  </c:pt>
                  <c:pt idx="80">
                    <c:v>E</c:v>
                  </c:pt>
                  <c:pt idx="81">
                    <c:v>F</c:v>
                  </c:pt>
                  <c:pt idx="82">
                    <c:v>T</c:v>
                  </c:pt>
                  <c:pt idx="83">
                    <c:v>S</c:v>
                  </c:pt>
                  <c:pt idx="84">
                    <c:v>E</c:v>
                  </c:pt>
                  <c:pt idx="85">
                    <c:v>E</c:v>
                  </c:pt>
                  <c:pt idx="86">
                    <c:v>F</c:v>
                  </c:pt>
                  <c:pt idx="87">
                    <c:v>N</c:v>
                  </c:pt>
                  <c:pt idx="88">
                    <c:v>T</c:v>
                  </c:pt>
                  <c:pt idx="89">
                    <c:v>S</c:v>
                  </c:pt>
                  <c:pt idx="90">
                    <c:v>Y</c:v>
                  </c:pt>
                  <c:pt idx="91">
                    <c:v>E</c:v>
                  </c:pt>
                  <c:pt idx="92">
                    <c:v>S</c:v>
                  </c:pt>
                  <c:pt idx="93">
                    <c:v>T</c:v>
                  </c:pt>
                  <c:pt idx="94">
                    <c:v>E</c:v>
                  </c:pt>
                  <c:pt idx="95">
                    <c:v>Y</c:v>
                  </c:pt>
                  <c:pt idx="96">
                    <c:v>D</c:v>
                  </c:pt>
                  <c:pt idx="97">
                    <c:v>E</c:v>
                  </c:pt>
                  <c:pt idx="98">
                    <c:v>S</c:v>
                  </c:pt>
                  <c:pt idx="99">
                    <c:v>C</c:v>
                  </c:pt>
                  <c:pt idx="100">
                    <c:v>D</c:v>
                  </c:pt>
                  <c:pt idx="101">
                    <c:v>X</c:v>
                  </c:pt>
                  <c:pt idx="102">
                    <c:v>E</c:v>
                  </c:pt>
                  <c:pt idx="103">
                    <c:v>N</c:v>
                  </c:pt>
                  <c:pt idx="104">
                    <c:v>S</c:v>
                  </c:pt>
                  <c:pt idx="105">
                    <c:v>D</c:v>
                  </c:pt>
                  <c:pt idx="106">
                    <c:v>D</c:v>
                  </c:pt>
                  <c:pt idx="107">
                    <c:v>D</c:v>
                  </c:pt>
                  <c:pt idx="108">
                    <c:v>D</c:v>
                  </c:pt>
                  <c:pt idx="109">
                    <c:v>O</c:v>
                  </c:pt>
                  <c:pt idx="110">
                    <c:v>N</c:v>
                  </c:pt>
                  <c:pt idx="111">
                    <c:v>N</c:v>
                  </c:pt>
                  <c:pt idx="112">
                    <c:v>N</c:v>
                  </c:pt>
                  <c:pt idx="113">
                    <c:v>X</c:v>
                  </c:pt>
                  <c:pt idx="114">
                    <c:v>S</c:v>
                  </c:pt>
                  <c:pt idx="115">
                    <c:v>Y</c:v>
                  </c:pt>
                  <c:pt idx="116">
                    <c:v>W</c:v>
                  </c:pt>
                  <c:pt idx="117">
                    <c:v>T</c:v>
                  </c:pt>
                  <c:pt idx="118">
                    <c:v>S</c:v>
                  </c:pt>
                  <c:pt idx="119">
                    <c:v>Y</c:v>
                  </c:pt>
                  <c:pt idx="120">
                    <c:v>D</c:v>
                  </c:pt>
                  <c:pt idx="121">
                    <c:v>S</c:v>
                  </c:pt>
                  <c:pt idx="122">
                    <c:v>D</c:v>
                  </c:pt>
                  <c:pt idx="123">
                    <c:v>T</c:v>
                  </c:pt>
                  <c:pt idx="124">
                    <c:v>E</c:v>
                  </c:pt>
                  <c:pt idx="125">
                    <c:v>E</c:v>
                  </c:pt>
                  <c:pt idx="126">
                    <c:v>X</c:v>
                  </c:pt>
                  <c:pt idx="127">
                    <c:v>O</c:v>
                  </c:pt>
                  <c:pt idx="128">
                    <c:v>S</c:v>
                  </c:pt>
                  <c:pt idx="129">
                    <c:v>E</c:v>
                  </c:pt>
                  <c:pt idx="130">
                    <c:v>T</c:v>
                  </c:pt>
                  <c:pt idx="131">
                    <c:v>N</c:v>
                  </c:pt>
                  <c:pt idx="132">
                    <c:v>Y</c:v>
                  </c:pt>
                  <c:pt idx="133">
                    <c:v>W</c:v>
                  </c:pt>
                  <c:pt idx="134">
                    <c:v>S</c:v>
                  </c:pt>
                  <c:pt idx="135">
                    <c:v>S</c:v>
                  </c:pt>
                  <c:pt idx="136">
                    <c:v>S</c:v>
                  </c:pt>
                  <c:pt idx="137">
                    <c:v>T</c:v>
                  </c:pt>
                  <c:pt idx="138">
                    <c:v>E</c:v>
                  </c:pt>
                  <c:pt idx="139">
                    <c:v>X</c:v>
                  </c:pt>
                  <c:pt idx="140">
                    <c:v>Y</c:v>
                  </c:pt>
                  <c:pt idx="141">
                    <c:v>T</c:v>
                  </c:pt>
                  <c:pt idx="142">
                    <c:v>S</c:v>
                  </c:pt>
                  <c:pt idx="143">
                    <c:v>Y</c:v>
                  </c:pt>
                  <c:pt idx="144">
                    <c:v>N</c:v>
                  </c:pt>
                  <c:pt idx="145">
                    <c:v>S</c:v>
                  </c:pt>
                  <c:pt idx="146">
                    <c:v>X</c:v>
                  </c:pt>
                  <c:pt idx="147">
                    <c:v>T</c:v>
                  </c:pt>
                  <c:pt idx="148">
                    <c:v>E</c:v>
                  </c:pt>
                  <c:pt idx="149">
                    <c:v>S</c:v>
                  </c:pt>
                </c:lvl>
              </c:multiLvlStrCache>
            </c:multiLvlStrRef>
          </c:xVal>
          <c:yVal>
            <c:numRef>
              <c:f>Matches!$J$2:$J$76</c:f>
              <c:numCache>
                <c:formatCode>0.00</c:formatCode>
                <c:ptCount val="75"/>
                <c:pt idx="0">
                  <c:v>10.70833333333333</c:v>
                </c:pt>
                <c:pt idx="1">
                  <c:v>10.25</c:v>
                </c:pt>
                <c:pt idx="2">
                  <c:v>10.20833333333333</c:v>
                </c:pt>
                <c:pt idx="3">
                  <c:v>10.91666666666667</c:v>
                </c:pt>
                <c:pt idx="4">
                  <c:v>10.95833333333333</c:v>
                </c:pt>
                <c:pt idx="5">
                  <c:v>11.33333333333333</c:v>
                </c:pt>
                <c:pt idx="6">
                  <c:v>11.91666666666667</c:v>
                </c:pt>
                <c:pt idx="7">
                  <c:v>11.83333333333333</c:v>
                </c:pt>
                <c:pt idx="8">
                  <c:v>11.16666666666667</c:v>
                </c:pt>
                <c:pt idx="9">
                  <c:v>10.54166666666667</c:v>
                </c:pt>
                <c:pt idx="10">
                  <c:v>10.5</c:v>
                </c:pt>
                <c:pt idx="11">
                  <c:v>10.91666666666667</c:v>
                </c:pt>
                <c:pt idx="12">
                  <c:v>11.25</c:v>
                </c:pt>
                <c:pt idx="13">
                  <c:v>11.25</c:v>
                </c:pt>
                <c:pt idx="14">
                  <c:v>11.0</c:v>
                </c:pt>
                <c:pt idx="15">
                  <c:v>11.20833333333333</c:v>
                </c:pt>
                <c:pt idx="16">
                  <c:v>10.95833333333333</c:v>
                </c:pt>
                <c:pt idx="17">
                  <c:v>11.79166666666667</c:v>
                </c:pt>
                <c:pt idx="18">
                  <c:v>11.95833333333333</c:v>
                </c:pt>
                <c:pt idx="19">
                  <c:v>11.95833333333333</c:v>
                </c:pt>
                <c:pt idx="20">
                  <c:v>12.54166666666667</c:v>
                </c:pt>
                <c:pt idx="21">
                  <c:v>12.54166666666667</c:v>
                </c:pt>
                <c:pt idx="22">
                  <c:v>12.54166666666667</c:v>
                </c:pt>
                <c:pt idx="23">
                  <c:v>13.125</c:v>
                </c:pt>
                <c:pt idx="24">
                  <c:v>12.5</c:v>
                </c:pt>
                <c:pt idx="25">
                  <c:v>13.20833333333333</c:v>
                </c:pt>
                <c:pt idx="26">
                  <c:v>13.25</c:v>
                </c:pt>
                <c:pt idx="27">
                  <c:v>12.45833333333333</c:v>
                </c:pt>
                <c:pt idx="28">
                  <c:v>13.25</c:v>
                </c:pt>
                <c:pt idx="29">
                  <c:v>13.29166666666667</c:v>
                </c:pt>
                <c:pt idx="30">
                  <c:v>13.29166666666667</c:v>
                </c:pt>
                <c:pt idx="31">
                  <c:v>13.33333333333333</c:v>
                </c:pt>
                <c:pt idx="32">
                  <c:v>14.0</c:v>
                </c:pt>
                <c:pt idx="33">
                  <c:v>14.41666666666667</c:v>
                </c:pt>
                <c:pt idx="34">
                  <c:v>15.29166666666667</c:v>
                </c:pt>
                <c:pt idx="35">
                  <c:v>15.625</c:v>
                </c:pt>
                <c:pt idx="36">
                  <c:v>15.83333333333333</c:v>
                </c:pt>
                <c:pt idx="37">
                  <c:v>16.04166666666667</c:v>
                </c:pt>
                <c:pt idx="38">
                  <c:v>16.25</c:v>
                </c:pt>
                <c:pt idx="39">
                  <c:v>16.08333333333333</c:v>
                </c:pt>
                <c:pt idx="40">
                  <c:v>15.5</c:v>
                </c:pt>
                <c:pt idx="41">
                  <c:v>15.45833333333333</c:v>
                </c:pt>
                <c:pt idx="42">
                  <c:v>15.54166666666667</c:v>
                </c:pt>
                <c:pt idx="43">
                  <c:v>15.54166666666667</c:v>
                </c:pt>
                <c:pt idx="44">
                  <c:v>15.54166666666667</c:v>
                </c:pt>
                <c:pt idx="45">
                  <c:v>15.54166666666667</c:v>
                </c:pt>
                <c:pt idx="46">
                  <c:v>15.95833333333333</c:v>
                </c:pt>
                <c:pt idx="47">
                  <c:v>15.95833333333333</c:v>
                </c:pt>
                <c:pt idx="48">
                  <c:v>16.79166666666667</c:v>
                </c:pt>
                <c:pt idx="49">
                  <c:v>16.79166666666667</c:v>
                </c:pt>
                <c:pt idx="50">
                  <c:v>16.79166666666667</c:v>
                </c:pt>
                <c:pt idx="51">
                  <c:v>17.375</c:v>
                </c:pt>
                <c:pt idx="52">
                  <c:v>16.70833333333333</c:v>
                </c:pt>
                <c:pt idx="53">
                  <c:v>17.125</c:v>
                </c:pt>
                <c:pt idx="54">
                  <c:v>16.91666666666667</c:v>
                </c:pt>
                <c:pt idx="55">
                  <c:v>17.5</c:v>
                </c:pt>
                <c:pt idx="56">
                  <c:v>17.5</c:v>
                </c:pt>
                <c:pt idx="57">
                  <c:v>17.70833333333333</c:v>
                </c:pt>
                <c:pt idx="58">
                  <c:v>17.70833333333333</c:v>
                </c:pt>
                <c:pt idx="59">
                  <c:v>17.5</c:v>
                </c:pt>
                <c:pt idx="60">
                  <c:v>17.5</c:v>
                </c:pt>
                <c:pt idx="61">
                  <c:v>17.54166666666667</c:v>
                </c:pt>
                <c:pt idx="62">
                  <c:v>17.75</c:v>
                </c:pt>
                <c:pt idx="63">
                  <c:v>17.66666666666667</c:v>
                </c:pt>
                <c:pt idx="64">
                  <c:v>18.08333333333333</c:v>
                </c:pt>
                <c:pt idx="65">
                  <c:v>18.125</c:v>
                </c:pt>
                <c:pt idx="66">
                  <c:v>18.125</c:v>
                </c:pt>
                <c:pt idx="67">
                  <c:v>18.33333333333333</c:v>
                </c:pt>
                <c:pt idx="68">
                  <c:v>17.75</c:v>
                </c:pt>
                <c:pt idx="69">
                  <c:v>17.5</c:v>
                </c:pt>
                <c:pt idx="70">
                  <c:v>17.16666666666667</c:v>
                </c:pt>
                <c:pt idx="71">
                  <c:v>16.58333333333333</c:v>
                </c:pt>
                <c:pt idx="72">
                  <c:v>16.375</c:v>
                </c:pt>
                <c:pt idx="73">
                  <c:v>16.375</c:v>
                </c:pt>
                <c:pt idx="74">
                  <c:v>16.33333333333333</c:v>
                </c:pt>
              </c:numCache>
            </c:numRef>
          </c:yVal>
        </c:ser>
        <c:ser>
          <c:idx val="1"/>
          <c:order val="1"/>
          <c:tx>
            <c:strRef>
              <c:f>Matches!$M$1</c:f>
              <c:strCache>
                <c:ptCount val="1"/>
                <c:pt idx="0">
                  <c:v>oldK4avg24</c:v>
                </c:pt>
              </c:strCache>
            </c:strRef>
          </c:tx>
          <c:spPr>
            <a:ln w="47625">
              <a:noFill/>
            </a:ln>
          </c:spPr>
          <c:xVal>
            <c:multiLvlStrRef>
              <c:f>Matches!$A$2:$I$76</c:f>
              <c:multiLvlStrCache>
                <c:ptCount val="150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13</c:v>
                  </c:pt>
                  <c:pt idx="76">
                    <c:v>4</c:v>
                  </c:pt>
                  <c:pt idx="77">
                    <c:v>6</c:v>
                  </c:pt>
                  <c:pt idx="78">
                    <c:v>3</c:v>
                  </c:pt>
                  <c:pt idx="79">
                    <c:v>4</c:v>
                  </c:pt>
                  <c:pt idx="80">
                    <c:v>4</c:v>
                  </c:pt>
                  <c:pt idx="81">
                    <c:v>5</c:v>
                  </c:pt>
                  <c:pt idx="82">
                    <c:v>19</c:v>
                  </c:pt>
                  <c:pt idx="83">
                    <c:v>18</c:v>
                  </c:pt>
                  <c:pt idx="84">
                    <c:v>4</c:v>
                  </c:pt>
                  <c:pt idx="85">
                    <c:v>4</c:v>
                  </c:pt>
                  <c:pt idx="86">
                    <c:v>5</c:v>
                  </c:pt>
                  <c:pt idx="87">
                    <c:v>13</c:v>
                  </c:pt>
                  <c:pt idx="88">
                    <c:v>19</c:v>
                  </c:pt>
                  <c:pt idx="89">
                    <c:v>18</c:v>
                  </c:pt>
                  <c:pt idx="90">
                    <c:v>24</c:v>
                  </c:pt>
                  <c:pt idx="91">
                    <c:v>4</c:v>
                  </c:pt>
                  <c:pt idx="92">
                    <c:v>18</c:v>
                  </c:pt>
                  <c:pt idx="93">
                    <c:v>19</c:v>
                  </c:pt>
                  <c:pt idx="94">
                    <c:v>4</c:v>
                  </c:pt>
                  <c:pt idx="95">
                    <c:v>24</c:v>
                  </c:pt>
                  <c:pt idx="96">
                    <c:v>3</c:v>
                  </c:pt>
                  <c:pt idx="97">
                    <c:v>4</c:v>
                  </c:pt>
                  <c:pt idx="98">
                    <c:v>18</c:v>
                  </c:pt>
                  <c:pt idx="99">
                    <c:v>2</c:v>
                  </c:pt>
                  <c:pt idx="100">
                    <c:v>3</c:v>
                  </c:pt>
                  <c:pt idx="101">
                    <c:v>23</c:v>
                  </c:pt>
                  <c:pt idx="102">
                    <c:v>4</c:v>
                  </c:pt>
                  <c:pt idx="103">
                    <c:v>13</c:v>
                  </c:pt>
                  <c:pt idx="104">
                    <c:v>18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14</c:v>
                  </c:pt>
                  <c:pt idx="110">
                    <c:v>13</c:v>
                  </c:pt>
                  <c:pt idx="111">
                    <c:v>13</c:v>
                  </c:pt>
                  <c:pt idx="112">
                    <c:v>13</c:v>
                  </c:pt>
                  <c:pt idx="113">
                    <c:v>23</c:v>
                  </c:pt>
                  <c:pt idx="114">
                    <c:v>18</c:v>
                  </c:pt>
                  <c:pt idx="115">
                    <c:v>24</c:v>
                  </c:pt>
                  <c:pt idx="116">
                    <c:v>22</c:v>
                  </c:pt>
                  <c:pt idx="117">
                    <c:v>19</c:v>
                  </c:pt>
                  <c:pt idx="118">
                    <c:v>18</c:v>
                  </c:pt>
                  <c:pt idx="119">
                    <c:v>24</c:v>
                  </c:pt>
                  <c:pt idx="120">
                    <c:v>3</c:v>
                  </c:pt>
                  <c:pt idx="121">
                    <c:v>18</c:v>
                  </c:pt>
                  <c:pt idx="122">
                    <c:v>3</c:v>
                  </c:pt>
                  <c:pt idx="123">
                    <c:v>19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23</c:v>
                  </c:pt>
                  <c:pt idx="127">
                    <c:v>14</c:v>
                  </c:pt>
                  <c:pt idx="128">
                    <c:v>18</c:v>
                  </c:pt>
                  <c:pt idx="129">
                    <c:v>4</c:v>
                  </c:pt>
                  <c:pt idx="130">
                    <c:v>19</c:v>
                  </c:pt>
                  <c:pt idx="131">
                    <c:v>13</c:v>
                  </c:pt>
                  <c:pt idx="132">
                    <c:v>24</c:v>
                  </c:pt>
                  <c:pt idx="133">
                    <c:v>22</c:v>
                  </c:pt>
                  <c:pt idx="134">
                    <c:v>18</c:v>
                  </c:pt>
                  <c:pt idx="135">
                    <c:v>18</c:v>
                  </c:pt>
                  <c:pt idx="136">
                    <c:v>18</c:v>
                  </c:pt>
                  <c:pt idx="137">
                    <c:v>19</c:v>
                  </c:pt>
                  <c:pt idx="138">
                    <c:v>4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19</c:v>
                  </c:pt>
                  <c:pt idx="142">
                    <c:v>18</c:v>
                  </c:pt>
                  <c:pt idx="143">
                    <c:v>24</c:v>
                  </c:pt>
                  <c:pt idx="144">
                    <c:v>13</c:v>
                  </c:pt>
                  <c:pt idx="145">
                    <c:v>18</c:v>
                  </c:pt>
                  <c:pt idx="146">
                    <c:v>23</c:v>
                  </c:pt>
                  <c:pt idx="147">
                    <c:v>19</c:v>
                  </c:pt>
                  <c:pt idx="148">
                    <c:v>4</c:v>
                  </c:pt>
                  <c:pt idx="149">
                    <c:v>18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N</c:v>
                  </c:pt>
                  <c:pt idx="76">
                    <c:v>E</c:v>
                  </c:pt>
                  <c:pt idx="77">
                    <c:v>G</c:v>
                  </c:pt>
                  <c:pt idx="78">
                    <c:v>D</c:v>
                  </c:pt>
                  <c:pt idx="79">
                    <c:v>E</c:v>
                  </c:pt>
                  <c:pt idx="80">
                    <c:v>E</c:v>
                  </c:pt>
                  <c:pt idx="81">
                    <c:v>F</c:v>
                  </c:pt>
                  <c:pt idx="82">
                    <c:v>T</c:v>
                  </c:pt>
                  <c:pt idx="83">
                    <c:v>S</c:v>
                  </c:pt>
                  <c:pt idx="84">
                    <c:v>E</c:v>
                  </c:pt>
                  <c:pt idx="85">
                    <c:v>E</c:v>
                  </c:pt>
                  <c:pt idx="86">
                    <c:v>F</c:v>
                  </c:pt>
                  <c:pt idx="87">
                    <c:v>N</c:v>
                  </c:pt>
                  <c:pt idx="88">
                    <c:v>T</c:v>
                  </c:pt>
                  <c:pt idx="89">
                    <c:v>S</c:v>
                  </c:pt>
                  <c:pt idx="90">
                    <c:v>Y</c:v>
                  </c:pt>
                  <c:pt idx="91">
                    <c:v>E</c:v>
                  </c:pt>
                  <c:pt idx="92">
                    <c:v>S</c:v>
                  </c:pt>
                  <c:pt idx="93">
                    <c:v>T</c:v>
                  </c:pt>
                  <c:pt idx="94">
                    <c:v>E</c:v>
                  </c:pt>
                  <c:pt idx="95">
                    <c:v>Y</c:v>
                  </c:pt>
                  <c:pt idx="96">
                    <c:v>D</c:v>
                  </c:pt>
                  <c:pt idx="97">
                    <c:v>E</c:v>
                  </c:pt>
                  <c:pt idx="98">
                    <c:v>S</c:v>
                  </c:pt>
                  <c:pt idx="99">
                    <c:v>C</c:v>
                  </c:pt>
                  <c:pt idx="100">
                    <c:v>D</c:v>
                  </c:pt>
                  <c:pt idx="101">
                    <c:v>X</c:v>
                  </c:pt>
                  <c:pt idx="102">
                    <c:v>E</c:v>
                  </c:pt>
                  <c:pt idx="103">
                    <c:v>N</c:v>
                  </c:pt>
                  <c:pt idx="104">
                    <c:v>S</c:v>
                  </c:pt>
                  <c:pt idx="105">
                    <c:v>D</c:v>
                  </c:pt>
                  <c:pt idx="106">
                    <c:v>D</c:v>
                  </c:pt>
                  <c:pt idx="107">
                    <c:v>D</c:v>
                  </c:pt>
                  <c:pt idx="108">
                    <c:v>D</c:v>
                  </c:pt>
                  <c:pt idx="109">
                    <c:v>O</c:v>
                  </c:pt>
                  <c:pt idx="110">
                    <c:v>N</c:v>
                  </c:pt>
                  <c:pt idx="111">
                    <c:v>N</c:v>
                  </c:pt>
                  <c:pt idx="112">
                    <c:v>N</c:v>
                  </c:pt>
                  <c:pt idx="113">
                    <c:v>X</c:v>
                  </c:pt>
                  <c:pt idx="114">
                    <c:v>S</c:v>
                  </c:pt>
                  <c:pt idx="115">
                    <c:v>Y</c:v>
                  </c:pt>
                  <c:pt idx="116">
                    <c:v>W</c:v>
                  </c:pt>
                  <c:pt idx="117">
                    <c:v>T</c:v>
                  </c:pt>
                  <c:pt idx="118">
                    <c:v>S</c:v>
                  </c:pt>
                  <c:pt idx="119">
                    <c:v>Y</c:v>
                  </c:pt>
                  <c:pt idx="120">
                    <c:v>D</c:v>
                  </c:pt>
                  <c:pt idx="121">
                    <c:v>S</c:v>
                  </c:pt>
                  <c:pt idx="122">
                    <c:v>D</c:v>
                  </c:pt>
                  <c:pt idx="123">
                    <c:v>T</c:v>
                  </c:pt>
                  <c:pt idx="124">
                    <c:v>E</c:v>
                  </c:pt>
                  <c:pt idx="125">
                    <c:v>E</c:v>
                  </c:pt>
                  <c:pt idx="126">
                    <c:v>X</c:v>
                  </c:pt>
                  <c:pt idx="127">
                    <c:v>O</c:v>
                  </c:pt>
                  <c:pt idx="128">
                    <c:v>S</c:v>
                  </c:pt>
                  <c:pt idx="129">
                    <c:v>E</c:v>
                  </c:pt>
                  <c:pt idx="130">
                    <c:v>T</c:v>
                  </c:pt>
                  <c:pt idx="131">
                    <c:v>N</c:v>
                  </c:pt>
                  <c:pt idx="132">
                    <c:v>Y</c:v>
                  </c:pt>
                  <c:pt idx="133">
                    <c:v>W</c:v>
                  </c:pt>
                  <c:pt idx="134">
                    <c:v>S</c:v>
                  </c:pt>
                  <c:pt idx="135">
                    <c:v>S</c:v>
                  </c:pt>
                  <c:pt idx="136">
                    <c:v>S</c:v>
                  </c:pt>
                  <c:pt idx="137">
                    <c:v>T</c:v>
                  </c:pt>
                  <c:pt idx="138">
                    <c:v>E</c:v>
                  </c:pt>
                  <c:pt idx="139">
                    <c:v>X</c:v>
                  </c:pt>
                  <c:pt idx="140">
                    <c:v>Y</c:v>
                  </c:pt>
                  <c:pt idx="141">
                    <c:v>T</c:v>
                  </c:pt>
                  <c:pt idx="142">
                    <c:v>S</c:v>
                  </c:pt>
                  <c:pt idx="143">
                    <c:v>Y</c:v>
                  </c:pt>
                  <c:pt idx="144">
                    <c:v>N</c:v>
                  </c:pt>
                  <c:pt idx="145">
                    <c:v>S</c:v>
                  </c:pt>
                  <c:pt idx="146">
                    <c:v>X</c:v>
                  </c:pt>
                  <c:pt idx="147">
                    <c:v>T</c:v>
                  </c:pt>
                  <c:pt idx="148">
                    <c:v>E</c:v>
                  </c:pt>
                  <c:pt idx="149">
                    <c:v>S</c:v>
                  </c:pt>
                </c:lvl>
              </c:multiLvlStrCache>
            </c:multiLvlStrRef>
          </c:xVal>
          <c:yVal>
            <c:numRef>
              <c:f>Matches!$M$2:$M$76</c:f>
              <c:numCache>
                <c:formatCode>General</c:formatCode>
                <c:ptCount val="75"/>
                <c:pt idx="1">
                  <c:v>11.29166666666667</c:v>
                </c:pt>
                <c:pt idx="2">
                  <c:v>11.58333333333333</c:v>
                </c:pt>
                <c:pt idx="3">
                  <c:v>12.20833333333333</c:v>
                </c:pt>
                <c:pt idx="4">
                  <c:v>12.45833333333333</c:v>
                </c:pt>
                <c:pt idx="5">
                  <c:v>12.375</c:v>
                </c:pt>
                <c:pt idx="6">
                  <c:v>12.25</c:v>
                </c:pt>
                <c:pt idx="7">
                  <c:v>12.20833333333333</c:v>
                </c:pt>
                <c:pt idx="8">
                  <c:v>11.5</c:v>
                </c:pt>
                <c:pt idx="9">
                  <c:v>11.33333333333333</c:v>
                </c:pt>
                <c:pt idx="10">
                  <c:v>11.83333333333333</c:v>
                </c:pt>
                <c:pt idx="11">
                  <c:v>12.29166666666667</c:v>
                </c:pt>
                <c:pt idx="12">
                  <c:v>12.04166666666667</c:v>
                </c:pt>
                <c:pt idx="13">
                  <c:v>12.375</c:v>
                </c:pt>
                <c:pt idx="14">
                  <c:v>13.25</c:v>
                </c:pt>
                <c:pt idx="15">
                  <c:v>13.29166666666667</c:v>
                </c:pt>
                <c:pt idx="16">
                  <c:v>13.375</c:v>
                </c:pt>
                <c:pt idx="17">
                  <c:v>13.66666666666667</c:v>
                </c:pt>
                <c:pt idx="18">
                  <c:v>13.70833333333333</c:v>
                </c:pt>
                <c:pt idx="19">
                  <c:v>14.16666666666667</c:v>
                </c:pt>
                <c:pt idx="20">
                  <c:v>14.875</c:v>
                </c:pt>
                <c:pt idx="21">
                  <c:v>15.58333333333333</c:v>
                </c:pt>
                <c:pt idx="22">
                  <c:v>14.83333333333333</c:v>
                </c:pt>
                <c:pt idx="23">
                  <c:v>15.04166666666667</c:v>
                </c:pt>
                <c:pt idx="24">
                  <c:v>15.625</c:v>
                </c:pt>
                <c:pt idx="25">
                  <c:v>15.95833333333333</c:v>
                </c:pt>
                <c:pt idx="26">
                  <c:v>16.0</c:v>
                </c:pt>
                <c:pt idx="27">
                  <c:v>15.33333333333333</c:v>
                </c:pt>
                <c:pt idx="28">
                  <c:v>15.45833333333333</c:v>
                </c:pt>
                <c:pt idx="29">
                  <c:v>15.20833333333333</c:v>
                </c:pt>
                <c:pt idx="30">
                  <c:v>14.91666666666667</c:v>
                </c:pt>
                <c:pt idx="31">
                  <c:v>14.83333333333333</c:v>
                </c:pt>
                <c:pt idx="32">
                  <c:v>15.41666666666667</c:v>
                </c:pt>
                <c:pt idx="33">
                  <c:v>15.125</c:v>
                </c:pt>
                <c:pt idx="34">
                  <c:v>14.70833333333333</c:v>
                </c:pt>
                <c:pt idx="35">
                  <c:v>13.95833333333333</c:v>
                </c:pt>
                <c:pt idx="36">
                  <c:v>14.29166666666667</c:v>
                </c:pt>
                <c:pt idx="37">
                  <c:v>13.83333333333333</c:v>
                </c:pt>
                <c:pt idx="38">
                  <c:v>13.45833333333333</c:v>
                </c:pt>
                <c:pt idx="39">
                  <c:v>12.875</c:v>
                </c:pt>
                <c:pt idx="40">
                  <c:v>12.25</c:v>
                </c:pt>
                <c:pt idx="41">
                  <c:v>12.04166666666667</c:v>
                </c:pt>
                <c:pt idx="42">
                  <c:v>12.66666666666667</c:v>
                </c:pt>
                <c:pt idx="43">
                  <c:v>12.625</c:v>
                </c:pt>
                <c:pt idx="44">
                  <c:v>12.75</c:v>
                </c:pt>
                <c:pt idx="45">
                  <c:v>12.79166666666667</c:v>
                </c:pt>
                <c:pt idx="46">
                  <c:v>13.41666666666667</c:v>
                </c:pt>
                <c:pt idx="47">
                  <c:v>13.5</c:v>
                </c:pt>
                <c:pt idx="48">
                  <c:v>13.5</c:v>
                </c:pt>
                <c:pt idx="49">
                  <c:v>12.66666666666667</c:v>
                </c:pt>
                <c:pt idx="50">
                  <c:v>12.375</c:v>
                </c:pt>
                <c:pt idx="51">
                  <c:v>12.79166666666667</c:v>
                </c:pt>
                <c:pt idx="52">
                  <c:v>12.91666666666667</c:v>
                </c:pt>
                <c:pt idx="53">
                  <c:v>12.79166666666667</c:v>
                </c:pt>
                <c:pt idx="54">
                  <c:v>12.5</c:v>
                </c:pt>
                <c:pt idx="55">
                  <c:v>12.45833333333333</c:v>
                </c:pt>
                <c:pt idx="56">
                  <c:v>12.66666666666667</c:v>
                </c:pt>
                <c:pt idx="57">
                  <c:v>13.5</c:v>
                </c:pt>
                <c:pt idx="58">
                  <c:v>13.95833333333333</c:v>
                </c:pt>
                <c:pt idx="59">
                  <c:v>14.33333333333333</c:v>
                </c:pt>
                <c:pt idx="60">
                  <c:v>13.5</c:v>
                </c:pt>
                <c:pt idx="61">
                  <c:v>13.29166666666667</c:v>
                </c:pt>
                <c:pt idx="62">
                  <c:v>13.08333333333333</c:v>
                </c:pt>
                <c:pt idx="63">
                  <c:v>13.125</c:v>
                </c:pt>
                <c:pt idx="64">
                  <c:v>13.5</c:v>
                </c:pt>
                <c:pt idx="65">
                  <c:v>13.79166666666667</c:v>
                </c:pt>
                <c:pt idx="66">
                  <c:v>13.08333333333333</c:v>
                </c:pt>
                <c:pt idx="67">
                  <c:v>13.29166666666667</c:v>
                </c:pt>
                <c:pt idx="68">
                  <c:v>12.41666666666667</c:v>
                </c:pt>
                <c:pt idx="69">
                  <c:v>12.45833333333333</c:v>
                </c:pt>
                <c:pt idx="70">
                  <c:v>11.83333333333333</c:v>
                </c:pt>
                <c:pt idx="71">
                  <c:v>11.75</c:v>
                </c:pt>
                <c:pt idx="72">
                  <c:v>10.79166666666667</c:v>
                </c:pt>
                <c:pt idx="73">
                  <c:v>10.58333333333333</c:v>
                </c:pt>
                <c:pt idx="74">
                  <c:v>10.66666666666667</c:v>
                </c:pt>
              </c:numCache>
            </c:numRef>
          </c:yVal>
        </c:ser>
        <c:ser>
          <c:idx val="2"/>
          <c:order val="2"/>
          <c:tx>
            <c:strRef>
              <c:f>Matches!$N$1</c:f>
              <c:strCache>
                <c:ptCount val="1"/>
                <c:pt idx="0">
                  <c:v>newK4avg24</c:v>
                </c:pt>
              </c:strCache>
            </c:strRef>
          </c:tx>
          <c:spPr>
            <a:ln w="47625">
              <a:noFill/>
            </a:ln>
          </c:spPr>
          <c:xVal>
            <c:multiLvlStrRef>
              <c:f>Matches!$A$2:$I$76</c:f>
              <c:multiLvlStrCache>
                <c:ptCount val="150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13</c:v>
                  </c:pt>
                  <c:pt idx="76">
                    <c:v>4</c:v>
                  </c:pt>
                  <c:pt idx="77">
                    <c:v>6</c:v>
                  </c:pt>
                  <c:pt idx="78">
                    <c:v>3</c:v>
                  </c:pt>
                  <c:pt idx="79">
                    <c:v>4</c:v>
                  </c:pt>
                  <c:pt idx="80">
                    <c:v>4</c:v>
                  </c:pt>
                  <c:pt idx="81">
                    <c:v>5</c:v>
                  </c:pt>
                  <c:pt idx="82">
                    <c:v>19</c:v>
                  </c:pt>
                  <c:pt idx="83">
                    <c:v>18</c:v>
                  </c:pt>
                  <c:pt idx="84">
                    <c:v>4</c:v>
                  </c:pt>
                  <c:pt idx="85">
                    <c:v>4</c:v>
                  </c:pt>
                  <c:pt idx="86">
                    <c:v>5</c:v>
                  </c:pt>
                  <c:pt idx="87">
                    <c:v>13</c:v>
                  </c:pt>
                  <c:pt idx="88">
                    <c:v>19</c:v>
                  </c:pt>
                  <c:pt idx="89">
                    <c:v>18</c:v>
                  </c:pt>
                  <c:pt idx="90">
                    <c:v>24</c:v>
                  </c:pt>
                  <c:pt idx="91">
                    <c:v>4</c:v>
                  </c:pt>
                  <c:pt idx="92">
                    <c:v>18</c:v>
                  </c:pt>
                  <c:pt idx="93">
                    <c:v>19</c:v>
                  </c:pt>
                  <c:pt idx="94">
                    <c:v>4</c:v>
                  </c:pt>
                  <c:pt idx="95">
                    <c:v>24</c:v>
                  </c:pt>
                  <c:pt idx="96">
                    <c:v>3</c:v>
                  </c:pt>
                  <c:pt idx="97">
                    <c:v>4</c:v>
                  </c:pt>
                  <c:pt idx="98">
                    <c:v>18</c:v>
                  </c:pt>
                  <c:pt idx="99">
                    <c:v>2</c:v>
                  </c:pt>
                  <c:pt idx="100">
                    <c:v>3</c:v>
                  </c:pt>
                  <c:pt idx="101">
                    <c:v>23</c:v>
                  </c:pt>
                  <c:pt idx="102">
                    <c:v>4</c:v>
                  </c:pt>
                  <c:pt idx="103">
                    <c:v>13</c:v>
                  </c:pt>
                  <c:pt idx="104">
                    <c:v>18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14</c:v>
                  </c:pt>
                  <c:pt idx="110">
                    <c:v>13</c:v>
                  </c:pt>
                  <c:pt idx="111">
                    <c:v>13</c:v>
                  </c:pt>
                  <c:pt idx="112">
                    <c:v>13</c:v>
                  </c:pt>
                  <c:pt idx="113">
                    <c:v>23</c:v>
                  </c:pt>
                  <c:pt idx="114">
                    <c:v>18</c:v>
                  </c:pt>
                  <c:pt idx="115">
                    <c:v>24</c:v>
                  </c:pt>
                  <c:pt idx="116">
                    <c:v>22</c:v>
                  </c:pt>
                  <c:pt idx="117">
                    <c:v>19</c:v>
                  </c:pt>
                  <c:pt idx="118">
                    <c:v>18</c:v>
                  </c:pt>
                  <c:pt idx="119">
                    <c:v>24</c:v>
                  </c:pt>
                  <c:pt idx="120">
                    <c:v>3</c:v>
                  </c:pt>
                  <c:pt idx="121">
                    <c:v>18</c:v>
                  </c:pt>
                  <c:pt idx="122">
                    <c:v>3</c:v>
                  </c:pt>
                  <c:pt idx="123">
                    <c:v>19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23</c:v>
                  </c:pt>
                  <c:pt idx="127">
                    <c:v>14</c:v>
                  </c:pt>
                  <c:pt idx="128">
                    <c:v>18</c:v>
                  </c:pt>
                  <c:pt idx="129">
                    <c:v>4</c:v>
                  </c:pt>
                  <c:pt idx="130">
                    <c:v>19</c:v>
                  </c:pt>
                  <c:pt idx="131">
                    <c:v>13</c:v>
                  </c:pt>
                  <c:pt idx="132">
                    <c:v>24</c:v>
                  </c:pt>
                  <c:pt idx="133">
                    <c:v>22</c:v>
                  </c:pt>
                  <c:pt idx="134">
                    <c:v>18</c:v>
                  </c:pt>
                  <c:pt idx="135">
                    <c:v>18</c:v>
                  </c:pt>
                  <c:pt idx="136">
                    <c:v>18</c:v>
                  </c:pt>
                  <c:pt idx="137">
                    <c:v>19</c:v>
                  </c:pt>
                  <c:pt idx="138">
                    <c:v>4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19</c:v>
                  </c:pt>
                  <c:pt idx="142">
                    <c:v>18</c:v>
                  </c:pt>
                  <c:pt idx="143">
                    <c:v>24</c:v>
                  </c:pt>
                  <c:pt idx="144">
                    <c:v>13</c:v>
                  </c:pt>
                  <c:pt idx="145">
                    <c:v>18</c:v>
                  </c:pt>
                  <c:pt idx="146">
                    <c:v>23</c:v>
                  </c:pt>
                  <c:pt idx="147">
                    <c:v>19</c:v>
                  </c:pt>
                  <c:pt idx="148">
                    <c:v>4</c:v>
                  </c:pt>
                  <c:pt idx="149">
                    <c:v>18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N</c:v>
                  </c:pt>
                  <c:pt idx="76">
                    <c:v>E</c:v>
                  </c:pt>
                  <c:pt idx="77">
                    <c:v>G</c:v>
                  </c:pt>
                  <c:pt idx="78">
                    <c:v>D</c:v>
                  </c:pt>
                  <c:pt idx="79">
                    <c:v>E</c:v>
                  </c:pt>
                  <c:pt idx="80">
                    <c:v>E</c:v>
                  </c:pt>
                  <c:pt idx="81">
                    <c:v>F</c:v>
                  </c:pt>
                  <c:pt idx="82">
                    <c:v>T</c:v>
                  </c:pt>
                  <c:pt idx="83">
                    <c:v>S</c:v>
                  </c:pt>
                  <c:pt idx="84">
                    <c:v>E</c:v>
                  </c:pt>
                  <c:pt idx="85">
                    <c:v>E</c:v>
                  </c:pt>
                  <c:pt idx="86">
                    <c:v>F</c:v>
                  </c:pt>
                  <c:pt idx="87">
                    <c:v>N</c:v>
                  </c:pt>
                  <c:pt idx="88">
                    <c:v>T</c:v>
                  </c:pt>
                  <c:pt idx="89">
                    <c:v>S</c:v>
                  </c:pt>
                  <c:pt idx="90">
                    <c:v>Y</c:v>
                  </c:pt>
                  <c:pt idx="91">
                    <c:v>E</c:v>
                  </c:pt>
                  <c:pt idx="92">
                    <c:v>S</c:v>
                  </c:pt>
                  <c:pt idx="93">
                    <c:v>T</c:v>
                  </c:pt>
                  <c:pt idx="94">
                    <c:v>E</c:v>
                  </c:pt>
                  <c:pt idx="95">
                    <c:v>Y</c:v>
                  </c:pt>
                  <c:pt idx="96">
                    <c:v>D</c:v>
                  </c:pt>
                  <c:pt idx="97">
                    <c:v>E</c:v>
                  </c:pt>
                  <c:pt idx="98">
                    <c:v>S</c:v>
                  </c:pt>
                  <c:pt idx="99">
                    <c:v>C</c:v>
                  </c:pt>
                  <c:pt idx="100">
                    <c:v>D</c:v>
                  </c:pt>
                  <c:pt idx="101">
                    <c:v>X</c:v>
                  </c:pt>
                  <c:pt idx="102">
                    <c:v>E</c:v>
                  </c:pt>
                  <c:pt idx="103">
                    <c:v>N</c:v>
                  </c:pt>
                  <c:pt idx="104">
                    <c:v>S</c:v>
                  </c:pt>
                  <c:pt idx="105">
                    <c:v>D</c:v>
                  </c:pt>
                  <c:pt idx="106">
                    <c:v>D</c:v>
                  </c:pt>
                  <c:pt idx="107">
                    <c:v>D</c:v>
                  </c:pt>
                  <c:pt idx="108">
                    <c:v>D</c:v>
                  </c:pt>
                  <c:pt idx="109">
                    <c:v>O</c:v>
                  </c:pt>
                  <c:pt idx="110">
                    <c:v>N</c:v>
                  </c:pt>
                  <c:pt idx="111">
                    <c:v>N</c:v>
                  </c:pt>
                  <c:pt idx="112">
                    <c:v>N</c:v>
                  </c:pt>
                  <c:pt idx="113">
                    <c:v>X</c:v>
                  </c:pt>
                  <c:pt idx="114">
                    <c:v>S</c:v>
                  </c:pt>
                  <c:pt idx="115">
                    <c:v>Y</c:v>
                  </c:pt>
                  <c:pt idx="116">
                    <c:v>W</c:v>
                  </c:pt>
                  <c:pt idx="117">
                    <c:v>T</c:v>
                  </c:pt>
                  <c:pt idx="118">
                    <c:v>S</c:v>
                  </c:pt>
                  <c:pt idx="119">
                    <c:v>Y</c:v>
                  </c:pt>
                  <c:pt idx="120">
                    <c:v>D</c:v>
                  </c:pt>
                  <c:pt idx="121">
                    <c:v>S</c:v>
                  </c:pt>
                  <c:pt idx="122">
                    <c:v>D</c:v>
                  </c:pt>
                  <c:pt idx="123">
                    <c:v>T</c:v>
                  </c:pt>
                  <c:pt idx="124">
                    <c:v>E</c:v>
                  </c:pt>
                  <c:pt idx="125">
                    <c:v>E</c:v>
                  </c:pt>
                  <c:pt idx="126">
                    <c:v>X</c:v>
                  </c:pt>
                  <c:pt idx="127">
                    <c:v>O</c:v>
                  </c:pt>
                  <c:pt idx="128">
                    <c:v>S</c:v>
                  </c:pt>
                  <c:pt idx="129">
                    <c:v>E</c:v>
                  </c:pt>
                  <c:pt idx="130">
                    <c:v>T</c:v>
                  </c:pt>
                  <c:pt idx="131">
                    <c:v>N</c:v>
                  </c:pt>
                  <c:pt idx="132">
                    <c:v>Y</c:v>
                  </c:pt>
                  <c:pt idx="133">
                    <c:v>W</c:v>
                  </c:pt>
                  <c:pt idx="134">
                    <c:v>S</c:v>
                  </c:pt>
                  <c:pt idx="135">
                    <c:v>S</c:v>
                  </c:pt>
                  <c:pt idx="136">
                    <c:v>S</c:v>
                  </c:pt>
                  <c:pt idx="137">
                    <c:v>T</c:v>
                  </c:pt>
                  <c:pt idx="138">
                    <c:v>E</c:v>
                  </c:pt>
                  <c:pt idx="139">
                    <c:v>X</c:v>
                  </c:pt>
                  <c:pt idx="140">
                    <c:v>Y</c:v>
                  </c:pt>
                  <c:pt idx="141">
                    <c:v>T</c:v>
                  </c:pt>
                  <c:pt idx="142">
                    <c:v>S</c:v>
                  </c:pt>
                  <c:pt idx="143">
                    <c:v>Y</c:v>
                  </c:pt>
                  <c:pt idx="144">
                    <c:v>N</c:v>
                  </c:pt>
                  <c:pt idx="145">
                    <c:v>S</c:v>
                  </c:pt>
                  <c:pt idx="146">
                    <c:v>X</c:v>
                  </c:pt>
                  <c:pt idx="147">
                    <c:v>T</c:v>
                  </c:pt>
                  <c:pt idx="148">
                    <c:v>E</c:v>
                  </c:pt>
                  <c:pt idx="149">
                    <c:v>S</c:v>
                  </c:pt>
                </c:lvl>
              </c:multiLvlStrCache>
            </c:multiLvlStrRef>
          </c:xVal>
          <c:yVal>
            <c:numRef>
              <c:f>Matches!$N$2:$N$76</c:f>
              <c:numCache>
                <c:formatCode>General</c:formatCode>
                <c:ptCount val="75"/>
                <c:pt idx="1">
                  <c:v>11.875</c:v>
                </c:pt>
                <c:pt idx="2">
                  <c:v>12.20833333333333</c:v>
                </c:pt>
                <c:pt idx="3">
                  <c:v>12.125</c:v>
                </c:pt>
                <c:pt idx="4">
                  <c:v>12.33333333333333</c:v>
                </c:pt>
                <c:pt idx="5">
                  <c:v>11.875</c:v>
                </c:pt>
                <c:pt idx="6">
                  <c:v>12.25</c:v>
                </c:pt>
                <c:pt idx="7">
                  <c:v>12.29166666666667</c:v>
                </c:pt>
                <c:pt idx="8">
                  <c:v>12.25</c:v>
                </c:pt>
                <c:pt idx="9">
                  <c:v>11.625</c:v>
                </c:pt>
                <c:pt idx="10">
                  <c:v>12.16666666666667</c:v>
                </c:pt>
                <c:pt idx="11">
                  <c:v>12.20833333333333</c:v>
                </c:pt>
                <c:pt idx="12">
                  <c:v>11.625</c:v>
                </c:pt>
                <c:pt idx="13">
                  <c:v>10.875</c:v>
                </c:pt>
                <c:pt idx="14">
                  <c:v>10.91666666666667</c:v>
                </c:pt>
                <c:pt idx="15">
                  <c:v>11.83333333333333</c:v>
                </c:pt>
                <c:pt idx="16">
                  <c:v>12.16666666666667</c:v>
                </c:pt>
                <c:pt idx="17">
                  <c:v>12.70833333333333</c:v>
                </c:pt>
                <c:pt idx="18">
                  <c:v>12.58333333333333</c:v>
                </c:pt>
                <c:pt idx="19">
                  <c:v>13.04166666666667</c:v>
                </c:pt>
                <c:pt idx="20">
                  <c:v>12.08333333333333</c:v>
                </c:pt>
                <c:pt idx="21">
                  <c:v>12.79166666666667</c:v>
                </c:pt>
                <c:pt idx="22">
                  <c:v>12.04166666666667</c:v>
                </c:pt>
                <c:pt idx="23">
                  <c:v>12.75</c:v>
                </c:pt>
                <c:pt idx="24">
                  <c:v>12.875</c:v>
                </c:pt>
                <c:pt idx="25">
                  <c:v>12.5</c:v>
                </c:pt>
                <c:pt idx="26">
                  <c:v>12.5</c:v>
                </c:pt>
                <c:pt idx="27">
                  <c:v>12.625</c:v>
                </c:pt>
                <c:pt idx="28">
                  <c:v>13.04166666666667</c:v>
                </c:pt>
                <c:pt idx="29">
                  <c:v>13.83333333333333</c:v>
                </c:pt>
                <c:pt idx="30">
                  <c:v>13.54166666666667</c:v>
                </c:pt>
                <c:pt idx="31">
                  <c:v>13.41666666666667</c:v>
                </c:pt>
                <c:pt idx="32">
                  <c:v>13.33333333333333</c:v>
                </c:pt>
                <c:pt idx="33">
                  <c:v>13.70833333333333</c:v>
                </c:pt>
                <c:pt idx="34">
                  <c:v>13.5</c:v>
                </c:pt>
                <c:pt idx="35">
                  <c:v>13.5</c:v>
                </c:pt>
                <c:pt idx="36">
                  <c:v>13.625</c:v>
                </c:pt>
                <c:pt idx="37">
                  <c:v>14.04166666666667</c:v>
                </c:pt>
                <c:pt idx="38">
                  <c:v>14.54166666666667</c:v>
                </c:pt>
                <c:pt idx="39">
                  <c:v>14.125</c:v>
                </c:pt>
                <c:pt idx="40">
                  <c:v>14.08333333333333</c:v>
                </c:pt>
                <c:pt idx="41">
                  <c:v>13.91666666666667</c:v>
                </c:pt>
                <c:pt idx="42">
                  <c:v>13.375</c:v>
                </c:pt>
                <c:pt idx="43">
                  <c:v>13.33333333333333</c:v>
                </c:pt>
                <c:pt idx="44">
                  <c:v>13.45833333333333</c:v>
                </c:pt>
                <c:pt idx="45">
                  <c:v>13.5</c:v>
                </c:pt>
                <c:pt idx="46">
                  <c:v>13.70833333333333</c:v>
                </c:pt>
                <c:pt idx="47">
                  <c:v>13.79166666666667</c:v>
                </c:pt>
                <c:pt idx="48">
                  <c:v>12.95833333333333</c:v>
                </c:pt>
                <c:pt idx="49">
                  <c:v>13.20833333333333</c:v>
                </c:pt>
                <c:pt idx="50">
                  <c:v>12.91666666666667</c:v>
                </c:pt>
                <c:pt idx="51">
                  <c:v>12.75</c:v>
                </c:pt>
                <c:pt idx="52">
                  <c:v>12.45833333333333</c:v>
                </c:pt>
                <c:pt idx="53">
                  <c:v>11.91666666666667</c:v>
                </c:pt>
                <c:pt idx="54">
                  <c:v>11.83333333333333</c:v>
                </c:pt>
                <c:pt idx="55">
                  <c:v>12.29166666666667</c:v>
                </c:pt>
                <c:pt idx="56">
                  <c:v>12.5</c:v>
                </c:pt>
                <c:pt idx="57">
                  <c:v>12.04166666666667</c:v>
                </c:pt>
                <c:pt idx="58">
                  <c:v>12.5</c:v>
                </c:pt>
                <c:pt idx="59">
                  <c:v>13.08333333333333</c:v>
                </c:pt>
                <c:pt idx="60">
                  <c:v>13.33333333333333</c:v>
                </c:pt>
                <c:pt idx="61">
                  <c:v>13.08333333333333</c:v>
                </c:pt>
                <c:pt idx="62">
                  <c:v>12.66666666666667</c:v>
                </c:pt>
                <c:pt idx="63">
                  <c:v>12.79166666666667</c:v>
                </c:pt>
                <c:pt idx="64">
                  <c:v>12.75</c:v>
                </c:pt>
                <c:pt idx="65">
                  <c:v>13.0</c:v>
                </c:pt>
                <c:pt idx="66">
                  <c:v>13.375</c:v>
                </c:pt>
                <c:pt idx="67">
                  <c:v>13.375</c:v>
                </c:pt>
                <c:pt idx="68">
                  <c:v>14.16666666666667</c:v>
                </c:pt>
                <c:pt idx="69">
                  <c:v>13.375</c:v>
                </c:pt>
                <c:pt idx="70">
                  <c:v>14.16666666666667</c:v>
                </c:pt>
                <c:pt idx="71">
                  <c:v>13.58333333333333</c:v>
                </c:pt>
                <c:pt idx="72">
                  <c:v>13.91666666666667</c:v>
                </c:pt>
                <c:pt idx="73">
                  <c:v>13.70833333333333</c:v>
                </c:pt>
                <c:pt idx="74">
                  <c:v>13.83333333333333</c:v>
                </c:pt>
              </c:numCache>
            </c:numRef>
          </c:yVal>
        </c:ser>
        <c:axId val="481127832"/>
        <c:axId val="481130904"/>
      </c:scatterChart>
      <c:valAx>
        <c:axId val="481127832"/>
        <c:scaling>
          <c:orientation val="minMax"/>
        </c:scaling>
        <c:axPos val="b"/>
        <c:tickLblPos val="nextTo"/>
        <c:crossAx val="481130904"/>
        <c:crosses val="autoZero"/>
        <c:crossBetween val="midCat"/>
      </c:valAx>
      <c:valAx>
        <c:axId val="481130904"/>
        <c:scaling>
          <c:orientation val="minMax"/>
        </c:scaling>
        <c:axPos val="l"/>
        <c:majorGridlines/>
        <c:numFmt formatCode="0.00" sourceLinked="1"/>
        <c:tickLblPos val="nextTo"/>
        <c:crossAx val="4811278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/>
      <c:scatterChart>
        <c:scatterStyle val="lineMarker"/>
        <c:ser>
          <c:idx val="0"/>
          <c:order val="0"/>
          <c:tx>
            <c:strRef>
              <c:f>Matches!$J$1</c:f>
              <c:strCache>
                <c:ptCount val="1"/>
                <c:pt idx="0">
                  <c:v>Avg24</c:v>
                </c:pt>
              </c:strCache>
            </c:strRef>
          </c:tx>
          <c:spPr>
            <a:ln w="28575">
              <a:noFill/>
            </a:ln>
          </c:spPr>
          <c:trendline>
            <c:trendlineType val="movingAvg"/>
            <c:period val="2"/>
          </c:trendline>
          <c:xVal>
            <c:multiLvlStrRef>
              <c:f>Matches!$A$2:$I$165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Matches!$J$2:$J$165</c:f>
              <c:numCache>
                <c:formatCode>0.00</c:formatCode>
                <c:ptCount val="164"/>
                <c:pt idx="0">
                  <c:v>10.70833333333333</c:v>
                </c:pt>
                <c:pt idx="1">
                  <c:v>10.25</c:v>
                </c:pt>
                <c:pt idx="2">
                  <c:v>10.20833333333333</c:v>
                </c:pt>
                <c:pt idx="3">
                  <c:v>10.91666666666667</c:v>
                </c:pt>
                <c:pt idx="4">
                  <c:v>10.95833333333333</c:v>
                </c:pt>
                <c:pt idx="5">
                  <c:v>11.33333333333333</c:v>
                </c:pt>
                <c:pt idx="6">
                  <c:v>11.91666666666667</c:v>
                </c:pt>
                <c:pt idx="7">
                  <c:v>11.83333333333333</c:v>
                </c:pt>
                <c:pt idx="8">
                  <c:v>11.16666666666667</c:v>
                </c:pt>
                <c:pt idx="9">
                  <c:v>10.54166666666667</c:v>
                </c:pt>
                <c:pt idx="10">
                  <c:v>10.5</c:v>
                </c:pt>
                <c:pt idx="11">
                  <c:v>10.91666666666667</c:v>
                </c:pt>
                <c:pt idx="12">
                  <c:v>11.25</c:v>
                </c:pt>
                <c:pt idx="13">
                  <c:v>11.25</c:v>
                </c:pt>
                <c:pt idx="14">
                  <c:v>11.0</c:v>
                </c:pt>
                <c:pt idx="15">
                  <c:v>11.20833333333333</c:v>
                </c:pt>
                <c:pt idx="16">
                  <c:v>10.95833333333333</c:v>
                </c:pt>
                <c:pt idx="17">
                  <c:v>11.79166666666667</c:v>
                </c:pt>
                <c:pt idx="18">
                  <c:v>11.95833333333333</c:v>
                </c:pt>
                <c:pt idx="19">
                  <c:v>11.95833333333333</c:v>
                </c:pt>
                <c:pt idx="20">
                  <c:v>12.54166666666667</c:v>
                </c:pt>
                <c:pt idx="21">
                  <c:v>12.54166666666667</c:v>
                </c:pt>
                <c:pt idx="22">
                  <c:v>12.54166666666667</c:v>
                </c:pt>
                <c:pt idx="23">
                  <c:v>13.125</c:v>
                </c:pt>
                <c:pt idx="24">
                  <c:v>12.5</c:v>
                </c:pt>
                <c:pt idx="25">
                  <c:v>13.20833333333333</c:v>
                </c:pt>
                <c:pt idx="26">
                  <c:v>13.25</c:v>
                </c:pt>
                <c:pt idx="27">
                  <c:v>12.45833333333333</c:v>
                </c:pt>
                <c:pt idx="28">
                  <c:v>13.25</c:v>
                </c:pt>
                <c:pt idx="29">
                  <c:v>13.29166666666667</c:v>
                </c:pt>
                <c:pt idx="30">
                  <c:v>13.29166666666667</c:v>
                </c:pt>
                <c:pt idx="31">
                  <c:v>13.33333333333333</c:v>
                </c:pt>
                <c:pt idx="32">
                  <c:v>14.0</c:v>
                </c:pt>
                <c:pt idx="33">
                  <c:v>14.41666666666667</c:v>
                </c:pt>
                <c:pt idx="34">
                  <c:v>15.29166666666667</c:v>
                </c:pt>
                <c:pt idx="35">
                  <c:v>15.625</c:v>
                </c:pt>
                <c:pt idx="36">
                  <c:v>15.83333333333333</c:v>
                </c:pt>
                <c:pt idx="37">
                  <c:v>16.04166666666667</c:v>
                </c:pt>
                <c:pt idx="38">
                  <c:v>16.25</c:v>
                </c:pt>
                <c:pt idx="39">
                  <c:v>16.08333333333333</c:v>
                </c:pt>
                <c:pt idx="40">
                  <c:v>15.5</c:v>
                </c:pt>
                <c:pt idx="41">
                  <c:v>15.45833333333333</c:v>
                </c:pt>
                <c:pt idx="42">
                  <c:v>15.54166666666667</c:v>
                </c:pt>
                <c:pt idx="43">
                  <c:v>15.54166666666667</c:v>
                </c:pt>
                <c:pt idx="44">
                  <c:v>15.54166666666667</c:v>
                </c:pt>
                <c:pt idx="45">
                  <c:v>15.54166666666667</c:v>
                </c:pt>
                <c:pt idx="46">
                  <c:v>15.95833333333333</c:v>
                </c:pt>
                <c:pt idx="47">
                  <c:v>15.95833333333333</c:v>
                </c:pt>
                <c:pt idx="48">
                  <c:v>16.79166666666667</c:v>
                </c:pt>
                <c:pt idx="49">
                  <c:v>16.79166666666667</c:v>
                </c:pt>
                <c:pt idx="50">
                  <c:v>16.79166666666667</c:v>
                </c:pt>
                <c:pt idx="51">
                  <c:v>17.375</c:v>
                </c:pt>
                <c:pt idx="52">
                  <c:v>16.70833333333333</c:v>
                </c:pt>
                <c:pt idx="53">
                  <c:v>17.125</c:v>
                </c:pt>
                <c:pt idx="54">
                  <c:v>16.91666666666667</c:v>
                </c:pt>
                <c:pt idx="55">
                  <c:v>17.5</c:v>
                </c:pt>
                <c:pt idx="56">
                  <c:v>17.5</c:v>
                </c:pt>
                <c:pt idx="57">
                  <c:v>17.70833333333333</c:v>
                </c:pt>
                <c:pt idx="58">
                  <c:v>17.70833333333333</c:v>
                </c:pt>
                <c:pt idx="59">
                  <c:v>17.5</c:v>
                </c:pt>
                <c:pt idx="60">
                  <c:v>17.5</c:v>
                </c:pt>
                <c:pt idx="61">
                  <c:v>17.54166666666667</c:v>
                </c:pt>
                <c:pt idx="62">
                  <c:v>17.75</c:v>
                </c:pt>
                <c:pt idx="63">
                  <c:v>17.66666666666667</c:v>
                </c:pt>
                <c:pt idx="64">
                  <c:v>18.08333333333333</c:v>
                </c:pt>
                <c:pt idx="65">
                  <c:v>18.125</c:v>
                </c:pt>
                <c:pt idx="66">
                  <c:v>18.125</c:v>
                </c:pt>
                <c:pt idx="67">
                  <c:v>18.33333333333333</c:v>
                </c:pt>
                <c:pt idx="68">
                  <c:v>17.75</c:v>
                </c:pt>
                <c:pt idx="69">
                  <c:v>17.5</c:v>
                </c:pt>
                <c:pt idx="70">
                  <c:v>17.16666666666667</c:v>
                </c:pt>
                <c:pt idx="71">
                  <c:v>16.58333333333333</c:v>
                </c:pt>
                <c:pt idx="72">
                  <c:v>16.375</c:v>
                </c:pt>
                <c:pt idx="73">
                  <c:v>16.375</c:v>
                </c:pt>
                <c:pt idx="74">
                  <c:v>16.33333333333333</c:v>
                </c:pt>
                <c:pt idx="75">
                  <c:v>15.75</c:v>
                </c:pt>
                <c:pt idx="76">
                  <c:v>16.16666666666667</c:v>
                </c:pt>
                <c:pt idx="77">
                  <c:v>15.95833333333333</c:v>
                </c:pt>
                <c:pt idx="78">
                  <c:v>15.625</c:v>
                </c:pt>
                <c:pt idx="79">
                  <c:v>15.04166666666667</c:v>
                </c:pt>
                <c:pt idx="80">
                  <c:v>15.25</c:v>
                </c:pt>
                <c:pt idx="81">
                  <c:v>15.25</c:v>
                </c:pt>
                <c:pt idx="82">
                  <c:v>14.375</c:v>
                </c:pt>
                <c:pt idx="83">
                  <c:v>13.95833333333333</c:v>
                </c:pt>
                <c:pt idx="84">
                  <c:v>13.45833333333333</c:v>
                </c:pt>
                <c:pt idx="85">
                  <c:v>13.41666666666667</c:v>
                </c:pt>
                <c:pt idx="86">
                  <c:v>12.79166666666667</c:v>
                </c:pt>
                <c:pt idx="87">
                  <c:v>12.25</c:v>
                </c:pt>
                <c:pt idx="88">
                  <c:v>11.66666666666667</c:v>
                </c:pt>
                <c:pt idx="89">
                  <c:v>11.66666666666667</c:v>
                </c:pt>
                <c:pt idx="90">
                  <c:v>10.95833333333333</c:v>
                </c:pt>
                <c:pt idx="91">
                  <c:v>10.5</c:v>
                </c:pt>
                <c:pt idx="92">
                  <c:v>10.5</c:v>
                </c:pt>
                <c:pt idx="93">
                  <c:v>10.45833333333333</c:v>
                </c:pt>
                <c:pt idx="94">
                  <c:v>11.04166666666667</c:v>
                </c:pt>
                <c:pt idx="95">
                  <c:v>11.0</c:v>
                </c:pt>
                <c:pt idx="96">
                  <c:v>10.95833333333333</c:v>
                </c:pt>
                <c:pt idx="97">
                  <c:v>10.29166666666667</c:v>
                </c:pt>
                <c:pt idx="98">
                  <c:v>10.70833333333333</c:v>
                </c:pt>
                <c:pt idx="99">
                  <c:v>10.79166666666667</c:v>
                </c:pt>
                <c:pt idx="100">
                  <c:v>10.25</c:v>
                </c:pt>
                <c:pt idx="101">
                  <c:v>9.625</c:v>
                </c:pt>
                <c:pt idx="102">
                  <c:v>9.416666666666666</c:v>
                </c:pt>
                <c:pt idx="103">
                  <c:v>9.416666666666666</c:v>
                </c:pt>
                <c:pt idx="104">
                  <c:v>8.75</c:v>
                </c:pt>
                <c:pt idx="105">
                  <c:v>8.125</c:v>
                </c:pt>
                <c:pt idx="106">
                  <c:v>8.166666666666666</c:v>
                </c:pt>
                <c:pt idx="107">
                  <c:v>8.041666666666666</c:v>
                </c:pt>
                <c:pt idx="108">
                  <c:v>7.916666666666666</c:v>
                </c:pt>
                <c:pt idx="109">
                  <c:v>7.291666666666666</c:v>
                </c:pt>
                <c:pt idx="110">
                  <c:v>7.5</c:v>
                </c:pt>
                <c:pt idx="111">
                  <c:v>7.5</c:v>
                </c:pt>
                <c:pt idx="112">
                  <c:v>8.291666666666666</c:v>
                </c:pt>
                <c:pt idx="113">
                  <c:v>8.0</c:v>
                </c:pt>
                <c:pt idx="114">
                  <c:v>7.958333333333333</c:v>
                </c:pt>
                <c:pt idx="115">
                  <c:v>7.916666666666666</c:v>
                </c:pt>
                <c:pt idx="116">
                  <c:v>7.916666666666666</c:v>
                </c:pt>
                <c:pt idx="117">
                  <c:v>7.916666666666666</c:v>
                </c:pt>
                <c:pt idx="118">
                  <c:v>7.25</c:v>
                </c:pt>
                <c:pt idx="119">
                  <c:v>7.291666666666666</c:v>
                </c:pt>
                <c:pt idx="120">
                  <c:v>6.75</c:v>
                </c:pt>
                <c:pt idx="121">
                  <c:v>7.208333333333333</c:v>
                </c:pt>
                <c:pt idx="122">
                  <c:v>7.375</c:v>
                </c:pt>
                <c:pt idx="123">
                  <c:v>7.916666666666666</c:v>
                </c:pt>
                <c:pt idx="124">
                  <c:v>8.75</c:v>
                </c:pt>
                <c:pt idx="125">
                  <c:v>9.333333333333333</c:v>
                </c:pt>
                <c:pt idx="126">
                  <c:v>9.541666666666666</c:v>
                </c:pt>
                <c:pt idx="127">
                  <c:v>9.541666666666666</c:v>
                </c:pt>
                <c:pt idx="128">
                  <c:v>9.708333333333334</c:v>
                </c:pt>
                <c:pt idx="129">
                  <c:v>10.125</c:v>
                </c:pt>
                <c:pt idx="130">
                  <c:v>10.08333333333333</c:v>
                </c:pt>
                <c:pt idx="131">
                  <c:v>10.41666666666667</c:v>
                </c:pt>
                <c:pt idx="132">
                  <c:v>10.45833333333333</c:v>
                </c:pt>
                <c:pt idx="133">
                  <c:v>11.125</c:v>
                </c:pt>
                <c:pt idx="134">
                  <c:v>11.54166666666667</c:v>
                </c:pt>
                <c:pt idx="135">
                  <c:v>11.91666666666667</c:v>
                </c:pt>
                <c:pt idx="136">
                  <c:v>11.95833333333333</c:v>
                </c:pt>
                <c:pt idx="137">
                  <c:v>11.41666666666667</c:v>
                </c:pt>
                <c:pt idx="138">
                  <c:v>11.41666666666667</c:v>
                </c:pt>
                <c:pt idx="139">
                  <c:v>11.58333333333333</c:v>
                </c:pt>
              </c:numCache>
            </c:numRef>
          </c:yVal>
        </c:ser>
        <c:ser>
          <c:idx val="3"/>
          <c:order val="1"/>
          <c:tx>
            <c:strRef>
              <c:f>Matches!$M$1</c:f>
              <c:strCache>
                <c:ptCount val="1"/>
                <c:pt idx="0">
                  <c:v>oldK4avg24</c:v>
                </c:pt>
              </c:strCache>
            </c:strRef>
          </c:tx>
          <c:spPr>
            <a:ln w="28575">
              <a:noFill/>
            </a:ln>
          </c:spPr>
          <c:trendline>
            <c:trendlineType val="movingAvg"/>
            <c:period val="2"/>
          </c:trendline>
          <c:xVal>
            <c:multiLvlStrRef>
              <c:f>Matches!$A$2:$I$165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Matches!$M$2:$M$165</c:f>
              <c:numCache>
                <c:formatCode>General</c:formatCode>
                <c:ptCount val="164"/>
                <c:pt idx="1">
                  <c:v>11.29166666666667</c:v>
                </c:pt>
                <c:pt idx="2">
                  <c:v>11.58333333333333</c:v>
                </c:pt>
                <c:pt idx="3">
                  <c:v>12.20833333333333</c:v>
                </c:pt>
                <c:pt idx="4">
                  <c:v>12.45833333333333</c:v>
                </c:pt>
                <c:pt idx="5">
                  <c:v>12.375</c:v>
                </c:pt>
                <c:pt idx="6">
                  <c:v>12.25</c:v>
                </c:pt>
                <c:pt idx="7">
                  <c:v>12.20833333333333</c:v>
                </c:pt>
                <c:pt idx="8">
                  <c:v>11.5</c:v>
                </c:pt>
                <c:pt idx="9">
                  <c:v>11.33333333333333</c:v>
                </c:pt>
                <c:pt idx="10">
                  <c:v>11.83333333333333</c:v>
                </c:pt>
                <c:pt idx="11">
                  <c:v>12.29166666666667</c:v>
                </c:pt>
                <c:pt idx="12">
                  <c:v>12.04166666666667</c:v>
                </c:pt>
                <c:pt idx="13">
                  <c:v>12.375</c:v>
                </c:pt>
                <c:pt idx="14">
                  <c:v>13.25</c:v>
                </c:pt>
                <c:pt idx="15">
                  <c:v>13.29166666666667</c:v>
                </c:pt>
                <c:pt idx="16">
                  <c:v>13.375</c:v>
                </c:pt>
                <c:pt idx="17">
                  <c:v>13.66666666666667</c:v>
                </c:pt>
                <c:pt idx="18">
                  <c:v>13.70833333333333</c:v>
                </c:pt>
                <c:pt idx="19">
                  <c:v>14.16666666666667</c:v>
                </c:pt>
                <c:pt idx="20">
                  <c:v>14.875</c:v>
                </c:pt>
                <c:pt idx="21">
                  <c:v>15.58333333333333</c:v>
                </c:pt>
                <c:pt idx="22">
                  <c:v>14.83333333333333</c:v>
                </c:pt>
                <c:pt idx="23">
                  <c:v>15.04166666666667</c:v>
                </c:pt>
                <c:pt idx="24">
                  <c:v>15.625</c:v>
                </c:pt>
                <c:pt idx="25">
                  <c:v>15.95833333333333</c:v>
                </c:pt>
                <c:pt idx="26">
                  <c:v>16.0</c:v>
                </c:pt>
                <c:pt idx="27">
                  <c:v>15.33333333333333</c:v>
                </c:pt>
                <c:pt idx="28">
                  <c:v>15.45833333333333</c:v>
                </c:pt>
                <c:pt idx="29">
                  <c:v>15.20833333333333</c:v>
                </c:pt>
                <c:pt idx="30">
                  <c:v>14.91666666666667</c:v>
                </c:pt>
                <c:pt idx="31">
                  <c:v>14.83333333333333</c:v>
                </c:pt>
                <c:pt idx="32">
                  <c:v>15.41666666666667</c:v>
                </c:pt>
                <c:pt idx="33">
                  <c:v>15.125</c:v>
                </c:pt>
                <c:pt idx="34">
                  <c:v>14.70833333333333</c:v>
                </c:pt>
                <c:pt idx="35">
                  <c:v>13.95833333333333</c:v>
                </c:pt>
                <c:pt idx="36">
                  <c:v>14.29166666666667</c:v>
                </c:pt>
                <c:pt idx="37">
                  <c:v>13.83333333333333</c:v>
                </c:pt>
                <c:pt idx="38">
                  <c:v>13.45833333333333</c:v>
                </c:pt>
                <c:pt idx="39">
                  <c:v>12.875</c:v>
                </c:pt>
                <c:pt idx="40">
                  <c:v>12.25</c:v>
                </c:pt>
                <c:pt idx="41">
                  <c:v>12.04166666666667</c:v>
                </c:pt>
                <c:pt idx="42">
                  <c:v>12.66666666666667</c:v>
                </c:pt>
                <c:pt idx="43">
                  <c:v>12.625</c:v>
                </c:pt>
                <c:pt idx="44">
                  <c:v>12.75</c:v>
                </c:pt>
                <c:pt idx="45">
                  <c:v>12.79166666666667</c:v>
                </c:pt>
                <c:pt idx="46">
                  <c:v>13.41666666666667</c:v>
                </c:pt>
                <c:pt idx="47">
                  <c:v>13.5</c:v>
                </c:pt>
                <c:pt idx="48">
                  <c:v>13.5</c:v>
                </c:pt>
                <c:pt idx="49">
                  <c:v>12.66666666666667</c:v>
                </c:pt>
                <c:pt idx="50">
                  <c:v>12.375</c:v>
                </c:pt>
                <c:pt idx="51">
                  <c:v>12.79166666666667</c:v>
                </c:pt>
                <c:pt idx="52">
                  <c:v>12.91666666666667</c:v>
                </c:pt>
                <c:pt idx="53">
                  <c:v>12.79166666666667</c:v>
                </c:pt>
                <c:pt idx="54">
                  <c:v>12.5</c:v>
                </c:pt>
                <c:pt idx="55">
                  <c:v>12.45833333333333</c:v>
                </c:pt>
                <c:pt idx="56">
                  <c:v>12.66666666666667</c:v>
                </c:pt>
                <c:pt idx="57">
                  <c:v>13.5</c:v>
                </c:pt>
                <c:pt idx="58">
                  <c:v>13.95833333333333</c:v>
                </c:pt>
                <c:pt idx="59">
                  <c:v>14.33333333333333</c:v>
                </c:pt>
                <c:pt idx="60">
                  <c:v>13.5</c:v>
                </c:pt>
                <c:pt idx="61">
                  <c:v>13.29166666666667</c:v>
                </c:pt>
                <c:pt idx="62">
                  <c:v>13.08333333333333</c:v>
                </c:pt>
                <c:pt idx="63">
                  <c:v>13.125</c:v>
                </c:pt>
                <c:pt idx="64">
                  <c:v>13.5</c:v>
                </c:pt>
                <c:pt idx="65">
                  <c:v>13.79166666666667</c:v>
                </c:pt>
                <c:pt idx="66">
                  <c:v>13.08333333333333</c:v>
                </c:pt>
                <c:pt idx="67">
                  <c:v>13.29166666666667</c:v>
                </c:pt>
                <c:pt idx="68">
                  <c:v>12.41666666666667</c:v>
                </c:pt>
                <c:pt idx="69">
                  <c:v>12.45833333333333</c:v>
                </c:pt>
                <c:pt idx="70">
                  <c:v>11.83333333333333</c:v>
                </c:pt>
                <c:pt idx="71">
                  <c:v>11.75</c:v>
                </c:pt>
                <c:pt idx="72">
                  <c:v>10.79166666666667</c:v>
                </c:pt>
                <c:pt idx="73">
                  <c:v>10.58333333333333</c:v>
                </c:pt>
                <c:pt idx="74">
                  <c:v>10.66666666666667</c:v>
                </c:pt>
              </c:numCache>
            </c:numRef>
          </c:yVal>
        </c:ser>
        <c:ser>
          <c:idx val="4"/>
          <c:order val="2"/>
          <c:tx>
            <c:strRef>
              <c:f>Matches!$N$1</c:f>
              <c:strCache>
                <c:ptCount val="1"/>
                <c:pt idx="0">
                  <c:v>newK4avg24</c:v>
                </c:pt>
              </c:strCache>
            </c:strRef>
          </c:tx>
          <c:spPr>
            <a:ln w="28575">
              <a:noFill/>
            </a:ln>
          </c:spPr>
          <c:xVal>
            <c:multiLvlStrRef>
              <c:f>Matches!$A$2:$I$165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Matches!$N$2:$N$165</c:f>
              <c:numCache>
                <c:formatCode>General</c:formatCode>
                <c:ptCount val="164"/>
                <c:pt idx="1">
                  <c:v>11.875</c:v>
                </c:pt>
                <c:pt idx="2">
                  <c:v>12.20833333333333</c:v>
                </c:pt>
                <c:pt idx="3">
                  <c:v>12.125</c:v>
                </c:pt>
                <c:pt idx="4">
                  <c:v>12.33333333333333</c:v>
                </c:pt>
                <c:pt idx="5">
                  <c:v>11.875</c:v>
                </c:pt>
                <c:pt idx="6">
                  <c:v>12.25</c:v>
                </c:pt>
                <c:pt idx="7">
                  <c:v>12.29166666666667</c:v>
                </c:pt>
                <c:pt idx="8">
                  <c:v>12.25</c:v>
                </c:pt>
                <c:pt idx="9">
                  <c:v>11.625</c:v>
                </c:pt>
                <c:pt idx="10">
                  <c:v>12.16666666666667</c:v>
                </c:pt>
                <c:pt idx="11">
                  <c:v>12.20833333333333</c:v>
                </c:pt>
                <c:pt idx="12">
                  <c:v>11.625</c:v>
                </c:pt>
                <c:pt idx="13">
                  <c:v>10.875</c:v>
                </c:pt>
                <c:pt idx="14">
                  <c:v>10.91666666666667</c:v>
                </c:pt>
                <c:pt idx="15">
                  <c:v>11.83333333333333</c:v>
                </c:pt>
                <c:pt idx="16">
                  <c:v>12.16666666666667</c:v>
                </c:pt>
                <c:pt idx="17">
                  <c:v>12.70833333333333</c:v>
                </c:pt>
                <c:pt idx="18">
                  <c:v>12.58333333333333</c:v>
                </c:pt>
                <c:pt idx="19">
                  <c:v>13.04166666666667</c:v>
                </c:pt>
                <c:pt idx="20">
                  <c:v>12.08333333333333</c:v>
                </c:pt>
                <c:pt idx="21">
                  <c:v>12.79166666666667</c:v>
                </c:pt>
                <c:pt idx="22">
                  <c:v>12.04166666666667</c:v>
                </c:pt>
                <c:pt idx="23">
                  <c:v>12.75</c:v>
                </c:pt>
                <c:pt idx="24">
                  <c:v>12.875</c:v>
                </c:pt>
                <c:pt idx="25">
                  <c:v>12.5</c:v>
                </c:pt>
                <c:pt idx="26">
                  <c:v>12.5</c:v>
                </c:pt>
                <c:pt idx="27">
                  <c:v>12.625</c:v>
                </c:pt>
                <c:pt idx="28">
                  <c:v>13.04166666666667</c:v>
                </c:pt>
                <c:pt idx="29">
                  <c:v>13.83333333333333</c:v>
                </c:pt>
                <c:pt idx="30">
                  <c:v>13.54166666666667</c:v>
                </c:pt>
                <c:pt idx="31">
                  <c:v>13.41666666666667</c:v>
                </c:pt>
                <c:pt idx="32">
                  <c:v>13.33333333333333</c:v>
                </c:pt>
                <c:pt idx="33">
                  <c:v>13.70833333333333</c:v>
                </c:pt>
                <c:pt idx="34">
                  <c:v>13.5</c:v>
                </c:pt>
                <c:pt idx="35">
                  <c:v>13.5</c:v>
                </c:pt>
                <c:pt idx="36">
                  <c:v>13.625</c:v>
                </c:pt>
                <c:pt idx="37">
                  <c:v>14.04166666666667</c:v>
                </c:pt>
                <c:pt idx="38">
                  <c:v>14.54166666666667</c:v>
                </c:pt>
                <c:pt idx="39">
                  <c:v>14.125</c:v>
                </c:pt>
                <c:pt idx="40">
                  <c:v>14.08333333333333</c:v>
                </c:pt>
                <c:pt idx="41">
                  <c:v>13.91666666666667</c:v>
                </c:pt>
                <c:pt idx="42">
                  <c:v>13.375</c:v>
                </c:pt>
                <c:pt idx="43">
                  <c:v>13.33333333333333</c:v>
                </c:pt>
                <c:pt idx="44">
                  <c:v>13.45833333333333</c:v>
                </c:pt>
                <c:pt idx="45">
                  <c:v>13.5</c:v>
                </c:pt>
                <c:pt idx="46">
                  <c:v>13.70833333333333</c:v>
                </c:pt>
                <c:pt idx="47">
                  <c:v>13.79166666666667</c:v>
                </c:pt>
                <c:pt idx="48">
                  <c:v>12.95833333333333</c:v>
                </c:pt>
                <c:pt idx="49">
                  <c:v>13.20833333333333</c:v>
                </c:pt>
                <c:pt idx="50">
                  <c:v>12.91666666666667</c:v>
                </c:pt>
                <c:pt idx="51">
                  <c:v>12.75</c:v>
                </c:pt>
                <c:pt idx="52">
                  <c:v>12.45833333333333</c:v>
                </c:pt>
                <c:pt idx="53">
                  <c:v>11.91666666666667</c:v>
                </c:pt>
                <c:pt idx="54">
                  <c:v>11.83333333333333</c:v>
                </c:pt>
                <c:pt idx="55">
                  <c:v>12.29166666666667</c:v>
                </c:pt>
                <c:pt idx="56">
                  <c:v>12.5</c:v>
                </c:pt>
                <c:pt idx="57">
                  <c:v>12.04166666666667</c:v>
                </c:pt>
                <c:pt idx="58">
                  <c:v>12.5</c:v>
                </c:pt>
                <c:pt idx="59">
                  <c:v>13.08333333333333</c:v>
                </c:pt>
                <c:pt idx="60">
                  <c:v>13.33333333333333</c:v>
                </c:pt>
                <c:pt idx="61">
                  <c:v>13.08333333333333</c:v>
                </c:pt>
                <c:pt idx="62">
                  <c:v>12.66666666666667</c:v>
                </c:pt>
                <c:pt idx="63">
                  <c:v>12.79166666666667</c:v>
                </c:pt>
                <c:pt idx="64">
                  <c:v>12.75</c:v>
                </c:pt>
                <c:pt idx="65">
                  <c:v>13.0</c:v>
                </c:pt>
                <c:pt idx="66">
                  <c:v>13.375</c:v>
                </c:pt>
                <c:pt idx="67">
                  <c:v>13.375</c:v>
                </c:pt>
                <c:pt idx="68">
                  <c:v>14.16666666666667</c:v>
                </c:pt>
                <c:pt idx="69">
                  <c:v>13.375</c:v>
                </c:pt>
                <c:pt idx="70">
                  <c:v>14.16666666666667</c:v>
                </c:pt>
                <c:pt idx="71">
                  <c:v>13.58333333333333</c:v>
                </c:pt>
                <c:pt idx="72">
                  <c:v>13.91666666666667</c:v>
                </c:pt>
                <c:pt idx="73">
                  <c:v>13.70833333333333</c:v>
                </c:pt>
                <c:pt idx="74">
                  <c:v>13.83333333333333</c:v>
                </c:pt>
              </c:numCache>
            </c:numRef>
          </c:yVal>
        </c:ser>
        <c:axId val="211675304"/>
        <c:axId val="211678568"/>
      </c:scatterChart>
      <c:valAx>
        <c:axId val="211675304"/>
        <c:scaling>
          <c:orientation val="minMax"/>
        </c:scaling>
        <c:axPos val="b"/>
        <c:tickLblPos val="nextTo"/>
        <c:crossAx val="211678568"/>
        <c:crosses val="autoZero"/>
        <c:crossBetween val="midCat"/>
      </c:valAx>
      <c:valAx>
        <c:axId val="211678568"/>
        <c:scaling>
          <c:orientation val="minMax"/>
        </c:scaling>
        <c:axPos val="l"/>
        <c:majorGridlines/>
        <c:numFmt formatCode="0.00" sourceLinked="1"/>
        <c:tickLblPos val="nextTo"/>
        <c:crossAx val="2116753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44"/>
  <c:chart>
    <c:plotArea>
      <c:layout>
        <c:manualLayout>
          <c:layoutTarget val="inner"/>
          <c:xMode val="edge"/>
          <c:yMode val="edge"/>
          <c:x val="0.0162459198504475"/>
          <c:y val="0.0130861504907306"/>
          <c:w val="0.865245004722452"/>
          <c:h val="0.953089842777286"/>
        </c:manualLayout>
      </c:layout>
      <c:scatterChart>
        <c:scatterStyle val="lineMarker"/>
        <c:ser>
          <c:idx val="0"/>
          <c:order val="0"/>
          <c:tx>
            <c:strRef>
              <c:f>Remains!$L$1</c:f>
              <c:strCache>
                <c:ptCount val="1"/>
                <c:pt idx="0">
                  <c:v>Ave24</c:v>
                </c:pt>
              </c:strCache>
            </c:strRef>
          </c:tx>
          <c:spPr>
            <a:ln w="47625">
              <a:noFill/>
            </a:ln>
          </c:spPr>
          <c:trendline>
            <c:trendlineType val="movingAvg"/>
            <c:period val="2"/>
          </c:trendline>
          <c:xVal>
            <c:multiLvlStrRef>
              <c:f>Remains!$A$2:$I$165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Remains!$L$2:$L$165</c:f>
              <c:numCache>
                <c:formatCode>General</c:formatCode>
                <c:ptCount val="164"/>
                <c:pt idx="0">
                  <c:v>10.70833333333333</c:v>
                </c:pt>
                <c:pt idx="1">
                  <c:v>10.25</c:v>
                </c:pt>
                <c:pt idx="2">
                  <c:v>10.20833333333333</c:v>
                </c:pt>
                <c:pt idx="3">
                  <c:v>10.91666666666667</c:v>
                </c:pt>
                <c:pt idx="4">
                  <c:v>10.95833333333333</c:v>
                </c:pt>
                <c:pt idx="5">
                  <c:v>11.33333333333333</c:v>
                </c:pt>
                <c:pt idx="6">
                  <c:v>11.91666666666667</c:v>
                </c:pt>
                <c:pt idx="7">
                  <c:v>11.83333333333333</c:v>
                </c:pt>
                <c:pt idx="8">
                  <c:v>11.16666666666667</c:v>
                </c:pt>
                <c:pt idx="9">
                  <c:v>10.54166666666667</c:v>
                </c:pt>
                <c:pt idx="10">
                  <c:v>10.5</c:v>
                </c:pt>
                <c:pt idx="11">
                  <c:v>10.91666666666667</c:v>
                </c:pt>
                <c:pt idx="12">
                  <c:v>11.25</c:v>
                </c:pt>
                <c:pt idx="13">
                  <c:v>11.25</c:v>
                </c:pt>
                <c:pt idx="14">
                  <c:v>11.0</c:v>
                </c:pt>
                <c:pt idx="15">
                  <c:v>11.20833333333333</c:v>
                </c:pt>
                <c:pt idx="16">
                  <c:v>10.95833333333333</c:v>
                </c:pt>
                <c:pt idx="17">
                  <c:v>11.79166666666667</c:v>
                </c:pt>
                <c:pt idx="18">
                  <c:v>11.95833333333333</c:v>
                </c:pt>
                <c:pt idx="19">
                  <c:v>11.95833333333333</c:v>
                </c:pt>
                <c:pt idx="20">
                  <c:v>12.54166666666667</c:v>
                </c:pt>
                <c:pt idx="21">
                  <c:v>12.54166666666667</c:v>
                </c:pt>
                <c:pt idx="22">
                  <c:v>12.54166666666667</c:v>
                </c:pt>
                <c:pt idx="23">
                  <c:v>13.125</c:v>
                </c:pt>
                <c:pt idx="24">
                  <c:v>12.5</c:v>
                </c:pt>
                <c:pt idx="25">
                  <c:v>13.20833333333333</c:v>
                </c:pt>
                <c:pt idx="26">
                  <c:v>13.25</c:v>
                </c:pt>
                <c:pt idx="27">
                  <c:v>12.45833333333333</c:v>
                </c:pt>
                <c:pt idx="28">
                  <c:v>13.25</c:v>
                </c:pt>
                <c:pt idx="29">
                  <c:v>13.29166666666667</c:v>
                </c:pt>
                <c:pt idx="30">
                  <c:v>13.29166666666667</c:v>
                </c:pt>
                <c:pt idx="31">
                  <c:v>13.33333333333333</c:v>
                </c:pt>
                <c:pt idx="32">
                  <c:v>14.0</c:v>
                </c:pt>
                <c:pt idx="33">
                  <c:v>14.41666666666667</c:v>
                </c:pt>
                <c:pt idx="34">
                  <c:v>15.29166666666667</c:v>
                </c:pt>
                <c:pt idx="35">
                  <c:v>15.625</c:v>
                </c:pt>
                <c:pt idx="36">
                  <c:v>15.83333333333333</c:v>
                </c:pt>
                <c:pt idx="37">
                  <c:v>16.04166666666667</c:v>
                </c:pt>
                <c:pt idx="38">
                  <c:v>16.25</c:v>
                </c:pt>
                <c:pt idx="39">
                  <c:v>16.08333333333333</c:v>
                </c:pt>
                <c:pt idx="40">
                  <c:v>15.5</c:v>
                </c:pt>
                <c:pt idx="41">
                  <c:v>15.45833333333333</c:v>
                </c:pt>
                <c:pt idx="42">
                  <c:v>15.54166666666667</c:v>
                </c:pt>
                <c:pt idx="43">
                  <c:v>15.54166666666667</c:v>
                </c:pt>
                <c:pt idx="44">
                  <c:v>15.54166666666667</c:v>
                </c:pt>
                <c:pt idx="45">
                  <c:v>15.54166666666667</c:v>
                </c:pt>
                <c:pt idx="46">
                  <c:v>15.95833333333333</c:v>
                </c:pt>
                <c:pt idx="47">
                  <c:v>15.95833333333333</c:v>
                </c:pt>
                <c:pt idx="48">
                  <c:v>16.79166666666667</c:v>
                </c:pt>
                <c:pt idx="49">
                  <c:v>16.79166666666667</c:v>
                </c:pt>
                <c:pt idx="50">
                  <c:v>16.79166666666667</c:v>
                </c:pt>
                <c:pt idx="51">
                  <c:v>17.375</c:v>
                </c:pt>
                <c:pt idx="52">
                  <c:v>16.70833333333333</c:v>
                </c:pt>
                <c:pt idx="53">
                  <c:v>17.125</c:v>
                </c:pt>
                <c:pt idx="54">
                  <c:v>16.91666666666667</c:v>
                </c:pt>
                <c:pt idx="55">
                  <c:v>17.5</c:v>
                </c:pt>
                <c:pt idx="56">
                  <c:v>17.5</c:v>
                </c:pt>
                <c:pt idx="57">
                  <c:v>17.70833333333333</c:v>
                </c:pt>
                <c:pt idx="58">
                  <c:v>17.70833333333333</c:v>
                </c:pt>
                <c:pt idx="59">
                  <c:v>17.5</c:v>
                </c:pt>
                <c:pt idx="60">
                  <c:v>17.5</c:v>
                </c:pt>
                <c:pt idx="61">
                  <c:v>17.54166666666667</c:v>
                </c:pt>
                <c:pt idx="62">
                  <c:v>17.75</c:v>
                </c:pt>
                <c:pt idx="63">
                  <c:v>17.66666666666667</c:v>
                </c:pt>
                <c:pt idx="64">
                  <c:v>18.08333333333333</c:v>
                </c:pt>
                <c:pt idx="65">
                  <c:v>18.125</c:v>
                </c:pt>
                <c:pt idx="66">
                  <c:v>18.125</c:v>
                </c:pt>
                <c:pt idx="67">
                  <c:v>18.33333333333333</c:v>
                </c:pt>
                <c:pt idx="68">
                  <c:v>17.75</c:v>
                </c:pt>
                <c:pt idx="69">
                  <c:v>17.5</c:v>
                </c:pt>
                <c:pt idx="70">
                  <c:v>17.16666666666667</c:v>
                </c:pt>
                <c:pt idx="71">
                  <c:v>16.58333333333333</c:v>
                </c:pt>
                <c:pt idx="72">
                  <c:v>16.375</c:v>
                </c:pt>
                <c:pt idx="73">
                  <c:v>16.375</c:v>
                </c:pt>
                <c:pt idx="74">
                  <c:v>16.33333333333333</c:v>
                </c:pt>
                <c:pt idx="75">
                  <c:v>15.75</c:v>
                </c:pt>
                <c:pt idx="76">
                  <c:v>16.16666666666667</c:v>
                </c:pt>
                <c:pt idx="77">
                  <c:v>15.95833333333333</c:v>
                </c:pt>
                <c:pt idx="78">
                  <c:v>15.625</c:v>
                </c:pt>
                <c:pt idx="79">
                  <c:v>15.04166666666667</c:v>
                </c:pt>
                <c:pt idx="80">
                  <c:v>15.25</c:v>
                </c:pt>
                <c:pt idx="81">
                  <c:v>15.25</c:v>
                </c:pt>
                <c:pt idx="82">
                  <c:v>14.375</c:v>
                </c:pt>
                <c:pt idx="83">
                  <c:v>13.95833333333333</c:v>
                </c:pt>
                <c:pt idx="84">
                  <c:v>13.45833333333333</c:v>
                </c:pt>
                <c:pt idx="85">
                  <c:v>13.41666666666667</c:v>
                </c:pt>
                <c:pt idx="86">
                  <c:v>12.79166666666667</c:v>
                </c:pt>
                <c:pt idx="87">
                  <c:v>12.25</c:v>
                </c:pt>
                <c:pt idx="88">
                  <c:v>11.66666666666667</c:v>
                </c:pt>
                <c:pt idx="89">
                  <c:v>11.66666666666667</c:v>
                </c:pt>
                <c:pt idx="90">
                  <c:v>10.95833333333333</c:v>
                </c:pt>
                <c:pt idx="91">
                  <c:v>10.5</c:v>
                </c:pt>
                <c:pt idx="92">
                  <c:v>10.5</c:v>
                </c:pt>
                <c:pt idx="93">
                  <c:v>10.45833333333333</c:v>
                </c:pt>
                <c:pt idx="94">
                  <c:v>11.04166666666667</c:v>
                </c:pt>
                <c:pt idx="95">
                  <c:v>11.0</c:v>
                </c:pt>
                <c:pt idx="96">
                  <c:v>10.95833333333333</c:v>
                </c:pt>
                <c:pt idx="97">
                  <c:v>10.29166666666667</c:v>
                </c:pt>
                <c:pt idx="98">
                  <c:v>10.70833333333333</c:v>
                </c:pt>
                <c:pt idx="99">
                  <c:v>10.79166666666667</c:v>
                </c:pt>
                <c:pt idx="100">
                  <c:v>10.25</c:v>
                </c:pt>
                <c:pt idx="101">
                  <c:v>9.625</c:v>
                </c:pt>
                <c:pt idx="102">
                  <c:v>9.416666666666666</c:v>
                </c:pt>
                <c:pt idx="103">
                  <c:v>9.416666666666666</c:v>
                </c:pt>
                <c:pt idx="104">
                  <c:v>8.75</c:v>
                </c:pt>
                <c:pt idx="105">
                  <c:v>8.125</c:v>
                </c:pt>
                <c:pt idx="106">
                  <c:v>8.166666666666666</c:v>
                </c:pt>
                <c:pt idx="107">
                  <c:v>8.041666666666666</c:v>
                </c:pt>
                <c:pt idx="108">
                  <c:v>7.916666666666666</c:v>
                </c:pt>
                <c:pt idx="109">
                  <c:v>7.291666666666666</c:v>
                </c:pt>
                <c:pt idx="110">
                  <c:v>7.5</c:v>
                </c:pt>
                <c:pt idx="111">
                  <c:v>7.5</c:v>
                </c:pt>
                <c:pt idx="112">
                  <c:v>8.291666666666666</c:v>
                </c:pt>
                <c:pt idx="113">
                  <c:v>8.0</c:v>
                </c:pt>
                <c:pt idx="114">
                  <c:v>7.958333333333333</c:v>
                </c:pt>
                <c:pt idx="115">
                  <c:v>7.916666666666666</c:v>
                </c:pt>
                <c:pt idx="116">
                  <c:v>7.916666666666666</c:v>
                </c:pt>
                <c:pt idx="117">
                  <c:v>7.916666666666666</c:v>
                </c:pt>
                <c:pt idx="118">
                  <c:v>7.25</c:v>
                </c:pt>
                <c:pt idx="119">
                  <c:v>7.291666666666666</c:v>
                </c:pt>
                <c:pt idx="120">
                  <c:v>6.75</c:v>
                </c:pt>
                <c:pt idx="121">
                  <c:v>7.208333333333333</c:v>
                </c:pt>
                <c:pt idx="122">
                  <c:v>7.375</c:v>
                </c:pt>
                <c:pt idx="123">
                  <c:v>7.916666666666666</c:v>
                </c:pt>
                <c:pt idx="124">
                  <c:v>8.75</c:v>
                </c:pt>
                <c:pt idx="125">
                  <c:v>9.333333333333333</c:v>
                </c:pt>
                <c:pt idx="126">
                  <c:v>9.541666666666666</c:v>
                </c:pt>
                <c:pt idx="127">
                  <c:v>9.541666666666666</c:v>
                </c:pt>
                <c:pt idx="128">
                  <c:v>9.708333333333334</c:v>
                </c:pt>
                <c:pt idx="129">
                  <c:v>10.125</c:v>
                </c:pt>
                <c:pt idx="130">
                  <c:v>10.08333333333333</c:v>
                </c:pt>
                <c:pt idx="131">
                  <c:v>10.41666666666667</c:v>
                </c:pt>
                <c:pt idx="132">
                  <c:v>10.45833333333333</c:v>
                </c:pt>
                <c:pt idx="133">
                  <c:v>11.125</c:v>
                </c:pt>
                <c:pt idx="134">
                  <c:v>11.54166666666667</c:v>
                </c:pt>
                <c:pt idx="135">
                  <c:v>11.91666666666667</c:v>
                </c:pt>
                <c:pt idx="136">
                  <c:v>11.95833333333333</c:v>
                </c:pt>
                <c:pt idx="137">
                  <c:v>11.41666666666667</c:v>
                </c:pt>
                <c:pt idx="138">
                  <c:v>11.41666666666667</c:v>
                </c:pt>
                <c:pt idx="139">
                  <c:v>11.58333333333333</c:v>
                </c:pt>
              </c:numCache>
            </c:numRef>
          </c:yVal>
        </c:ser>
        <c:ser>
          <c:idx val="1"/>
          <c:order val="1"/>
          <c:tx>
            <c:strRef>
              <c:f>Remains!$M$1</c:f>
              <c:strCache>
                <c:ptCount val="1"/>
                <c:pt idx="0">
                  <c:v>OddAvg24</c:v>
                </c:pt>
              </c:strCache>
            </c:strRef>
          </c:tx>
          <c:spPr>
            <a:ln w="47625">
              <a:noFill/>
            </a:ln>
          </c:spPr>
          <c:trendline>
            <c:trendlineType val="movingAvg"/>
            <c:period val="2"/>
          </c:trendline>
          <c:xVal>
            <c:multiLvlStrRef>
              <c:f>Remains!$A$2:$I$165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Remains!$M$2:$M$165</c:f>
              <c:numCache>
                <c:formatCode>0.00</c:formatCode>
                <c:ptCount val="164"/>
                <c:pt idx="0">
                  <c:v>12.95833333333333</c:v>
                </c:pt>
                <c:pt idx="1">
                  <c:v>13.20833333333333</c:v>
                </c:pt>
                <c:pt idx="2">
                  <c:v>13.125</c:v>
                </c:pt>
                <c:pt idx="3">
                  <c:v>13.54166666666667</c:v>
                </c:pt>
                <c:pt idx="4">
                  <c:v>13.5</c:v>
                </c:pt>
                <c:pt idx="5">
                  <c:v>13.29166666666667</c:v>
                </c:pt>
                <c:pt idx="6">
                  <c:v>14.04166666666667</c:v>
                </c:pt>
                <c:pt idx="7">
                  <c:v>14.25</c:v>
                </c:pt>
                <c:pt idx="8">
                  <c:v>14.29166666666667</c:v>
                </c:pt>
                <c:pt idx="9">
                  <c:v>15.08333333333333</c:v>
                </c:pt>
                <c:pt idx="10">
                  <c:v>15.08333333333333</c:v>
                </c:pt>
                <c:pt idx="11">
                  <c:v>15.08333333333333</c:v>
                </c:pt>
                <c:pt idx="12">
                  <c:v>15.66666666666667</c:v>
                </c:pt>
                <c:pt idx="13">
                  <c:v>16.375</c:v>
                </c:pt>
                <c:pt idx="14">
                  <c:v>16.16666666666667</c:v>
                </c:pt>
                <c:pt idx="15">
                  <c:v>16.625</c:v>
                </c:pt>
                <c:pt idx="16">
                  <c:v>17.25</c:v>
                </c:pt>
                <c:pt idx="17">
                  <c:v>17.875</c:v>
                </c:pt>
                <c:pt idx="18">
                  <c:v>18.0</c:v>
                </c:pt>
                <c:pt idx="19">
                  <c:v>18.25</c:v>
                </c:pt>
                <c:pt idx="20">
                  <c:v>18.0</c:v>
                </c:pt>
                <c:pt idx="21">
                  <c:v>18.0</c:v>
                </c:pt>
                <c:pt idx="22">
                  <c:v>18.20833333333333</c:v>
                </c:pt>
                <c:pt idx="23">
                  <c:v>17.95833333333333</c:v>
                </c:pt>
                <c:pt idx="24">
                  <c:v>17.375</c:v>
                </c:pt>
                <c:pt idx="25">
                  <c:v>17.375</c:v>
                </c:pt>
                <c:pt idx="26">
                  <c:v>17.375</c:v>
                </c:pt>
                <c:pt idx="27">
                  <c:v>17.58333333333333</c:v>
                </c:pt>
                <c:pt idx="28">
                  <c:v>17.58333333333333</c:v>
                </c:pt>
                <c:pt idx="29">
                  <c:v>17.79166666666667</c:v>
                </c:pt>
                <c:pt idx="30">
                  <c:v>17.16666666666667</c:v>
                </c:pt>
                <c:pt idx="31">
                  <c:v>17.16666666666667</c:v>
                </c:pt>
                <c:pt idx="32">
                  <c:v>16.54166666666667</c:v>
                </c:pt>
                <c:pt idx="33">
                  <c:v>16.58333333333333</c:v>
                </c:pt>
                <c:pt idx="34">
                  <c:v>16.33333333333333</c:v>
                </c:pt>
                <c:pt idx="35">
                  <c:v>16.04166666666667</c:v>
                </c:pt>
                <c:pt idx="36">
                  <c:v>15.41666666666667</c:v>
                </c:pt>
                <c:pt idx="37">
                  <c:v>14.75</c:v>
                </c:pt>
                <c:pt idx="38">
                  <c:v>14.25</c:v>
                </c:pt>
                <c:pt idx="39">
                  <c:v>13.41666666666667</c:v>
                </c:pt>
                <c:pt idx="40">
                  <c:v>12.83333333333333</c:v>
                </c:pt>
                <c:pt idx="41">
                  <c:v>12.20833333333333</c:v>
                </c:pt>
                <c:pt idx="42">
                  <c:v>11.66666666666667</c:v>
                </c:pt>
                <c:pt idx="43">
                  <c:v>11.0</c:v>
                </c:pt>
                <c:pt idx="44">
                  <c:v>10.45833333333333</c:v>
                </c:pt>
                <c:pt idx="45">
                  <c:v>10.16666666666667</c:v>
                </c:pt>
                <c:pt idx="46">
                  <c:v>9.666666666666665</c:v>
                </c:pt>
                <c:pt idx="47">
                  <c:v>9.625</c:v>
                </c:pt>
                <c:pt idx="48">
                  <c:v>9.625</c:v>
                </c:pt>
                <c:pt idx="49">
                  <c:v>9.416666666666666</c:v>
                </c:pt>
                <c:pt idx="50">
                  <c:v>10.04166666666667</c:v>
                </c:pt>
                <c:pt idx="51">
                  <c:v>10.0</c:v>
                </c:pt>
                <c:pt idx="52">
                  <c:v>10.0</c:v>
                </c:pt>
                <c:pt idx="53">
                  <c:v>9.791666666666665</c:v>
                </c:pt>
                <c:pt idx="54">
                  <c:v>10.0</c:v>
                </c:pt>
                <c:pt idx="55">
                  <c:v>10.04166666666667</c:v>
                </c:pt>
                <c:pt idx="56">
                  <c:v>10.41666666666667</c:v>
                </c:pt>
                <c:pt idx="57">
                  <c:v>9.583333333333333</c:v>
                </c:pt>
                <c:pt idx="58">
                  <c:v>9.708333333333334</c:v>
                </c:pt>
              </c:numCache>
            </c:numRef>
          </c:yVal>
        </c:ser>
        <c:ser>
          <c:idx val="2"/>
          <c:order val="2"/>
          <c:tx>
            <c:strRef>
              <c:f>Remains!$N$1</c:f>
              <c:strCache>
                <c:ptCount val="1"/>
                <c:pt idx="0">
                  <c:v>EvenAvg24</c:v>
                </c:pt>
              </c:strCache>
            </c:strRef>
          </c:tx>
          <c:spPr>
            <a:ln w="47625">
              <a:noFill/>
            </a:ln>
          </c:spPr>
          <c:trendline>
            <c:trendlineType val="movingAvg"/>
            <c:period val="2"/>
          </c:trendline>
          <c:xVal>
            <c:multiLvlStrRef>
              <c:f>Remains!$A$2:$I$165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Remains!$N$2:$N$165</c:f>
              <c:numCache>
                <c:formatCode>0.00</c:formatCode>
                <c:ptCount val="164"/>
                <c:pt idx="0">
                  <c:v>10.25</c:v>
                </c:pt>
                <c:pt idx="1">
                  <c:v>10.25</c:v>
                </c:pt>
                <c:pt idx="2">
                  <c:v>11.08333333333333</c:v>
                </c:pt>
                <c:pt idx="3">
                  <c:v>11.66666666666667</c:v>
                </c:pt>
                <c:pt idx="4">
                  <c:v>11.66666666666667</c:v>
                </c:pt>
                <c:pt idx="5">
                  <c:v>12.5</c:v>
                </c:pt>
                <c:pt idx="6">
                  <c:v>13.04166666666667</c:v>
                </c:pt>
                <c:pt idx="7">
                  <c:v>13.0</c:v>
                </c:pt>
                <c:pt idx="8">
                  <c:v>12.16666666666667</c:v>
                </c:pt>
                <c:pt idx="9">
                  <c:v>12.41666666666667</c:v>
                </c:pt>
                <c:pt idx="10">
                  <c:v>13.0</c:v>
                </c:pt>
                <c:pt idx="11">
                  <c:v>13.41666666666667</c:v>
                </c:pt>
                <c:pt idx="12">
                  <c:v>13.625</c:v>
                </c:pt>
                <c:pt idx="13">
                  <c:v>13.66666666666667</c:v>
                </c:pt>
                <c:pt idx="14">
                  <c:v>13.79166666666667</c:v>
                </c:pt>
                <c:pt idx="15">
                  <c:v>13.58333333333333</c:v>
                </c:pt>
                <c:pt idx="16">
                  <c:v>14.25</c:v>
                </c:pt>
                <c:pt idx="17">
                  <c:v>15.125</c:v>
                </c:pt>
                <c:pt idx="18">
                  <c:v>15.33333333333333</c:v>
                </c:pt>
                <c:pt idx="19">
                  <c:v>15.75</c:v>
                </c:pt>
                <c:pt idx="20">
                  <c:v>15.58333333333333</c:v>
                </c:pt>
                <c:pt idx="21">
                  <c:v>15.66666666666667</c:v>
                </c:pt>
                <c:pt idx="22">
                  <c:v>15.08333333333333</c:v>
                </c:pt>
                <c:pt idx="23">
                  <c:v>15.16666666666667</c:v>
                </c:pt>
                <c:pt idx="24">
                  <c:v>15.79166666666667</c:v>
                </c:pt>
                <c:pt idx="25">
                  <c:v>15.75</c:v>
                </c:pt>
                <c:pt idx="26">
                  <c:v>15.5</c:v>
                </c:pt>
                <c:pt idx="27">
                  <c:v>14.95833333333333</c:v>
                </c:pt>
                <c:pt idx="28">
                  <c:v>15.16666666666667</c:v>
                </c:pt>
                <c:pt idx="29">
                  <c:v>14.29166666666667</c:v>
                </c:pt>
                <c:pt idx="30">
                  <c:v>13.79166666666667</c:v>
                </c:pt>
                <c:pt idx="31">
                  <c:v>13.375</c:v>
                </c:pt>
                <c:pt idx="32">
                  <c:v>13.20833333333333</c:v>
                </c:pt>
                <c:pt idx="33">
                  <c:v>12.5</c:v>
                </c:pt>
                <c:pt idx="34">
                  <c:v>11.91666666666667</c:v>
                </c:pt>
                <c:pt idx="35">
                  <c:v>12.16666666666667</c:v>
                </c:pt>
                <c:pt idx="36">
                  <c:v>11.91666666666667</c:v>
                </c:pt>
                <c:pt idx="37">
                  <c:v>12.29166666666667</c:v>
                </c:pt>
                <c:pt idx="38">
                  <c:v>12.16666666666667</c:v>
                </c:pt>
                <c:pt idx="39">
                  <c:v>11.625</c:v>
                </c:pt>
                <c:pt idx="40">
                  <c:v>11.16666666666667</c:v>
                </c:pt>
                <c:pt idx="41">
                  <c:v>10.33333333333333</c:v>
                </c:pt>
                <c:pt idx="42">
                  <c:v>9.708333333333334</c:v>
                </c:pt>
                <c:pt idx="43">
                  <c:v>9.291666666666666</c:v>
                </c:pt>
                <c:pt idx="44">
                  <c:v>9.5</c:v>
                </c:pt>
                <c:pt idx="45">
                  <c:v>8.75</c:v>
                </c:pt>
                <c:pt idx="46">
                  <c:v>8.75</c:v>
                </c:pt>
                <c:pt idx="47">
                  <c:v>8.666666666666665</c:v>
                </c:pt>
                <c:pt idx="48">
                  <c:v>8.083333333333333</c:v>
                </c:pt>
                <c:pt idx="49">
                  <c:v>8.666666666666665</c:v>
                </c:pt>
                <c:pt idx="50">
                  <c:v>8.958333333333333</c:v>
                </c:pt>
                <c:pt idx="51">
                  <c:v>8.958333333333333</c:v>
                </c:pt>
                <c:pt idx="52">
                  <c:v>8.458333333333333</c:v>
                </c:pt>
                <c:pt idx="53">
                  <c:v>8.458333333333333</c:v>
                </c:pt>
                <c:pt idx="54">
                  <c:v>8.375</c:v>
                </c:pt>
                <c:pt idx="55">
                  <c:v>9.0</c:v>
                </c:pt>
                <c:pt idx="56">
                  <c:v>9.833333333333333</c:v>
                </c:pt>
                <c:pt idx="57">
                  <c:v>9.791666666666665</c:v>
                </c:pt>
                <c:pt idx="58">
                  <c:v>10.04347826086956</c:v>
                </c:pt>
              </c:numCache>
            </c:numRef>
          </c:yVal>
        </c:ser>
        <c:ser>
          <c:idx val="3"/>
          <c:order val="3"/>
          <c:tx>
            <c:strRef>
              <c:f>Remains!$R$1</c:f>
              <c:strCache>
                <c:ptCount val="1"/>
                <c:pt idx="0">
                  <c:v>oldK4avg24</c:v>
                </c:pt>
              </c:strCache>
            </c:strRef>
          </c:tx>
          <c:spPr>
            <a:ln w="47625">
              <a:noFill/>
            </a:ln>
          </c:spPr>
          <c:trendline>
            <c:trendlineType val="movingAvg"/>
            <c:period val="2"/>
          </c:trendline>
          <c:xVal>
            <c:multiLvlStrRef>
              <c:f>Remains!$A$2:$I$165</c:f>
              <c:multiLvlStrCache>
                <c:ptCount val="328"/>
                <c:lvl>
                  <c:pt idx="0">
                    <c:v>BETWEEN</c:v>
                  </c:pt>
                  <c:pt idx="1">
                    <c:v>SUBTLE</c:v>
                  </c:pt>
                  <c:pt idx="2">
                    <c:v>SHADING</c:v>
                  </c:pt>
                  <c:pt idx="3">
                    <c:v>AND</c:v>
                  </c:pt>
                  <c:pt idx="4">
                    <c:v>THE</c:v>
                  </c:pt>
                  <c:pt idx="5">
                    <c:v>ABSENCE</c:v>
                  </c:pt>
                  <c:pt idx="6">
                    <c:v>OF</c:v>
                  </c:pt>
                  <c:pt idx="7">
                    <c:v>LIGHT</c:v>
                  </c:pt>
                  <c:pt idx="8">
                    <c:v>LIES</c:v>
                  </c:pt>
                  <c:pt idx="9">
                    <c:v>THE</c:v>
                  </c:pt>
                  <c:pt idx="10">
                    <c:v>NUANCE</c:v>
                  </c:pt>
                  <c:pt idx="11">
                    <c:v>OF</c:v>
                  </c:pt>
                  <c:pt idx="12">
                    <c:v>IQLUSION</c:v>
                  </c:pt>
                  <c:pt idx="13">
                    <c:v>IT</c:v>
                  </c:pt>
                  <c:pt idx="14">
                    <c:v>WAS</c:v>
                  </c:pt>
                  <c:pt idx="15">
                    <c:v>TOTALLY</c:v>
                  </c:pt>
                  <c:pt idx="16">
                    <c:v>INVISIBLE</c:v>
                  </c:pt>
                  <c:pt idx="17">
                    <c:v>HOWS</c:v>
                  </c:pt>
                  <c:pt idx="18">
                    <c:v>THAT</c:v>
                  </c:pt>
                  <c:pt idx="19">
                    <c:v>POSSIBLE</c:v>
                  </c:pt>
                  <c:pt idx="20">
                    <c:v>THEY</c:v>
                  </c:pt>
                  <c:pt idx="21">
                    <c:v>USED</c:v>
                  </c:pt>
                  <c:pt idx="22">
                    <c:v>THE</c:v>
                  </c:pt>
                  <c:pt idx="23">
                    <c:v>EARTHS</c:v>
                  </c:pt>
                  <c:pt idx="24">
                    <c:v>MAGNETIC</c:v>
                  </c:pt>
                  <c:pt idx="25">
                    <c:v>FIELD</c:v>
                  </c:pt>
                  <c:pt idx="26">
                    <c:v>X</c:v>
                  </c:pt>
                  <c:pt idx="27">
                    <c:v>THE</c:v>
                  </c:pt>
                  <c:pt idx="28">
                    <c:v>INFORMATION</c:v>
                  </c:pt>
                  <c:pt idx="29">
                    <c:v>WAS</c:v>
                  </c:pt>
                  <c:pt idx="30">
                    <c:v>GATHERED</c:v>
                  </c:pt>
                  <c:pt idx="31">
                    <c:v>AND</c:v>
                  </c:pt>
                  <c:pt idx="32">
                    <c:v>TRANSMITTED</c:v>
                  </c:pt>
                  <c:pt idx="33">
                    <c:v>UNDERGRUUND</c:v>
                  </c:pt>
                  <c:pt idx="34">
                    <c:v>TO</c:v>
                  </c:pt>
                  <c:pt idx="35">
                    <c:v>AN</c:v>
                  </c:pt>
                  <c:pt idx="36">
                    <c:v>UNKNOWN</c:v>
                  </c:pt>
                  <c:pt idx="37">
                    <c:v>LOCATION</c:v>
                  </c:pt>
                  <c:pt idx="38">
                    <c:v>X</c:v>
                  </c:pt>
                  <c:pt idx="39">
                    <c:v>DOES</c:v>
                  </c:pt>
                  <c:pt idx="40">
                    <c:v>LANGLEY</c:v>
                  </c:pt>
                  <c:pt idx="41">
                    <c:v>KNOW</c:v>
                  </c:pt>
                  <c:pt idx="42">
                    <c:v>ABOUT</c:v>
                  </c:pt>
                  <c:pt idx="43">
                    <c:v>THIS</c:v>
                  </c:pt>
                  <c:pt idx="44">
                    <c:v>THEY</c:v>
                  </c:pt>
                  <c:pt idx="45">
                    <c:v>SHOULD</c:v>
                  </c:pt>
                  <c:pt idx="46">
                    <c:v>ITS</c:v>
                  </c:pt>
                  <c:pt idx="47">
                    <c:v>BURIED</c:v>
                  </c:pt>
                  <c:pt idx="48">
                    <c:v>OUT</c:v>
                  </c:pt>
                  <c:pt idx="49">
                    <c:v>THERE</c:v>
                  </c:pt>
                  <c:pt idx="50">
                    <c:v>SOMEWHERE</c:v>
                  </c:pt>
                  <c:pt idx="51">
                    <c:v>X</c:v>
                  </c:pt>
                  <c:pt idx="52">
                    <c:v>WHO</c:v>
                  </c:pt>
                  <c:pt idx="53">
                    <c:v>KNOWS</c:v>
                  </c:pt>
                  <c:pt idx="54">
                    <c:v>THE</c:v>
                  </c:pt>
                  <c:pt idx="55">
                    <c:v>EXACT</c:v>
                  </c:pt>
                  <c:pt idx="56">
                    <c:v>LOCATION</c:v>
                  </c:pt>
                  <c:pt idx="57">
                    <c:v>ONLY</c:v>
                  </c:pt>
                  <c:pt idx="58">
                    <c:v>WW</c:v>
                  </c:pt>
                  <c:pt idx="59">
                    <c:v>THIS</c:v>
                  </c:pt>
                  <c:pt idx="60">
                    <c:v>WAS</c:v>
                  </c:pt>
                  <c:pt idx="61">
                    <c:v>HIS</c:v>
                  </c:pt>
                  <c:pt idx="62">
                    <c:v>LAST</c:v>
                  </c:pt>
                  <c:pt idx="63">
                    <c:v>MESSAGE</c:v>
                  </c:pt>
                  <c:pt idx="64">
                    <c:v>X</c:v>
                  </c:pt>
                  <c:pt idx="65">
                    <c:v>THIRTY</c:v>
                  </c:pt>
                  <c:pt idx="66">
                    <c:v>EIGHT</c:v>
                  </c:pt>
                  <c:pt idx="67">
                    <c:v>DEGREES</c:v>
                  </c:pt>
                  <c:pt idx="68">
                    <c:v>FIFTY</c:v>
                  </c:pt>
                  <c:pt idx="69">
                    <c:v>SEVEN</c:v>
                  </c:pt>
                  <c:pt idx="70">
                    <c:v>MINUTES</c:v>
                  </c:pt>
                  <c:pt idx="71">
                    <c:v>SIX</c:v>
                  </c:pt>
                  <c:pt idx="72">
                    <c:v>POINT</c:v>
                  </c:pt>
                  <c:pt idx="73">
                    <c:v>FIVE</c:v>
                  </c:pt>
                  <c:pt idx="74">
                    <c:v>SECONDS</c:v>
                  </c:pt>
                  <c:pt idx="75">
                    <c:v>NORTH</c:v>
                  </c:pt>
                  <c:pt idx="76">
                    <c:v>SEVENTY</c:v>
                  </c:pt>
                  <c:pt idx="77">
                    <c:v>SEVEN</c:v>
                  </c:pt>
                  <c:pt idx="78">
                    <c:v>DEGREES</c:v>
                  </c:pt>
                  <c:pt idx="79">
                    <c:v>EIGHT</c:v>
                  </c:pt>
                  <c:pt idx="80">
                    <c:v>MINUTES</c:v>
                  </c:pt>
                  <c:pt idx="81">
                    <c:v>FORTY</c:v>
                  </c:pt>
                  <c:pt idx="82">
                    <c:v>FOUR</c:v>
                  </c:pt>
                  <c:pt idx="83">
                    <c:v>SECONDS</c:v>
                  </c:pt>
                  <c:pt idx="84">
                    <c:v>WEST</c:v>
                  </c:pt>
                  <c:pt idx="85">
                    <c:v>X</c:v>
                  </c:pt>
                  <c:pt idx="86">
                    <c:v>LAYER</c:v>
                  </c:pt>
                  <c:pt idx="87">
                    <c:v>TWO</c:v>
                  </c:pt>
                  <c:pt idx="88">
                    <c:v>SLOWLY</c:v>
                  </c:pt>
                  <c:pt idx="89">
                    <c:v>DESPARATLY</c:v>
                  </c:pt>
                  <c:pt idx="90">
                    <c:v>SLOWLY</c:v>
                  </c:pt>
                  <c:pt idx="91">
                    <c:v>THE</c:v>
                  </c:pt>
                  <c:pt idx="92">
                    <c:v>REMAINS</c:v>
                  </c:pt>
                  <c:pt idx="93">
                    <c:v>OF</c:v>
                  </c:pt>
                  <c:pt idx="94">
                    <c:v>PASSAGE</c:v>
                  </c:pt>
                  <c:pt idx="95">
                    <c:v>DEBRIS</c:v>
                  </c:pt>
                  <c:pt idx="96">
                    <c:v>THAT</c:v>
                  </c:pt>
                  <c:pt idx="97">
                    <c:v>ENCUMBERED</c:v>
                  </c:pt>
                  <c:pt idx="98">
                    <c:v>THE</c:v>
                  </c:pt>
                  <c:pt idx="99">
                    <c:v>LOWER</c:v>
                  </c:pt>
                  <c:pt idx="100">
                    <c:v>PART</c:v>
                  </c:pt>
                  <c:pt idx="101">
                    <c:v>OF</c:v>
                  </c:pt>
                  <c:pt idx="102">
                    <c:v>THE</c:v>
                  </c:pt>
                  <c:pt idx="103">
                    <c:v>DOORWAY</c:v>
                  </c:pt>
                  <c:pt idx="104">
                    <c:v>WAS</c:v>
                  </c:pt>
                  <c:pt idx="105">
                    <c:v>REMOVED</c:v>
                  </c:pt>
                  <c:pt idx="106">
                    <c:v>WITH</c:v>
                  </c:pt>
                  <c:pt idx="107">
                    <c:v>TREMBLING</c:v>
                  </c:pt>
                  <c:pt idx="108">
                    <c:v>HANDS</c:v>
                  </c:pt>
                  <c:pt idx="109">
                    <c:v>I</c:v>
                  </c:pt>
                  <c:pt idx="110">
                    <c:v>MADE</c:v>
                  </c:pt>
                  <c:pt idx="111">
                    <c:v>A</c:v>
                  </c:pt>
                  <c:pt idx="112">
                    <c:v>TINY</c:v>
                  </c:pt>
                  <c:pt idx="113">
                    <c:v>BREACH</c:v>
                  </c:pt>
                  <c:pt idx="114">
                    <c:v>IN</c:v>
                  </c:pt>
                  <c:pt idx="115">
                    <c:v>THE</c:v>
                  </c:pt>
                  <c:pt idx="116">
                    <c:v>UPPER</c:v>
                  </c:pt>
                  <c:pt idx="117">
                    <c:v>LEFT</c:v>
                  </c:pt>
                  <c:pt idx="118">
                    <c:v>HAND</c:v>
                  </c:pt>
                  <c:pt idx="119">
                    <c:v>CORNER</c:v>
                  </c:pt>
                  <c:pt idx="120">
                    <c:v>AND</c:v>
                  </c:pt>
                  <c:pt idx="121">
                    <c:v>THEN</c:v>
                  </c:pt>
                  <c:pt idx="122">
                    <c:v>WIDENING</c:v>
                  </c:pt>
                  <c:pt idx="123">
                    <c:v>THE</c:v>
                  </c:pt>
                  <c:pt idx="124">
                    <c:v>HOLE</c:v>
                  </c:pt>
                  <c:pt idx="125">
                    <c:v>A</c:v>
                  </c:pt>
                  <c:pt idx="126">
                    <c:v>LITTLE</c:v>
                  </c:pt>
                  <c:pt idx="127">
                    <c:v>I</c:v>
                  </c:pt>
                  <c:pt idx="128">
                    <c:v>INSERTED</c:v>
                  </c:pt>
                  <c:pt idx="129">
                    <c:v>THE</c:v>
                  </c:pt>
                  <c:pt idx="130">
                    <c:v>CANDLE</c:v>
                  </c:pt>
                  <c:pt idx="131">
                    <c:v>AND</c:v>
                  </c:pt>
                  <c:pt idx="132">
                    <c:v>PEERED</c:v>
                  </c:pt>
                  <c:pt idx="133">
                    <c:v>IN</c:v>
                  </c:pt>
                  <c:pt idx="134">
                    <c:v>THE</c:v>
                  </c:pt>
                  <c:pt idx="135">
                    <c:v>HOT</c:v>
                  </c:pt>
                  <c:pt idx="136">
                    <c:v>AIR</c:v>
                  </c:pt>
                  <c:pt idx="137">
                    <c:v>ESCAPING</c:v>
                  </c:pt>
                  <c:pt idx="138">
                    <c:v>FROM</c:v>
                  </c:pt>
                  <c:pt idx="139">
                    <c:v>THE</c:v>
                  </c:pt>
                  <c:pt idx="140">
                    <c:v>CHAMBER</c:v>
                  </c:pt>
                  <c:pt idx="141">
                    <c:v>CAUSED</c:v>
                  </c:pt>
                  <c:pt idx="142">
                    <c:v>THE</c:v>
                  </c:pt>
                  <c:pt idx="143">
                    <c:v>FLAME</c:v>
                  </c:pt>
                  <c:pt idx="144">
                    <c:v>TO</c:v>
                  </c:pt>
                  <c:pt idx="145">
                    <c:v>FLICKER</c:v>
                  </c:pt>
                  <c:pt idx="146">
                    <c:v>BUT</c:v>
                  </c:pt>
                  <c:pt idx="147">
                    <c:v>PRESENTLY</c:v>
                  </c:pt>
                  <c:pt idx="148">
                    <c:v>DETAILS</c:v>
                  </c:pt>
                  <c:pt idx="149">
                    <c:v>OF</c:v>
                  </c:pt>
                  <c:pt idx="150">
                    <c:v>THE</c:v>
                  </c:pt>
                  <c:pt idx="151">
                    <c:v>ROOM</c:v>
                  </c:pt>
                  <c:pt idx="152">
                    <c:v>WITHIN</c:v>
                  </c:pt>
                  <c:pt idx="153">
                    <c:v>EMERGED</c:v>
                  </c:pt>
                  <c:pt idx="154">
                    <c:v>FROM</c:v>
                  </c:pt>
                  <c:pt idx="155">
                    <c:v>THE</c:v>
                  </c:pt>
                  <c:pt idx="156">
                    <c:v>MIST</c:v>
                  </c:pt>
                  <c:pt idx="157">
                    <c:v>X</c:v>
                  </c:pt>
                  <c:pt idx="158">
                    <c:v>CAN</c:v>
                  </c:pt>
                  <c:pt idx="159">
                    <c:v>YOU</c:v>
                  </c:pt>
                  <c:pt idx="160">
                    <c:v>SEE</c:v>
                  </c:pt>
                  <c:pt idx="161">
                    <c:v>ANYTHING</c:v>
                  </c:pt>
                  <c:pt idx="162">
                    <c:v>Q</c:v>
                  </c:pt>
                  <c:pt idx="163">
                    <c:v>?</c:v>
                  </c:pt>
                  <c:pt idx="164">
                    <c:v>13</c:v>
                  </c:pt>
                  <c:pt idx="165">
                    <c:v>4</c:v>
                  </c:pt>
                  <c:pt idx="166">
                    <c:v>6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5</c:v>
                  </c:pt>
                  <c:pt idx="171">
                    <c:v>19</c:v>
                  </c:pt>
                  <c:pt idx="172">
                    <c:v>18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5</c:v>
                  </c:pt>
                  <c:pt idx="176">
                    <c:v>13</c:v>
                  </c:pt>
                  <c:pt idx="177">
                    <c:v>19</c:v>
                  </c:pt>
                  <c:pt idx="178">
                    <c:v>18</c:v>
                  </c:pt>
                  <c:pt idx="179">
                    <c:v>24</c:v>
                  </c:pt>
                  <c:pt idx="180">
                    <c:v>4</c:v>
                  </c:pt>
                  <c:pt idx="181">
                    <c:v>18</c:v>
                  </c:pt>
                  <c:pt idx="182">
                    <c:v>19</c:v>
                  </c:pt>
                  <c:pt idx="183">
                    <c:v>4</c:v>
                  </c:pt>
                  <c:pt idx="184">
                    <c:v>24</c:v>
                  </c:pt>
                  <c:pt idx="185">
                    <c:v>3</c:v>
                  </c:pt>
                  <c:pt idx="186">
                    <c:v>4</c:v>
                  </c:pt>
                  <c:pt idx="187">
                    <c:v>18</c:v>
                  </c:pt>
                  <c:pt idx="188">
                    <c:v>2</c:v>
                  </c:pt>
                  <c:pt idx="189">
                    <c:v>3</c:v>
                  </c:pt>
                  <c:pt idx="190">
                    <c:v>23</c:v>
                  </c:pt>
                  <c:pt idx="191">
                    <c:v>4</c:v>
                  </c:pt>
                  <c:pt idx="192">
                    <c:v>13</c:v>
                  </c:pt>
                  <c:pt idx="193">
                    <c:v>18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14</c:v>
                  </c:pt>
                  <c:pt idx="199">
                    <c:v>13</c:v>
                  </c:pt>
                  <c:pt idx="200">
                    <c:v>13</c:v>
                  </c:pt>
                  <c:pt idx="201">
                    <c:v>13</c:v>
                  </c:pt>
                  <c:pt idx="202">
                    <c:v>23</c:v>
                  </c:pt>
                  <c:pt idx="203">
                    <c:v>18</c:v>
                  </c:pt>
                  <c:pt idx="204">
                    <c:v>24</c:v>
                  </c:pt>
                  <c:pt idx="205">
                    <c:v>22</c:v>
                  </c:pt>
                  <c:pt idx="206">
                    <c:v>19</c:v>
                  </c:pt>
                  <c:pt idx="207">
                    <c:v>18</c:v>
                  </c:pt>
                  <c:pt idx="208">
                    <c:v>24</c:v>
                  </c:pt>
                  <c:pt idx="209">
                    <c:v>3</c:v>
                  </c:pt>
                  <c:pt idx="210">
                    <c:v>18</c:v>
                  </c:pt>
                  <c:pt idx="211">
                    <c:v>3</c:v>
                  </c:pt>
                  <c:pt idx="212">
                    <c:v>19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23</c:v>
                  </c:pt>
                  <c:pt idx="216">
                    <c:v>14</c:v>
                  </c:pt>
                  <c:pt idx="217">
                    <c:v>18</c:v>
                  </c:pt>
                  <c:pt idx="218">
                    <c:v>4</c:v>
                  </c:pt>
                  <c:pt idx="219">
                    <c:v>19</c:v>
                  </c:pt>
                  <c:pt idx="220">
                    <c:v>13</c:v>
                  </c:pt>
                  <c:pt idx="221">
                    <c:v>24</c:v>
                  </c:pt>
                  <c:pt idx="222">
                    <c:v>22</c:v>
                  </c:pt>
                  <c:pt idx="223">
                    <c:v>18</c:v>
                  </c:pt>
                  <c:pt idx="224">
                    <c:v>18</c:v>
                  </c:pt>
                  <c:pt idx="225">
                    <c:v>18</c:v>
                  </c:pt>
                  <c:pt idx="226">
                    <c:v>19</c:v>
                  </c:pt>
                  <c:pt idx="227">
                    <c:v>4</c:v>
                  </c:pt>
                  <c:pt idx="228">
                    <c:v>23</c:v>
                  </c:pt>
                  <c:pt idx="229">
                    <c:v>24</c:v>
                  </c:pt>
                  <c:pt idx="230">
                    <c:v>19</c:v>
                  </c:pt>
                  <c:pt idx="231">
                    <c:v>18</c:v>
                  </c:pt>
                  <c:pt idx="232">
                    <c:v>24</c:v>
                  </c:pt>
                  <c:pt idx="233">
                    <c:v>13</c:v>
                  </c:pt>
                  <c:pt idx="234">
                    <c:v>18</c:v>
                  </c:pt>
                  <c:pt idx="235">
                    <c:v>23</c:v>
                  </c:pt>
                  <c:pt idx="236">
                    <c:v>19</c:v>
                  </c:pt>
                  <c:pt idx="237">
                    <c:v>4</c:v>
                  </c:pt>
                  <c:pt idx="238">
                    <c:v>18</c:v>
                  </c:pt>
                  <c:pt idx="239">
                    <c:v>7</c:v>
                  </c:pt>
                  <c:pt idx="240">
                    <c:v>24</c:v>
                  </c:pt>
                  <c:pt idx="241">
                    <c:v>13</c:v>
                  </c:pt>
                  <c:pt idx="242">
                    <c:v>18</c:v>
                  </c:pt>
                  <c:pt idx="243">
                    <c:v>19</c:v>
                  </c:pt>
                  <c:pt idx="244">
                    <c:v>18</c:v>
                  </c:pt>
                  <c:pt idx="245">
                    <c:v>24</c:v>
                  </c:pt>
                  <c:pt idx="246">
                    <c:v>17</c:v>
                  </c:pt>
                  <c:pt idx="247">
                    <c:v>18</c:v>
                  </c:pt>
                  <c:pt idx="248">
                    <c:v>19</c:v>
                  </c:pt>
                  <c:pt idx="249">
                    <c:v>23</c:v>
                  </c:pt>
                  <c:pt idx="250">
                    <c:v>17</c:v>
                  </c:pt>
                  <c:pt idx="251">
                    <c:v>14</c:v>
                  </c:pt>
                  <c:pt idx="252">
                    <c:v>24</c:v>
                  </c:pt>
                  <c:pt idx="253">
                    <c:v>24</c:v>
                  </c:pt>
                  <c:pt idx="254">
                    <c:v>24</c:v>
                  </c:pt>
                  <c:pt idx="255">
                    <c:v>4</c:v>
                  </c:pt>
                  <c:pt idx="256">
                    <c:v>18</c:v>
                  </c:pt>
                  <c:pt idx="257">
                    <c:v>5</c:v>
                  </c:pt>
                  <c:pt idx="258">
                    <c:v>4</c:v>
                  </c:pt>
                  <c:pt idx="259">
                    <c:v>18</c:v>
                  </c:pt>
                  <c:pt idx="260">
                    <c:v>19</c:v>
                  </c:pt>
                  <c:pt idx="261">
                    <c:v>3</c:v>
                  </c:pt>
                  <c:pt idx="262">
                    <c:v>4</c:v>
                  </c:pt>
                  <c:pt idx="263">
                    <c:v>17</c:v>
                  </c:pt>
                  <c:pt idx="264">
                    <c:v>19</c:v>
                  </c:pt>
                  <c:pt idx="265">
                    <c:v>5</c:v>
                  </c:pt>
                  <c:pt idx="266">
                    <c:v>4</c:v>
                  </c:pt>
                  <c:pt idx="267">
                    <c:v>24</c:v>
                  </c:pt>
                  <c:pt idx="268">
                    <c:v>18</c:v>
                  </c:pt>
                  <c:pt idx="269">
                    <c:v>3</c:v>
                  </c:pt>
                  <c:pt idx="270">
                    <c:v>7</c:v>
                  </c:pt>
                  <c:pt idx="271">
                    <c:v>6</c:v>
                  </c:pt>
                  <c:pt idx="272">
                    <c:v>18</c:v>
                  </c:pt>
                  <c:pt idx="273">
                    <c:v>8</c:v>
                  </c:pt>
                  <c:pt idx="274">
                    <c:v>4</c:v>
                  </c:pt>
                  <c:pt idx="275">
                    <c:v>0</c:v>
                  </c:pt>
                  <c:pt idx="276">
                    <c:v>24</c:v>
                  </c:pt>
                  <c:pt idx="277">
                    <c:v>7</c:v>
                  </c:pt>
                  <c:pt idx="278">
                    <c:v>13</c:v>
                  </c:pt>
                  <c:pt idx="279">
                    <c:v>4</c:v>
                  </c:pt>
                  <c:pt idx="280">
                    <c:v>17</c:v>
                  </c:pt>
                  <c:pt idx="281">
                    <c:v>19</c:v>
                  </c:pt>
                  <c:pt idx="282">
                    <c:v>3</c:v>
                  </c:pt>
                  <c:pt idx="283">
                    <c:v>17</c:v>
                  </c:pt>
                  <c:pt idx="284">
                    <c:v>3</c:v>
                  </c:pt>
                  <c:pt idx="285">
                    <c:v>13</c:v>
                  </c:pt>
                  <c:pt idx="286">
                    <c:v>6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0</c:v>
                  </c:pt>
                  <c:pt idx="290">
                    <c:v>4</c:v>
                  </c:pt>
                  <c:pt idx="291">
                    <c:v>8</c:v>
                  </c:pt>
                  <c:pt idx="292">
                    <c:v>3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3</c:v>
                  </c:pt>
                  <c:pt idx="296">
                    <c:v>3</c:v>
                  </c:pt>
                  <c:pt idx="297">
                    <c:v>13</c:v>
                  </c:pt>
                  <c:pt idx="298">
                    <c:v>4</c:v>
                  </c:pt>
                  <c:pt idx="299">
                    <c:v>19</c:v>
                  </c:pt>
                  <c:pt idx="300">
                    <c:v>17</c:v>
                  </c:pt>
                  <c:pt idx="301">
                    <c:v>6</c:v>
                  </c:pt>
                  <c:pt idx="302">
                    <c:v>12</c:v>
                  </c:pt>
                  <c:pt idx="303">
                    <c:v>4</c:v>
                  </c:pt>
                  <c:pt idx="304">
                    <c:v>17</c:v>
                  </c:pt>
                  <c:pt idx="305">
                    <c:v>3</c:v>
                  </c:pt>
                  <c:pt idx="306">
                    <c:v>4</c:v>
                  </c:pt>
                  <c:pt idx="307">
                    <c:v>4</c:v>
                  </c:pt>
                  <c:pt idx="308">
                    <c:v>14</c:v>
                  </c:pt>
                  <c:pt idx="309">
                    <c:v>17</c:v>
                  </c:pt>
                  <c:pt idx="310">
                    <c:v>19</c:v>
                  </c:pt>
                  <c:pt idx="311">
                    <c:v>24</c:v>
                  </c:pt>
                  <c:pt idx="312">
                    <c:v>18</c:v>
                  </c:pt>
                  <c:pt idx="313">
                    <c:v>5</c:v>
                  </c:pt>
                  <c:pt idx="314">
                    <c:v>4</c:v>
                  </c:pt>
                  <c:pt idx="315">
                    <c:v>12</c:v>
                  </c:pt>
                  <c:pt idx="316">
                    <c:v>13</c:v>
                  </c:pt>
                  <c:pt idx="317">
                    <c:v>3</c:v>
                  </c:pt>
                  <c:pt idx="318">
                    <c:v>12</c:v>
                  </c:pt>
                  <c:pt idx="319">
                    <c:v>4</c:v>
                  </c:pt>
                  <c:pt idx="320">
                    <c:v>19</c:v>
                  </c:pt>
                  <c:pt idx="321">
                    <c:v>23</c:v>
                  </c:pt>
                  <c:pt idx="322">
                    <c:v>13</c:v>
                  </c:pt>
                  <c:pt idx="323">
                    <c:v>20</c:v>
                  </c:pt>
                  <c:pt idx="324">
                    <c:v>4</c:v>
                  </c:pt>
                  <c:pt idx="325">
                    <c:v>6</c:v>
                  </c:pt>
                  <c:pt idx="326">
                    <c:v>16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N</c:v>
                  </c:pt>
                  <c:pt idx="165">
                    <c:v>E</c:v>
                  </c:pt>
                  <c:pt idx="166">
                    <c:v>G</c:v>
                  </c:pt>
                  <c:pt idx="167">
                    <c:v>D</c:v>
                  </c:pt>
                  <c:pt idx="168">
                    <c:v>E</c:v>
                  </c:pt>
                  <c:pt idx="169">
                    <c:v>E</c:v>
                  </c:pt>
                  <c:pt idx="170">
                    <c:v>F</c:v>
                  </c:pt>
                  <c:pt idx="171">
                    <c:v>T</c:v>
                  </c:pt>
                  <c:pt idx="172">
                    <c:v>S</c:v>
                  </c:pt>
                  <c:pt idx="173">
                    <c:v>E</c:v>
                  </c:pt>
                  <c:pt idx="174">
                    <c:v>E</c:v>
                  </c:pt>
                  <c:pt idx="175">
                    <c:v>F</c:v>
                  </c:pt>
                  <c:pt idx="176">
                    <c:v>N</c:v>
                  </c:pt>
                  <c:pt idx="177">
                    <c:v>T</c:v>
                  </c:pt>
                  <c:pt idx="178">
                    <c:v>S</c:v>
                  </c:pt>
                  <c:pt idx="179">
                    <c:v>Y</c:v>
                  </c:pt>
                  <c:pt idx="180">
                    <c:v>E</c:v>
                  </c:pt>
                  <c:pt idx="181">
                    <c:v>S</c:v>
                  </c:pt>
                  <c:pt idx="182">
                    <c:v>T</c:v>
                  </c:pt>
                  <c:pt idx="183">
                    <c:v>E</c:v>
                  </c:pt>
                  <c:pt idx="184">
                    <c:v>Y</c:v>
                  </c:pt>
                  <c:pt idx="185">
                    <c:v>D</c:v>
                  </c:pt>
                  <c:pt idx="186">
                    <c:v>E</c:v>
                  </c:pt>
                  <c:pt idx="187">
                    <c:v>S</c:v>
                  </c:pt>
                  <c:pt idx="188">
                    <c:v>C</c:v>
                  </c:pt>
                  <c:pt idx="189">
                    <c:v>D</c:v>
                  </c:pt>
                  <c:pt idx="190">
                    <c:v>X</c:v>
                  </c:pt>
                  <c:pt idx="191">
                    <c:v>E</c:v>
                  </c:pt>
                  <c:pt idx="192">
                    <c:v>N</c:v>
                  </c:pt>
                  <c:pt idx="193">
                    <c:v>S</c:v>
                  </c:pt>
                  <c:pt idx="194">
                    <c:v>D</c:v>
                  </c:pt>
                  <c:pt idx="195">
                    <c:v>D</c:v>
                  </c:pt>
                  <c:pt idx="196">
                    <c:v>D</c:v>
                  </c:pt>
                  <c:pt idx="197">
                    <c:v>D</c:v>
                  </c:pt>
                  <c:pt idx="198">
                    <c:v>O</c:v>
                  </c:pt>
                  <c:pt idx="199">
                    <c:v>N</c:v>
                  </c:pt>
                  <c:pt idx="200">
                    <c:v>N</c:v>
                  </c:pt>
                  <c:pt idx="201">
                    <c:v>N</c:v>
                  </c:pt>
                  <c:pt idx="202">
                    <c:v>X</c:v>
                  </c:pt>
                  <c:pt idx="203">
                    <c:v>S</c:v>
                  </c:pt>
                  <c:pt idx="204">
                    <c:v>Y</c:v>
                  </c:pt>
                  <c:pt idx="205">
                    <c:v>W</c:v>
                  </c:pt>
                  <c:pt idx="206">
                    <c:v>T</c:v>
                  </c:pt>
                  <c:pt idx="207">
                    <c:v>S</c:v>
                  </c:pt>
                  <c:pt idx="208">
                    <c:v>Y</c:v>
                  </c:pt>
                  <c:pt idx="209">
                    <c:v>D</c:v>
                  </c:pt>
                  <c:pt idx="210">
                    <c:v>S</c:v>
                  </c:pt>
                  <c:pt idx="211">
                    <c:v>D</c:v>
                  </c:pt>
                  <c:pt idx="212">
                    <c:v>T</c:v>
                  </c:pt>
                  <c:pt idx="213">
                    <c:v>E</c:v>
                  </c:pt>
                  <c:pt idx="214">
                    <c:v>E</c:v>
                  </c:pt>
                  <c:pt idx="215">
                    <c:v>X</c:v>
                  </c:pt>
                  <c:pt idx="216">
                    <c:v>O</c:v>
                  </c:pt>
                  <c:pt idx="217">
                    <c:v>S</c:v>
                  </c:pt>
                  <c:pt idx="218">
                    <c:v>E</c:v>
                  </c:pt>
                  <c:pt idx="219">
                    <c:v>T</c:v>
                  </c:pt>
                  <c:pt idx="220">
                    <c:v>N</c:v>
                  </c:pt>
                  <c:pt idx="221">
                    <c:v>Y</c:v>
                  </c:pt>
                  <c:pt idx="222">
                    <c:v>W</c:v>
                  </c:pt>
                  <c:pt idx="223">
                    <c:v>S</c:v>
                  </c:pt>
                  <c:pt idx="224">
                    <c:v>S</c:v>
                  </c:pt>
                  <c:pt idx="225">
                    <c:v>S</c:v>
                  </c:pt>
                  <c:pt idx="226">
                    <c:v>T</c:v>
                  </c:pt>
                  <c:pt idx="227">
                    <c:v>E</c:v>
                  </c:pt>
                  <c:pt idx="228">
                    <c:v>X</c:v>
                  </c:pt>
                  <c:pt idx="229">
                    <c:v>Y</c:v>
                  </c:pt>
                  <c:pt idx="230">
                    <c:v>T</c:v>
                  </c:pt>
                  <c:pt idx="231">
                    <c:v>S</c:v>
                  </c:pt>
                  <c:pt idx="232">
                    <c:v>Y</c:v>
                  </c:pt>
                  <c:pt idx="233">
                    <c:v>N</c:v>
                  </c:pt>
                  <c:pt idx="234">
                    <c:v>S</c:v>
                  </c:pt>
                  <c:pt idx="235">
                    <c:v>X</c:v>
                  </c:pt>
                  <c:pt idx="236">
                    <c:v>T</c:v>
                  </c:pt>
                  <c:pt idx="237">
                    <c:v>E</c:v>
                  </c:pt>
                  <c:pt idx="238">
                    <c:v>S</c:v>
                  </c:pt>
                  <c:pt idx="239">
                    <c:v>H</c:v>
                  </c:pt>
                  <c:pt idx="240">
                    <c:v>Y</c:v>
                  </c:pt>
                  <c:pt idx="241">
                    <c:v>N</c:v>
                  </c:pt>
                  <c:pt idx="242">
                    <c:v>S</c:v>
                  </c:pt>
                  <c:pt idx="243">
                    <c:v>T</c:v>
                  </c:pt>
                  <c:pt idx="244">
                    <c:v>S</c:v>
                  </c:pt>
                  <c:pt idx="245">
                    <c:v>Y</c:v>
                  </c:pt>
                  <c:pt idx="246">
                    <c:v>R</c:v>
                  </c:pt>
                  <c:pt idx="247">
                    <c:v>S</c:v>
                  </c:pt>
                  <c:pt idx="248">
                    <c:v>T</c:v>
                  </c:pt>
                  <c:pt idx="249">
                    <c:v>X</c:v>
                  </c:pt>
                  <c:pt idx="250">
                    <c:v>R</c:v>
                  </c:pt>
                  <c:pt idx="251">
                    <c:v>O</c:v>
                  </c:pt>
                  <c:pt idx="252">
                    <c:v>Y</c:v>
                  </c:pt>
                  <c:pt idx="253">
                    <c:v>Y</c:v>
                  </c:pt>
                  <c:pt idx="254">
                    <c:v>Y</c:v>
                  </c:pt>
                  <c:pt idx="255">
                    <c:v>E</c:v>
                  </c:pt>
                  <c:pt idx="256">
                    <c:v>S</c:v>
                  </c:pt>
                  <c:pt idx="257">
                    <c:v>F</c:v>
                  </c:pt>
                  <c:pt idx="258">
                    <c:v>E</c:v>
                  </c:pt>
                  <c:pt idx="259">
                    <c:v>S</c:v>
                  </c:pt>
                  <c:pt idx="260">
                    <c:v>T</c:v>
                  </c:pt>
                  <c:pt idx="261">
                    <c:v>D</c:v>
                  </c:pt>
                  <c:pt idx="262">
                    <c:v>E</c:v>
                  </c:pt>
                  <c:pt idx="263">
                    <c:v>R</c:v>
                  </c:pt>
                  <c:pt idx="264">
                    <c:v>T</c:v>
                  </c:pt>
                  <c:pt idx="265">
                    <c:v>F</c:v>
                  </c:pt>
                  <c:pt idx="266">
                    <c:v>E</c:v>
                  </c:pt>
                  <c:pt idx="267">
                    <c:v>Y</c:v>
                  </c:pt>
                  <c:pt idx="268">
                    <c:v>S</c:v>
                  </c:pt>
                  <c:pt idx="269">
                    <c:v>D</c:v>
                  </c:pt>
                  <c:pt idx="270">
                    <c:v>H</c:v>
                  </c:pt>
                  <c:pt idx="271">
                    <c:v>G</c:v>
                  </c:pt>
                  <c:pt idx="272">
                    <c:v>S</c:v>
                  </c:pt>
                  <c:pt idx="273">
                    <c:v>I</c:v>
                  </c:pt>
                  <c:pt idx="274">
                    <c:v>E</c:v>
                  </c:pt>
                  <c:pt idx="275">
                    <c:v>A</c:v>
                  </c:pt>
                  <c:pt idx="276">
                    <c:v>Y</c:v>
                  </c:pt>
                  <c:pt idx="277">
                    <c:v>H</c:v>
                  </c:pt>
                  <c:pt idx="278">
                    <c:v>N</c:v>
                  </c:pt>
                  <c:pt idx="279">
                    <c:v>E</c:v>
                  </c:pt>
                  <c:pt idx="280">
                    <c:v>R</c:v>
                  </c:pt>
                  <c:pt idx="281">
                    <c:v>T</c:v>
                  </c:pt>
                  <c:pt idx="282">
                    <c:v>D</c:v>
                  </c:pt>
                  <c:pt idx="283">
                    <c:v>R</c:v>
                  </c:pt>
                  <c:pt idx="284">
                    <c:v>D</c:v>
                  </c:pt>
                  <c:pt idx="285">
                    <c:v>N</c:v>
                  </c:pt>
                  <c:pt idx="286">
                    <c:v>G</c:v>
                  </c:pt>
                  <c:pt idx="287">
                    <c:v>E</c:v>
                  </c:pt>
                  <c:pt idx="288">
                    <c:v>E</c:v>
                  </c:pt>
                  <c:pt idx="289">
                    <c:v>A</c:v>
                  </c:pt>
                  <c:pt idx="290">
                    <c:v>E</c:v>
                  </c:pt>
                  <c:pt idx="291">
                    <c:v>I</c:v>
                  </c:pt>
                  <c:pt idx="292">
                    <c:v>D</c:v>
                  </c:pt>
                  <c:pt idx="293">
                    <c:v>E</c:v>
                  </c:pt>
                  <c:pt idx="294">
                    <c:v>E</c:v>
                  </c:pt>
                  <c:pt idx="295">
                    <c:v>D</c:v>
                  </c:pt>
                  <c:pt idx="296">
                    <c:v>D</c:v>
                  </c:pt>
                  <c:pt idx="297">
                    <c:v>N</c:v>
                  </c:pt>
                  <c:pt idx="298">
                    <c:v>E</c:v>
                  </c:pt>
                  <c:pt idx="299">
                    <c:v>T</c:v>
                  </c:pt>
                  <c:pt idx="300">
                    <c:v>R</c:v>
                  </c:pt>
                  <c:pt idx="301">
                    <c:v>G</c:v>
                  </c:pt>
                  <c:pt idx="302">
                    <c:v>M</c:v>
                  </c:pt>
                  <c:pt idx="303">
                    <c:v>E</c:v>
                  </c:pt>
                  <c:pt idx="304">
                    <c:v>R</c:v>
                  </c:pt>
                  <c:pt idx="305">
                    <c:v>D</c:v>
                  </c:pt>
                  <c:pt idx="306">
                    <c:v>E</c:v>
                  </c:pt>
                  <c:pt idx="307">
                    <c:v>E</c:v>
                  </c:pt>
                  <c:pt idx="308">
                    <c:v>O</c:v>
                  </c:pt>
                  <c:pt idx="309">
                    <c:v>R</c:v>
                  </c:pt>
                  <c:pt idx="310">
                    <c:v>T</c:v>
                  </c:pt>
                  <c:pt idx="311">
                    <c:v>Y</c:v>
                  </c:pt>
                  <c:pt idx="312">
                    <c:v>S</c:v>
                  </c:pt>
                  <c:pt idx="313">
                    <c:v>F</c:v>
                  </c:pt>
                  <c:pt idx="314">
                    <c:v>E</c:v>
                  </c:pt>
                  <c:pt idx="315">
                    <c:v>M</c:v>
                  </c:pt>
                  <c:pt idx="316">
                    <c:v>N</c:v>
                  </c:pt>
                  <c:pt idx="317">
                    <c:v>D</c:v>
                  </c:pt>
                  <c:pt idx="318">
                    <c:v>M</c:v>
                  </c:pt>
                  <c:pt idx="319">
                    <c:v>E</c:v>
                  </c:pt>
                  <c:pt idx="320">
                    <c:v>T</c:v>
                  </c:pt>
                  <c:pt idx="321">
                    <c:v>X</c:v>
                  </c:pt>
                  <c:pt idx="322">
                    <c:v>N</c:v>
                  </c:pt>
                  <c:pt idx="323">
                    <c:v>U</c:v>
                  </c:pt>
                  <c:pt idx="324">
                    <c:v>E</c:v>
                  </c:pt>
                  <c:pt idx="325">
                    <c:v>G</c:v>
                  </c:pt>
                  <c:pt idx="326">
                    <c:v>Q</c:v>
                  </c:pt>
                  <c:pt idx="327">
                    <c:v>?</c:v>
                  </c:pt>
                </c:lvl>
              </c:multiLvlStrCache>
            </c:multiLvlStrRef>
          </c:xVal>
          <c:yVal>
            <c:numRef>
              <c:f>Remains!$R$2:$R$165</c:f>
              <c:numCache>
                <c:formatCode>General</c:formatCode>
                <c:ptCount val="164"/>
                <c:pt idx="0">
                  <c:v>11.29166666666667</c:v>
                </c:pt>
                <c:pt idx="1">
                  <c:v>11.58333333333333</c:v>
                </c:pt>
                <c:pt idx="2">
                  <c:v>12.20833333333333</c:v>
                </c:pt>
                <c:pt idx="3">
                  <c:v>12.45833333333333</c:v>
                </c:pt>
                <c:pt idx="4">
                  <c:v>12.375</c:v>
                </c:pt>
                <c:pt idx="5">
                  <c:v>12.25</c:v>
                </c:pt>
                <c:pt idx="6">
                  <c:v>12.20833333333333</c:v>
                </c:pt>
                <c:pt idx="7">
                  <c:v>11.5</c:v>
                </c:pt>
                <c:pt idx="8">
                  <c:v>11.33333333333333</c:v>
                </c:pt>
                <c:pt idx="9">
                  <c:v>11.83333333333333</c:v>
                </c:pt>
                <c:pt idx="10">
                  <c:v>12.29166666666667</c:v>
                </c:pt>
                <c:pt idx="11">
                  <c:v>12.04166666666667</c:v>
                </c:pt>
                <c:pt idx="12">
                  <c:v>12.375</c:v>
                </c:pt>
                <c:pt idx="13">
                  <c:v>13.25</c:v>
                </c:pt>
                <c:pt idx="14">
                  <c:v>13.29166666666667</c:v>
                </c:pt>
                <c:pt idx="15">
                  <c:v>13.375</c:v>
                </c:pt>
                <c:pt idx="16">
                  <c:v>13.66666666666667</c:v>
                </c:pt>
                <c:pt idx="17">
                  <c:v>13.70833333333333</c:v>
                </c:pt>
                <c:pt idx="18">
                  <c:v>14.16666666666667</c:v>
                </c:pt>
                <c:pt idx="19">
                  <c:v>14.875</c:v>
                </c:pt>
                <c:pt idx="20">
                  <c:v>15.58333333333333</c:v>
                </c:pt>
                <c:pt idx="21">
                  <c:v>14.83333333333333</c:v>
                </c:pt>
                <c:pt idx="22">
                  <c:v>15.04166666666667</c:v>
                </c:pt>
                <c:pt idx="23">
                  <c:v>15.625</c:v>
                </c:pt>
                <c:pt idx="24">
                  <c:v>15.95833333333333</c:v>
                </c:pt>
                <c:pt idx="25">
                  <c:v>16.0</c:v>
                </c:pt>
                <c:pt idx="26">
                  <c:v>15.33333333333333</c:v>
                </c:pt>
                <c:pt idx="27">
                  <c:v>15.45833333333333</c:v>
                </c:pt>
                <c:pt idx="28">
                  <c:v>15.20833333333333</c:v>
                </c:pt>
                <c:pt idx="29">
                  <c:v>14.91666666666667</c:v>
                </c:pt>
                <c:pt idx="30">
                  <c:v>14.83333333333333</c:v>
                </c:pt>
                <c:pt idx="31">
                  <c:v>15.41666666666667</c:v>
                </c:pt>
                <c:pt idx="32">
                  <c:v>15.125</c:v>
                </c:pt>
                <c:pt idx="33">
                  <c:v>14.70833333333333</c:v>
                </c:pt>
                <c:pt idx="34">
                  <c:v>13.95833333333333</c:v>
                </c:pt>
                <c:pt idx="35">
                  <c:v>14.29166666666667</c:v>
                </c:pt>
                <c:pt idx="36">
                  <c:v>13.83333333333333</c:v>
                </c:pt>
                <c:pt idx="37">
                  <c:v>13.45833333333333</c:v>
                </c:pt>
                <c:pt idx="38">
                  <c:v>12.875</c:v>
                </c:pt>
                <c:pt idx="39">
                  <c:v>12.25</c:v>
                </c:pt>
                <c:pt idx="40">
                  <c:v>12.04166666666667</c:v>
                </c:pt>
                <c:pt idx="41">
                  <c:v>12.66666666666667</c:v>
                </c:pt>
                <c:pt idx="42">
                  <c:v>12.625</c:v>
                </c:pt>
                <c:pt idx="43">
                  <c:v>12.75</c:v>
                </c:pt>
                <c:pt idx="44">
                  <c:v>12.79166666666667</c:v>
                </c:pt>
                <c:pt idx="45">
                  <c:v>13.41666666666667</c:v>
                </c:pt>
                <c:pt idx="46">
                  <c:v>13.5</c:v>
                </c:pt>
                <c:pt idx="47">
                  <c:v>13.5</c:v>
                </c:pt>
                <c:pt idx="48">
                  <c:v>12.66666666666667</c:v>
                </c:pt>
                <c:pt idx="49">
                  <c:v>12.375</c:v>
                </c:pt>
                <c:pt idx="50">
                  <c:v>12.79166666666667</c:v>
                </c:pt>
                <c:pt idx="51">
                  <c:v>12.91666666666667</c:v>
                </c:pt>
                <c:pt idx="52">
                  <c:v>12.79166666666667</c:v>
                </c:pt>
                <c:pt idx="53">
                  <c:v>12.5</c:v>
                </c:pt>
                <c:pt idx="54">
                  <c:v>12.45833333333333</c:v>
                </c:pt>
                <c:pt idx="55">
                  <c:v>12.66666666666667</c:v>
                </c:pt>
                <c:pt idx="56">
                  <c:v>13.5</c:v>
                </c:pt>
                <c:pt idx="57">
                  <c:v>13.95833333333333</c:v>
                </c:pt>
                <c:pt idx="58">
                  <c:v>14.33333333333333</c:v>
                </c:pt>
                <c:pt idx="59">
                  <c:v>13.5</c:v>
                </c:pt>
                <c:pt idx="60">
                  <c:v>13.29166666666667</c:v>
                </c:pt>
                <c:pt idx="61">
                  <c:v>13.08333333333333</c:v>
                </c:pt>
                <c:pt idx="62">
                  <c:v>13.125</c:v>
                </c:pt>
                <c:pt idx="63">
                  <c:v>13.5</c:v>
                </c:pt>
                <c:pt idx="64">
                  <c:v>13.79166666666667</c:v>
                </c:pt>
                <c:pt idx="65">
                  <c:v>13.08333333333333</c:v>
                </c:pt>
                <c:pt idx="66">
                  <c:v>13.29166666666667</c:v>
                </c:pt>
                <c:pt idx="67">
                  <c:v>12.41666666666667</c:v>
                </c:pt>
                <c:pt idx="68">
                  <c:v>12.45833333333333</c:v>
                </c:pt>
                <c:pt idx="69">
                  <c:v>11.83333333333333</c:v>
                </c:pt>
                <c:pt idx="70">
                  <c:v>11.75</c:v>
                </c:pt>
                <c:pt idx="71">
                  <c:v>10.79166666666667</c:v>
                </c:pt>
                <c:pt idx="72">
                  <c:v>10.58333333333333</c:v>
                </c:pt>
                <c:pt idx="73">
                  <c:v>10.66666666666667</c:v>
                </c:pt>
              </c:numCache>
            </c:numRef>
          </c:yVal>
        </c:ser>
        <c:axId val="230806056"/>
        <c:axId val="230808840"/>
      </c:scatterChart>
      <c:valAx>
        <c:axId val="230806056"/>
        <c:scaling>
          <c:orientation val="minMax"/>
        </c:scaling>
        <c:axPos val="b"/>
        <c:tickLblPos val="nextTo"/>
        <c:crossAx val="230808840"/>
        <c:crosses val="autoZero"/>
        <c:crossBetween val="midCat"/>
      </c:valAx>
      <c:valAx>
        <c:axId val="230808840"/>
        <c:scaling>
          <c:orientation val="minMax"/>
        </c:scaling>
        <c:axPos val="l"/>
        <c:majorGridlines/>
        <c:numFmt formatCode="General" sourceLinked="1"/>
        <c:tickLblPos val="nextTo"/>
        <c:crossAx val="23080605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areaChart>
        <c:grouping val="standard"/>
        <c:ser>
          <c:idx val="0"/>
          <c:order val="0"/>
          <c:val>
            <c:numRef>
              <c:f>Sheet3!$AB$78:$AZ$78</c:f>
              <c:numCache>
                <c:formatCode>0.0</c:formatCode>
                <c:ptCount val="25"/>
                <c:pt idx="0">
                  <c:v>12.45285087719298</c:v>
                </c:pt>
                <c:pt idx="1">
                  <c:v>13.1875</c:v>
                </c:pt>
                <c:pt idx="2">
                  <c:v>12.44627192982456</c:v>
                </c:pt>
                <c:pt idx="3">
                  <c:v>11.61622807017544</c:v>
                </c:pt>
                <c:pt idx="4">
                  <c:v>12.18640350877193</c:v>
                </c:pt>
                <c:pt idx="5">
                  <c:v>12.99013157894738</c:v>
                </c:pt>
                <c:pt idx="6">
                  <c:v>12.25657894736842</c:v>
                </c:pt>
                <c:pt idx="7">
                  <c:v>10.70614035087719</c:v>
                </c:pt>
                <c:pt idx="8">
                  <c:v>12.85800438596492</c:v>
                </c:pt>
                <c:pt idx="9">
                  <c:v>9.283442982456137</c:v>
                </c:pt>
                <c:pt idx="10">
                  <c:v>8.888157894736844</c:v>
                </c:pt>
                <c:pt idx="11">
                  <c:v>11.53837719298246</c:v>
                </c:pt>
                <c:pt idx="12">
                  <c:v>12.01370614035088</c:v>
                </c:pt>
                <c:pt idx="13">
                  <c:v>11.4797149122807</c:v>
                </c:pt>
                <c:pt idx="14">
                  <c:v>11.96655701754386</c:v>
                </c:pt>
                <c:pt idx="15">
                  <c:v>11.58826754385965</c:v>
                </c:pt>
                <c:pt idx="16">
                  <c:v>12.42708333333333</c:v>
                </c:pt>
                <c:pt idx="17">
                  <c:v>11.14857456140351</c:v>
                </c:pt>
                <c:pt idx="18">
                  <c:v>12.97532894736842</c:v>
                </c:pt>
                <c:pt idx="19">
                  <c:v>11.6047149122807</c:v>
                </c:pt>
                <c:pt idx="20">
                  <c:v>12.49780701754386</c:v>
                </c:pt>
                <c:pt idx="21">
                  <c:v>11.94298245614035</c:v>
                </c:pt>
                <c:pt idx="22">
                  <c:v>10.06962719298246</c:v>
                </c:pt>
                <c:pt idx="23">
                  <c:v>8.638706140350882</c:v>
                </c:pt>
                <c:pt idx="24">
                  <c:v>11.30646929824561</c:v>
                </c:pt>
              </c:numCache>
            </c:numRef>
          </c:val>
        </c:ser>
        <c:axId val="231091528"/>
        <c:axId val="231094616"/>
      </c:areaChart>
      <c:catAx>
        <c:axId val="231091528"/>
        <c:scaling>
          <c:orientation val="minMax"/>
        </c:scaling>
        <c:axPos val="b"/>
        <c:tickLblPos val="nextTo"/>
        <c:crossAx val="231094616"/>
        <c:crosses val="autoZero"/>
        <c:auto val="1"/>
        <c:lblAlgn val="ctr"/>
        <c:lblOffset val="100"/>
      </c:catAx>
      <c:valAx>
        <c:axId val="231094616"/>
        <c:scaling>
          <c:orientation val="minMax"/>
        </c:scaling>
        <c:axPos val="l"/>
        <c:majorGridlines/>
        <c:numFmt formatCode="0.0" sourceLinked="1"/>
        <c:tickLblPos val="nextTo"/>
        <c:crossAx val="2310915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>
        <c:manualLayout>
          <c:layoutTarget val="inner"/>
          <c:xMode val="edge"/>
          <c:yMode val="edge"/>
          <c:x val="0.0968451443569553"/>
          <c:y val="0.0293040293040293"/>
          <c:w val="0.89099343832021"/>
          <c:h val="0.921214992356725"/>
        </c:manualLayout>
      </c:layout>
      <c:scatterChart>
        <c:scatterStyle val="lineMarker"/>
        <c:ser>
          <c:idx val="1"/>
          <c:order val="0"/>
          <c:spPr>
            <a:ln w="28575">
              <a:noFill/>
            </a:ln>
          </c:spPr>
          <c:xVal>
            <c:multiLvlStrRef>
              <c:f>'Layer 2 and 3'!$A$1:$I$52</c:f>
              <c:multiLvlStrCache>
                <c:ptCount val="52"/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4</c:v>
                  </c:pt>
                  <c:pt idx="4">
                    <c:v>18</c:v>
                  </c:pt>
                  <c:pt idx="5">
                    <c:v>5</c:v>
                  </c:pt>
                  <c:pt idx="6">
                    <c:v>4</c:v>
                  </c:pt>
                  <c:pt idx="7">
                    <c:v>18</c:v>
                  </c:pt>
                  <c:pt idx="8">
                    <c:v>19</c:v>
                  </c:pt>
                  <c:pt idx="9">
                    <c:v>3</c:v>
                  </c:pt>
                  <c:pt idx="10">
                    <c:v>4</c:v>
                  </c:pt>
                  <c:pt idx="11">
                    <c:v>17</c:v>
                  </c:pt>
                  <c:pt idx="12">
                    <c:v>19</c:v>
                  </c:pt>
                  <c:pt idx="13">
                    <c:v>5</c:v>
                  </c:pt>
                  <c:pt idx="14">
                    <c:v>4</c:v>
                  </c:pt>
                  <c:pt idx="15">
                    <c:v>24</c:v>
                  </c:pt>
                  <c:pt idx="16">
                    <c:v>18</c:v>
                  </c:pt>
                  <c:pt idx="17">
                    <c:v>3</c:v>
                  </c:pt>
                  <c:pt idx="18">
                    <c:v>7</c:v>
                  </c:pt>
                  <c:pt idx="19">
                    <c:v>6</c:v>
                  </c:pt>
                  <c:pt idx="20">
                    <c:v>18</c:v>
                  </c:pt>
                  <c:pt idx="21">
                    <c:v>8</c:v>
                  </c:pt>
                  <c:pt idx="22">
                    <c:v>4</c:v>
                  </c:pt>
                  <c:pt idx="23">
                    <c:v>0</c:v>
                  </c:pt>
                  <c:pt idx="24">
                    <c:v>24</c:v>
                  </c:pt>
                  <c:pt idx="25">
                    <c:v>7</c:v>
                  </c:pt>
                  <c:pt idx="26">
                    <c:v>13</c:v>
                  </c:pt>
                  <c:pt idx="27">
                    <c:v>4</c:v>
                  </c:pt>
                  <c:pt idx="28">
                    <c:v>17</c:v>
                  </c:pt>
                  <c:pt idx="29">
                    <c:v>19</c:v>
                  </c:pt>
                  <c:pt idx="30">
                    <c:v>3</c:v>
                  </c:pt>
                  <c:pt idx="31">
                    <c:v>17</c:v>
                  </c:pt>
                  <c:pt idx="32">
                    <c:v>3</c:v>
                  </c:pt>
                  <c:pt idx="33">
                    <c:v>13</c:v>
                  </c:pt>
                  <c:pt idx="34">
                    <c:v>6</c:v>
                  </c:pt>
                  <c:pt idx="35">
                    <c:v>4</c:v>
                  </c:pt>
                  <c:pt idx="36">
                    <c:v>4</c:v>
                  </c:pt>
                  <c:pt idx="37">
                    <c:v>0</c:v>
                  </c:pt>
                  <c:pt idx="38">
                    <c:v>4</c:v>
                  </c:pt>
                  <c:pt idx="39">
                    <c:v>8</c:v>
                  </c:pt>
                  <c:pt idx="40">
                    <c:v>3</c:v>
                  </c:pt>
                  <c:pt idx="41">
                    <c:v>4</c:v>
                  </c:pt>
                  <c:pt idx="42">
                    <c:v>4</c:v>
                  </c:pt>
                  <c:pt idx="43">
                    <c:v>3</c:v>
                  </c:pt>
                  <c:pt idx="44">
                    <c:v>3</c:v>
                  </c:pt>
                  <c:pt idx="45">
                    <c:v>13</c:v>
                  </c:pt>
                  <c:pt idx="46">
                    <c:v>4</c:v>
                  </c:pt>
                  <c:pt idx="47">
                    <c:v>19</c:v>
                  </c:pt>
                  <c:pt idx="48">
                    <c:v>17</c:v>
                  </c:pt>
                  <c:pt idx="49">
                    <c:v>6</c:v>
                  </c:pt>
                  <c:pt idx="50">
                    <c:v>12</c:v>
                  </c:pt>
                  <c:pt idx="51">
                    <c:v>4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E</c:v>
                  </c:pt>
                  <c:pt idx="4">
                    <c:v>S</c:v>
                  </c:pt>
                  <c:pt idx="5">
                    <c:v>F</c:v>
                  </c:pt>
                  <c:pt idx="6">
                    <c:v>E</c:v>
                  </c:pt>
                  <c:pt idx="7">
                    <c:v>S</c:v>
                  </c:pt>
                  <c:pt idx="8">
                    <c:v>T</c:v>
                  </c:pt>
                  <c:pt idx="9">
                    <c:v>D</c:v>
                  </c:pt>
                  <c:pt idx="10">
                    <c:v>E</c:v>
                  </c:pt>
                  <c:pt idx="11">
                    <c:v>R</c:v>
                  </c:pt>
                  <c:pt idx="12">
                    <c:v>T</c:v>
                  </c:pt>
                  <c:pt idx="13">
                    <c:v>F</c:v>
                  </c:pt>
                  <c:pt idx="14">
                    <c:v>E</c:v>
                  </c:pt>
                  <c:pt idx="15">
                    <c:v>Y</c:v>
                  </c:pt>
                  <c:pt idx="16">
                    <c:v>S</c:v>
                  </c:pt>
                  <c:pt idx="17">
                    <c:v>D</c:v>
                  </c:pt>
                  <c:pt idx="18">
                    <c:v>H</c:v>
                  </c:pt>
                  <c:pt idx="19">
                    <c:v>G</c:v>
                  </c:pt>
                  <c:pt idx="20">
                    <c:v>S</c:v>
                  </c:pt>
                  <c:pt idx="21">
                    <c:v>I</c:v>
                  </c:pt>
                  <c:pt idx="22">
                    <c:v>E</c:v>
                  </c:pt>
                  <c:pt idx="23">
                    <c:v>A</c:v>
                  </c:pt>
                  <c:pt idx="24">
                    <c:v>Y</c:v>
                  </c:pt>
                  <c:pt idx="25">
                    <c:v>H</c:v>
                  </c:pt>
                  <c:pt idx="26">
                    <c:v>N</c:v>
                  </c:pt>
                  <c:pt idx="27">
                    <c:v>E</c:v>
                  </c:pt>
                  <c:pt idx="28">
                    <c:v>R</c:v>
                  </c:pt>
                  <c:pt idx="29">
                    <c:v>T</c:v>
                  </c:pt>
                  <c:pt idx="30">
                    <c:v>D</c:v>
                  </c:pt>
                  <c:pt idx="31">
                    <c:v>R</c:v>
                  </c:pt>
                  <c:pt idx="32">
                    <c:v>D</c:v>
                  </c:pt>
                  <c:pt idx="33">
                    <c:v>N</c:v>
                  </c:pt>
                  <c:pt idx="34">
                    <c:v>G</c:v>
                  </c:pt>
                  <c:pt idx="35">
                    <c:v>E</c:v>
                  </c:pt>
                  <c:pt idx="36">
                    <c:v>E</c:v>
                  </c:pt>
                  <c:pt idx="37">
                    <c:v>A</c:v>
                  </c:pt>
                  <c:pt idx="38">
                    <c:v>E</c:v>
                  </c:pt>
                  <c:pt idx="39">
                    <c:v>I</c:v>
                  </c:pt>
                  <c:pt idx="40">
                    <c:v>D</c:v>
                  </c:pt>
                  <c:pt idx="41">
                    <c:v>E</c:v>
                  </c:pt>
                  <c:pt idx="42">
                    <c:v>E</c:v>
                  </c:pt>
                  <c:pt idx="43">
                    <c:v>D</c:v>
                  </c:pt>
                  <c:pt idx="44">
                    <c:v>D</c:v>
                  </c:pt>
                  <c:pt idx="45">
                    <c:v>N</c:v>
                  </c:pt>
                  <c:pt idx="46">
                    <c:v>E</c:v>
                  </c:pt>
                  <c:pt idx="47">
                    <c:v>T</c:v>
                  </c:pt>
                  <c:pt idx="48">
                    <c:v>R</c:v>
                  </c:pt>
                  <c:pt idx="49">
                    <c:v>G</c:v>
                  </c:pt>
                  <c:pt idx="50">
                    <c:v>M</c:v>
                  </c:pt>
                  <c:pt idx="51">
                    <c:v>E</c:v>
                  </c:pt>
                </c:lvl>
                <c:lvl>
                  <c:pt idx="0">
                    <c:v>SLOWLY</c:v>
                  </c:pt>
                  <c:pt idx="1">
                    <c:v>DESPARATLY</c:v>
                  </c:pt>
                  <c:pt idx="2">
                    <c:v>SLOWLY</c:v>
                  </c:pt>
                  <c:pt idx="3">
                    <c:v>THE</c:v>
                  </c:pt>
                  <c:pt idx="4">
                    <c:v>REMAINS</c:v>
                  </c:pt>
                  <c:pt idx="5">
                    <c:v>OF</c:v>
                  </c:pt>
                  <c:pt idx="6">
                    <c:v>PASSAGE</c:v>
                  </c:pt>
                  <c:pt idx="7">
                    <c:v>DEBRIS</c:v>
                  </c:pt>
                  <c:pt idx="8">
                    <c:v>THAT</c:v>
                  </c:pt>
                  <c:pt idx="9">
                    <c:v>ENCUMBERED</c:v>
                  </c:pt>
                  <c:pt idx="10">
                    <c:v>THE</c:v>
                  </c:pt>
                  <c:pt idx="11">
                    <c:v>LOWER</c:v>
                  </c:pt>
                  <c:pt idx="12">
                    <c:v>PART</c:v>
                  </c:pt>
                  <c:pt idx="13">
                    <c:v>OF</c:v>
                  </c:pt>
                  <c:pt idx="14">
                    <c:v>THE</c:v>
                  </c:pt>
                  <c:pt idx="15">
                    <c:v>DOORWAY</c:v>
                  </c:pt>
                  <c:pt idx="16">
                    <c:v>WAS</c:v>
                  </c:pt>
                  <c:pt idx="17">
                    <c:v>REMOVED</c:v>
                  </c:pt>
                  <c:pt idx="18">
                    <c:v>WITH</c:v>
                  </c:pt>
                  <c:pt idx="19">
                    <c:v>TREMBLING</c:v>
                  </c:pt>
                  <c:pt idx="20">
                    <c:v>HANDS</c:v>
                  </c:pt>
                  <c:pt idx="21">
                    <c:v>I</c:v>
                  </c:pt>
                  <c:pt idx="22">
                    <c:v>MADE</c:v>
                  </c:pt>
                  <c:pt idx="23">
                    <c:v>A</c:v>
                  </c:pt>
                  <c:pt idx="24">
                    <c:v>TINY</c:v>
                  </c:pt>
                  <c:pt idx="25">
                    <c:v>BREACH</c:v>
                  </c:pt>
                  <c:pt idx="26">
                    <c:v>IN</c:v>
                  </c:pt>
                  <c:pt idx="27">
                    <c:v>THE</c:v>
                  </c:pt>
                  <c:pt idx="28">
                    <c:v>UPPER</c:v>
                  </c:pt>
                  <c:pt idx="29">
                    <c:v>LEFT</c:v>
                  </c:pt>
                  <c:pt idx="30">
                    <c:v>HAND</c:v>
                  </c:pt>
                  <c:pt idx="31">
                    <c:v>CORNER</c:v>
                  </c:pt>
                  <c:pt idx="32">
                    <c:v>AND</c:v>
                  </c:pt>
                  <c:pt idx="33">
                    <c:v>THEN</c:v>
                  </c:pt>
                  <c:pt idx="34">
                    <c:v>WIDENING</c:v>
                  </c:pt>
                  <c:pt idx="35">
                    <c:v>THE</c:v>
                  </c:pt>
                  <c:pt idx="36">
                    <c:v>HOLE</c:v>
                  </c:pt>
                  <c:pt idx="37">
                    <c:v>A</c:v>
                  </c:pt>
                  <c:pt idx="38">
                    <c:v>LITTLE</c:v>
                  </c:pt>
                  <c:pt idx="39">
                    <c:v>I</c:v>
                  </c:pt>
                  <c:pt idx="40">
                    <c:v>INSERTED</c:v>
                  </c:pt>
                  <c:pt idx="41">
                    <c:v>THE</c:v>
                  </c:pt>
                  <c:pt idx="42">
                    <c:v>CANDLE</c:v>
                  </c:pt>
                  <c:pt idx="43">
                    <c:v>AND</c:v>
                  </c:pt>
                  <c:pt idx="44">
                    <c:v>PEERED</c:v>
                  </c:pt>
                  <c:pt idx="45">
                    <c:v>IN</c:v>
                  </c:pt>
                  <c:pt idx="46">
                    <c:v>THE</c:v>
                  </c:pt>
                  <c:pt idx="47">
                    <c:v>HOT</c:v>
                  </c:pt>
                  <c:pt idx="48">
                    <c:v>AIR</c:v>
                  </c:pt>
                  <c:pt idx="49">
                    <c:v>ESCAPING</c:v>
                  </c:pt>
                  <c:pt idx="50">
                    <c:v>FROM</c:v>
                  </c:pt>
                  <c:pt idx="51">
                    <c:v>THE</c:v>
                  </c:pt>
                </c:lvl>
                <c:lvl>
                  <c:pt idx="0">
                    <c:v>89</c:v>
                  </c:pt>
                  <c:pt idx="1">
                    <c:v>90</c:v>
                  </c:pt>
                  <c:pt idx="2">
                    <c:v>91</c:v>
                  </c:pt>
                  <c:pt idx="3">
                    <c:v>92</c:v>
                  </c:pt>
                  <c:pt idx="4">
                    <c:v>93</c:v>
                  </c:pt>
                  <c:pt idx="5">
                    <c:v>94</c:v>
                  </c:pt>
                  <c:pt idx="6">
                    <c:v>95</c:v>
                  </c:pt>
                  <c:pt idx="7">
                    <c:v>96</c:v>
                  </c:pt>
                  <c:pt idx="8">
                    <c:v>97</c:v>
                  </c:pt>
                  <c:pt idx="9">
                    <c:v>98</c:v>
                  </c:pt>
                  <c:pt idx="10">
                    <c:v>99</c:v>
                  </c:pt>
                  <c:pt idx="11">
                    <c:v>100</c:v>
                  </c:pt>
                  <c:pt idx="12">
                    <c:v>101</c:v>
                  </c:pt>
                  <c:pt idx="13">
                    <c:v>102</c:v>
                  </c:pt>
                  <c:pt idx="14">
                    <c:v>103</c:v>
                  </c:pt>
                  <c:pt idx="15">
                    <c:v>104</c:v>
                  </c:pt>
                  <c:pt idx="16">
                    <c:v>105</c:v>
                  </c:pt>
                  <c:pt idx="17">
                    <c:v>106</c:v>
                  </c:pt>
                  <c:pt idx="18">
                    <c:v>107</c:v>
                  </c:pt>
                  <c:pt idx="19">
                    <c:v>108</c:v>
                  </c:pt>
                  <c:pt idx="20">
                    <c:v>109</c:v>
                  </c:pt>
                  <c:pt idx="21">
                    <c:v>110</c:v>
                  </c:pt>
                  <c:pt idx="22">
                    <c:v>111</c:v>
                  </c:pt>
                  <c:pt idx="23">
                    <c:v>112</c:v>
                  </c:pt>
                  <c:pt idx="24">
                    <c:v>113</c:v>
                  </c:pt>
                  <c:pt idx="25">
                    <c:v>114</c:v>
                  </c:pt>
                  <c:pt idx="26">
                    <c:v>115</c:v>
                  </c:pt>
                  <c:pt idx="27">
                    <c:v>116</c:v>
                  </c:pt>
                  <c:pt idx="28">
                    <c:v>117</c:v>
                  </c:pt>
                  <c:pt idx="29">
                    <c:v>118</c:v>
                  </c:pt>
                  <c:pt idx="30">
                    <c:v>119</c:v>
                  </c:pt>
                  <c:pt idx="31">
                    <c:v>120</c:v>
                  </c:pt>
                  <c:pt idx="32">
                    <c:v>121</c:v>
                  </c:pt>
                  <c:pt idx="33">
                    <c:v>122</c:v>
                  </c:pt>
                  <c:pt idx="34">
                    <c:v>123</c:v>
                  </c:pt>
                  <c:pt idx="35">
                    <c:v>124</c:v>
                  </c:pt>
                  <c:pt idx="36">
                    <c:v>125</c:v>
                  </c:pt>
                  <c:pt idx="37">
                    <c:v>126</c:v>
                  </c:pt>
                  <c:pt idx="38">
                    <c:v>127</c:v>
                  </c:pt>
                  <c:pt idx="39">
                    <c:v>128</c:v>
                  </c:pt>
                  <c:pt idx="40">
                    <c:v>129</c:v>
                  </c:pt>
                  <c:pt idx="41">
                    <c:v>130</c:v>
                  </c:pt>
                  <c:pt idx="42">
                    <c:v>131</c:v>
                  </c:pt>
                  <c:pt idx="43">
                    <c:v>132</c:v>
                  </c:pt>
                  <c:pt idx="44">
                    <c:v>133</c:v>
                  </c:pt>
                  <c:pt idx="45">
                    <c:v>134</c:v>
                  </c:pt>
                  <c:pt idx="46">
                    <c:v>135</c:v>
                  </c:pt>
                  <c:pt idx="47">
                    <c:v>136</c:v>
                  </c:pt>
                  <c:pt idx="48">
                    <c:v>137</c:v>
                  </c:pt>
                  <c:pt idx="49">
                    <c:v>138</c:v>
                  </c:pt>
                  <c:pt idx="50">
                    <c:v>139</c:v>
                  </c:pt>
                  <c:pt idx="51">
                    <c:v>140</c:v>
                  </c:pt>
                </c:lvl>
                <c:lvl>
                  <c:pt idx="0">
                    <c:v>19</c:v>
                  </c:pt>
                  <c:pt idx="1">
                    <c:v>18</c:v>
                  </c:pt>
                  <c:pt idx="2">
                    <c:v>24</c:v>
                  </c:pt>
                  <c:pt idx="3">
                    <c:v>4</c:v>
                  </c:pt>
                  <c:pt idx="4">
                    <c:v>18</c:v>
                  </c:pt>
                  <c:pt idx="5">
                    <c:v>19</c:v>
                  </c:pt>
                  <c:pt idx="6">
                    <c:v>4</c:v>
                  </c:pt>
                  <c:pt idx="7">
                    <c:v>24</c:v>
                  </c:pt>
                  <c:pt idx="8">
                    <c:v>3</c:v>
                  </c:pt>
                  <c:pt idx="9">
                    <c:v>4</c:v>
                  </c:pt>
                  <c:pt idx="10">
                    <c:v>18</c:v>
                  </c:pt>
                  <c:pt idx="11">
                    <c:v>2</c:v>
                  </c:pt>
                  <c:pt idx="12">
                    <c:v>3</c:v>
                  </c:pt>
                  <c:pt idx="13">
                    <c:v>23</c:v>
                  </c:pt>
                  <c:pt idx="14">
                    <c:v>4</c:v>
                  </c:pt>
                  <c:pt idx="15">
                    <c:v>13</c:v>
                  </c:pt>
                  <c:pt idx="16">
                    <c:v>18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14</c:v>
                  </c:pt>
                  <c:pt idx="22">
                    <c:v>13</c:v>
                  </c:pt>
                  <c:pt idx="23">
                    <c:v>13</c:v>
                  </c:pt>
                  <c:pt idx="24">
                    <c:v>13</c:v>
                  </c:pt>
                  <c:pt idx="25">
                    <c:v>23</c:v>
                  </c:pt>
                  <c:pt idx="26">
                    <c:v>18</c:v>
                  </c:pt>
                  <c:pt idx="27">
                    <c:v>24</c:v>
                  </c:pt>
                  <c:pt idx="28">
                    <c:v>22</c:v>
                  </c:pt>
                  <c:pt idx="29">
                    <c:v>19</c:v>
                  </c:pt>
                  <c:pt idx="30">
                    <c:v>18</c:v>
                  </c:pt>
                  <c:pt idx="31">
                    <c:v>24</c:v>
                  </c:pt>
                  <c:pt idx="32">
                    <c:v>3</c:v>
                  </c:pt>
                  <c:pt idx="33">
                    <c:v>18</c:v>
                  </c:pt>
                  <c:pt idx="34">
                    <c:v>3</c:v>
                  </c:pt>
                  <c:pt idx="35">
                    <c:v>19</c:v>
                  </c:pt>
                  <c:pt idx="36">
                    <c:v>4</c:v>
                  </c:pt>
                  <c:pt idx="37">
                    <c:v>4</c:v>
                  </c:pt>
                  <c:pt idx="38">
                    <c:v>23</c:v>
                  </c:pt>
                  <c:pt idx="39">
                    <c:v>14</c:v>
                  </c:pt>
                  <c:pt idx="40">
                    <c:v>18</c:v>
                  </c:pt>
                  <c:pt idx="41">
                    <c:v>4</c:v>
                  </c:pt>
                  <c:pt idx="42">
                    <c:v>19</c:v>
                  </c:pt>
                  <c:pt idx="43">
                    <c:v>13</c:v>
                  </c:pt>
                  <c:pt idx="44">
                    <c:v>24</c:v>
                  </c:pt>
                  <c:pt idx="45">
                    <c:v>22</c:v>
                  </c:pt>
                  <c:pt idx="46">
                    <c:v>18</c:v>
                  </c:pt>
                  <c:pt idx="47">
                    <c:v>18</c:v>
                  </c:pt>
                  <c:pt idx="48">
                    <c:v>18</c:v>
                  </c:pt>
                  <c:pt idx="49">
                    <c:v>19</c:v>
                  </c:pt>
                  <c:pt idx="50">
                    <c:v>4</c:v>
                  </c:pt>
                  <c:pt idx="51">
                    <c:v>23</c:v>
                  </c:pt>
                </c:lvl>
                <c:lvl>
                  <c:pt idx="0">
                    <c:v>T</c:v>
                  </c:pt>
                  <c:pt idx="1">
                    <c:v>S</c:v>
                  </c:pt>
                  <c:pt idx="2">
                    <c:v>Y</c:v>
                  </c:pt>
                  <c:pt idx="3">
                    <c:v>E</c:v>
                  </c:pt>
                  <c:pt idx="4">
                    <c:v>S</c:v>
                  </c:pt>
                  <c:pt idx="5">
                    <c:v>T</c:v>
                  </c:pt>
                  <c:pt idx="6">
                    <c:v>E</c:v>
                  </c:pt>
                  <c:pt idx="7">
                    <c:v>Y</c:v>
                  </c:pt>
                  <c:pt idx="8">
                    <c:v>D</c:v>
                  </c:pt>
                  <c:pt idx="9">
                    <c:v>E</c:v>
                  </c:pt>
                  <c:pt idx="10">
                    <c:v>S</c:v>
                  </c:pt>
                  <c:pt idx="11">
                    <c:v>C</c:v>
                  </c:pt>
                  <c:pt idx="12">
                    <c:v>D</c:v>
                  </c:pt>
                  <c:pt idx="13">
                    <c:v>X</c:v>
                  </c:pt>
                  <c:pt idx="14">
                    <c:v>E</c:v>
                  </c:pt>
                  <c:pt idx="15">
                    <c:v>N</c:v>
                  </c:pt>
                  <c:pt idx="16">
                    <c:v>S</c:v>
                  </c:pt>
                  <c:pt idx="17">
                    <c:v>D</c:v>
                  </c:pt>
                  <c:pt idx="18">
                    <c:v>D</c:v>
                  </c:pt>
                  <c:pt idx="19">
                    <c:v>D</c:v>
                  </c:pt>
                  <c:pt idx="20">
                    <c:v>D</c:v>
                  </c:pt>
                  <c:pt idx="21">
                    <c:v>O</c:v>
                  </c:pt>
                  <c:pt idx="22">
                    <c:v>N</c:v>
                  </c:pt>
                  <c:pt idx="23">
                    <c:v>N</c:v>
                  </c:pt>
                  <c:pt idx="24">
                    <c:v>N</c:v>
                  </c:pt>
                  <c:pt idx="25">
                    <c:v>X</c:v>
                  </c:pt>
                  <c:pt idx="26">
                    <c:v>S</c:v>
                  </c:pt>
                  <c:pt idx="27">
                    <c:v>Y</c:v>
                  </c:pt>
                  <c:pt idx="28">
                    <c:v>W</c:v>
                  </c:pt>
                  <c:pt idx="29">
                    <c:v>T</c:v>
                  </c:pt>
                  <c:pt idx="30">
                    <c:v>S</c:v>
                  </c:pt>
                  <c:pt idx="31">
                    <c:v>Y</c:v>
                  </c:pt>
                  <c:pt idx="32">
                    <c:v>D</c:v>
                  </c:pt>
                  <c:pt idx="33">
                    <c:v>S</c:v>
                  </c:pt>
                  <c:pt idx="34">
                    <c:v>D</c:v>
                  </c:pt>
                  <c:pt idx="35">
                    <c:v>T</c:v>
                  </c:pt>
                  <c:pt idx="36">
                    <c:v>E</c:v>
                  </c:pt>
                  <c:pt idx="37">
                    <c:v>E</c:v>
                  </c:pt>
                  <c:pt idx="38">
                    <c:v>X</c:v>
                  </c:pt>
                  <c:pt idx="39">
                    <c:v>O</c:v>
                  </c:pt>
                  <c:pt idx="40">
                    <c:v>S</c:v>
                  </c:pt>
                  <c:pt idx="41">
                    <c:v>E</c:v>
                  </c:pt>
                  <c:pt idx="42">
                    <c:v>T</c:v>
                  </c:pt>
                  <c:pt idx="43">
                    <c:v>N</c:v>
                  </c:pt>
                  <c:pt idx="44">
                    <c:v>Y</c:v>
                  </c:pt>
                  <c:pt idx="45">
                    <c:v>W</c:v>
                  </c:pt>
                  <c:pt idx="46">
                    <c:v>S</c:v>
                  </c:pt>
                  <c:pt idx="47">
                    <c:v>S</c:v>
                  </c:pt>
                  <c:pt idx="48">
                    <c:v>S</c:v>
                  </c:pt>
                  <c:pt idx="49">
                    <c:v>T</c:v>
                  </c:pt>
                  <c:pt idx="50">
                    <c:v>E</c:v>
                  </c:pt>
                  <c:pt idx="51">
                    <c:v>X</c:v>
                  </c:pt>
                </c:lvl>
                <c:lvl>
                  <c:pt idx="0">
                    <c:v>IT</c:v>
                  </c:pt>
                  <c:pt idx="1">
                    <c:v>WAS</c:v>
                  </c:pt>
                  <c:pt idx="2">
                    <c:v>TOTALLY</c:v>
                  </c:pt>
                  <c:pt idx="3">
                    <c:v>INVISIBLE</c:v>
                  </c:pt>
                  <c:pt idx="4">
                    <c:v>HOWS</c:v>
                  </c:pt>
                  <c:pt idx="5">
                    <c:v>THAT</c:v>
                  </c:pt>
                  <c:pt idx="6">
                    <c:v>POSSIBLE</c:v>
                  </c:pt>
                  <c:pt idx="7">
                    <c:v>THEY</c:v>
                  </c:pt>
                  <c:pt idx="8">
                    <c:v>USED</c:v>
                  </c:pt>
                  <c:pt idx="9">
                    <c:v>THE</c:v>
                  </c:pt>
                  <c:pt idx="10">
                    <c:v>EARTHS</c:v>
                  </c:pt>
                  <c:pt idx="11">
                    <c:v>MAGNETIC</c:v>
                  </c:pt>
                  <c:pt idx="12">
                    <c:v>FIELD</c:v>
                  </c:pt>
                  <c:pt idx="13">
                    <c:v>X</c:v>
                  </c:pt>
                  <c:pt idx="14">
                    <c:v>THE</c:v>
                  </c:pt>
                  <c:pt idx="15">
                    <c:v>INFORMATION</c:v>
                  </c:pt>
                  <c:pt idx="16">
                    <c:v>WAS</c:v>
                  </c:pt>
                  <c:pt idx="17">
                    <c:v>GATHERED</c:v>
                  </c:pt>
                  <c:pt idx="18">
                    <c:v>AND</c:v>
                  </c:pt>
                  <c:pt idx="19">
                    <c:v>TRANSMITTED</c:v>
                  </c:pt>
                  <c:pt idx="20">
                    <c:v>UNDERGRUUND</c:v>
                  </c:pt>
                  <c:pt idx="21">
                    <c:v>TO</c:v>
                  </c:pt>
                  <c:pt idx="22">
                    <c:v>AN</c:v>
                  </c:pt>
                  <c:pt idx="23">
                    <c:v>UNKNOWN</c:v>
                  </c:pt>
                  <c:pt idx="24">
                    <c:v>LOCATION</c:v>
                  </c:pt>
                  <c:pt idx="25">
                    <c:v>X</c:v>
                  </c:pt>
                  <c:pt idx="26">
                    <c:v>DOES</c:v>
                  </c:pt>
                  <c:pt idx="27">
                    <c:v>LANGLEY</c:v>
                  </c:pt>
                  <c:pt idx="28">
                    <c:v>KNOW</c:v>
                  </c:pt>
                  <c:pt idx="29">
                    <c:v>ABOUT</c:v>
                  </c:pt>
                  <c:pt idx="30">
                    <c:v>THIS</c:v>
                  </c:pt>
                  <c:pt idx="31">
                    <c:v>THEY</c:v>
                  </c:pt>
                  <c:pt idx="32">
                    <c:v>SHOULD</c:v>
                  </c:pt>
                  <c:pt idx="33">
                    <c:v>ITS</c:v>
                  </c:pt>
                  <c:pt idx="34">
                    <c:v>BURIED</c:v>
                  </c:pt>
                  <c:pt idx="35">
                    <c:v>OUT</c:v>
                  </c:pt>
                  <c:pt idx="36">
                    <c:v>THERE</c:v>
                  </c:pt>
                  <c:pt idx="37">
                    <c:v>SOMEWHERE</c:v>
                  </c:pt>
                  <c:pt idx="38">
                    <c:v>X</c:v>
                  </c:pt>
                  <c:pt idx="39">
                    <c:v>WHO</c:v>
                  </c:pt>
                  <c:pt idx="40">
                    <c:v>KNOWS</c:v>
                  </c:pt>
                  <c:pt idx="41">
                    <c:v>THE</c:v>
                  </c:pt>
                  <c:pt idx="42">
                    <c:v>EXACT</c:v>
                  </c:pt>
                  <c:pt idx="43">
                    <c:v>LOCATION</c:v>
                  </c:pt>
                  <c:pt idx="44">
                    <c:v>ONLY</c:v>
                  </c:pt>
                  <c:pt idx="45">
                    <c:v>WW</c:v>
                  </c:pt>
                  <c:pt idx="46">
                    <c:v>THIS</c:v>
                  </c:pt>
                  <c:pt idx="47">
                    <c:v>WAS</c:v>
                  </c:pt>
                  <c:pt idx="48">
                    <c:v>HIS</c:v>
                  </c:pt>
                  <c:pt idx="49">
                    <c:v>LAST</c:v>
                  </c:pt>
                  <c:pt idx="50">
                    <c:v>MESSAGE</c:v>
                  </c:pt>
                  <c:pt idx="51">
                    <c:v>X</c:v>
                  </c:pt>
                </c:lvl>
                <c:lvl>
                  <c:pt idx="0">
                    <c:v>14</c:v>
                  </c:pt>
                  <c:pt idx="1">
                    <c:v>15</c:v>
                  </c:pt>
                  <c:pt idx="2">
                    <c:v>16</c:v>
                  </c:pt>
                  <c:pt idx="3">
                    <c:v>17</c:v>
                  </c:pt>
                  <c:pt idx="4">
                    <c:v>18</c:v>
                  </c:pt>
                  <c:pt idx="5">
                    <c:v>19</c:v>
                  </c:pt>
                  <c:pt idx="6">
                    <c:v>20</c:v>
                  </c:pt>
                  <c:pt idx="7">
                    <c:v>21</c:v>
                  </c:pt>
                  <c:pt idx="8">
                    <c:v>22</c:v>
                  </c:pt>
                  <c:pt idx="9">
                    <c:v>23</c:v>
                  </c:pt>
                  <c:pt idx="10">
                    <c:v>24</c:v>
                  </c:pt>
                  <c:pt idx="11">
                    <c:v>25</c:v>
                  </c:pt>
                  <c:pt idx="12">
                    <c:v>26</c:v>
                  </c:pt>
                  <c:pt idx="13">
                    <c:v>27</c:v>
                  </c:pt>
                  <c:pt idx="14">
                    <c:v>28</c:v>
                  </c:pt>
                  <c:pt idx="15">
                    <c:v>29</c:v>
                  </c:pt>
                  <c:pt idx="16">
                    <c:v>30</c:v>
                  </c:pt>
                  <c:pt idx="17">
                    <c:v>31</c:v>
                  </c:pt>
                  <c:pt idx="18">
                    <c:v>32</c:v>
                  </c:pt>
                  <c:pt idx="19">
                    <c:v>33</c:v>
                  </c:pt>
                  <c:pt idx="20">
                    <c:v>34</c:v>
                  </c:pt>
                  <c:pt idx="21">
                    <c:v>35</c:v>
                  </c:pt>
                  <c:pt idx="22">
                    <c:v>36</c:v>
                  </c:pt>
                  <c:pt idx="23">
                    <c:v>37</c:v>
                  </c:pt>
                  <c:pt idx="24">
                    <c:v>38</c:v>
                  </c:pt>
                  <c:pt idx="25">
                    <c:v>39</c:v>
                  </c:pt>
                  <c:pt idx="26">
                    <c:v>40</c:v>
                  </c:pt>
                  <c:pt idx="27">
                    <c:v>41</c:v>
                  </c:pt>
                  <c:pt idx="28">
                    <c:v>42</c:v>
                  </c:pt>
                  <c:pt idx="29">
                    <c:v>43</c:v>
                  </c:pt>
                  <c:pt idx="30">
                    <c:v>44</c:v>
                  </c:pt>
                  <c:pt idx="31">
                    <c:v>45</c:v>
                  </c:pt>
                  <c:pt idx="32">
                    <c:v>46</c:v>
                  </c:pt>
                  <c:pt idx="33">
                    <c:v>47</c:v>
                  </c:pt>
                  <c:pt idx="34">
                    <c:v>48</c:v>
                  </c:pt>
                  <c:pt idx="35">
                    <c:v>49</c:v>
                  </c:pt>
                  <c:pt idx="36">
                    <c:v>50</c:v>
                  </c:pt>
                  <c:pt idx="37">
                    <c:v>51</c:v>
                  </c:pt>
                  <c:pt idx="38">
                    <c:v>52</c:v>
                  </c:pt>
                  <c:pt idx="39">
                    <c:v>53</c:v>
                  </c:pt>
                  <c:pt idx="40">
                    <c:v>54</c:v>
                  </c:pt>
                  <c:pt idx="41">
                    <c:v>55</c:v>
                  </c:pt>
                  <c:pt idx="42">
                    <c:v>56</c:v>
                  </c:pt>
                  <c:pt idx="43">
                    <c:v>57</c:v>
                  </c:pt>
                  <c:pt idx="44">
                    <c:v>58</c:v>
                  </c:pt>
                  <c:pt idx="45">
                    <c:v>59</c:v>
                  </c:pt>
                  <c:pt idx="46">
                    <c:v>60</c:v>
                  </c:pt>
                  <c:pt idx="47">
                    <c:v>61</c:v>
                  </c:pt>
                  <c:pt idx="48">
                    <c:v>62</c:v>
                  </c:pt>
                  <c:pt idx="49">
                    <c:v>63</c:v>
                  </c:pt>
                  <c:pt idx="50">
                    <c:v>64</c:v>
                  </c:pt>
                  <c:pt idx="51">
                    <c:v>65</c:v>
                  </c:pt>
                </c:lvl>
              </c:multiLvlStrCache>
            </c:multiLvlStrRef>
          </c:xVal>
          <c:yVal>
            <c:numRef>
              <c:f>'Layer 2 and 3'!$K$2:$K$53</c:f>
              <c:numCache>
                <c:formatCode>General</c:formatCode>
                <c:ptCount val="52"/>
                <c:pt idx="0">
                  <c:v>14.25</c:v>
                </c:pt>
                <c:pt idx="1">
                  <c:v>14.0</c:v>
                </c:pt>
                <c:pt idx="2">
                  <c:v>13.5</c:v>
                </c:pt>
                <c:pt idx="3">
                  <c:v>12.79166666666667</c:v>
                </c:pt>
                <c:pt idx="4">
                  <c:v>12.54166666666667</c:v>
                </c:pt>
                <c:pt idx="5">
                  <c:v>12.66666666666667</c:v>
                </c:pt>
                <c:pt idx="6">
                  <c:v>12.16666666666667</c:v>
                </c:pt>
                <c:pt idx="7">
                  <c:v>12.70833333333333</c:v>
                </c:pt>
                <c:pt idx="8">
                  <c:v>12.66666666666667</c:v>
                </c:pt>
                <c:pt idx="9">
                  <c:v>12.0</c:v>
                </c:pt>
                <c:pt idx="10">
                  <c:v>11.91666666666667</c:v>
                </c:pt>
                <c:pt idx="11">
                  <c:v>11.375</c:v>
                </c:pt>
                <c:pt idx="12">
                  <c:v>11.54166666666667</c:v>
                </c:pt>
                <c:pt idx="13">
                  <c:v>10.95833333333333</c:v>
                </c:pt>
                <c:pt idx="14">
                  <c:v>11.04166666666667</c:v>
                </c:pt>
                <c:pt idx="15">
                  <c:v>10.75</c:v>
                </c:pt>
                <c:pt idx="16">
                  <c:v>11.20833333333333</c:v>
                </c:pt>
                <c:pt idx="17">
                  <c:v>11.66666666666667</c:v>
                </c:pt>
                <c:pt idx="18">
                  <c:v>11.75</c:v>
                </c:pt>
                <c:pt idx="19">
                  <c:v>12.29166666666667</c:v>
                </c:pt>
                <c:pt idx="20">
                  <c:v>12.58333333333333</c:v>
                </c:pt>
                <c:pt idx="21">
                  <c:v>11.75</c:v>
                </c:pt>
                <c:pt idx="22">
                  <c:v>11.20833333333333</c:v>
                </c:pt>
                <c:pt idx="23">
                  <c:v>11.41666666666667</c:v>
                </c:pt>
                <c:pt idx="24">
                  <c:v>11.33333333333333</c:v>
                </c:pt>
                <c:pt idx="25">
                  <c:v>11.25</c:v>
                </c:pt>
                <c:pt idx="26">
                  <c:v>12.125</c:v>
                </c:pt>
                <c:pt idx="27">
                  <c:v>12.58333333333333</c:v>
                </c:pt>
                <c:pt idx="28">
                  <c:v>12.54166666666667</c:v>
                </c:pt>
                <c:pt idx="29">
                  <c:v>12.625</c:v>
                </c:pt>
                <c:pt idx="30">
                  <c:v>13.04166666666667</c:v>
                </c:pt>
                <c:pt idx="31">
                  <c:v>13.08333333333333</c:v>
                </c:pt>
                <c:pt idx="32">
                  <c:v>12.54166666666667</c:v>
                </c:pt>
                <c:pt idx="33">
                  <c:v>12.33333333333333</c:v>
                </c:pt>
                <c:pt idx="34">
                  <c:v>12.5</c:v>
                </c:pt>
                <c:pt idx="35">
                  <c:v>12.79166666666667</c:v>
                </c:pt>
                <c:pt idx="36">
                  <c:v>12.54166666666667</c:v>
                </c:pt>
                <c:pt idx="37">
                  <c:v>13.125</c:v>
                </c:pt>
                <c:pt idx="38">
                  <c:v>13.91666666666667</c:v>
                </c:pt>
                <c:pt idx="39">
                  <c:v>14.33333333333333</c:v>
                </c:pt>
                <c:pt idx="40">
                  <c:v>13.83333333333333</c:v>
                </c:pt>
                <c:pt idx="41">
                  <c:v>12.95833333333333</c:v>
                </c:pt>
                <c:pt idx="42">
                  <c:v>13.5</c:v>
                </c:pt>
                <c:pt idx="43">
                  <c:v>12.75</c:v>
                </c:pt>
                <c:pt idx="44">
                  <c:v>13.0</c:v>
                </c:pt>
                <c:pt idx="45">
                  <c:v>13.66666666666667</c:v>
                </c:pt>
                <c:pt idx="46">
                  <c:v>13.875</c:v>
                </c:pt>
                <c:pt idx="47">
                  <c:v>13.16666666666667</c:v>
                </c:pt>
                <c:pt idx="48">
                  <c:v>13.25</c:v>
                </c:pt>
                <c:pt idx="49">
                  <c:v>12.91666666666667</c:v>
                </c:pt>
                <c:pt idx="50">
                  <c:v>12.83333333333333</c:v>
                </c:pt>
                <c:pt idx="51">
                  <c:v>12.33333333333333</c:v>
                </c:pt>
              </c:numCache>
            </c:numRef>
          </c:yVal>
        </c:ser>
        <c:axId val="231236152"/>
        <c:axId val="231239256"/>
      </c:scatterChart>
      <c:valAx>
        <c:axId val="231236152"/>
        <c:scaling>
          <c:orientation val="minMax"/>
        </c:scaling>
        <c:axPos val="b"/>
        <c:tickLblPos val="nextTo"/>
        <c:crossAx val="231239256"/>
        <c:crosses val="autoZero"/>
        <c:crossBetween val="midCat"/>
      </c:valAx>
      <c:valAx>
        <c:axId val="231239256"/>
        <c:scaling>
          <c:orientation val="minMax"/>
        </c:scaling>
        <c:axPos val="l"/>
        <c:majorGridlines/>
        <c:numFmt formatCode="General" sourceLinked="1"/>
        <c:tickLblPos val="nextTo"/>
        <c:crossAx val="2312361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787400</xdr:colOff>
      <xdr:row>6</xdr:row>
      <xdr:rowOff>50800</xdr:rowOff>
    </xdr:from>
    <xdr:to>
      <xdr:col>25</xdr:col>
      <xdr:colOff>596900</xdr:colOff>
      <xdr:row>48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61</xdr:row>
      <xdr:rowOff>114300</xdr:rowOff>
    </xdr:from>
    <xdr:to>
      <xdr:col>27</xdr:col>
      <xdr:colOff>431800</xdr:colOff>
      <xdr:row>122</xdr:row>
      <xdr:rowOff>88900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889000</xdr:colOff>
      <xdr:row>65</xdr:row>
      <xdr:rowOff>114300</xdr:rowOff>
    </xdr:from>
    <xdr:to>
      <xdr:col>34</xdr:col>
      <xdr:colOff>622300</xdr:colOff>
      <xdr:row>121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122</xdr:row>
      <xdr:rowOff>127000</xdr:rowOff>
    </xdr:from>
    <xdr:to>
      <xdr:col>34</xdr:col>
      <xdr:colOff>292100</xdr:colOff>
      <xdr:row>177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152400</xdr:colOff>
      <xdr:row>17</xdr:row>
      <xdr:rowOff>114300</xdr:rowOff>
    </xdr:from>
    <xdr:to>
      <xdr:col>49</xdr:col>
      <xdr:colOff>584200</xdr:colOff>
      <xdr:row>88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63500</xdr:colOff>
      <xdr:row>18</xdr:row>
      <xdr:rowOff>127000</xdr:rowOff>
    </xdr:from>
    <xdr:to>
      <xdr:col>50</xdr:col>
      <xdr:colOff>165100</xdr:colOff>
      <xdr:row>63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127000</xdr:colOff>
      <xdr:row>8</xdr:row>
      <xdr:rowOff>114300</xdr:rowOff>
    </xdr:from>
    <xdr:to>
      <xdr:col>36</xdr:col>
      <xdr:colOff>889000</xdr:colOff>
      <xdr:row>50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75"/>
  <sheetViews>
    <sheetView workbookViewId="0">
      <selection activeCell="R55" sqref="R55"/>
    </sheetView>
  </sheetViews>
  <sheetFormatPr baseColWidth="10" defaultRowHeight="13"/>
  <cols>
    <col min="1" max="1" width="3" customWidth="1"/>
    <col min="2" max="2" width="12.5703125" customWidth="1"/>
    <col min="3" max="3" width="2.5703125" customWidth="1"/>
    <col min="4" max="4" width="3" customWidth="1"/>
    <col min="6" max="6" width="4" customWidth="1"/>
    <col min="7" max="7" width="11.28515625" customWidth="1"/>
    <col min="8" max="8" width="2.28515625" customWidth="1"/>
    <col min="9" max="9" width="3" customWidth="1"/>
  </cols>
  <sheetData>
    <row r="1" spans="1:11">
      <c r="A1">
        <v>14</v>
      </c>
      <c r="B1" t="s">
        <v>44</v>
      </c>
      <c r="C1" t="s">
        <v>124</v>
      </c>
      <c r="D1">
        <v>19</v>
      </c>
      <c r="F1">
        <v>89</v>
      </c>
      <c r="G1" t="s">
        <v>251</v>
      </c>
      <c r="H1" t="s">
        <v>105</v>
      </c>
      <c r="I1">
        <v>24</v>
      </c>
      <c r="J1">
        <f>MOD(D1+I1,26)</f>
        <v>17</v>
      </c>
      <c r="K1">
        <f>AVERAGE(J1:J24)</f>
        <v>14.25</v>
      </c>
    </row>
    <row r="2" spans="1:11">
      <c r="A2">
        <v>15</v>
      </c>
      <c r="B2" t="s">
        <v>45</v>
      </c>
      <c r="C2" t="s">
        <v>127</v>
      </c>
      <c r="D2">
        <v>18</v>
      </c>
      <c r="F2">
        <v>90</v>
      </c>
      <c r="G2" t="s">
        <v>252</v>
      </c>
      <c r="H2" t="s">
        <v>105</v>
      </c>
      <c r="I2">
        <v>24</v>
      </c>
      <c r="J2">
        <f t="shared" ref="J2:J65" si="0">MOD(D2+I2,26)</f>
        <v>16</v>
      </c>
      <c r="K2">
        <f t="shared" ref="K2:K52" si="1">AVERAGE(J2:J25)</f>
        <v>14</v>
      </c>
    </row>
    <row r="3" spans="1:11">
      <c r="A3">
        <v>16</v>
      </c>
      <c r="B3" t="s">
        <v>46</v>
      </c>
      <c r="C3" t="s">
        <v>105</v>
      </c>
      <c r="D3">
        <v>24</v>
      </c>
      <c r="F3">
        <v>91</v>
      </c>
      <c r="G3" t="s">
        <v>251</v>
      </c>
      <c r="H3" t="s">
        <v>105</v>
      </c>
      <c r="I3">
        <v>24</v>
      </c>
      <c r="J3">
        <f t="shared" si="0"/>
        <v>22</v>
      </c>
      <c r="K3">
        <f t="shared" si="1"/>
        <v>13.5</v>
      </c>
    </row>
    <row r="4" spans="1:11">
      <c r="A4">
        <v>17</v>
      </c>
      <c r="B4" t="s">
        <v>47</v>
      </c>
      <c r="C4" t="s">
        <v>123</v>
      </c>
      <c r="D4">
        <v>4</v>
      </c>
      <c r="F4">
        <v>92</v>
      </c>
      <c r="G4" t="s">
        <v>78</v>
      </c>
      <c r="H4" t="s">
        <v>123</v>
      </c>
      <c r="I4">
        <v>4</v>
      </c>
      <c r="J4">
        <f t="shared" si="0"/>
        <v>8</v>
      </c>
      <c r="K4">
        <f t="shared" si="1"/>
        <v>12.791666666666666</v>
      </c>
    </row>
    <row r="5" spans="1:11">
      <c r="A5">
        <v>18</v>
      </c>
      <c r="B5" t="s">
        <v>48</v>
      </c>
      <c r="C5" t="s">
        <v>127</v>
      </c>
      <c r="D5">
        <v>18</v>
      </c>
      <c r="F5">
        <v>93</v>
      </c>
      <c r="G5" t="s">
        <v>175</v>
      </c>
      <c r="H5" t="s">
        <v>127</v>
      </c>
      <c r="I5">
        <v>18</v>
      </c>
      <c r="J5">
        <f t="shared" si="0"/>
        <v>10</v>
      </c>
      <c r="K5">
        <f t="shared" si="1"/>
        <v>12.541666666666666</v>
      </c>
    </row>
    <row r="6" spans="1:11">
      <c r="A6">
        <v>19</v>
      </c>
      <c r="B6" t="s">
        <v>49</v>
      </c>
      <c r="C6" t="s">
        <v>124</v>
      </c>
      <c r="D6">
        <v>19</v>
      </c>
      <c r="F6">
        <v>94</v>
      </c>
      <c r="G6" t="s">
        <v>39</v>
      </c>
      <c r="H6" t="s">
        <v>138</v>
      </c>
      <c r="I6">
        <v>5</v>
      </c>
      <c r="J6">
        <f t="shared" si="0"/>
        <v>24</v>
      </c>
      <c r="K6">
        <f t="shared" si="1"/>
        <v>12.666666666666666</v>
      </c>
    </row>
    <row r="7" spans="1:11">
      <c r="A7">
        <v>20</v>
      </c>
      <c r="B7" t="s">
        <v>0</v>
      </c>
      <c r="C7" t="s">
        <v>123</v>
      </c>
      <c r="D7">
        <v>4</v>
      </c>
      <c r="F7">
        <v>95</v>
      </c>
      <c r="G7" t="s">
        <v>176</v>
      </c>
      <c r="H7" t="s">
        <v>123</v>
      </c>
      <c r="I7">
        <v>4</v>
      </c>
      <c r="J7">
        <f t="shared" si="0"/>
        <v>8</v>
      </c>
      <c r="K7">
        <f t="shared" si="1"/>
        <v>12.166666666666666</v>
      </c>
    </row>
    <row r="8" spans="1:11">
      <c r="A8">
        <v>21</v>
      </c>
      <c r="B8" t="s">
        <v>50</v>
      </c>
      <c r="C8" t="s">
        <v>105</v>
      </c>
      <c r="D8">
        <v>24</v>
      </c>
      <c r="F8">
        <v>96</v>
      </c>
      <c r="G8" t="s">
        <v>177</v>
      </c>
      <c r="H8" t="s">
        <v>127</v>
      </c>
      <c r="I8">
        <v>18</v>
      </c>
      <c r="J8">
        <f t="shared" si="0"/>
        <v>16</v>
      </c>
      <c r="K8">
        <f t="shared" si="1"/>
        <v>12.708333333333334</v>
      </c>
    </row>
    <row r="9" spans="1:11">
      <c r="A9">
        <v>22</v>
      </c>
      <c r="B9" t="s">
        <v>51</v>
      </c>
      <c r="C9" t="s">
        <v>132</v>
      </c>
      <c r="D9">
        <v>3</v>
      </c>
      <c r="F9">
        <v>97</v>
      </c>
      <c r="G9" t="s">
        <v>49</v>
      </c>
      <c r="H9" t="s">
        <v>124</v>
      </c>
      <c r="I9">
        <v>19</v>
      </c>
      <c r="J9">
        <f t="shared" si="0"/>
        <v>22</v>
      </c>
      <c r="K9">
        <f t="shared" si="1"/>
        <v>12.666666666666666</v>
      </c>
    </row>
    <row r="10" spans="1:11">
      <c r="A10">
        <v>23</v>
      </c>
      <c r="B10" t="s">
        <v>78</v>
      </c>
      <c r="C10" t="s">
        <v>123</v>
      </c>
      <c r="D10">
        <v>4</v>
      </c>
      <c r="F10">
        <v>98</v>
      </c>
      <c r="G10" t="s">
        <v>178</v>
      </c>
      <c r="H10" t="s">
        <v>132</v>
      </c>
      <c r="I10">
        <v>3</v>
      </c>
      <c r="J10">
        <f t="shared" si="0"/>
        <v>7</v>
      </c>
      <c r="K10">
        <f t="shared" si="1"/>
        <v>12</v>
      </c>
    </row>
    <row r="11" spans="1:11">
      <c r="A11">
        <v>24</v>
      </c>
      <c r="B11" t="s">
        <v>52</v>
      </c>
      <c r="C11" t="s">
        <v>127</v>
      </c>
      <c r="D11">
        <v>18</v>
      </c>
      <c r="F11">
        <v>99</v>
      </c>
      <c r="G11" t="s">
        <v>78</v>
      </c>
      <c r="H11" t="s">
        <v>123</v>
      </c>
      <c r="I11">
        <v>4</v>
      </c>
      <c r="J11">
        <f t="shared" si="0"/>
        <v>22</v>
      </c>
      <c r="K11">
        <f t="shared" si="1"/>
        <v>11.916666666666666</v>
      </c>
    </row>
    <row r="12" spans="1:11">
      <c r="A12">
        <v>25</v>
      </c>
      <c r="B12" t="s">
        <v>53</v>
      </c>
      <c r="C12" t="s">
        <v>136</v>
      </c>
      <c r="D12">
        <v>2</v>
      </c>
      <c r="F12">
        <v>100</v>
      </c>
      <c r="G12" t="s">
        <v>179</v>
      </c>
      <c r="H12" t="s">
        <v>109</v>
      </c>
      <c r="I12">
        <v>17</v>
      </c>
      <c r="J12">
        <f t="shared" si="0"/>
        <v>19</v>
      </c>
      <c r="K12">
        <f t="shared" si="1"/>
        <v>11.375</v>
      </c>
    </row>
    <row r="13" spans="1:11">
      <c r="A13">
        <v>26</v>
      </c>
      <c r="B13" t="s">
        <v>54</v>
      </c>
      <c r="C13" t="s">
        <v>132</v>
      </c>
      <c r="D13">
        <v>3</v>
      </c>
      <c r="F13">
        <v>101</v>
      </c>
      <c r="G13" t="s">
        <v>180</v>
      </c>
      <c r="H13" t="s">
        <v>124</v>
      </c>
      <c r="I13">
        <v>19</v>
      </c>
      <c r="J13">
        <f t="shared" si="0"/>
        <v>22</v>
      </c>
      <c r="K13">
        <f t="shared" si="1"/>
        <v>11.541666666666666</v>
      </c>
    </row>
    <row r="14" spans="1:11">
      <c r="A14">
        <v>27</v>
      </c>
      <c r="B14" t="s">
        <v>111</v>
      </c>
      <c r="C14" t="s">
        <v>111</v>
      </c>
      <c r="D14">
        <v>23</v>
      </c>
      <c r="F14">
        <v>102</v>
      </c>
      <c r="G14" t="s">
        <v>39</v>
      </c>
      <c r="H14" t="s">
        <v>138</v>
      </c>
      <c r="I14">
        <v>5</v>
      </c>
      <c r="J14">
        <f t="shared" si="0"/>
        <v>2</v>
      </c>
      <c r="K14">
        <f t="shared" si="1"/>
        <v>10.958333333333334</v>
      </c>
    </row>
    <row r="15" spans="1:11">
      <c r="A15">
        <v>28</v>
      </c>
      <c r="B15" t="s">
        <v>78</v>
      </c>
      <c r="C15" t="s">
        <v>123</v>
      </c>
      <c r="D15">
        <v>4</v>
      </c>
      <c r="F15">
        <v>103</v>
      </c>
      <c r="G15" t="s">
        <v>78</v>
      </c>
      <c r="H15" t="s">
        <v>123</v>
      </c>
      <c r="I15">
        <v>4</v>
      </c>
      <c r="J15">
        <f t="shared" si="0"/>
        <v>8</v>
      </c>
      <c r="K15">
        <f t="shared" si="1"/>
        <v>11.041666666666666</v>
      </c>
    </row>
    <row r="16" spans="1:11">
      <c r="A16">
        <v>29</v>
      </c>
      <c r="B16" t="s">
        <v>55</v>
      </c>
      <c r="C16" t="s">
        <v>126</v>
      </c>
      <c r="D16">
        <v>13</v>
      </c>
      <c r="F16">
        <v>104</v>
      </c>
      <c r="G16" t="s">
        <v>181</v>
      </c>
      <c r="H16" t="s">
        <v>105</v>
      </c>
      <c r="I16">
        <v>24</v>
      </c>
      <c r="J16">
        <f t="shared" si="0"/>
        <v>11</v>
      </c>
      <c r="K16">
        <f t="shared" si="1"/>
        <v>10.75</v>
      </c>
    </row>
    <row r="17" spans="1:11">
      <c r="A17">
        <v>30</v>
      </c>
      <c r="B17" t="s">
        <v>45</v>
      </c>
      <c r="C17" t="s">
        <v>127</v>
      </c>
      <c r="D17">
        <v>18</v>
      </c>
      <c r="F17">
        <v>105</v>
      </c>
      <c r="G17" t="s">
        <v>45</v>
      </c>
      <c r="H17" t="s">
        <v>127</v>
      </c>
      <c r="I17">
        <v>18</v>
      </c>
      <c r="J17">
        <f t="shared" si="0"/>
        <v>10</v>
      </c>
      <c r="K17">
        <f t="shared" si="1"/>
        <v>11.208333333333334</v>
      </c>
    </row>
    <row r="18" spans="1:11">
      <c r="A18">
        <v>31</v>
      </c>
      <c r="B18" t="s">
        <v>56</v>
      </c>
      <c r="C18" t="s">
        <v>132</v>
      </c>
      <c r="D18">
        <v>3</v>
      </c>
      <c r="F18">
        <v>106</v>
      </c>
      <c r="G18" t="s">
        <v>182</v>
      </c>
      <c r="H18" t="s">
        <v>132</v>
      </c>
      <c r="I18">
        <v>3</v>
      </c>
      <c r="J18">
        <f t="shared" si="0"/>
        <v>6</v>
      </c>
      <c r="K18">
        <f t="shared" si="1"/>
        <v>11.666666666666666</v>
      </c>
    </row>
    <row r="19" spans="1:11">
      <c r="A19">
        <v>32</v>
      </c>
      <c r="B19" t="s">
        <v>77</v>
      </c>
      <c r="C19" t="s">
        <v>132</v>
      </c>
      <c r="D19">
        <v>3</v>
      </c>
      <c r="F19">
        <v>107</v>
      </c>
      <c r="G19" t="s">
        <v>183</v>
      </c>
      <c r="H19" t="s">
        <v>130</v>
      </c>
      <c r="I19">
        <v>7</v>
      </c>
      <c r="J19">
        <f t="shared" si="0"/>
        <v>10</v>
      </c>
      <c r="K19">
        <f t="shared" si="1"/>
        <v>11.75</v>
      </c>
    </row>
    <row r="20" spans="1:11">
      <c r="A20">
        <v>33</v>
      </c>
      <c r="B20" t="s">
        <v>311</v>
      </c>
      <c r="C20" t="s">
        <v>132</v>
      </c>
      <c r="D20">
        <v>3</v>
      </c>
      <c r="F20">
        <v>108</v>
      </c>
      <c r="G20" t="s">
        <v>184</v>
      </c>
      <c r="H20" t="s">
        <v>134</v>
      </c>
      <c r="I20">
        <v>6</v>
      </c>
      <c r="J20">
        <f t="shared" si="0"/>
        <v>9</v>
      </c>
      <c r="K20">
        <f t="shared" si="1"/>
        <v>12.291666666666666</v>
      </c>
    </row>
    <row r="21" spans="1:11">
      <c r="A21">
        <v>34</v>
      </c>
      <c r="B21" t="s">
        <v>312</v>
      </c>
      <c r="C21" t="s">
        <v>132</v>
      </c>
      <c r="D21">
        <v>3</v>
      </c>
      <c r="F21">
        <v>109</v>
      </c>
      <c r="G21" t="s">
        <v>185</v>
      </c>
      <c r="H21" t="s">
        <v>127</v>
      </c>
      <c r="I21">
        <v>18</v>
      </c>
      <c r="J21">
        <f t="shared" si="0"/>
        <v>21</v>
      </c>
      <c r="K21">
        <f t="shared" si="1"/>
        <v>12.583333333333334</v>
      </c>
    </row>
    <row r="22" spans="1:11">
      <c r="A22">
        <v>35</v>
      </c>
      <c r="B22" t="s">
        <v>313</v>
      </c>
      <c r="C22" t="s">
        <v>137</v>
      </c>
      <c r="D22">
        <v>14</v>
      </c>
      <c r="F22">
        <v>110</v>
      </c>
      <c r="G22" t="s">
        <v>133</v>
      </c>
      <c r="H22" t="s">
        <v>133</v>
      </c>
      <c r="I22">
        <v>8</v>
      </c>
      <c r="J22">
        <f t="shared" si="0"/>
        <v>22</v>
      </c>
      <c r="K22">
        <f t="shared" si="1"/>
        <v>11.75</v>
      </c>
    </row>
    <row r="23" spans="1:11">
      <c r="A23">
        <v>36</v>
      </c>
      <c r="B23" t="s">
        <v>314</v>
      </c>
      <c r="C23" t="s">
        <v>126</v>
      </c>
      <c r="D23">
        <v>13</v>
      </c>
      <c r="F23">
        <v>111</v>
      </c>
      <c r="G23" t="s">
        <v>186</v>
      </c>
      <c r="H23" t="s">
        <v>123</v>
      </c>
      <c r="I23">
        <v>4</v>
      </c>
      <c r="J23">
        <f t="shared" si="0"/>
        <v>17</v>
      </c>
      <c r="K23">
        <f t="shared" si="1"/>
        <v>11.208333333333334</v>
      </c>
    </row>
    <row r="24" spans="1:11">
      <c r="A24">
        <v>37</v>
      </c>
      <c r="B24" t="s">
        <v>315</v>
      </c>
      <c r="C24" t="s">
        <v>126</v>
      </c>
      <c r="D24">
        <v>13</v>
      </c>
      <c r="F24">
        <v>112</v>
      </c>
      <c r="G24" t="s">
        <v>131</v>
      </c>
      <c r="H24" t="s">
        <v>131</v>
      </c>
      <c r="I24">
        <v>0</v>
      </c>
      <c r="J24">
        <f t="shared" si="0"/>
        <v>13</v>
      </c>
      <c r="K24">
        <f t="shared" si="1"/>
        <v>11.416666666666666</v>
      </c>
    </row>
    <row r="25" spans="1:11">
      <c r="A25">
        <v>38</v>
      </c>
      <c r="B25" t="s">
        <v>316</v>
      </c>
      <c r="C25" t="s">
        <v>126</v>
      </c>
      <c r="D25">
        <v>13</v>
      </c>
      <c r="F25">
        <v>113</v>
      </c>
      <c r="G25" t="s">
        <v>187</v>
      </c>
      <c r="H25" t="s">
        <v>105</v>
      </c>
      <c r="I25">
        <v>24</v>
      </c>
      <c r="J25">
        <f t="shared" si="0"/>
        <v>11</v>
      </c>
      <c r="K25">
        <f t="shared" si="1"/>
        <v>11.333333333333334</v>
      </c>
    </row>
    <row r="26" spans="1:11">
      <c r="A26">
        <v>39</v>
      </c>
      <c r="B26" t="s">
        <v>111</v>
      </c>
      <c r="C26" t="s">
        <v>111</v>
      </c>
      <c r="D26">
        <v>23</v>
      </c>
      <c r="F26">
        <v>114</v>
      </c>
      <c r="G26" t="s">
        <v>188</v>
      </c>
      <c r="H26" t="s">
        <v>130</v>
      </c>
      <c r="I26">
        <v>7</v>
      </c>
      <c r="J26">
        <f t="shared" si="0"/>
        <v>4</v>
      </c>
      <c r="K26">
        <f t="shared" si="1"/>
        <v>11.25</v>
      </c>
    </row>
    <row r="27" spans="1:11">
      <c r="A27">
        <v>40</v>
      </c>
      <c r="B27" t="s">
        <v>317</v>
      </c>
      <c r="C27" t="s">
        <v>127</v>
      </c>
      <c r="D27">
        <v>18</v>
      </c>
      <c r="F27">
        <v>115</v>
      </c>
      <c r="G27" t="s">
        <v>189</v>
      </c>
      <c r="H27" t="s">
        <v>126</v>
      </c>
      <c r="I27">
        <v>13</v>
      </c>
      <c r="J27">
        <f t="shared" si="0"/>
        <v>5</v>
      </c>
      <c r="K27">
        <f t="shared" si="1"/>
        <v>12.125</v>
      </c>
    </row>
    <row r="28" spans="1:11">
      <c r="A28">
        <v>41</v>
      </c>
      <c r="B28" t="s">
        <v>318</v>
      </c>
      <c r="C28" t="s">
        <v>105</v>
      </c>
      <c r="D28">
        <v>24</v>
      </c>
      <c r="F28">
        <v>116</v>
      </c>
      <c r="G28" t="s">
        <v>78</v>
      </c>
      <c r="H28" t="s">
        <v>123</v>
      </c>
      <c r="I28">
        <v>4</v>
      </c>
      <c r="J28">
        <f t="shared" si="0"/>
        <v>2</v>
      </c>
      <c r="K28">
        <f t="shared" si="1"/>
        <v>12.583333333333334</v>
      </c>
    </row>
    <row r="29" spans="1:11">
      <c r="A29">
        <v>42</v>
      </c>
      <c r="B29" t="s">
        <v>319</v>
      </c>
      <c r="C29" t="s">
        <v>125</v>
      </c>
      <c r="D29">
        <v>22</v>
      </c>
      <c r="F29">
        <v>117</v>
      </c>
      <c r="G29" t="s">
        <v>190</v>
      </c>
      <c r="H29" t="s">
        <v>109</v>
      </c>
      <c r="I29">
        <v>17</v>
      </c>
      <c r="J29">
        <f t="shared" si="0"/>
        <v>13</v>
      </c>
      <c r="K29">
        <f t="shared" si="1"/>
        <v>12.541666666666666</v>
      </c>
    </row>
    <row r="30" spans="1:11">
      <c r="A30">
        <v>43</v>
      </c>
      <c r="B30" t="s">
        <v>320</v>
      </c>
      <c r="C30" t="s">
        <v>124</v>
      </c>
      <c r="D30">
        <v>19</v>
      </c>
      <c r="F30">
        <v>118</v>
      </c>
      <c r="G30" t="s">
        <v>191</v>
      </c>
      <c r="H30" t="s">
        <v>124</v>
      </c>
      <c r="I30">
        <v>19</v>
      </c>
      <c r="J30">
        <f t="shared" si="0"/>
        <v>12</v>
      </c>
      <c r="K30">
        <f t="shared" si="1"/>
        <v>12.625</v>
      </c>
    </row>
    <row r="31" spans="1:11">
      <c r="A31">
        <v>44</v>
      </c>
      <c r="B31" t="s">
        <v>154</v>
      </c>
      <c r="C31" t="s">
        <v>127</v>
      </c>
      <c r="D31">
        <v>18</v>
      </c>
      <c r="F31">
        <v>119</v>
      </c>
      <c r="G31" t="s">
        <v>192</v>
      </c>
      <c r="H31" t="s">
        <v>132</v>
      </c>
      <c r="I31">
        <v>3</v>
      </c>
      <c r="J31">
        <f t="shared" si="0"/>
        <v>21</v>
      </c>
      <c r="K31">
        <f t="shared" si="1"/>
        <v>13.041666666666666</v>
      </c>
    </row>
    <row r="32" spans="1:11">
      <c r="A32">
        <v>45</v>
      </c>
      <c r="B32" t="s">
        <v>50</v>
      </c>
      <c r="C32" t="s">
        <v>105</v>
      </c>
      <c r="D32">
        <v>24</v>
      </c>
      <c r="F32">
        <v>120</v>
      </c>
      <c r="G32" t="s">
        <v>193</v>
      </c>
      <c r="H32" t="s">
        <v>109</v>
      </c>
      <c r="I32">
        <v>17</v>
      </c>
      <c r="J32">
        <f t="shared" si="0"/>
        <v>15</v>
      </c>
      <c r="K32">
        <f t="shared" si="1"/>
        <v>13.083333333333334</v>
      </c>
    </row>
    <row r="33" spans="1:11">
      <c r="A33">
        <v>46</v>
      </c>
      <c r="B33" t="s">
        <v>321</v>
      </c>
      <c r="C33" t="s">
        <v>132</v>
      </c>
      <c r="D33">
        <v>3</v>
      </c>
      <c r="F33">
        <v>121</v>
      </c>
      <c r="G33" t="s">
        <v>77</v>
      </c>
      <c r="H33" t="s">
        <v>132</v>
      </c>
      <c r="I33">
        <v>3</v>
      </c>
      <c r="J33">
        <f t="shared" si="0"/>
        <v>6</v>
      </c>
      <c r="K33">
        <f t="shared" si="1"/>
        <v>12.541666666666666</v>
      </c>
    </row>
    <row r="34" spans="1:11">
      <c r="A34">
        <v>47</v>
      </c>
      <c r="B34" t="s">
        <v>322</v>
      </c>
      <c r="C34" t="s">
        <v>127</v>
      </c>
      <c r="D34">
        <v>18</v>
      </c>
      <c r="F34">
        <v>122</v>
      </c>
      <c r="G34" t="s">
        <v>194</v>
      </c>
      <c r="H34" t="s">
        <v>126</v>
      </c>
      <c r="I34">
        <v>13</v>
      </c>
      <c r="J34">
        <f t="shared" si="0"/>
        <v>5</v>
      </c>
      <c r="K34">
        <f t="shared" si="1"/>
        <v>12.333333333333334</v>
      </c>
    </row>
    <row r="35" spans="1:11">
      <c r="A35">
        <v>48</v>
      </c>
      <c r="B35" t="s">
        <v>145</v>
      </c>
      <c r="C35" t="s">
        <v>132</v>
      </c>
      <c r="D35">
        <v>3</v>
      </c>
      <c r="F35">
        <v>123</v>
      </c>
      <c r="G35" t="s">
        <v>195</v>
      </c>
      <c r="H35" t="s">
        <v>134</v>
      </c>
      <c r="I35">
        <v>6</v>
      </c>
      <c r="J35">
        <f t="shared" si="0"/>
        <v>9</v>
      </c>
      <c r="K35">
        <f t="shared" si="1"/>
        <v>12.5</v>
      </c>
    </row>
    <row r="36" spans="1:11">
      <c r="A36">
        <v>49</v>
      </c>
      <c r="B36" t="s">
        <v>146</v>
      </c>
      <c r="C36" t="s">
        <v>124</v>
      </c>
      <c r="D36">
        <v>19</v>
      </c>
      <c r="F36">
        <v>124</v>
      </c>
      <c r="G36" t="s">
        <v>78</v>
      </c>
      <c r="H36" t="s">
        <v>123</v>
      </c>
      <c r="I36">
        <v>4</v>
      </c>
      <c r="J36">
        <f t="shared" si="0"/>
        <v>23</v>
      </c>
      <c r="K36">
        <f t="shared" si="1"/>
        <v>12.791666666666666</v>
      </c>
    </row>
    <row r="37" spans="1:11">
      <c r="A37">
        <v>50</v>
      </c>
      <c r="B37" t="s">
        <v>147</v>
      </c>
      <c r="C37" t="s">
        <v>123</v>
      </c>
      <c r="D37">
        <v>4</v>
      </c>
      <c r="F37">
        <v>125</v>
      </c>
      <c r="G37" t="s">
        <v>196</v>
      </c>
      <c r="H37" t="s">
        <v>123</v>
      </c>
      <c r="I37">
        <v>4</v>
      </c>
      <c r="J37">
        <f t="shared" si="0"/>
        <v>8</v>
      </c>
      <c r="K37">
        <f t="shared" si="1"/>
        <v>12.541666666666666</v>
      </c>
    </row>
    <row r="38" spans="1:11">
      <c r="A38">
        <v>51</v>
      </c>
      <c r="B38" t="s">
        <v>148</v>
      </c>
      <c r="C38" t="s">
        <v>123</v>
      </c>
      <c r="D38">
        <v>4</v>
      </c>
      <c r="F38">
        <v>126</v>
      </c>
      <c r="G38" t="s">
        <v>131</v>
      </c>
      <c r="H38" t="s">
        <v>131</v>
      </c>
      <c r="I38">
        <v>0</v>
      </c>
      <c r="J38">
        <f t="shared" si="0"/>
        <v>4</v>
      </c>
      <c r="K38">
        <f t="shared" si="1"/>
        <v>13.125</v>
      </c>
    </row>
    <row r="39" spans="1:11">
      <c r="A39">
        <v>52</v>
      </c>
      <c r="B39" t="s">
        <v>111</v>
      </c>
      <c r="C39" t="s">
        <v>111</v>
      </c>
      <c r="D39">
        <v>23</v>
      </c>
      <c r="F39">
        <v>127</v>
      </c>
      <c r="G39" t="s">
        <v>197</v>
      </c>
      <c r="H39" t="s">
        <v>123</v>
      </c>
      <c r="I39">
        <v>4</v>
      </c>
      <c r="J39">
        <f t="shared" si="0"/>
        <v>1</v>
      </c>
      <c r="K39">
        <f t="shared" si="1"/>
        <v>13.916666666666666</v>
      </c>
    </row>
    <row r="40" spans="1:11">
      <c r="A40">
        <v>53</v>
      </c>
      <c r="B40" t="s">
        <v>149</v>
      </c>
      <c r="C40" t="s">
        <v>137</v>
      </c>
      <c r="D40">
        <v>14</v>
      </c>
      <c r="F40">
        <v>128</v>
      </c>
      <c r="G40" t="s">
        <v>133</v>
      </c>
      <c r="H40" t="s">
        <v>133</v>
      </c>
      <c r="I40">
        <v>8</v>
      </c>
      <c r="J40">
        <f t="shared" si="0"/>
        <v>22</v>
      </c>
      <c r="K40">
        <f t="shared" si="1"/>
        <v>14.333333333333334</v>
      </c>
    </row>
    <row r="41" spans="1:11">
      <c r="A41">
        <v>54</v>
      </c>
      <c r="B41" t="s">
        <v>150</v>
      </c>
      <c r="C41" t="s">
        <v>127</v>
      </c>
      <c r="D41">
        <v>18</v>
      </c>
      <c r="F41">
        <v>129</v>
      </c>
      <c r="G41" t="s">
        <v>198</v>
      </c>
      <c r="H41" t="s">
        <v>132</v>
      </c>
      <c r="I41">
        <v>3</v>
      </c>
      <c r="J41">
        <f t="shared" si="0"/>
        <v>21</v>
      </c>
      <c r="K41">
        <f t="shared" si="1"/>
        <v>13.833333333333334</v>
      </c>
    </row>
    <row r="42" spans="1:11">
      <c r="A42">
        <v>55</v>
      </c>
      <c r="B42" t="s">
        <v>78</v>
      </c>
      <c r="C42" t="s">
        <v>123</v>
      </c>
      <c r="D42">
        <v>4</v>
      </c>
      <c r="F42">
        <v>130</v>
      </c>
      <c r="G42" t="s">
        <v>78</v>
      </c>
      <c r="H42" t="s">
        <v>123</v>
      </c>
      <c r="I42">
        <v>4</v>
      </c>
      <c r="J42">
        <f t="shared" si="0"/>
        <v>8</v>
      </c>
      <c r="K42">
        <f t="shared" si="1"/>
        <v>12.958333333333334</v>
      </c>
    </row>
    <row r="43" spans="1:11">
      <c r="A43">
        <v>56</v>
      </c>
      <c r="B43" t="s">
        <v>151</v>
      </c>
      <c r="C43" t="s">
        <v>124</v>
      </c>
      <c r="D43">
        <v>19</v>
      </c>
      <c r="F43">
        <v>131</v>
      </c>
      <c r="G43" t="s">
        <v>199</v>
      </c>
      <c r="H43" t="s">
        <v>123</v>
      </c>
      <c r="I43">
        <v>4</v>
      </c>
      <c r="J43">
        <f t="shared" si="0"/>
        <v>23</v>
      </c>
      <c r="K43">
        <f t="shared" si="1"/>
        <v>13.5</v>
      </c>
    </row>
    <row r="44" spans="1:11">
      <c r="A44">
        <v>57</v>
      </c>
      <c r="B44" t="s">
        <v>316</v>
      </c>
      <c r="C44" t="s">
        <v>126</v>
      </c>
      <c r="D44">
        <v>13</v>
      </c>
      <c r="F44">
        <v>132</v>
      </c>
      <c r="G44" t="s">
        <v>77</v>
      </c>
      <c r="H44" t="s">
        <v>132</v>
      </c>
      <c r="I44">
        <v>3</v>
      </c>
      <c r="J44">
        <f t="shared" si="0"/>
        <v>16</v>
      </c>
      <c r="K44">
        <f t="shared" si="1"/>
        <v>12.75</v>
      </c>
    </row>
    <row r="45" spans="1:11">
      <c r="A45">
        <v>58</v>
      </c>
      <c r="B45" t="s">
        <v>152</v>
      </c>
      <c r="C45" t="s">
        <v>105</v>
      </c>
      <c r="D45">
        <v>24</v>
      </c>
      <c r="F45">
        <v>133</v>
      </c>
      <c r="G45" t="s">
        <v>200</v>
      </c>
      <c r="H45" t="s">
        <v>132</v>
      </c>
      <c r="I45">
        <v>3</v>
      </c>
      <c r="J45">
        <f t="shared" si="0"/>
        <v>1</v>
      </c>
      <c r="K45">
        <f t="shared" si="1"/>
        <v>13</v>
      </c>
    </row>
    <row r="46" spans="1:11">
      <c r="A46">
        <v>59</v>
      </c>
      <c r="B46" t="s">
        <v>153</v>
      </c>
      <c r="C46" t="s">
        <v>125</v>
      </c>
      <c r="D46">
        <v>22</v>
      </c>
      <c r="F46">
        <v>134</v>
      </c>
      <c r="G46" t="s">
        <v>189</v>
      </c>
      <c r="H46" t="s">
        <v>126</v>
      </c>
      <c r="I46">
        <v>13</v>
      </c>
      <c r="J46">
        <f t="shared" si="0"/>
        <v>9</v>
      </c>
      <c r="K46">
        <f t="shared" si="1"/>
        <v>13.666666666666666</v>
      </c>
    </row>
    <row r="47" spans="1:11">
      <c r="A47">
        <v>60</v>
      </c>
      <c r="B47" t="s">
        <v>154</v>
      </c>
      <c r="C47" t="s">
        <v>127</v>
      </c>
      <c r="D47">
        <v>18</v>
      </c>
      <c r="F47">
        <v>135</v>
      </c>
      <c r="G47" t="s">
        <v>78</v>
      </c>
      <c r="H47" t="s">
        <v>123</v>
      </c>
      <c r="I47">
        <v>4</v>
      </c>
      <c r="J47">
        <f t="shared" si="0"/>
        <v>22</v>
      </c>
      <c r="K47">
        <f t="shared" si="1"/>
        <v>13.875</v>
      </c>
    </row>
    <row r="48" spans="1:11">
      <c r="A48">
        <v>61</v>
      </c>
      <c r="B48" t="s">
        <v>45</v>
      </c>
      <c r="C48" t="s">
        <v>127</v>
      </c>
      <c r="D48">
        <v>18</v>
      </c>
      <c r="F48">
        <v>136</v>
      </c>
      <c r="G48" t="s">
        <v>201</v>
      </c>
      <c r="H48" t="s">
        <v>124</v>
      </c>
      <c r="I48">
        <v>19</v>
      </c>
      <c r="J48">
        <f t="shared" si="0"/>
        <v>11</v>
      </c>
      <c r="K48">
        <f t="shared" si="1"/>
        <v>13.166666666666666</v>
      </c>
    </row>
    <row r="49" spans="1:11">
      <c r="A49">
        <v>62</v>
      </c>
      <c r="B49" t="s">
        <v>155</v>
      </c>
      <c r="C49" t="s">
        <v>127</v>
      </c>
      <c r="D49">
        <v>18</v>
      </c>
      <c r="F49">
        <v>137</v>
      </c>
      <c r="G49" t="s">
        <v>202</v>
      </c>
      <c r="H49" t="s">
        <v>109</v>
      </c>
      <c r="I49">
        <v>17</v>
      </c>
      <c r="J49">
        <f t="shared" si="0"/>
        <v>9</v>
      </c>
      <c r="K49">
        <f t="shared" si="1"/>
        <v>13.25</v>
      </c>
    </row>
    <row r="50" spans="1:11">
      <c r="A50">
        <v>63</v>
      </c>
      <c r="B50" t="s">
        <v>156</v>
      </c>
      <c r="C50" t="s">
        <v>124</v>
      </c>
      <c r="D50">
        <v>19</v>
      </c>
      <c r="F50">
        <v>138</v>
      </c>
      <c r="G50" t="s">
        <v>203</v>
      </c>
      <c r="H50" t="s">
        <v>134</v>
      </c>
      <c r="I50">
        <v>6</v>
      </c>
      <c r="J50">
        <f t="shared" si="0"/>
        <v>25</v>
      </c>
      <c r="K50">
        <f t="shared" si="1"/>
        <v>12.916666666666666</v>
      </c>
    </row>
    <row r="51" spans="1:11">
      <c r="A51">
        <v>64</v>
      </c>
      <c r="B51" t="s">
        <v>157</v>
      </c>
      <c r="C51" t="s">
        <v>123</v>
      </c>
      <c r="D51">
        <v>4</v>
      </c>
      <c r="F51">
        <v>139</v>
      </c>
      <c r="G51" t="s">
        <v>204</v>
      </c>
      <c r="H51" t="s">
        <v>110</v>
      </c>
      <c r="I51">
        <v>12</v>
      </c>
      <c r="J51">
        <f t="shared" si="0"/>
        <v>16</v>
      </c>
      <c r="K51">
        <f t="shared" si="1"/>
        <v>12.833333333333334</v>
      </c>
    </row>
    <row r="52" spans="1:11">
      <c r="A52">
        <v>65</v>
      </c>
      <c r="B52" t="s">
        <v>111</v>
      </c>
      <c r="C52" t="s">
        <v>111</v>
      </c>
      <c r="D52">
        <v>23</v>
      </c>
      <c r="F52">
        <v>140</v>
      </c>
      <c r="G52" t="s">
        <v>78</v>
      </c>
      <c r="H52" t="s">
        <v>123</v>
      </c>
      <c r="I52">
        <v>4</v>
      </c>
      <c r="J52">
        <f t="shared" si="0"/>
        <v>1</v>
      </c>
      <c r="K52">
        <f t="shared" si="1"/>
        <v>12.333333333333334</v>
      </c>
    </row>
    <row r="53" spans="1:11">
      <c r="A53">
        <v>66</v>
      </c>
      <c r="B53" t="s">
        <v>226</v>
      </c>
      <c r="C53" t="s">
        <v>105</v>
      </c>
      <c r="D53">
        <v>24</v>
      </c>
      <c r="F53">
        <v>141</v>
      </c>
      <c r="G53" t="s">
        <v>205</v>
      </c>
      <c r="H53" t="s">
        <v>109</v>
      </c>
      <c r="I53">
        <v>17</v>
      </c>
      <c r="J53">
        <f t="shared" si="0"/>
        <v>15</v>
      </c>
    </row>
    <row r="54" spans="1:11">
      <c r="A54">
        <v>67</v>
      </c>
      <c r="B54" t="s">
        <v>227</v>
      </c>
      <c r="C54" t="s">
        <v>124</v>
      </c>
      <c r="D54">
        <v>19</v>
      </c>
      <c r="F54">
        <v>142</v>
      </c>
      <c r="G54" t="s">
        <v>206</v>
      </c>
      <c r="H54" t="s">
        <v>132</v>
      </c>
      <c r="I54">
        <v>3</v>
      </c>
      <c r="J54">
        <f t="shared" si="0"/>
        <v>22</v>
      </c>
    </row>
    <row r="55" spans="1:11">
      <c r="A55">
        <v>68</v>
      </c>
      <c r="B55" t="s">
        <v>228</v>
      </c>
      <c r="C55" t="s">
        <v>127</v>
      </c>
      <c r="D55">
        <v>18</v>
      </c>
      <c r="F55">
        <v>143</v>
      </c>
      <c r="G55" t="s">
        <v>78</v>
      </c>
      <c r="H55" t="s">
        <v>123</v>
      </c>
      <c r="I55">
        <v>4</v>
      </c>
      <c r="J55">
        <f t="shared" si="0"/>
        <v>22</v>
      </c>
    </row>
    <row r="56" spans="1:11">
      <c r="A56">
        <v>69</v>
      </c>
      <c r="B56" t="s">
        <v>229</v>
      </c>
      <c r="C56" t="s">
        <v>105</v>
      </c>
      <c r="D56">
        <v>24</v>
      </c>
      <c r="F56">
        <v>144</v>
      </c>
      <c r="G56" t="s">
        <v>207</v>
      </c>
      <c r="H56" t="s">
        <v>123</v>
      </c>
      <c r="I56">
        <v>4</v>
      </c>
      <c r="J56">
        <f t="shared" si="0"/>
        <v>2</v>
      </c>
    </row>
    <row r="57" spans="1:11">
      <c r="A57">
        <v>70</v>
      </c>
      <c r="B57" t="s">
        <v>230</v>
      </c>
      <c r="C57" t="s">
        <v>126</v>
      </c>
      <c r="D57">
        <v>13</v>
      </c>
      <c r="F57">
        <v>145</v>
      </c>
      <c r="G57" t="s">
        <v>313</v>
      </c>
      <c r="H57" t="s">
        <v>137</v>
      </c>
      <c r="I57">
        <v>14</v>
      </c>
      <c r="J57">
        <f t="shared" si="0"/>
        <v>1</v>
      </c>
    </row>
    <row r="58" spans="1:11">
      <c r="A58">
        <v>71</v>
      </c>
      <c r="B58" t="s">
        <v>231</v>
      </c>
      <c r="C58" t="s">
        <v>127</v>
      </c>
      <c r="D58">
        <v>18</v>
      </c>
      <c r="F58">
        <v>146</v>
      </c>
      <c r="G58" t="s">
        <v>208</v>
      </c>
      <c r="H58" t="s">
        <v>109</v>
      </c>
      <c r="I58">
        <v>17</v>
      </c>
      <c r="J58">
        <f t="shared" si="0"/>
        <v>9</v>
      </c>
    </row>
    <row r="59" spans="1:11">
      <c r="A59">
        <v>72</v>
      </c>
      <c r="B59" t="s">
        <v>232</v>
      </c>
      <c r="C59" t="s">
        <v>111</v>
      </c>
      <c r="D59">
        <v>23</v>
      </c>
      <c r="F59">
        <v>147</v>
      </c>
      <c r="G59" t="s">
        <v>209</v>
      </c>
      <c r="H59" t="s">
        <v>124</v>
      </c>
      <c r="I59">
        <v>19</v>
      </c>
      <c r="J59">
        <f t="shared" si="0"/>
        <v>16</v>
      </c>
    </row>
    <row r="60" spans="1:11">
      <c r="A60">
        <v>73</v>
      </c>
      <c r="B60" t="s">
        <v>233</v>
      </c>
      <c r="C60" t="s">
        <v>124</v>
      </c>
      <c r="D60">
        <v>19</v>
      </c>
      <c r="F60">
        <v>148</v>
      </c>
      <c r="G60" t="s">
        <v>114</v>
      </c>
      <c r="H60" t="s">
        <v>105</v>
      </c>
      <c r="I60">
        <v>24</v>
      </c>
      <c r="J60">
        <f t="shared" si="0"/>
        <v>17</v>
      </c>
    </row>
    <row r="61" spans="1:11">
      <c r="A61">
        <v>74</v>
      </c>
      <c r="B61" t="s">
        <v>234</v>
      </c>
      <c r="C61" t="s">
        <v>123</v>
      </c>
      <c r="D61">
        <v>4</v>
      </c>
      <c r="F61">
        <v>149</v>
      </c>
      <c r="G61" t="s">
        <v>115</v>
      </c>
      <c r="H61" t="s">
        <v>127</v>
      </c>
      <c r="I61">
        <v>18</v>
      </c>
      <c r="J61">
        <f t="shared" si="0"/>
        <v>22</v>
      </c>
    </row>
    <row r="62" spans="1:11">
      <c r="A62">
        <v>75</v>
      </c>
      <c r="B62" t="s">
        <v>235</v>
      </c>
      <c r="C62" t="s">
        <v>127</v>
      </c>
      <c r="D62">
        <v>18</v>
      </c>
      <c r="F62">
        <v>150</v>
      </c>
      <c r="G62" t="s">
        <v>39</v>
      </c>
      <c r="H62" t="s">
        <v>138</v>
      </c>
      <c r="I62">
        <v>5</v>
      </c>
      <c r="J62">
        <f t="shared" si="0"/>
        <v>23</v>
      </c>
    </row>
    <row r="63" spans="1:11">
      <c r="A63">
        <v>76</v>
      </c>
      <c r="B63" t="s">
        <v>236</v>
      </c>
      <c r="C63" t="s">
        <v>130</v>
      </c>
      <c r="D63">
        <v>7</v>
      </c>
      <c r="F63">
        <v>151</v>
      </c>
      <c r="G63" t="s">
        <v>78</v>
      </c>
      <c r="H63" t="s">
        <v>123</v>
      </c>
      <c r="I63">
        <v>4</v>
      </c>
      <c r="J63">
        <f t="shared" si="0"/>
        <v>11</v>
      </c>
    </row>
    <row r="64" spans="1:11">
      <c r="A64">
        <v>77</v>
      </c>
      <c r="B64" t="s">
        <v>237</v>
      </c>
      <c r="C64" t="s">
        <v>105</v>
      </c>
      <c r="D64">
        <v>24</v>
      </c>
      <c r="F64">
        <v>152</v>
      </c>
      <c r="G64" t="s">
        <v>116</v>
      </c>
      <c r="H64" t="s">
        <v>110</v>
      </c>
      <c r="I64">
        <v>12</v>
      </c>
      <c r="J64">
        <f t="shared" si="0"/>
        <v>10</v>
      </c>
    </row>
    <row r="65" spans="1:10">
      <c r="A65">
        <v>78</v>
      </c>
      <c r="B65" t="s">
        <v>230</v>
      </c>
      <c r="C65" t="s">
        <v>126</v>
      </c>
      <c r="D65">
        <v>13</v>
      </c>
      <c r="F65">
        <v>153</v>
      </c>
      <c r="G65" t="s">
        <v>117</v>
      </c>
      <c r="H65" t="s">
        <v>126</v>
      </c>
      <c r="I65">
        <v>13</v>
      </c>
      <c r="J65">
        <f t="shared" si="0"/>
        <v>0</v>
      </c>
    </row>
    <row r="66" spans="1:10">
      <c r="A66">
        <v>79</v>
      </c>
      <c r="B66" t="s">
        <v>228</v>
      </c>
      <c r="C66" t="s">
        <v>127</v>
      </c>
      <c r="D66">
        <v>18</v>
      </c>
      <c r="F66">
        <v>154</v>
      </c>
      <c r="G66" t="s">
        <v>118</v>
      </c>
      <c r="H66" t="s">
        <v>132</v>
      </c>
      <c r="I66">
        <v>3</v>
      </c>
      <c r="J66">
        <f t="shared" ref="J66:J75" si="2">MOD(D66+I66,26)</f>
        <v>21</v>
      </c>
    </row>
    <row r="67" spans="1:10">
      <c r="A67">
        <v>80</v>
      </c>
      <c r="B67" t="s">
        <v>227</v>
      </c>
      <c r="C67" t="s">
        <v>124</v>
      </c>
      <c r="D67">
        <v>19</v>
      </c>
      <c r="F67">
        <v>155</v>
      </c>
      <c r="G67" t="s">
        <v>204</v>
      </c>
      <c r="H67" t="s">
        <v>110</v>
      </c>
      <c r="I67">
        <v>12</v>
      </c>
      <c r="J67">
        <f t="shared" si="2"/>
        <v>5</v>
      </c>
    </row>
    <row r="68" spans="1:10">
      <c r="A68">
        <v>81</v>
      </c>
      <c r="B68" t="s">
        <v>231</v>
      </c>
      <c r="C68" t="s">
        <v>127</v>
      </c>
      <c r="D68">
        <v>18</v>
      </c>
      <c r="F68">
        <v>156</v>
      </c>
      <c r="G68" t="s">
        <v>78</v>
      </c>
      <c r="H68" t="s">
        <v>123</v>
      </c>
      <c r="I68">
        <v>4</v>
      </c>
      <c r="J68">
        <f t="shared" si="2"/>
        <v>22</v>
      </c>
    </row>
    <row r="69" spans="1:10">
      <c r="A69">
        <v>82</v>
      </c>
      <c r="B69" t="s">
        <v>238</v>
      </c>
      <c r="C69" t="s">
        <v>105</v>
      </c>
      <c r="D69">
        <v>24</v>
      </c>
      <c r="F69">
        <v>157</v>
      </c>
      <c r="G69" t="s">
        <v>119</v>
      </c>
      <c r="H69" t="s">
        <v>124</v>
      </c>
      <c r="I69">
        <v>19</v>
      </c>
      <c r="J69">
        <f t="shared" si="2"/>
        <v>17</v>
      </c>
    </row>
    <row r="70" spans="1:10">
      <c r="A70">
        <v>83</v>
      </c>
      <c r="B70" t="s">
        <v>239</v>
      </c>
      <c r="C70" t="s">
        <v>109</v>
      </c>
      <c r="D70">
        <v>17</v>
      </c>
      <c r="F70">
        <v>158</v>
      </c>
      <c r="G70" t="s">
        <v>111</v>
      </c>
      <c r="H70" t="s">
        <v>111</v>
      </c>
      <c r="I70">
        <v>23</v>
      </c>
      <c r="J70">
        <f t="shared" si="2"/>
        <v>14</v>
      </c>
    </row>
    <row r="71" spans="1:10">
      <c r="A71">
        <v>84</v>
      </c>
      <c r="B71" t="s">
        <v>235</v>
      </c>
      <c r="C71" t="s">
        <v>127</v>
      </c>
      <c r="D71">
        <v>18</v>
      </c>
      <c r="F71">
        <v>159</v>
      </c>
      <c r="G71" t="s">
        <v>120</v>
      </c>
      <c r="H71" t="s">
        <v>126</v>
      </c>
      <c r="I71">
        <v>13</v>
      </c>
      <c r="J71">
        <f t="shared" si="2"/>
        <v>5</v>
      </c>
    </row>
    <row r="72" spans="1:10">
      <c r="A72">
        <v>85</v>
      </c>
      <c r="B72" t="s">
        <v>240</v>
      </c>
      <c r="C72" t="s">
        <v>124</v>
      </c>
      <c r="D72">
        <v>19</v>
      </c>
      <c r="F72">
        <v>160</v>
      </c>
      <c r="G72" t="s">
        <v>121</v>
      </c>
      <c r="H72" t="s">
        <v>128</v>
      </c>
      <c r="I72">
        <v>20</v>
      </c>
      <c r="J72">
        <f t="shared" si="2"/>
        <v>13</v>
      </c>
    </row>
    <row r="73" spans="1:10">
      <c r="A73">
        <v>86</v>
      </c>
      <c r="B73" t="s">
        <v>111</v>
      </c>
      <c r="C73" t="s">
        <v>111</v>
      </c>
      <c r="D73">
        <v>23</v>
      </c>
      <c r="F73">
        <v>161</v>
      </c>
      <c r="G73" t="s">
        <v>13</v>
      </c>
      <c r="H73" t="s">
        <v>123</v>
      </c>
      <c r="I73">
        <v>4</v>
      </c>
      <c r="J73">
        <f t="shared" si="2"/>
        <v>1</v>
      </c>
    </row>
    <row r="74" spans="1:10">
      <c r="A74">
        <v>87</v>
      </c>
      <c r="B74" t="s">
        <v>241</v>
      </c>
      <c r="C74" t="s">
        <v>109</v>
      </c>
      <c r="D74">
        <v>17</v>
      </c>
      <c r="F74">
        <v>162</v>
      </c>
      <c r="G74" t="s">
        <v>14</v>
      </c>
      <c r="H74" t="s">
        <v>134</v>
      </c>
      <c r="I74">
        <v>6</v>
      </c>
      <c r="J74">
        <f t="shared" si="2"/>
        <v>23</v>
      </c>
    </row>
    <row r="75" spans="1:10">
      <c r="A75">
        <v>88</v>
      </c>
      <c r="B75" t="s">
        <v>242</v>
      </c>
      <c r="C75" t="s">
        <v>137</v>
      </c>
      <c r="D75">
        <v>14</v>
      </c>
      <c r="F75">
        <v>163</v>
      </c>
      <c r="G75" t="s">
        <v>139</v>
      </c>
      <c r="H75" t="s">
        <v>139</v>
      </c>
      <c r="I75">
        <v>16</v>
      </c>
      <c r="J75">
        <f t="shared" si="2"/>
        <v>4</v>
      </c>
    </row>
  </sheetData>
  <phoneticPr fontId="2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O62"/>
  <sheetViews>
    <sheetView topLeftCell="A10" workbookViewId="0">
      <selection activeCell="C58" sqref="C58:AG61"/>
    </sheetView>
  </sheetViews>
  <sheetFormatPr baseColWidth="10" defaultRowHeight="13"/>
  <cols>
    <col min="1" max="1" width="4" style="1" bestFit="1" customWidth="1"/>
    <col min="2" max="2" width="6.140625" style="1" bestFit="1" customWidth="1"/>
    <col min="3" max="11" width="2.85546875" style="1" bestFit="1" customWidth="1"/>
    <col min="12" max="33" width="3" style="1" bestFit="1" customWidth="1"/>
    <col min="34" max="34" width="6.85546875" style="1" bestFit="1" customWidth="1"/>
    <col min="35" max="35" width="10.7109375" style="1"/>
    <col min="36" max="67" width="5.28515625" style="1" bestFit="1" customWidth="1"/>
    <col min="68" max="16384" width="10.7109375" style="1"/>
  </cols>
  <sheetData>
    <row r="1" spans="1:67" ht="17">
      <c r="A1" s="1" t="s">
        <v>297</v>
      </c>
      <c r="B1" s="1" t="s">
        <v>295</v>
      </c>
      <c r="C1" s="2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 t="s">
        <v>296</v>
      </c>
      <c r="AJ1" s="2">
        <v>1</v>
      </c>
      <c r="AK1" s="1">
        <v>2</v>
      </c>
      <c r="AL1" s="1">
        <v>3</v>
      </c>
      <c r="AM1" s="1">
        <v>4</v>
      </c>
      <c r="AN1" s="1">
        <v>5</v>
      </c>
      <c r="AO1" s="1">
        <v>6</v>
      </c>
      <c r="AP1" s="1">
        <v>7</v>
      </c>
      <c r="AQ1" s="1">
        <v>8</v>
      </c>
      <c r="AR1" s="1">
        <v>9</v>
      </c>
      <c r="AS1" s="1">
        <v>10</v>
      </c>
      <c r="AT1" s="1">
        <v>11</v>
      </c>
      <c r="AU1" s="1">
        <v>12</v>
      </c>
      <c r="AV1" s="1">
        <v>13</v>
      </c>
      <c r="AW1" s="1">
        <v>14</v>
      </c>
      <c r="AX1" s="1">
        <v>15</v>
      </c>
      <c r="AY1" s="1">
        <v>16</v>
      </c>
      <c r="AZ1" s="1">
        <v>17</v>
      </c>
      <c r="BA1" s="1">
        <v>18</v>
      </c>
      <c r="BB1" s="1">
        <v>19</v>
      </c>
      <c r="BC1" s="1">
        <v>20</v>
      </c>
      <c r="BD1" s="1">
        <v>21</v>
      </c>
      <c r="BE1" s="1">
        <v>22</v>
      </c>
      <c r="BF1" s="1">
        <v>23</v>
      </c>
      <c r="BG1" s="1">
        <v>24</v>
      </c>
      <c r="BH1" s="1">
        <v>25</v>
      </c>
      <c r="BI1" s="1">
        <v>26</v>
      </c>
      <c r="BJ1" s="1">
        <v>27</v>
      </c>
      <c r="BK1" s="1">
        <v>28</v>
      </c>
      <c r="BL1" s="1">
        <v>29</v>
      </c>
      <c r="BM1" s="1">
        <v>30</v>
      </c>
      <c r="BN1" s="1">
        <v>31</v>
      </c>
    </row>
    <row r="2" spans="1:67" ht="22">
      <c r="A2" s="1">
        <v>1</v>
      </c>
      <c r="B2" s="4" t="s">
        <v>113</v>
      </c>
      <c r="C2" s="9" t="s">
        <v>122</v>
      </c>
      <c r="D2" s="9" t="s">
        <v>123</v>
      </c>
      <c r="E2" s="9" t="s">
        <v>124</v>
      </c>
      <c r="F2" s="9" t="s">
        <v>125</v>
      </c>
      <c r="G2" s="9" t="s">
        <v>123</v>
      </c>
      <c r="H2" s="9" t="s">
        <v>123</v>
      </c>
      <c r="I2" s="9" t="s">
        <v>126</v>
      </c>
      <c r="J2" s="9" t="s">
        <v>127</v>
      </c>
      <c r="K2" s="9" t="s">
        <v>128</v>
      </c>
      <c r="L2" s="9" t="s">
        <v>122</v>
      </c>
      <c r="M2" s="9" t="s">
        <v>124</v>
      </c>
      <c r="N2" s="9" t="s">
        <v>129</v>
      </c>
      <c r="O2" s="9" t="s">
        <v>123</v>
      </c>
      <c r="P2" s="9" t="s">
        <v>127</v>
      </c>
      <c r="Q2" s="9" t="s">
        <v>130</v>
      </c>
      <c r="R2" s="9" t="s">
        <v>131</v>
      </c>
      <c r="S2" s="9" t="s">
        <v>132</v>
      </c>
      <c r="T2" s="9" t="s">
        <v>133</v>
      </c>
      <c r="U2" s="9" t="s">
        <v>126</v>
      </c>
      <c r="V2" s="9" t="s">
        <v>134</v>
      </c>
      <c r="W2" s="9" t="s">
        <v>131</v>
      </c>
      <c r="X2" s="9" t="s">
        <v>126</v>
      </c>
      <c r="Y2" s="9" t="s">
        <v>132</v>
      </c>
      <c r="Z2" s="9" t="s">
        <v>124</v>
      </c>
      <c r="AA2" s="9" t="s">
        <v>130</v>
      </c>
      <c r="AB2" s="9" t="s">
        <v>123</v>
      </c>
      <c r="AC2" s="9" t="s">
        <v>131</v>
      </c>
      <c r="AD2" s="9" t="s">
        <v>122</v>
      </c>
      <c r="AE2" s="9" t="s">
        <v>127</v>
      </c>
      <c r="AF2" s="9" t="s">
        <v>123</v>
      </c>
      <c r="AG2" s="9" t="s">
        <v>126</v>
      </c>
      <c r="AH2" s="3"/>
      <c r="AJ2" s="3">
        <f>IF(C2&lt;&gt;"?",CODE(C2)-65,"")</f>
        <v>1</v>
      </c>
      <c r="AK2" s="3">
        <f t="shared" ref="AK2:BN2" si="0">IF(D2&lt;&gt;"?",CODE(D2)-65,"")</f>
        <v>4</v>
      </c>
      <c r="AL2" s="3">
        <f t="shared" si="0"/>
        <v>19</v>
      </c>
      <c r="AM2" s="3">
        <f t="shared" si="0"/>
        <v>22</v>
      </c>
      <c r="AN2" s="3">
        <f t="shared" si="0"/>
        <v>4</v>
      </c>
      <c r="AO2" s="3">
        <f t="shared" si="0"/>
        <v>4</v>
      </c>
      <c r="AP2" s="3">
        <f t="shared" si="0"/>
        <v>13</v>
      </c>
      <c r="AQ2" s="3">
        <f t="shared" si="0"/>
        <v>18</v>
      </c>
      <c r="AR2" s="3">
        <f t="shared" si="0"/>
        <v>20</v>
      </c>
      <c r="AS2" s="3">
        <f t="shared" si="0"/>
        <v>1</v>
      </c>
      <c r="AT2" s="3">
        <f t="shared" si="0"/>
        <v>19</v>
      </c>
      <c r="AU2" s="3">
        <f t="shared" si="0"/>
        <v>11</v>
      </c>
      <c r="AV2" s="3">
        <f t="shared" si="0"/>
        <v>4</v>
      </c>
      <c r="AW2" s="3">
        <f t="shared" si="0"/>
        <v>18</v>
      </c>
      <c r="AX2" s="3">
        <f t="shared" si="0"/>
        <v>7</v>
      </c>
      <c r="AY2" s="3">
        <f t="shared" si="0"/>
        <v>0</v>
      </c>
      <c r="AZ2" s="3">
        <f t="shared" si="0"/>
        <v>3</v>
      </c>
      <c r="BA2" s="3">
        <f t="shared" si="0"/>
        <v>8</v>
      </c>
      <c r="BB2" s="3">
        <f t="shared" si="0"/>
        <v>13</v>
      </c>
      <c r="BC2" s="3">
        <f t="shared" si="0"/>
        <v>6</v>
      </c>
      <c r="BD2" s="3">
        <f t="shared" si="0"/>
        <v>0</v>
      </c>
      <c r="BE2" s="3">
        <f t="shared" si="0"/>
        <v>13</v>
      </c>
      <c r="BF2" s="3">
        <f t="shared" si="0"/>
        <v>3</v>
      </c>
      <c r="BG2" s="3">
        <f t="shared" si="0"/>
        <v>19</v>
      </c>
      <c r="BH2" s="3">
        <f t="shared" si="0"/>
        <v>7</v>
      </c>
      <c r="BI2" s="3">
        <f t="shared" si="0"/>
        <v>4</v>
      </c>
      <c r="BJ2" s="3">
        <f t="shared" si="0"/>
        <v>0</v>
      </c>
      <c r="BK2" s="3">
        <f t="shared" si="0"/>
        <v>1</v>
      </c>
      <c r="BL2" s="3">
        <f t="shared" si="0"/>
        <v>18</v>
      </c>
      <c r="BM2" s="3">
        <f t="shared" si="0"/>
        <v>4</v>
      </c>
      <c r="BN2" s="3">
        <f t="shared" si="0"/>
        <v>13</v>
      </c>
      <c r="BO2" s="6">
        <f>AVERAGE(AJ2:BN2)</f>
        <v>8.935483870967742</v>
      </c>
    </row>
    <row r="3" spans="1:67" ht="22">
      <c r="A3" s="1">
        <v>2</v>
      </c>
      <c r="B3" s="4" t="s">
        <v>292</v>
      </c>
      <c r="C3" s="9" t="s">
        <v>136</v>
      </c>
      <c r="D3" s="9" t="s">
        <v>123</v>
      </c>
      <c r="E3" s="9" t="s">
        <v>137</v>
      </c>
      <c r="F3" s="9" t="s">
        <v>138</v>
      </c>
      <c r="G3" s="9" t="s">
        <v>129</v>
      </c>
      <c r="H3" s="9" t="s">
        <v>133</v>
      </c>
      <c r="I3" s="9" t="s">
        <v>134</v>
      </c>
      <c r="J3" s="9" t="s">
        <v>130</v>
      </c>
      <c r="K3" s="9" t="s">
        <v>124</v>
      </c>
      <c r="L3" s="9" t="s">
        <v>129</v>
      </c>
      <c r="M3" s="9" t="s">
        <v>133</v>
      </c>
      <c r="N3" s="9" t="s">
        <v>123</v>
      </c>
      <c r="O3" s="9" t="s">
        <v>127</v>
      </c>
      <c r="P3" s="9" t="s">
        <v>124</v>
      </c>
      <c r="Q3" s="9" t="s">
        <v>130</v>
      </c>
      <c r="R3" s="9" t="s">
        <v>123</v>
      </c>
      <c r="S3" s="9" t="s">
        <v>126</v>
      </c>
      <c r="T3" s="9" t="s">
        <v>128</v>
      </c>
      <c r="U3" s="9" t="s">
        <v>131</v>
      </c>
      <c r="V3" s="9" t="s">
        <v>126</v>
      </c>
      <c r="W3" s="9" t="s">
        <v>136</v>
      </c>
      <c r="X3" s="9" t="s">
        <v>123</v>
      </c>
      <c r="Y3" s="9" t="s">
        <v>137</v>
      </c>
      <c r="Z3" s="9" t="s">
        <v>138</v>
      </c>
      <c r="AA3" s="9" t="s">
        <v>133</v>
      </c>
      <c r="AB3" s="9" t="s">
        <v>139</v>
      </c>
      <c r="AC3" s="9" t="s">
        <v>129</v>
      </c>
      <c r="AD3" s="9" t="s">
        <v>128</v>
      </c>
      <c r="AE3" s="9" t="s">
        <v>127</v>
      </c>
      <c r="AF3" s="9" t="s">
        <v>133</v>
      </c>
      <c r="AG3" s="9" t="s">
        <v>137</v>
      </c>
      <c r="AH3" s="3"/>
      <c r="AJ3" s="3">
        <f t="shared" ref="AJ3:AJ27" si="1">IF(C3&lt;&gt;"?",CODE(C3)-65,"")</f>
        <v>2</v>
      </c>
      <c r="AK3" s="3">
        <f t="shared" ref="AK3:AK27" si="2">IF(D3&lt;&gt;"?",CODE(D3)-65,"")</f>
        <v>4</v>
      </c>
      <c r="AL3" s="3">
        <f t="shared" ref="AL3:AL27" si="3">IF(E3&lt;&gt;"?",CODE(E3)-65,"")</f>
        <v>14</v>
      </c>
      <c r="AM3" s="3">
        <f t="shared" ref="AM3:AM27" si="4">IF(F3&lt;&gt;"?",CODE(F3)-65,"")</f>
        <v>5</v>
      </c>
      <c r="AN3" s="3">
        <f t="shared" ref="AN3:AN27" si="5">IF(G3&lt;&gt;"?",CODE(G3)-65,"")</f>
        <v>11</v>
      </c>
      <c r="AO3" s="3">
        <f t="shared" ref="AO3:AO27" si="6">IF(H3&lt;&gt;"?",CODE(H3)-65,"")</f>
        <v>8</v>
      </c>
      <c r="AP3" s="3">
        <f t="shared" ref="AP3:AP27" si="7">IF(I3&lt;&gt;"?",CODE(I3)-65,"")</f>
        <v>6</v>
      </c>
      <c r="AQ3" s="3">
        <f t="shared" ref="AQ3:AQ27" si="8">IF(J3&lt;&gt;"?",CODE(J3)-65,"")</f>
        <v>7</v>
      </c>
      <c r="AR3" s="3">
        <f t="shared" ref="AR3:AR27" si="9">IF(K3&lt;&gt;"?",CODE(K3)-65,"")</f>
        <v>19</v>
      </c>
      <c r="AS3" s="3">
        <f t="shared" ref="AS3:AS27" si="10">IF(L3&lt;&gt;"?",CODE(L3)-65,"")</f>
        <v>11</v>
      </c>
      <c r="AT3" s="3">
        <f t="shared" ref="AT3:AT27" si="11">IF(M3&lt;&gt;"?",CODE(M3)-65,"")</f>
        <v>8</v>
      </c>
      <c r="AU3" s="3">
        <f t="shared" ref="AU3:AU27" si="12">IF(N3&lt;&gt;"?",CODE(N3)-65,"")</f>
        <v>4</v>
      </c>
      <c r="AV3" s="3">
        <f t="shared" ref="AV3:AV27" si="13">IF(O3&lt;&gt;"?",CODE(O3)-65,"")</f>
        <v>18</v>
      </c>
      <c r="AW3" s="3">
        <f t="shared" ref="AW3:AW27" si="14">IF(P3&lt;&gt;"?",CODE(P3)-65,"")</f>
        <v>19</v>
      </c>
      <c r="AX3" s="3">
        <f t="shared" ref="AX3:AX27" si="15">IF(Q3&lt;&gt;"?",CODE(Q3)-65,"")</f>
        <v>7</v>
      </c>
      <c r="AY3" s="3">
        <f t="shared" ref="AY3:AY27" si="16">IF(R3&lt;&gt;"?",CODE(R3)-65,"")</f>
        <v>4</v>
      </c>
      <c r="AZ3" s="3">
        <f t="shared" ref="AZ3:AZ27" si="17">IF(S3&lt;&gt;"?",CODE(S3)-65,"")</f>
        <v>13</v>
      </c>
      <c r="BA3" s="3">
        <f t="shared" ref="BA3:BA27" si="18">IF(T3&lt;&gt;"?",CODE(T3)-65,"")</f>
        <v>20</v>
      </c>
      <c r="BB3" s="3">
        <f t="shared" ref="BB3:BB27" si="19">IF(U3&lt;&gt;"?",CODE(U3)-65,"")</f>
        <v>0</v>
      </c>
      <c r="BC3" s="3">
        <f t="shared" ref="BC3:BC27" si="20">IF(V3&lt;&gt;"?",CODE(V3)-65,"")</f>
        <v>13</v>
      </c>
      <c r="BD3" s="3">
        <f t="shared" ref="BD3:BD27" si="21">IF(W3&lt;&gt;"?",CODE(W3)-65,"")</f>
        <v>2</v>
      </c>
      <c r="BE3" s="3">
        <f t="shared" ref="BE3:BE27" si="22">IF(X3&lt;&gt;"?",CODE(X3)-65,"")</f>
        <v>4</v>
      </c>
      <c r="BF3" s="3">
        <f t="shared" ref="BF3:BF27" si="23">IF(Y3&lt;&gt;"?",CODE(Y3)-65,"")</f>
        <v>14</v>
      </c>
      <c r="BG3" s="3">
        <f t="shared" ref="BG3:BG27" si="24">IF(Z3&lt;&gt;"?",CODE(Z3)-65,"")</f>
        <v>5</v>
      </c>
      <c r="BH3" s="3">
        <f t="shared" ref="BH3:BH27" si="25">IF(AA3&lt;&gt;"?",CODE(AA3)-65,"")</f>
        <v>8</v>
      </c>
      <c r="BI3" s="3">
        <f t="shared" ref="BI3:BI27" si="26">IF(AB3&lt;&gt;"?",CODE(AB3)-65,"")</f>
        <v>16</v>
      </c>
      <c r="BJ3" s="3">
        <f t="shared" ref="BJ3:BJ27" si="27">IF(AC3&lt;&gt;"?",CODE(AC3)-65,"")</f>
        <v>11</v>
      </c>
      <c r="BK3" s="3">
        <f t="shared" ref="BK3:BK26" si="28">IF(AD3&lt;&gt;"?",CODE(AD3)-65,"")</f>
        <v>20</v>
      </c>
      <c r="BL3" s="3">
        <f t="shared" ref="BL3:BL26" si="29">IF(AE3&lt;&gt;"?",CODE(AE3)-65,"")</f>
        <v>18</v>
      </c>
      <c r="BM3" s="3">
        <f t="shared" ref="BM3:BM26" si="30">IF(AF3&lt;&gt;"?",CODE(AF3)-65,"")</f>
        <v>8</v>
      </c>
      <c r="BN3" s="3">
        <f t="shared" ref="BN3:BN26" si="31">IF(AG3&lt;&gt;"?",CODE(AG3)-65,"")</f>
        <v>14</v>
      </c>
      <c r="BO3" s="6">
        <f t="shared" ref="BO3:BO27" si="32">AVERAGE(AJ3:BN3)</f>
        <v>10.096774193548388</v>
      </c>
    </row>
    <row r="4" spans="1:67" ht="22">
      <c r="A4" s="1">
        <v>3</v>
      </c>
      <c r="B4" s="3" t="s">
        <v>135</v>
      </c>
      <c r="C4" s="9" t="s">
        <v>133</v>
      </c>
      <c r="D4" s="9" t="s">
        <v>124</v>
      </c>
      <c r="E4" s="9" t="s">
        <v>125</v>
      </c>
      <c r="F4" s="9" t="s">
        <v>131</v>
      </c>
      <c r="G4" s="9" t="s">
        <v>127</v>
      </c>
      <c r="H4" s="9" t="s">
        <v>124</v>
      </c>
      <c r="I4" s="9" t="s">
        <v>137</v>
      </c>
      <c r="J4" s="9" t="s">
        <v>124</v>
      </c>
      <c r="K4" s="9" t="s">
        <v>131</v>
      </c>
      <c r="L4" s="9" t="s">
        <v>129</v>
      </c>
      <c r="M4" s="9" t="s">
        <v>129</v>
      </c>
      <c r="N4" s="9" t="s">
        <v>105</v>
      </c>
      <c r="O4" s="9" t="s">
        <v>133</v>
      </c>
      <c r="P4" s="9" t="s">
        <v>126</v>
      </c>
      <c r="Q4" s="9" t="s">
        <v>106</v>
      </c>
      <c r="R4" s="9" t="s">
        <v>133</v>
      </c>
      <c r="S4" s="9" t="s">
        <v>127</v>
      </c>
      <c r="T4" s="9" t="s">
        <v>133</v>
      </c>
      <c r="U4" s="9" t="s">
        <v>122</v>
      </c>
      <c r="V4" s="9" t="s">
        <v>129</v>
      </c>
      <c r="W4" s="9" t="s">
        <v>123</v>
      </c>
      <c r="X4" s="9" t="s">
        <v>130</v>
      </c>
      <c r="Y4" s="9" t="s">
        <v>137</v>
      </c>
      <c r="Z4" s="9" t="s">
        <v>125</v>
      </c>
      <c r="AA4" s="9" t="s">
        <v>127</v>
      </c>
      <c r="AB4" s="9" t="s">
        <v>124</v>
      </c>
      <c r="AC4" s="9" t="s">
        <v>130</v>
      </c>
      <c r="AD4" s="9" t="s">
        <v>131</v>
      </c>
      <c r="AE4" s="9" t="s">
        <v>124</v>
      </c>
      <c r="AF4" s="9" t="s">
        <v>107</v>
      </c>
      <c r="AG4" s="9" t="s">
        <v>137</v>
      </c>
      <c r="AH4" s="3"/>
      <c r="AJ4" s="3">
        <f t="shared" si="1"/>
        <v>8</v>
      </c>
      <c r="AK4" s="3">
        <f t="shared" si="2"/>
        <v>19</v>
      </c>
      <c r="AL4" s="3">
        <f t="shared" si="3"/>
        <v>22</v>
      </c>
      <c r="AM4" s="3">
        <f t="shared" si="4"/>
        <v>0</v>
      </c>
      <c r="AN4" s="3">
        <f t="shared" si="5"/>
        <v>18</v>
      </c>
      <c r="AO4" s="3">
        <f t="shared" si="6"/>
        <v>19</v>
      </c>
      <c r="AP4" s="3">
        <f t="shared" si="7"/>
        <v>14</v>
      </c>
      <c r="AQ4" s="3">
        <f t="shared" si="8"/>
        <v>19</v>
      </c>
      <c r="AR4" s="3">
        <f t="shared" si="9"/>
        <v>0</v>
      </c>
      <c r="AS4" s="3">
        <f t="shared" si="10"/>
        <v>11</v>
      </c>
      <c r="AT4" s="3">
        <f t="shared" si="11"/>
        <v>11</v>
      </c>
      <c r="AU4" s="3">
        <f t="shared" si="12"/>
        <v>24</v>
      </c>
      <c r="AV4" s="3">
        <f t="shared" si="13"/>
        <v>8</v>
      </c>
      <c r="AW4" s="3">
        <f t="shared" si="14"/>
        <v>13</v>
      </c>
      <c r="AX4" s="3">
        <f t="shared" si="15"/>
        <v>21</v>
      </c>
      <c r="AY4" s="3">
        <f t="shared" si="16"/>
        <v>8</v>
      </c>
      <c r="AZ4" s="3">
        <f t="shared" si="17"/>
        <v>18</v>
      </c>
      <c r="BA4" s="3">
        <f t="shared" si="18"/>
        <v>8</v>
      </c>
      <c r="BB4" s="3">
        <f t="shared" si="19"/>
        <v>1</v>
      </c>
      <c r="BC4" s="3">
        <f t="shared" si="20"/>
        <v>11</v>
      </c>
      <c r="BD4" s="3">
        <f t="shared" si="21"/>
        <v>4</v>
      </c>
      <c r="BE4" s="3">
        <f t="shared" si="22"/>
        <v>7</v>
      </c>
      <c r="BF4" s="3">
        <f t="shared" si="23"/>
        <v>14</v>
      </c>
      <c r="BG4" s="3">
        <f t="shared" si="24"/>
        <v>22</v>
      </c>
      <c r="BH4" s="3">
        <f t="shared" si="25"/>
        <v>18</v>
      </c>
      <c r="BI4" s="3">
        <f t="shared" si="26"/>
        <v>19</v>
      </c>
      <c r="BJ4" s="3">
        <f t="shared" si="27"/>
        <v>7</v>
      </c>
      <c r="BK4" s="3">
        <f t="shared" si="28"/>
        <v>0</v>
      </c>
      <c r="BL4" s="3">
        <f t="shared" si="29"/>
        <v>19</v>
      </c>
      <c r="BM4" s="3">
        <f t="shared" si="30"/>
        <v>15</v>
      </c>
      <c r="BN4" s="3">
        <f t="shared" si="31"/>
        <v>14</v>
      </c>
      <c r="BO4" s="6">
        <f t="shared" si="32"/>
        <v>12.64516129032258</v>
      </c>
    </row>
    <row r="5" spans="1:67" ht="22">
      <c r="A5" s="1">
        <v>4</v>
      </c>
      <c r="B5" s="3"/>
      <c r="C5" s="9" t="s">
        <v>127</v>
      </c>
      <c r="D5" s="9" t="s">
        <v>127</v>
      </c>
      <c r="E5" s="9" t="s">
        <v>133</v>
      </c>
      <c r="F5" s="9" t="s">
        <v>122</v>
      </c>
      <c r="G5" s="9" t="s">
        <v>129</v>
      </c>
      <c r="H5" s="9" t="s">
        <v>123</v>
      </c>
      <c r="I5" s="9" t="s">
        <v>108</v>
      </c>
      <c r="J5" s="9" t="s">
        <v>124</v>
      </c>
      <c r="K5" s="9" t="s">
        <v>130</v>
      </c>
      <c r="L5" s="9" t="s">
        <v>123</v>
      </c>
      <c r="M5" s="9" t="s">
        <v>105</v>
      </c>
      <c r="N5" s="9" t="s">
        <v>128</v>
      </c>
      <c r="O5" s="9" t="s">
        <v>127</v>
      </c>
      <c r="P5" s="9" t="s">
        <v>123</v>
      </c>
      <c r="Q5" s="9" t="s">
        <v>132</v>
      </c>
      <c r="R5" s="9" t="s">
        <v>124</v>
      </c>
      <c r="S5" s="9" t="s">
        <v>130</v>
      </c>
      <c r="T5" s="9" t="s">
        <v>123</v>
      </c>
      <c r="U5" s="9" t="s">
        <v>123</v>
      </c>
      <c r="V5" s="9" t="s">
        <v>131</v>
      </c>
      <c r="W5" s="9" t="s">
        <v>109</v>
      </c>
      <c r="X5" s="9" t="s">
        <v>124</v>
      </c>
      <c r="Y5" s="9" t="s">
        <v>130</v>
      </c>
      <c r="Z5" s="9" t="s">
        <v>127</v>
      </c>
      <c r="AA5" s="9" t="s">
        <v>110</v>
      </c>
      <c r="AB5" s="9" t="s">
        <v>131</v>
      </c>
      <c r="AC5" s="9" t="s">
        <v>134</v>
      </c>
      <c r="AD5" s="9" t="s">
        <v>126</v>
      </c>
      <c r="AE5" s="9" t="s">
        <v>123</v>
      </c>
      <c r="AF5" s="9" t="s">
        <v>124</v>
      </c>
      <c r="AG5" s="9" t="s">
        <v>133</v>
      </c>
      <c r="AH5" s="3"/>
      <c r="AJ5" s="3">
        <f t="shared" si="1"/>
        <v>18</v>
      </c>
      <c r="AK5" s="3">
        <f t="shared" si="2"/>
        <v>18</v>
      </c>
      <c r="AL5" s="3">
        <f t="shared" si="3"/>
        <v>8</v>
      </c>
      <c r="AM5" s="3">
        <f t="shared" si="4"/>
        <v>1</v>
      </c>
      <c r="AN5" s="3">
        <f t="shared" si="5"/>
        <v>11</v>
      </c>
      <c r="AO5" s="3">
        <f t="shared" si="6"/>
        <v>4</v>
      </c>
      <c r="AP5" s="5" t="str">
        <f t="shared" si="7"/>
        <v/>
      </c>
      <c r="AQ5" s="3">
        <f t="shared" si="8"/>
        <v>19</v>
      </c>
      <c r="AR5" s="3">
        <f t="shared" si="9"/>
        <v>7</v>
      </c>
      <c r="AS5" s="3">
        <f t="shared" si="10"/>
        <v>4</v>
      </c>
      <c r="AT5" s="3">
        <f t="shared" si="11"/>
        <v>24</v>
      </c>
      <c r="AU5" s="3">
        <f t="shared" si="12"/>
        <v>20</v>
      </c>
      <c r="AV5" s="3">
        <f t="shared" si="13"/>
        <v>18</v>
      </c>
      <c r="AW5" s="3">
        <f t="shared" si="14"/>
        <v>4</v>
      </c>
      <c r="AX5" s="3">
        <f t="shared" si="15"/>
        <v>3</v>
      </c>
      <c r="AY5" s="3">
        <f t="shared" si="16"/>
        <v>19</v>
      </c>
      <c r="AZ5" s="3">
        <f t="shared" si="17"/>
        <v>7</v>
      </c>
      <c r="BA5" s="3">
        <f t="shared" si="18"/>
        <v>4</v>
      </c>
      <c r="BB5" s="3">
        <f t="shared" si="19"/>
        <v>4</v>
      </c>
      <c r="BC5" s="3">
        <f t="shared" si="20"/>
        <v>0</v>
      </c>
      <c r="BD5" s="3">
        <f t="shared" si="21"/>
        <v>17</v>
      </c>
      <c r="BE5" s="3">
        <f t="shared" si="22"/>
        <v>19</v>
      </c>
      <c r="BF5" s="3">
        <f t="shared" si="23"/>
        <v>7</v>
      </c>
      <c r="BG5" s="3">
        <f t="shared" si="24"/>
        <v>18</v>
      </c>
      <c r="BH5" s="3">
        <f t="shared" si="25"/>
        <v>12</v>
      </c>
      <c r="BI5" s="3">
        <f t="shared" si="26"/>
        <v>0</v>
      </c>
      <c r="BJ5" s="3">
        <f t="shared" si="27"/>
        <v>6</v>
      </c>
      <c r="BK5" s="3">
        <f t="shared" si="28"/>
        <v>13</v>
      </c>
      <c r="BL5" s="3">
        <f t="shared" si="29"/>
        <v>4</v>
      </c>
      <c r="BM5" s="3">
        <f t="shared" si="30"/>
        <v>19</v>
      </c>
      <c r="BN5" s="3">
        <f t="shared" si="31"/>
        <v>8</v>
      </c>
      <c r="BO5" s="6">
        <f t="shared" si="32"/>
        <v>10.533333333333333</v>
      </c>
    </row>
    <row r="6" spans="1:67" ht="22">
      <c r="A6" s="1">
        <v>5</v>
      </c>
      <c r="B6" s="3" t="s">
        <v>104</v>
      </c>
      <c r="C6" s="9" t="s">
        <v>138</v>
      </c>
      <c r="D6" s="9" t="s">
        <v>133</v>
      </c>
      <c r="E6" s="9" t="s">
        <v>123</v>
      </c>
      <c r="F6" s="9" t="s">
        <v>129</v>
      </c>
      <c r="G6" s="9" t="s">
        <v>132</v>
      </c>
      <c r="H6" s="9" t="s">
        <v>111</v>
      </c>
      <c r="I6" s="9" t="s">
        <v>124</v>
      </c>
      <c r="J6" s="9" t="s">
        <v>130</v>
      </c>
      <c r="K6" s="9" t="s">
        <v>123</v>
      </c>
      <c r="L6" s="9" t="s">
        <v>133</v>
      </c>
      <c r="M6" s="9" t="s">
        <v>126</v>
      </c>
      <c r="N6" s="9" t="s">
        <v>138</v>
      </c>
      <c r="O6" s="9" t="s">
        <v>137</v>
      </c>
      <c r="P6" s="9" t="s">
        <v>109</v>
      </c>
      <c r="Q6" s="9" t="s">
        <v>110</v>
      </c>
      <c r="R6" s="9" t="s">
        <v>131</v>
      </c>
      <c r="S6" s="9" t="s">
        <v>124</v>
      </c>
      <c r="T6" s="9" t="s">
        <v>133</v>
      </c>
      <c r="U6" s="9" t="s">
        <v>137</v>
      </c>
      <c r="V6" s="9" t="s">
        <v>126</v>
      </c>
      <c r="W6" s="9" t="s">
        <v>125</v>
      </c>
      <c r="X6" s="9" t="s">
        <v>131</v>
      </c>
      <c r="Y6" s="9" t="s">
        <v>127</v>
      </c>
      <c r="Z6" s="9" t="s">
        <v>134</v>
      </c>
      <c r="AA6" s="9" t="s">
        <v>131</v>
      </c>
      <c r="AB6" s="9" t="s">
        <v>124</v>
      </c>
      <c r="AC6" s="9" t="s">
        <v>130</v>
      </c>
      <c r="AD6" s="9" t="s">
        <v>123</v>
      </c>
      <c r="AE6" s="9" t="s">
        <v>109</v>
      </c>
      <c r="AF6" s="9" t="s">
        <v>123</v>
      </c>
      <c r="AG6" s="9" t="s">
        <v>132</v>
      </c>
      <c r="AH6" s="3"/>
      <c r="AJ6" s="3">
        <f t="shared" si="1"/>
        <v>5</v>
      </c>
      <c r="AK6" s="3">
        <f t="shared" si="2"/>
        <v>8</v>
      </c>
      <c r="AL6" s="3">
        <f t="shared" si="3"/>
        <v>4</v>
      </c>
      <c r="AM6" s="3">
        <f t="shared" si="4"/>
        <v>11</v>
      </c>
      <c r="AN6" s="3">
        <f t="shared" si="5"/>
        <v>3</v>
      </c>
      <c r="AO6" s="3">
        <f t="shared" si="6"/>
        <v>23</v>
      </c>
      <c r="AP6" s="3">
        <f t="shared" si="7"/>
        <v>19</v>
      </c>
      <c r="AQ6" s="3">
        <f t="shared" si="8"/>
        <v>7</v>
      </c>
      <c r="AR6" s="3">
        <f t="shared" si="9"/>
        <v>4</v>
      </c>
      <c r="AS6" s="3">
        <f t="shared" si="10"/>
        <v>8</v>
      </c>
      <c r="AT6" s="3">
        <f t="shared" si="11"/>
        <v>13</v>
      </c>
      <c r="AU6" s="3">
        <f t="shared" si="12"/>
        <v>5</v>
      </c>
      <c r="AV6" s="3">
        <f t="shared" si="13"/>
        <v>14</v>
      </c>
      <c r="AW6" s="3">
        <f t="shared" si="14"/>
        <v>17</v>
      </c>
      <c r="AX6" s="3">
        <f t="shared" si="15"/>
        <v>12</v>
      </c>
      <c r="AY6" s="3">
        <f t="shared" si="16"/>
        <v>0</v>
      </c>
      <c r="AZ6" s="3">
        <f t="shared" si="17"/>
        <v>19</v>
      </c>
      <c r="BA6" s="3">
        <f t="shared" si="18"/>
        <v>8</v>
      </c>
      <c r="BB6" s="3">
        <f t="shared" si="19"/>
        <v>14</v>
      </c>
      <c r="BC6" s="3">
        <f t="shared" si="20"/>
        <v>13</v>
      </c>
      <c r="BD6" s="3">
        <f t="shared" si="21"/>
        <v>22</v>
      </c>
      <c r="BE6" s="3">
        <f t="shared" si="22"/>
        <v>0</v>
      </c>
      <c r="BF6" s="3">
        <f t="shared" si="23"/>
        <v>18</v>
      </c>
      <c r="BG6" s="3">
        <f t="shared" si="24"/>
        <v>6</v>
      </c>
      <c r="BH6" s="3">
        <f t="shared" si="25"/>
        <v>0</v>
      </c>
      <c r="BI6" s="3">
        <f t="shared" si="26"/>
        <v>19</v>
      </c>
      <c r="BJ6" s="3">
        <f t="shared" si="27"/>
        <v>7</v>
      </c>
      <c r="BK6" s="3">
        <f t="shared" si="28"/>
        <v>4</v>
      </c>
      <c r="BL6" s="3">
        <f t="shared" si="29"/>
        <v>17</v>
      </c>
      <c r="BM6" s="3">
        <f t="shared" si="30"/>
        <v>4</v>
      </c>
      <c r="BN6" s="3">
        <f t="shared" si="31"/>
        <v>3</v>
      </c>
      <c r="BO6" s="6">
        <f t="shared" si="32"/>
        <v>9.9032258064516121</v>
      </c>
    </row>
    <row r="7" spans="1:67" ht="22">
      <c r="A7" s="1">
        <v>6</v>
      </c>
      <c r="B7" s="3"/>
      <c r="C7" s="9" t="s">
        <v>131</v>
      </c>
      <c r="D7" s="9" t="s">
        <v>126</v>
      </c>
      <c r="E7" s="9" t="s">
        <v>132</v>
      </c>
      <c r="F7" s="9" t="s">
        <v>124</v>
      </c>
      <c r="G7" s="9" t="s">
        <v>109</v>
      </c>
      <c r="H7" s="9" t="s">
        <v>131</v>
      </c>
      <c r="I7" s="9" t="s">
        <v>126</v>
      </c>
      <c r="J7" s="9" t="s">
        <v>127</v>
      </c>
      <c r="K7" s="9" t="s">
        <v>110</v>
      </c>
      <c r="L7" s="9" t="s">
        <v>133</v>
      </c>
      <c r="M7" s="9" t="s">
        <v>124</v>
      </c>
      <c r="N7" s="9" t="s">
        <v>124</v>
      </c>
      <c r="O7" s="9" t="s">
        <v>123</v>
      </c>
      <c r="P7" s="9" t="s">
        <v>132</v>
      </c>
      <c r="Q7" s="9" t="s">
        <v>128</v>
      </c>
      <c r="R7" s="9" t="s">
        <v>126</v>
      </c>
      <c r="S7" s="9" t="s">
        <v>132</v>
      </c>
      <c r="T7" s="9" t="s">
        <v>123</v>
      </c>
      <c r="U7" s="9" t="s">
        <v>109</v>
      </c>
      <c r="V7" s="9" t="s">
        <v>134</v>
      </c>
      <c r="W7" s="9" t="s">
        <v>109</v>
      </c>
      <c r="X7" s="9" t="s">
        <v>128</v>
      </c>
      <c r="Y7" s="9" t="s">
        <v>128</v>
      </c>
      <c r="Z7" s="9" t="s">
        <v>126</v>
      </c>
      <c r="AA7" s="9" t="s">
        <v>132</v>
      </c>
      <c r="AB7" s="9" t="s">
        <v>124</v>
      </c>
      <c r="AC7" s="9" t="s">
        <v>137</v>
      </c>
      <c r="AD7" s="9" t="s">
        <v>131</v>
      </c>
      <c r="AE7" s="9" t="s">
        <v>126</v>
      </c>
      <c r="AF7" s="9" t="s">
        <v>128</v>
      </c>
      <c r="AG7" s="9" t="s">
        <v>126</v>
      </c>
      <c r="AH7" s="3"/>
      <c r="AJ7" s="3">
        <f t="shared" si="1"/>
        <v>0</v>
      </c>
      <c r="AK7" s="3">
        <f t="shared" si="2"/>
        <v>13</v>
      </c>
      <c r="AL7" s="3">
        <f t="shared" si="3"/>
        <v>3</v>
      </c>
      <c r="AM7" s="3">
        <f t="shared" si="4"/>
        <v>19</v>
      </c>
      <c r="AN7" s="3">
        <f t="shared" si="5"/>
        <v>17</v>
      </c>
      <c r="AO7" s="3">
        <f t="shared" si="6"/>
        <v>0</v>
      </c>
      <c r="AP7" s="3">
        <f t="shared" si="7"/>
        <v>13</v>
      </c>
      <c r="AQ7" s="3">
        <f t="shared" si="8"/>
        <v>18</v>
      </c>
      <c r="AR7" s="3">
        <f t="shared" si="9"/>
        <v>12</v>
      </c>
      <c r="AS7" s="3">
        <f t="shared" si="10"/>
        <v>8</v>
      </c>
      <c r="AT7" s="3">
        <f t="shared" si="11"/>
        <v>19</v>
      </c>
      <c r="AU7" s="3">
        <f t="shared" si="12"/>
        <v>19</v>
      </c>
      <c r="AV7" s="3">
        <f t="shared" si="13"/>
        <v>4</v>
      </c>
      <c r="AW7" s="3">
        <f t="shared" si="14"/>
        <v>3</v>
      </c>
      <c r="AX7" s="3">
        <f t="shared" si="15"/>
        <v>20</v>
      </c>
      <c r="AY7" s="3">
        <f t="shared" si="16"/>
        <v>13</v>
      </c>
      <c r="AZ7" s="3">
        <f t="shared" si="17"/>
        <v>3</v>
      </c>
      <c r="BA7" s="3">
        <f t="shared" si="18"/>
        <v>4</v>
      </c>
      <c r="BB7" s="3">
        <f t="shared" si="19"/>
        <v>17</v>
      </c>
      <c r="BC7" s="3">
        <f t="shared" si="20"/>
        <v>6</v>
      </c>
      <c r="BD7" s="3">
        <f t="shared" si="21"/>
        <v>17</v>
      </c>
      <c r="BE7" s="3">
        <f t="shared" si="22"/>
        <v>20</v>
      </c>
      <c r="BF7" s="3">
        <f t="shared" si="23"/>
        <v>20</v>
      </c>
      <c r="BG7" s="3">
        <f t="shared" si="24"/>
        <v>13</v>
      </c>
      <c r="BH7" s="3">
        <f t="shared" si="25"/>
        <v>3</v>
      </c>
      <c r="BI7" s="3">
        <f t="shared" si="26"/>
        <v>19</v>
      </c>
      <c r="BJ7" s="3">
        <f t="shared" si="27"/>
        <v>14</v>
      </c>
      <c r="BK7" s="3">
        <f t="shared" si="28"/>
        <v>0</v>
      </c>
      <c r="BL7" s="3">
        <f t="shared" si="29"/>
        <v>13</v>
      </c>
      <c r="BM7" s="3">
        <f t="shared" si="30"/>
        <v>20</v>
      </c>
      <c r="BN7" s="3">
        <f t="shared" si="31"/>
        <v>13</v>
      </c>
      <c r="BO7" s="6">
        <f t="shared" si="32"/>
        <v>11.709677419354838</v>
      </c>
    </row>
    <row r="8" spans="1:67" ht="22">
      <c r="A8" s="1">
        <v>7</v>
      </c>
      <c r="B8" s="3"/>
      <c r="C8" s="9" t="s">
        <v>112</v>
      </c>
      <c r="D8" s="9" t="s">
        <v>126</v>
      </c>
      <c r="E8" s="9" t="s">
        <v>137</v>
      </c>
      <c r="F8" s="9" t="s">
        <v>125</v>
      </c>
      <c r="G8" s="9" t="s">
        <v>126</v>
      </c>
      <c r="H8" s="9" t="s">
        <v>129</v>
      </c>
      <c r="I8" s="9" t="s">
        <v>137</v>
      </c>
      <c r="J8" s="9" t="s">
        <v>136</v>
      </c>
      <c r="K8" s="9" t="s">
        <v>131</v>
      </c>
      <c r="L8" s="9" t="s">
        <v>124</v>
      </c>
      <c r="M8" s="9" t="s">
        <v>133</v>
      </c>
      <c r="N8" s="9" t="s">
        <v>137</v>
      </c>
      <c r="O8" s="9" t="s">
        <v>126</v>
      </c>
      <c r="P8" s="9" t="s">
        <v>111</v>
      </c>
      <c r="Q8" s="9" t="s">
        <v>132</v>
      </c>
      <c r="R8" s="9" t="s">
        <v>137</v>
      </c>
      <c r="S8" s="9" t="s">
        <v>123</v>
      </c>
      <c r="T8" s="9" t="s">
        <v>127</v>
      </c>
      <c r="U8" s="9" t="s">
        <v>129</v>
      </c>
      <c r="V8" s="9" t="s">
        <v>131</v>
      </c>
      <c r="W8" s="9" t="s">
        <v>126</v>
      </c>
      <c r="X8" s="9" t="s">
        <v>134</v>
      </c>
      <c r="Y8" s="9" t="s">
        <v>129</v>
      </c>
      <c r="Z8" s="9" t="s">
        <v>123</v>
      </c>
      <c r="AA8" s="9" t="s">
        <v>105</v>
      </c>
      <c r="AB8" s="9" t="s">
        <v>112</v>
      </c>
      <c r="AC8" s="9" t="s">
        <v>126</v>
      </c>
      <c r="AD8" s="9" t="s">
        <v>137</v>
      </c>
      <c r="AE8" s="9" t="s">
        <v>125</v>
      </c>
      <c r="AF8" s="9" t="s">
        <v>131</v>
      </c>
      <c r="AG8" s="9" t="s">
        <v>122</v>
      </c>
      <c r="AH8" s="3"/>
      <c r="AJ8" s="3">
        <f t="shared" si="1"/>
        <v>10</v>
      </c>
      <c r="AK8" s="3">
        <f t="shared" si="2"/>
        <v>13</v>
      </c>
      <c r="AL8" s="3">
        <f t="shared" si="3"/>
        <v>14</v>
      </c>
      <c r="AM8" s="3">
        <f t="shared" si="4"/>
        <v>22</v>
      </c>
      <c r="AN8" s="3">
        <f t="shared" si="5"/>
        <v>13</v>
      </c>
      <c r="AO8" s="3">
        <f t="shared" si="6"/>
        <v>11</v>
      </c>
      <c r="AP8" s="3">
        <f t="shared" si="7"/>
        <v>14</v>
      </c>
      <c r="AQ8" s="3">
        <f t="shared" si="8"/>
        <v>2</v>
      </c>
      <c r="AR8" s="3">
        <f t="shared" si="9"/>
        <v>0</v>
      </c>
      <c r="AS8" s="3">
        <f t="shared" si="10"/>
        <v>19</v>
      </c>
      <c r="AT8" s="3">
        <f t="shared" si="11"/>
        <v>8</v>
      </c>
      <c r="AU8" s="3">
        <f t="shared" si="12"/>
        <v>14</v>
      </c>
      <c r="AV8" s="3">
        <f t="shared" si="13"/>
        <v>13</v>
      </c>
      <c r="AW8" s="3">
        <f t="shared" si="14"/>
        <v>23</v>
      </c>
      <c r="AX8" s="3">
        <f t="shared" si="15"/>
        <v>3</v>
      </c>
      <c r="AY8" s="3">
        <f t="shared" si="16"/>
        <v>14</v>
      </c>
      <c r="AZ8" s="3">
        <f t="shared" si="17"/>
        <v>4</v>
      </c>
      <c r="BA8" s="3">
        <f t="shared" si="18"/>
        <v>18</v>
      </c>
      <c r="BB8" s="3">
        <f t="shared" si="19"/>
        <v>11</v>
      </c>
      <c r="BC8" s="3">
        <f t="shared" si="20"/>
        <v>0</v>
      </c>
      <c r="BD8" s="3">
        <f t="shared" si="21"/>
        <v>13</v>
      </c>
      <c r="BE8" s="3">
        <f t="shared" si="22"/>
        <v>6</v>
      </c>
      <c r="BF8" s="3">
        <f t="shared" si="23"/>
        <v>11</v>
      </c>
      <c r="BG8" s="3">
        <f t="shared" si="24"/>
        <v>4</v>
      </c>
      <c r="BH8" s="3">
        <f t="shared" si="25"/>
        <v>24</v>
      </c>
      <c r="BI8" s="3">
        <f t="shared" si="26"/>
        <v>10</v>
      </c>
      <c r="BJ8" s="3">
        <f t="shared" si="27"/>
        <v>13</v>
      </c>
      <c r="BK8" s="3">
        <f t="shared" si="28"/>
        <v>14</v>
      </c>
      <c r="BL8" s="3">
        <f t="shared" si="29"/>
        <v>22</v>
      </c>
      <c r="BM8" s="3">
        <f t="shared" si="30"/>
        <v>0</v>
      </c>
      <c r="BN8" s="3">
        <f t="shared" si="31"/>
        <v>1</v>
      </c>
      <c r="BO8" s="6">
        <f t="shared" si="32"/>
        <v>11.096774193548388</v>
      </c>
    </row>
    <row r="9" spans="1:67" ht="22">
      <c r="A9" s="1">
        <v>8</v>
      </c>
      <c r="B9" s="3"/>
      <c r="C9" s="9" t="s">
        <v>137</v>
      </c>
      <c r="D9" s="9" t="s">
        <v>128</v>
      </c>
      <c r="E9" s="9" t="s">
        <v>124</v>
      </c>
      <c r="F9" s="9" t="s">
        <v>124</v>
      </c>
      <c r="G9" s="9" t="s">
        <v>130</v>
      </c>
      <c r="H9" s="9" t="s">
        <v>133</v>
      </c>
      <c r="I9" s="9" t="s">
        <v>127</v>
      </c>
      <c r="J9" s="9" t="s">
        <v>108</v>
      </c>
      <c r="K9" s="9" t="s">
        <v>124</v>
      </c>
      <c r="L9" s="9" t="s">
        <v>130</v>
      </c>
      <c r="M9" s="9" t="s">
        <v>123</v>
      </c>
      <c r="N9" s="9" t="s">
        <v>105</v>
      </c>
      <c r="O9" s="9" t="s">
        <v>127</v>
      </c>
      <c r="P9" s="9" t="s">
        <v>130</v>
      </c>
      <c r="Q9" s="9" t="s">
        <v>137</v>
      </c>
      <c r="R9" s="9" t="s">
        <v>128</v>
      </c>
      <c r="S9" s="9" t="s">
        <v>129</v>
      </c>
      <c r="T9" s="9" t="s">
        <v>132</v>
      </c>
      <c r="U9" s="9" t="s">
        <v>133</v>
      </c>
      <c r="V9" s="9" t="s">
        <v>124</v>
      </c>
      <c r="W9" s="9" t="s">
        <v>127</v>
      </c>
      <c r="X9" s="9" t="s">
        <v>122</v>
      </c>
      <c r="Y9" s="9" t="s">
        <v>128</v>
      </c>
      <c r="Z9" s="9" t="s">
        <v>109</v>
      </c>
      <c r="AA9" s="9" t="s">
        <v>133</v>
      </c>
      <c r="AB9" s="10" t="s">
        <v>123</v>
      </c>
      <c r="AC9" s="10" t="s">
        <v>132</v>
      </c>
      <c r="AD9" s="9" t="s">
        <v>137</v>
      </c>
      <c r="AE9" s="9" t="s">
        <v>128</v>
      </c>
      <c r="AF9" s="9" t="s">
        <v>124</v>
      </c>
      <c r="AG9" s="9" t="s">
        <v>124</v>
      </c>
      <c r="AH9" s="3"/>
      <c r="AJ9" s="3">
        <f t="shared" si="1"/>
        <v>14</v>
      </c>
      <c r="AK9" s="3">
        <f t="shared" si="2"/>
        <v>20</v>
      </c>
      <c r="AL9" s="3">
        <f t="shared" si="3"/>
        <v>19</v>
      </c>
      <c r="AM9" s="3">
        <f t="shared" si="4"/>
        <v>19</v>
      </c>
      <c r="AN9" s="3">
        <f t="shared" si="5"/>
        <v>7</v>
      </c>
      <c r="AO9" s="3">
        <f t="shared" si="6"/>
        <v>8</v>
      </c>
      <c r="AP9" s="3">
        <f t="shared" si="7"/>
        <v>18</v>
      </c>
      <c r="AQ9" s="5" t="str">
        <f t="shared" si="8"/>
        <v/>
      </c>
      <c r="AR9" s="3">
        <f t="shared" si="9"/>
        <v>19</v>
      </c>
      <c r="AS9" s="3">
        <f t="shared" si="10"/>
        <v>7</v>
      </c>
      <c r="AT9" s="3">
        <f t="shared" si="11"/>
        <v>4</v>
      </c>
      <c r="AU9" s="3">
        <f t="shared" si="12"/>
        <v>24</v>
      </c>
      <c r="AV9" s="3">
        <f t="shared" si="13"/>
        <v>18</v>
      </c>
      <c r="AW9" s="3">
        <f t="shared" si="14"/>
        <v>7</v>
      </c>
      <c r="AX9" s="3">
        <f t="shared" si="15"/>
        <v>14</v>
      </c>
      <c r="AY9" s="3">
        <f t="shared" si="16"/>
        <v>20</v>
      </c>
      <c r="AZ9" s="3">
        <f t="shared" si="17"/>
        <v>11</v>
      </c>
      <c r="BA9" s="3">
        <f t="shared" si="18"/>
        <v>3</v>
      </c>
      <c r="BB9" s="3">
        <f t="shared" si="19"/>
        <v>8</v>
      </c>
      <c r="BC9" s="3">
        <f t="shared" si="20"/>
        <v>19</v>
      </c>
      <c r="BD9" s="3">
        <f t="shared" si="21"/>
        <v>18</v>
      </c>
      <c r="BE9" s="3">
        <f t="shared" si="22"/>
        <v>1</v>
      </c>
      <c r="BF9" s="3">
        <f t="shared" si="23"/>
        <v>20</v>
      </c>
      <c r="BG9" s="3">
        <f t="shared" si="24"/>
        <v>17</v>
      </c>
      <c r="BH9" s="3">
        <f t="shared" si="25"/>
        <v>8</v>
      </c>
      <c r="BI9" s="3">
        <f t="shared" si="26"/>
        <v>4</v>
      </c>
      <c r="BJ9" s="3">
        <f t="shared" si="27"/>
        <v>3</v>
      </c>
      <c r="BK9" s="3">
        <f t="shared" si="28"/>
        <v>14</v>
      </c>
      <c r="BL9" s="3">
        <f t="shared" si="29"/>
        <v>20</v>
      </c>
      <c r="BM9" s="3">
        <f t="shared" si="30"/>
        <v>19</v>
      </c>
      <c r="BN9" s="3">
        <f t="shared" si="31"/>
        <v>19</v>
      </c>
      <c r="BO9" s="6">
        <f t="shared" si="32"/>
        <v>13.4</v>
      </c>
    </row>
    <row r="10" spans="1:67" ht="22">
      <c r="A10" s="1">
        <v>9</v>
      </c>
      <c r="B10" s="3"/>
      <c r="C10" s="9" t="s">
        <v>130</v>
      </c>
      <c r="D10" s="9" t="s">
        <v>123</v>
      </c>
      <c r="E10" s="9" t="s">
        <v>109</v>
      </c>
      <c r="F10" s="9" t="s">
        <v>123</v>
      </c>
      <c r="G10" s="9" t="s">
        <v>127</v>
      </c>
      <c r="H10" s="9" t="s">
        <v>137</v>
      </c>
      <c r="I10" s="9" t="s">
        <v>110</v>
      </c>
      <c r="J10" s="9" t="s">
        <v>123</v>
      </c>
      <c r="K10" s="9" t="s">
        <v>125</v>
      </c>
      <c r="L10" s="9" t="s">
        <v>130</v>
      </c>
      <c r="M10" s="9" t="s">
        <v>123</v>
      </c>
      <c r="N10" s="9" t="s">
        <v>109</v>
      </c>
      <c r="O10" s="9" t="s">
        <v>123</v>
      </c>
      <c r="P10" s="9" t="s">
        <v>111</v>
      </c>
      <c r="Q10" s="9" t="s">
        <v>125</v>
      </c>
      <c r="R10" s="9" t="s">
        <v>130</v>
      </c>
      <c r="S10" s="9" t="s">
        <v>137</v>
      </c>
      <c r="T10" s="9" t="s">
        <v>112</v>
      </c>
      <c r="U10" s="9" t="s">
        <v>126</v>
      </c>
      <c r="V10" s="9" t="s">
        <v>137</v>
      </c>
      <c r="W10" s="9" t="s">
        <v>125</v>
      </c>
      <c r="X10" s="9" t="s">
        <v>127</v>
      </c>
      <c r="Y10" s="9" t="s">
        <v>124</v>
      </c>
      <c r="Z10" s="9" t="s">
        <v>130</v>
      </c>
      <c r="AA10" s="9" t="s">
        <v>123</v>
      </c>
      <c r="AB10" s="9" t="s">
        <v>123</v>
      </c>
      <c r="AC10" s="9" t="s">
        <v>111</v>
      </c>
      <c r="AD10" s="9" t="s">
        <v>131</v>
      </c>
      <c r="AE10" s="9" t="s">
        <v>136</v>
      </c>
      <c r="AF10" s="9" t="s">
        <v>124</v>
      </c>
      <c r="AG10" s="9" t="s">
        <v>129</v>
      </c>
      <c r="AH10" s="3"/>
      <c r="AJ10" s="3">
        <f t="shared" si="1"/>
        <v>7</v>
      </c>
      <c r="AK10" s="3">
        <f t="shared" si="2"/>
        <v>4</v>
      </c>
      <c r="AL10" s="3">
        <f t="shared" si="3"/>
        <v>17</v>
      </c>
      <c r="AM10" s="3">
        <f t="shared" si="4"/>
        <v>4</v>
      </c>
      <c r="AN10" s="3">
        <f t="shared" si="5"/>
        <v>18</v>
      </c>
      <c r="AO10" s="3">
        <f t="shared" si="6"/>
        <v>14</v>
      </c>
      <c r="AP10" s="3">
        <f t="shared" si="7"/>
        <v>12</v>
      </c>
      <c r="AQ10" s="3">
        <f t="shared" si="8"/>
        <v>4</v>
      </c>
      <c r="AR10" s="3">
        <f t="shared" si="9"/>
        <v>22</v>
      </c>
      <c r="AS10" s="3">
        <f t="shared" si="10"/>
        <v>7</v>
      </c>
      <c r="AT10" s="3">
        <f t="shared" si="11"/>
        <v>4</v>
      </c>
      <c r="AU10" s="3">
        <f t="shared" si="12"/>
        <v>17</v>
      </c>
      <c r="AV10" s="3">
        <f t="shared" si="13"/>
        <v>4</v>
      </c>
      <c r="AW10" s="3">
        <f t="shared" si="14"/>
        <v>23</v>
      </c>
      <c r="AX10" s="3">
        <f t="shared" si="15"/>
        <v>22</v>
      </c>
      <c r="AY10" s="3">
        <f t="shared" si="16"/>
        <v>7</v>
      </c>
      <c r="AZ10" s="3">
        <f t="shared" si="17"/>
        <v>14</v>
      </c>
      <c r="BA10" s="3">
        <f t="shared" si="18"/>
        <v>10</v>
      </c>
      <c r="BB10" s="3">
        <f t="shared" si="19"/>
        <v>13</v>
      </c>
      <c r="BC10" s="3">
        <f t="shared" si="20"/>
        <v>14</v>
      </c>
      <c r="BD10" s="3">
        <f t="shared" si="21"/>
        <v>22</v>
      </c>
      <c r="BE10" s="3">
        <f t="shared" si="22"/>
        <v>18</v>
      </c>
      <c r="BF10" s="3">
        <f t="shared" si="23"/>
        <v>19</v>
      </c>
      <c r="BG10" s="3">
        <f t="shared" si="24"/>
        <v>7</v>
      </c>
      <c r="BH10" s="3">
        <f t="shared" si="25"/>
        <v>4</v>
      </c>
      <c r="BI10" s="3">
        <f t="shared" si="26"/>
        <v>4</v>
      </c>
      <c r="BJ10" s="3">
        <f t="shared" si="27"/>
        <v>23</v>
      </c>
      <c r="BK10" s="3">
        <f t="shared" si="28"/>
        <v>0</v>
      </c>
      <c r="BL10" s="3">
        <f t="shared" si="29"/>
        <v>2</v>
      </c>
      <c r="BM10" s="3">
        <f t="shared" si="30"/>
        <v>19</v>
      </c>
      <c r="BN10" s="3">
        <f t="shared" si="31"/>
        <v>11</v>
      </c>
      <c r="BO10" s="6">
        <f t="shared" si="32"/>
        <v>11.806451612903226</v>
      </c>
    </row>
    <row r="11" spans="1:67" ht="22">
      <c r="A11" s="1">
        <v>10</v>
      </c>
      <c r="B11" s="3"/>
      <c r="C11" s="9" t="s">
        <v>137</v>
      </c>
      <c r="D11" s="9" t="s">
        <v>136</v>
      </c>
      <c r="E11" s="9" t="s">
        <v>131</v>
      </c>
      <c r="F11" s="9" t="s">
        <v>124</v>
      </c>
      <c r="G11" s="9" t="s">
        <v>133</v>
      </c>
      <c r="H11" s="9" t="s">
        <v>137</v>
      </c>
      <c r="I11" s="9" t="s">
        <v>126</v>
      </c>
      <c r="J11" s="9" t="s">
        <v>108</v>
      </c>
      <c r="K11" s="9" t="s">
        <v>137</v>
      </c>
      <c r="L11" s="9" t="s">
        <v>126</v>
      </c>
      <c r="M11" s="9" t="s">
        <v>129</v>
      </c>
      <c r="N11" s="9" t="s">
        <v>105</v>
      </c>
      <c r="O11" s="9" t="s">
        <v>125</v>
      </c>
      <c r="P11" s="9" t="s">
        <v>125</v>
      </c>
      <c r="Q11" s="9" t="s">
        <v>124</v>
      </c>
      <c r="R11" s="9" t="s">
        <v>130</v>
      </c>
      <c r="S11" s="9" t="s">
        <v>133</v>
      </c>
      <c r="T11" s="9" t="s">
        <v>127</v>
      </c>
      <c r="U11" s="9" t="s">
        <v>125</v>
      </c>
      <c r="V11" s="9" t="s">
        <v>131</v>
      </c>
      <c r="W11" s="9" t="s">
        <v>127</v>
      </c>
      <c r="X11" s="9" t="s">
        <v>130</v>
      </c>
      <c r="Y11" s="9" t="s">
        <v>133</v>
      </c>
      <c r="Z11" s="9" t="s">
        <v>127</v>
      </c>
      <c r="AA11" s="9" t="s">
        <v>129</v>
      </c>
      <c r="AB11" s="9" t="s">
        <v>131</v>
      </c>
      <c r="AC11" s="9" t="s">
        <v>127</v>
      </c>
      <c r="AD11" s="9" t="s">
        <v>124</v>
      </c>
      <c r="AE11" s="9" t="s">
        <v>110</v>
      </c>
      <c r="AF11" s="9" t="s">
        <v>123</v>
      </c>
      <c r="AG11" s="9" t="s">
        <v>127</v>
      </c>
      <c r="AH11" s="3"/>
      <c r="AJ11" s="3">
        <f t="shared" si="1"/>
        <v>14</v>
      </c>
      <c r="AK11" s="3">
        <f t="shared" si="2"/>
        <v>2</v>
      </c>
      <c r="AL11" s="3">
        <f t="shared" si="3"/>
        <v>0</v>
      </c>
      <c r="AM11" s="3">
        <f t="shared" si="4"/>
        <v>19</v>
      </c>
      <c r="AN11" s="3">
        <f t="shared" si="5"/>
        <v>8</v>
      </c>
      <c r="AO11" s="3">
        <f t="shared" si="6"/>
        <v>14</v>
      </c>
      <c r="AP11" s="3">
        <f t="shared" si="7"/>
        <v>13</v>
      </c>
      <c r="AQ11" s="5" t="str">
        <f t="shared" si="8"/>
        <v/>
      </c>
      <c r="AR11" s="3">
        <f t="shared" si="9"/>
        <v>14</v>
      </c>
      <c r="AS11" s="3">
        <f t="shared" si="10"/>
        <v>13</v>
      </c>
      <c r="AT11" s="3">
        <f t="shared" si="11"/>
        <v>11</v>
      </c>
      <c r="AU11" s="3">
        <f t="shared" si="12"/>
        <v>24</v>
      </c>
      <c r="AV11" s="3">
        <f t="shared" si="13"/>
        <v>22</v>
      </c>
      <c r="AW11" s="3">
        <f t="shared" si="14"/>
        <v>22</v>
      </c>
      <c r="AX11" s="3">
        <f t="shared" si="15"/>
        <v>19</v>
      </c>
      <c r="AY11" s="3">
        <f t="shared" si="16"/>
        <v>7</v>
      </c>
      <c r="AZ11" s="3">
        <f t="shared" si="17"/>
        <v>8</v>
      </c>
      <c r="BA11" s="3">
        <f t="shared" si="18"/>
        <v>18</v>
      </c>
      <c r="BB11" s="3">
        <f t="shared" si="19"/>
        <v>22</v>
      </c>
      <c r="BC11" s="3">
        <f t="shared" si="20"/>
        <v>0</v>
      </c>
      <c r="BD11" s="3">
        <f t="shared" si="21"/>
        <v>18</v>
      </c>
      <c r="BE11" s="3">
        <f t="shared" si="22"/>
        <v>7</v>
      </c>
      <c r="BF11" s="3">
        <f t="shared" si="23"/>
        <v>8</v>
      </c>
      <c r="BG11" s="3">
        <f t="shared" si="24"/>
        <v>18</v>
      </c>
      <c r="BH11" s="3">
        <f t="shared" si="25"/>
        <v>11</v>
      </c>
      <c r="BI11" s="3">
        <f t="shared" si="26"/>
        <v>0</v>
      </c>
      <c r="BJ11" s="3">
        <f t="shared" si="27"/>
        <v>18</v>
      </c>
      <c r="BK11" s="3">
        <f t="shared" si="28"/>
        <v>19</v>
      </c>
      <c r="BL11" s="3">
        <f t="shared" si="29"/>
        <v>12</v>
      </c>
      <c r="BM11" s="3">
        <f t="shared" si="30"/>
        <v>4</v>
      </c>
      <c r="BN11" s="3">
        <f t="shared" si="31"/>
        <v>18</v>
      </c>
      <c r="BO11" s="6">
        <f t="shared" si="32"/>
        <v>12.766666666666667</v>
      </c>
    </row>
    <row r="12" spans="1:67" ht="22">
      <c r="A12" s="1">
        <v>11</v>
      </c>
      <c r="B12" s="3"/>
      <c r="C12" s="9" t="s">
        <v>127</v>
      </c>
      <c r="D12" s="9" t="s">
        <v>131</v>
      </c>
      <c r="E12" s="9" t="s">
        <v>134</v>
      </c>
      <c r="F12" s="9" t="s">
        <v>123</v>
      </c>
      <c r="G12" s="9" t="s">
        <v>111</v>
      </c>
      <c r="H12" s="9" t="s">
        <v>124</v>
      </c>
      <c r="I12" s="9" t="s">
        <v>130</v>
      </c>
      <c r="J12" s="9" t="s">
        <v>133</v>
      </c>
      <c r="K12" s="9" t="s">
        <v>109</v>
      </c>
      <c r="L12" s="9" t="s">
        <v>124</v>
      </c>
      <c r="M12" s="9" t="s">
        <v>105</v>
      </c>
      <c r="N12" s="9" t="s">
        <v>123</v>
      </c>
      <c r="O12" s="9" t="s">
        <v>133</v>
      </c>
      <c r="P12" s="9" t="s">
        <v>134</v>
      </c>
      <c r="Q12" s="9" t="s">
        <v>130</v>
      </c>
      <c r="R12" s="9" t="s">
        <v>124</v>
      </c>
      <c r="S12" s="9" t="s">
        <v>132</v>
      </c>
      <c r="T12" s="9" t="s">
        <v>123</v>
      </c>
      <c r="U12" s="9" t="s">
        <v>134</v>
      </c>
      <c r="V12" s="9" t="s">
        <v>109</v>
      </c>
      <c r="W12" s="9" t="s">
        <v>123</v>
      </c>
      <c r="X12" s="9" t="s">
        <v>123</v>
      </c>
      <c r="Y12" s="9" t="s">
        <v>127</v>
      </c>
      <c r="Z12" s="9" t="s">
        <v>138</v>
      </c>
      <c r="AA12" s="9" t="s">
        <v>133</v>
      </c>
      <c r="AB12" s="9" t="s">
        <v>138</v>
      </c>
      <c r="AC12" s="9" t="s">
        <v>124</v>
      </c>
      <c r="AD12" s="9" t="s">
        <v>105</v>
      </c>
      <c r="AE12" s="9" t="s">
        <v>127</v>
      </c>
      <c r="AF12" s="9" t="s">
        <v>123</v>
      </c>
      <c r="AG12" s="9" t="s">
        <v>106</v>
      </c>
      <c r="AH12" s="3"/>
      <c r="AJ12" s="3">
        <f t="shared" si="1"/>
        <v>18</v>
      </c>
      <c r="AK12" s="3">
        <f t="shared" si="2"/>
        <v>0</v>
      </c>
      <c r="AL12" s="3">
        <f t="shared" si="3"/>
        <v>6</v>
      </c>
      <c r="AM12" s="3">
        <f t="shared" si="4"/>
        <v>4</v>
      </c>
      <c r="AN12" s="3">
        <f t="shared" si="5"/>
        <v>23</v>
      </c>
      <c r="AO12" s="3">
        <f t="shared" si="6"/>
        <v>19</v>
      </c>
      <c r="AP12" s="3">
        <f t="shared" si="7"/>
        <v>7</v>
      </c>
      <c r="AQ12" s="3">
        <f t="shared" si="8"/>
        <v>8</v>
      </c>
      <c r="AR12" s="3">
        <f t="shared" si="9"/>
        <v>17</v>
      </c>
      <c r="AS12" s="3">
        <f t="shared" si="10"/>
        <v>19</v>
      </c>
      <c r="AT12" s="3">
        <f t="shared" si="11"/>
        <v>24</v>
      </c>
      <c r="AU12" s="3">
        <f t="shared" si="12"/>
        <v>4</v>
      </c>
      <c r="AV12" s="3">
        <f t="shared" si="13"/>
        <v>8</v>
      </c>
      <c r="AW12" s="3">
        <f t="shared" si="14"/>
        <v>6</v>
      </c>
      <c r="AX12" s="3">
        <f t="shared" si="15"/>
        <v>7</v>
      </c>
      <c r="AY12" s="3">
        <f t="shared" si="16"/>
        <v>19</v>
      </c>
      <c r="AZ12" s="3">
        <f t="shared" si="17"/>
        <v>3</v>
      </c>
      <c r="BA12" s="3">
        <f t="shared" si="18"/>
        <v>4</v>
      </c>
      <c r="BB12" s="3">
        <f t="shared" si="19"/>
        <v>6</v>
      </c>
      <c r="BC12" s="3">
        <f t="shared" si="20"/>
        <v>17</v>
      </c>
      <c r="BD12" s="3">
        <f t="shared" si="21"/>
        <v>4</v>
      </c>
      <c r="BE12" s="3">
        <f t="shared" si="22"/>
        <v>4</v>
      </c>
      <c r="BF12" s="3">
        <f t="shared" si="23"/>
        <v>18</v>
      </c>
      <c r="BG12" s="3">
        <f t="shared" si="24"/>
        <v>5</v>
      </c>
      <c r="BH12" s="3">
        <f t="shared" si="25"/>
        <v>8</v>
      </c>
      <c r="BI12" s="3">
        <f t="shared" si="26"/>
        <v>5</v>
      </c>
      <c r="BJ12" s="3">
        <f t="shared" si="27"/>
        <v>19</v>
      </c>
      <c r="BK12" s="3">
        <f t="shared" si="28"/>
        <v>24</v>
      </c>
      <c r="BL12" s="3">
        <f t="shared" si="29"/>
        <v>18</v>
      </c>
      <c r="BM12" s="3">
        <f t="shared" si="30"/>
        <v>4</v>
      </c>
      <c r="BN12" s="3">
        <f t="shared" si="31"/>
        <v>21</v>
      </c>
      <c r="BO12" s="6">
        <f t="shared" si="32"/>
        <v>11.258064516129032</v>
      </c>
    </row>
    <row r="13" spans="1:67" ht="22">
      <c r="A13" s="1">
        <v>12</v>
      </c>
      <c r="B13" s="3"/>
      <c r="C13" s="9" t="s">
        <v>123</v>
      </c>
      <c r="D13" s="9" t="s">
        <v>126</v>
      </c>
      <c r="E13" s="9" t="s">
        <v>110</v>
      </c>
      <c r="F13" s="9" t="s">
        <v>133</v>
      </c>
      <c r="G13" s="9" t="s">
        <v>126</v>
      </c>
      <c r="H13" s="9" t="s">
        <v>128</v>
      </c>
      <c r="I13" s="9" t="s">
        <v>124</v>
      </c>
      <c r="J13" s="9" t="s">
        <v>123</v>
      </c>
      <c r="K13" s="9" t="s">
        <v>127</v>
      </c>
      <c r="L13" s="9" t="s">
        <v>127</v>
      </c>
      <c r="M13" s="9" t="s">
        <v>133</v>
      </c>
      <c r="N13" s="9" t="s">
        <v>111</v>
      </c>
      <c r="O13" s="9" t="s">
        <v>107</v>
      </c>
      <c r="P13" s="9" t="s">
        <v>137</v>
      </c>
      <c r="Q13" s="9" t="s">
        <v>133</v>
      </c>
      <c r="R13" s="9" t="s">
        <v>126</v>
      </c>
      <c r="S13" s="9" t="s">
        <v>124</v>
      </c>
      <c r="T13" s="9" t="s">
        <v>138</v>
      </c>
      <c r="U13" s="9" t="s">
        <v>133</v>
      </c>
      <c r="V13" s="9" t="s">
        <v>106</v>
      </c>
      <c r="W13" s="9" t="s">
        <v>123</v>
      </c>
      <c r="X13" s="9" t="s">
        <v>127</v>
      </c>
      <c r="Y13" s="9" t="s">
        <v>123</v>
      </c>
      <c r="Z13" s="9" t="s">
        <v>136</v>
      </c>
      <c r="AA13" s="9" t="s">
        <v>137</v>
      </c>
      <c r="AB13" s="9" t="s">
        <v>126</v>
      </c>
      <c r="AC13" s="9" t="s">
        <v>132</v>
      </c>
      <c r="AD13" s="9" t="s">
        <v>127</v>
      </c>
      <c r="AE13" s="9" t="s">
        <v>126</v>
      </c>
      <c r="AF13" s="9" t="s">
        <v>137</v>
      </c>
      <c r="AG13" s="9" t="s">
        <v>109</v>
      </c>
      <c r="AH13" s="3"/>
      <c r="AJ13" s="3">
        <f t="shared" si="1"/>
        <v>4</v>
      </c>
      <c r="AK13" s="3">
        <f t="shared" si="2"/>
        <v>13</v>
      </c>
      <c r="AL13" s="3">
        <f t="shared" si="3"/>
        <v>12</v>
      </c>
      <c r="AM13" s="3">
        <f t="shared" si="4"/>
        <v>8</v>
      </c>
      <c r="AN13" s="3">
        <f t="shared" si="5"/>
        <v>13</v>
      </c>
      <c r="AO13" s="3">
        <f t="shared" si="6"/>
        <v>20</v>
      </c>
      <c r="AP13" s="3">
        <f t="shared" si="7"/>
        <v>19</v>
      </c>
      <c r="AQ13" s="3">
        <f t="shared" si="8"/>
        <v>4</v>
      </c>
      <c r="AR13" s="3">
        <f t="shared" si="9"/>
        <v>18</v>
      </c>
      <c r="AS13" s="3">
        <f t="shared" si="10"/>
        <v>18</v>
      </c>
      <c r="AT13" s="3">
        <f t="shared" si="11"/>
        <v>8</v>
      </c>
      <c r="AU13" s="3">
        <f t="shared" si="12"/>
        <v>23</v>
      </c>
      <c r="AV13" s="3">
        <f t="shared" si="13"/>
        <v>15</v>
      </c>
      <c r="AW13" s="3">
        <f t="shared" si="14"/>
        <v>14</v>
      </c>
      <c r="AX13" s="3">
        <f t="shared" si="15"/>
        <v>8</v>
      </c>
      <c r="AY13" s="3">
        <f t="shared" si="16"/>
        <v>13</v>
      </c>
      <c r="AZ13" s="3">
        <f t="shared" si="17"/>
        <v>19</v>
      </c>
      <c r="BA13" s="3">
        <f t="shared" si="18"/>
        <v>5</v>
      </c>
      <c r="BB13" s="3">
        <f t="shared" si="19"/>
        <v>8</v>
      </c>
      <c r="BC13" s="3">
        <f t="shared" si="20"/>
        <v>21</v>
      </c>
      <c r="BD13" s="3">
        <f t="shared" si="21"/>
        <v>4</v>
      </c>
      <c r="BE13" s="3">
        <f t="shared" si="22"/>
        <v>18</v>
      </c>
      <c r="BF13" s="3">
        <f t="shared" si="23"/>
        <v>4</v>
      </c>
      <c r="BG13" s="3">
        <f t="shared" si="24"/>
        <v>2</v>
      </c>
      <c r="BH13" s="3">
        <f t="shared" si="25"/>
        <v>14</v>
      </c>
      <c r="BI13" s="3">
        <f t="shared" si="26"/>
        <v>13</v>
      </c>
      <c r="BJ13" s="3">
        <f t="shared" si="27"/>
        <v>3</v>
      </c>
      <c r="BK13" s="3">
        <f t="shared" si="28"/>
        <v>18</v>
      </c>
      <c r="BL13" s="3">
        <f t="shared" si="29"/>
        <v>13</v>
      </c>
      <c r="BM13" s="3">
        <f t="shared" si="30"/>
        <v>14</v>
      </c>
      <c r="BN13" s="3">
        <f t="shared" si="31"/>
        <v>17</v>
      </c>
      <c r="BO13" s="6">
        <f t="shared" si="32"/>
        <v>12.35483870967742</v>
      </c>
    </row>
    <row r="14" spans="1:67" ht="22">
      <c r="A14" s="1">
        <v>13</v>
      </c>
      <c r="B14" s="3"/>
      <c r="C14" s="9" t="s">
        <v>124</v>
      </c>
      <c r="D14" s="9" t="s">
        <v>130</v>
      </c>
      <c r="E14" s="9" t="s">
        <v>127</v>
      </c>
      <c r="F14" s="9" t="s">
        <v>123</v>
      </c>
      <c r="G14" s="9" t="s">
        <v>106</v>
      </c>
      <c r="H14" s="9" t="s">
        <v>123</v>
      </c>
      <c r="I14" s="9" t="s">
        <v>126</v>
      </c>
      <c r="J14" s="9" t="s">
        <v>124</v>
      </c>
      <c r="K14" s="9" t="s">
        <v>105</v>
      </c>
      <c r="L14" s="9" t="s">
        <v>127</v>
      </c>
      <c r="M14" s="9" t="s">
        <v>123</v>
      </c>
      <c r="N14" s="9" t="s">
        <v>106</v>
      </c>
      <c r="O14" s="9" t="s">
        <v>123</v>
      </c>
      <c r="P14" s="9" t="s">
        <v>126</v>
      </c>
      <c r="Q14" s="9" t="s">
        <v>132</v>
      </c>
      <c r="R14" s="9" t="s">
        <v>123</v>
      </c>
      <c r="S14" s="9" t="s">
        <v>134</v>
      </c>
      <c r="T14" s="9" t="s">
        <v>109</v>
      </c>
      <c r="U14" s="9" t="s">
        <v>123</v>
      </c>
      <c r="V14" s="9" t="s">
        <v>123</v>
      </c>
      <c r="W14" s="9" t="s">
        <v>127</v>
      </c>
      <c r="X14" s="9" t="s">
        <v>123</v>
      </c>
      <c r="Y14" s="9" t="s">
        <v>133</v>
      </c>
      <c r="Z14" s="9" t="s">
        <v>134</v>
      </c>
      <c r="AA14" s="9" t="s">
        <v>130</v>
      </c>
      <c r="AB14" s="9" t="s">
        <v>124</v>
      </c>
      <c r="AC14" s="9" t="s">
        <v>110</v>
      </c>
      <c r="AD14" s="9" t="s">
        <v>133</v>
      </c>
      <c r="AE14" s="9" t="s">
        <v>126</v>
      </c>
      <c r="AF14" s="9" t="s">
        <v>128</v>
      </c>
      <c r="AG14" s="9" t="s">
        <v>124</v>
      </c>
      <c r="AH14" s="3"/>
      <c r="AJ14" s="3">
        <f t="shared" si="1"/>
        <v>19</v>
      </c>
      <c r="AK14" s="3">
        <f t="shared" si="2"/>
        <v>7</v>
      </c>
      <c r="AL14" s="3">
        <f t="shared" si="3"/>
        <v>18</v>
      </c>
      <c r="AM14" s="3">
        <f t="shared" si="4"/>
        <v>4</v>
      </c>
      <c r="AN14" s="3">
        <f t="shared" si="5"/>
        <v>21</v>
      </c>
      <c r="AO14" s="3">
        <f t="shared" si="6"/>
        <v>4</v>
      </c>
      <c r="AP14" s="3">
        <f t="shared" si="7"/>
        <v>13</v>
      </c>
      <c r="AQ14" s="3">
        <f t="shared" si="8"/>
        <v>19</v>
      </c>
      <c r="AR14" s="3">
        <f t="shared" si="9"/>
        <v>24</v>
      </c>
      <c r="AS14" s="3">
        <f t="shared" si="10"/>
        <v>18</v>
      </c>
      <c r="AT14" s="3">
        <f t="shared" si="11"/>
        <v>4</v>
      </c>
      <c r="AU14" s="3">
        <f t="shared" si="12"/>
        <v>21</v>
      </c>
      <c r="AV14" s="3">
        <f t="shared" si="13"/>
        <v>4</v>
      </c>
      <c r="AW14" s="3">
        <f t="shared" si="14"/>
        <v>13</v>
      </c>
      <c r="AX14" s="3">
        <f t="shared" si="15"/>
        <v>3</v>
      </c>
      <c r="AY14" s="3">
        <f t="shared" si="16"/>
        <v>4</v>
      </c>
      <c r="AZ14" s="3">
        <f t="shared" si="17"/>
        <v>6</v>
      </c>
      <c r="BA14" s="3">
        <f t="shared" si="18"/>
        <v>17</v>
      </c>
      <c r="BB14" s="3">
        <f t="shared" si="19"/>
        <v>4</v>
      </c>
      <c r="BC14" s="3">
        <f t="shared" si="20"/>
        <v>4</v>
      </c>
      <c r="BD14" s="3">
        <f t="shared" si="21"/>
        <v>18</v>
      </c>
      <c r="BE14" s="3">
        <f t="shared" si="22"/>
        <v>4</v>
      </c>
      <c r="BF14" s="3">
        <f t="shared" si="23"/>
        <v>8</v>
      </c>
      <c r="BG14" s="3">
        <f t="shared" si="24"/>
        <v>6</v>
      </c>
      <c r="BH14" s="3">
        <f t="shared" si="25"/>
        <v>7</v>
      </c>
      <c r="BI14" s="3">
        <f t="shared" si="26"/>
        <v>19</v>
      </c>
      <c r="BJ14" s="3">
        <f t="shared" si="27"/>
        <v>12</v>
      </c>
      <c r="BK14" s="3">
        <f t="shared" si="28"/>
        <v>8</v>
      </c>
      <c r="BL14" s="3">
        <f t="shared" si="29"/>
        <v>13</v>
      </c>
      <c r="BM14" s="3">
        <f t="shared" si="30"/>
        <v>20</v>
      </c>
      <c r="BN14" s="3">
        <f t="shared" si="31"/>
        <v>19</v>
      </c>
      <c r="BO14" s="6">
        <f t="shared" si="32"/>
        <v>11.64516129032258</v>
      </c>
    </row>
    <row r="15" spans="1:67" ht="22">
      <c r="A15" s="1">
        <v>14</v>
      </c>
      <c r="B15" s="3"/>
      <c r="C15" s="9" t="s">
        <v>123</v>
      </c>
      <c r="D15" s="9" t="s">
        <v>127</v>
      </c>
      <c r="E15" s="9" t="s">
        <v>138</v>
      </c>
      <c r="F15" s="9" t="s">
        <v>137</v>
      </c>
      <c r="G15" s="9" t="s">
        <v>109</v>
      </c>
      <c r="H15" s="9" t="s">
        <v>124</v>
      </c>
      <c r="I15" s="9" t="s">
        <v>105</v>
      </c>
      <c r="J15" s="9" t="s">
        <v>138</v>
      </c>
      <c r="K15" s="9" t="s">
        <v>137</v>
      </c>
      <c r="L15" s="9" t="s">
        <v>128</v>
      </c>
      <c r="M15" s="9" t="s">
        <v>109</v>
      </c>
      <c r="N15" s="9" t="s">
        <v>127</v>
      </c>
      <c r="O15" s="9" t="s">
        <v>123</v>
      </c>
      <c r="P15" s="9" t="s">
        <v>136</v>
      </c>
      <c r="Q15" s="9" t="s">
        <v>137</v>
      </c>
      <c r="R15" s="9" t="s">
        <v>126</v>
      </c>
      <c r="S15" s="9" t="s">
        <v>132</v>
      </c>
      <c r="T15" s="9" t="s">
        <v>127</v>
      </c>
      <c r="U15" s="9" t="s">
        <v>125</v>
      </c>
      <c r="V15" s="9" t="s">
        <v>123</v>
      </c>
      <c r="W15" s="9" t="s">
        <v>127</v>
      </c>
      <c r="X15" s="9" t="s">
        <v>124</v>
      </c>
      <c r="Y15" s="9" t="s">
        <v>111</v>
      </c>
      <c r="Z15" s="9" t="s">
        <v>129</v>
      </c>
      <c r="AA15" s="9" t="s">
        <v>131</v>
      </c>
      <c r="AB15" s="9" t="s">
        <v>105</v>
      </c>
      <c r="AC15" s="9" t="s">
        <v>123</v>
      </c>
      <c r="AD15" s="9" t="s">
        <v>109</v>
      </c>
      <c r="AE15" s="9" t="s">
        <v>124</v>
      </c>
      <c r="AF15" s="9" t="s">
        <v>125</v>
      </c>
      <c r="AG15" s="9" t="s">
        <v>137</v>
      </c>
      <c r="AH15" s="3"/>
      <c r="AJ15" s="3">
        <f t="shared" si="1"/>
        <v>4</v>
      </c>
      <c r="AK15" s="3">
        <f t="shared" si="2"/>
        <v>18</v>
      </c>
      <c r="AL15" s="3">
        <f t="shared" si="3"/>
        <v>5</v>
      </c>
      <c r="AM15" s="3">
        <f t="shared" si="4"/>
        <v>14</v>
      </c>
      <c r="AN15" s="3">
        <f t="shared" si="5"/>
        <v>17</v>
      </c>
      <c r="AO15" s="3">
        <f t="shared" si="6"/>
        <v>19</v>
      </c>
      <c r="AP15" s="3">
        <f t="shared" si="7"/>
        <v>24</v>
      </c>
      <c r="AQ15" s="3">
        <f t="shared" si="8"/>
        <v>5</v>
      </c>
      <c r="AR15" s="3">
        <f t="shared" si="9"/>
        <v>14</v>
      </c>
      <c r="AS15" s="3">
        <f t="shared" si="10"/>
        <v>20</v>
      </c>
      <c r="AT15" s="3">
        <f t="shared" si="11"/>
        <v>17</v>
      </c>
      <c r="AU15" s="3">
        <f t="shared" si="12"/>
        <v>18</v>
      </c>
      <c r="AV15" s="3">
        <f t="shared" si="13"/>
        <v>4</v>
      </c>
      <c r="AW15" s="3">
        <f t="shared" si="14"/>
        <v>2</v>
      </c>
      <c r="AX15" s="3">
        <f t="shared" si="15"/>
        <v>14</v>
      </c>
      <c r="AY15" s="3">
        <f t="shared" si="16"/>
        <v>13</v>
      </c>
      <c r="AZ15" s="3">
        <f t="shared" si="17"/>
        <v>3</v>
      </c>
      <c r="BA15" s="3">
        <f t="shared" si="18"/>
        <v>18</v>
      </c>
      <c r="BB15" s="3">
        <f t="shared" si="19"/>
        <v>22</v>
      </c>
      <c r="BC15" s="3">
        <f t="shared" si="20"/>
        <v>4</v>
      </c>
      <c r="BD15" s="3">
        <f t="shared" si="21"/>
        <v>18</v>
      </c>
      <c r="BE15" s="3">
        <f t="shared" si="22"/>
        <v>19</v>
      </c>
      <c r="BF15" s="3">
        <f t="shared" si="23"/>
        <v>23</v>
      </c>
      <c r="BG15" s="3">
        <f t="shared" si="24"/>
        <v>11</v>
      </c>
      <c r="BH15" s="3">
        <f t="shared" si="25"/>
        <v>0</v>
      </c>
      <c r="BI15" s="3">
        <f t="shared" si="26"/>
        <v>24</v>
      </c>
      <c r="BJ15" s="3">
        <f t="shared" si="27"/>
        <v>4</v>
      </c>
      <c r="BK15" s="3">
        <f t="shared" si="28"/>
        <v>17</v>
      </c>
      <c r="BL15" s="3">
        <f t="shared" si="29"/>
        <v>19</v>
      </c>
      <c r="BM15" s="3">
        <f t="shared" si="30"/>
        <v>22</v>
      </c>
      <c r="BN15" s="3">
        <f t="shared" si="31"/>
        <v>14</v>
      </c>
      <c r="BO15" s="6">
        <f t="shared" si="32"/>
        <v>13.741935483870968</v>
      </c>
    </row>
    <row r="16" spans="1:67" ht="2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 spans="1:67" ht="22">
      <c r="A17" s="1">
        <v>1</v>
      </c>
      <c r="B17" s="3"/>
      <c r="C17" s="9" t="s">
        <v>127</v>
      </c>
      <c r="D17" s="9" t="s">
        <v>129</v>
      </c>
      <c r="E17" s="9" t="s">
        <v>137</v>
      </c>
      <c r="F17" s="9" t="s">
        <v>125</v>
      </c>
      <c r="G17" s="9" t="s">
        <v>129</v>
      </c>
      <c r="H17" s="9" t="s">
        <v>105</v>
      </c>
      <c r="I17" s="9" t="s">
        <v>132</v>
      </c>
      <c r="J17" s="9" t="s">
        <v>123</v>
      </c>
      <c r="K17" s="9" t="s">
        <v>127</v>
      </c>
      <c r="L17" s="9" t="s">
        <v>107</v>
      </c>
      <c r="M17" s="9" t="s">
        <v>131</v>
      </c>
      <c r="N17" s="9" t="s">
        <v>109</v>
      </c>
      <c r="O17" s="9" t="s">
        <v>131</v>
      </c>
      <c r="P17" s="9" t="s">
        <v>124</v>
      </c>
      <c r="Q17" s="9" t="s">
        <v>129</v>
      </c>
      <c r="R17" s="9" t="s">
        <v>105</v>
      </c>
      <c r="S17" s="9" t="s">
        <v>127</v>
      </c>
      <c r="T17" s="9" t="s">
        <v>129</v>
      </c>
      <c r="U17" s="9" t="s">
        <v>137</v>
      </c>
      <c r="V17" s="9" t="s">
        <v>125</v>
      </c>
      <c r="W17" s="9" t="s">
        <v>129</v>
      </c>
      <c r="X17" s="9" t="s">
        <v>105</v>
      </c>
      <c r="Y17" s="9" t="s">
        <v>124</v>
      </c>
      <c r="Z17" s="9" t="s">
        <v>130</v>
      </c>
      <c r="AA17" s="9" t="s">
        <v>123</v>
      </c>
      <c r="AB17" s="9" t="s">
        <v>109</v>
      </c>
      <c r="AC17" s="9" t="s">
        <v>123</v>
      </c>
      <c r="AD17" s="9" t="s">
        <v>110</v>
      </c>
      <c r="AE17" s="9" t="s">
        <v>131</v>
      </c>
      <c r="AF17" s="9" t="s">
        <v>133</v>
      </c>
      <c r="AG17" s="9" t="s">
        <v>126</v>
      </c>
      <c r="AH17" s="3"/>
      <c r="AJ17" s="3">
        <f t="shared" si="1"/>
        <v>18</v>
      </c>
      <c r="AK17" s="3">
        <f t="shared" si="2"/>
        <v>11</v>
      </c>
      <c r="AL17" s="3">
        <f t="shared" si="3"/>
        <v>14</v>
      </c>
      <c r="AM17" s="3">
        <f t="shared" si="4"/>
        <v>22</v>
      </c>
      <c r="AN17" s="3">
        <f t="shared" si="5"/>
        <v>11</v>
      </c>
      <c r="AO17" s="3">
        <f t="shared" si="6"/>
        <v>24</v>
      </c>
      <c r="AP17" s="3">
        <f t="shared" si="7"/>
        <v>3</v>
      </c>
      <c r="AQ17" s="3">
        <f t="shared" si="8"/>
        <v>4</v>
      </c>
      <c r="AR17" s="3">
        <f t="shared" si="9"/>
        <v>18</v>
      </c>
      <c r="AS17" s="3">
        <f t="shared" si="10"/>
        <v>15</v>
      </c>
      <c r="AT17" s="3">
        <f t="shared" si="11"/>
        <v>0</v>
      </c>
      <c r="AU17" s="3">
        <f t="shared" si="12"/>
        <v>17</v>
      </c>
      <c r="AV17" s="3">
        <f t="shared" si="13"/>
        <v>0</v>
      </c>
      <c r="AW17" s="3">
        <f t="shared" si="14"/>
        <v>19</v>
      </c>
      <c r="AX17" s="3">
        <f t="shared" si="15"/>
        <v>11</v>
      </c>
      <c r="AY17" s="3">
        <f t="shared" si="16"/>
        <v>24</v>
      </c>
      <c r="AZ17" s="3">
        <f t="shared" si="17"/>
        <v>18</v>
      </c>
      <c r="BA17" s="3">
        <f t="shared" si="18"/>
        <v>11</v>
      </c>
      <c r="BB17" s="3">
        <f t="shared" si="19"/>
        <v>14</v>
      </c>
      <c r="BC17" s="3">
        <f t="shared" si="20"/>
        <v>22</v>
      </c>
      <c r="BD17" s="3">
        <f t="shared" si="21"/>
        <v>11</v>
      </c>
      <c r="BE17" s="3">
        <f t="shared" si="22"/>
        <v>24</v>
      </c>
      <c r="BF17" s="3">
        <f t="shared" si="23"/>
        <v>19</v>
      </c>
      <c r="BG17" s="3">
        <f t="shared" si="24"/>
        <v>7</v>
      </c>
      <c r="BH17" s="3">
        <f t="shared" si="25"/>
        <v>4</v>
      </c>
      <c r="BI17" s="3">
        <f t="shared" si="26"/>
        <v>17</v>
      </c>
      <c r="BJ17" s="3">
        <f t="shared" si="27"/>
        <v>4</v>
      </c>
      <c r="BK17" s="3">
        <f t="shared" si="28"/>
        <v>12</v>
      </c>
      <c r="BL17" s="3">
        <f t="shared" si="29"/>
        <v>0</v>
      </c>
      <c r="BM17" s="3">
        <f t="shared" si="30"/>
        <v>8</v>
      </c>
      <c r="BN17" s="3">
        <f t="shared" si="31"/>
        <v>13</v>
      </c>
      <c r="BO17" s="7">
        <f t="shared" si="32"/>
        <v>12.741935483870968</v>
      </c>
    </row>
    <row r="18" spans="1:67" ht="22">
      <c r="A18" s="1">
        <v>2</v>
      </c>
      <c r="B18" s="3"/>
      <c r="C18" s="9" t="s">
        <v>127</v>
      </c>
      <c r="D18" s="9" t="s">
        <v>137</v>
      </c>
      <c r="E18" s="9" t="s">
        <v>138</v>
      </c>
      <c r="F18" s="9" t="s">
        <v>107</v>
      </c>
      <c r="G18" s="9" t="s">
        <v>131</v>
      </c>
      <c r="H18" s="9" t="s">
        <v>127</v>
      </c>
      <c r="I18" s="9" t="s">
        <v>127</v>
      </c>
      <c r="J18" s="9" t="s">
        <v>131</v>
      </c>
      <c r="K18" s="9" t="s">
        <v>134</v>
      </c>
      <c r="L18" s="9" t="s">
        <v>123</v>
      </c>
      <c r="M18" s="9" t="s">
        <v>132</v>
      </c>
      <c r="N18" s="9" t="s">
        <v>123</v>
      </c>
      <c r="O18" s="9" t="s">
        <v>122</v>
      </c>
      <c r="P18" s="9" t="s">
        <v>109</v>
      </c>
      <c r="Q18" s="9" t="s">
        <v>133</v>
      </c>
      <c r="R18" s="9" t="s">
        <v>127</v>
      </c>
      <c r="S18" s="9" t="s">
        <v>124</v>
      </c>
      <c r="T18" s="9" t="s">
        <v>130</v>
      </c>
      <c r="U18" s="9" t="s">
        <v>131</v>
      </c>
      <c r="V18" s="9" t="s">
        <v>124</v>
      </c>
      <c r="W18" s="9" t="s">
        <v>123</v>
      </c>
      <c r="X18" s="9" t="s">
        <v>126</v>
      </c>
      <c r="Y18" s="9" t="s">
        <v>136</v>
      </c>
      <c r="Z18" s="9" t="s">
        <v>128</v>
      </c>
      <c r="AA18" s="9" t="s">
        <v>110</v>
      </c>
      <c r="AB18" s="9" t="s">
        <v>122</v>
      </c>
      <c r="AC18" s="9" t="s">
        <v>123</v>
      </c>
      <c r="AD18" s="9" t="s">
        <v>109</v>
      </c>
      <c r="AE18" s="9" t="s">
        <v>123</v>
      </c>
      <c r="AF18" s="9" t="s">
        <v>132</v>
      </c>
      <c r="AG18" s="9" t="s">
        <v>124</v>
      </c>
      <c r="AH18" s="3"/>
      <c r="AJ18" s="3">
        <f t="shared" si="1"/>
        <v>18</v>
      </c>
      <c r="AK18" s="3">
        <f t="shared" si="2"/>
        <v>14</v>
      </c>
      <c r="AL18" s="3">
        <f t="shared" si="3"/>
        <v>5</v>
      </c>
      <c r="AM18" s="3">
        <f t="shared" si="4"/>
        <v>15</v>
      </c>
      <c r="AN18" s="3">
        <f t="shared" si="5"/>
        <v>0</v>
      </c>
      <c r="AO18" s="3">
        <f t="shared" si="6"/>
        <v>18</v>
      </c>
      <c r="AP18" s="3">
        <f t="shared" si="7"/>
        <v>18</v>
      </c>
      <c r="AQ18" s="3">
        <f t="shared" si="8"/>
        <v>0</v>
      </c>
      <c r="AR18" s="3">
        <f t="shared" si="9"/>
        <v>6</v>
      </c>
      <c r="AS18" s="3">
        <f t="shared" si="10"/>
        <v>4</v>
      </c>
      <c r="AT18" s="3">
        <f t="shared" si="11"/>
        <v>3</v>
      </c>
      <c r="AU18" s="3">
        <f t="shared" si="12"/>
        <v>4</v>
      </c>
      <c r="AV18" s="3">
        <f t="shared" si="13"/>
        <v>1</v>
      </c>
      <c r="AW18" s="3">
        <f t="shared" si="14"/>
        <v>17</v>
      </c>
      <c r="AX18" s="3">
        <f t="shared" si="15"/>
        <v>8</v>
      </c>
      <c r="AY18" s="3">
        <f t="shared" si="16"/>
        <v>18</v>
      </c>
      <c r="AZ18" s="3">
        <f t="shared" si="17"/>
        <v>19</v>
      </c>
      <c r="BA18" s="3">
        <f t="shared" si="18"/>
        <v>7</v>
      </c>
      <c r="BB18" s="3">
        <f t="shared" si="19"/>
        <v>0</v>
      </c>
      <c r="BC18" s="3">
        <f t="shared" si="20"/>
        <v>19</v>
      </c>
      <c r="BD18" s="3">
        <f t="shared" si="21"/>
        <v>4</v>
      </c>
      <c r="BE18" s="3">
        <f t="shared" si="22"/>
        <v>13</v>
      </c>
      <c r="BF18" s="3">
        <f t="shared" si="23"/>
        <v>2</v>
      </c>
      <c r="BG18" s="3">
        <f t="shared" si="24"/>
        <v>20</v>
      </c>
      <c r="BH18" s="3">
        <f t="shared" si="25"/>
        <v>12</v>
      </c>
      <c r="BI18" s="3">
        <f t="shared" si="26"/>
        <v>1</v>
      </c>
      <c r="BJ18" s="3">
        <f t="shared" si="27"/>
        <v>4</v>
      </c>
      <c r="BK18" s="3">
        <f t="shared" si="28"/>
        <v>17</v>
      </c>
      <c r="BL18" s="3">
        <f t="shared" si="29"/>
        <v>4</v>
      </c>
      <c r="BM18" s="3">
        <f t="shared" si="30"/>
        <v>3</v>
      </c>
      <c r="BN18" s="3">
        <f t="shared" si="31"/>
        <v>19</v>
      </c>
      <c r="BO18" s="7">
        <f t="shared" si="32"/>
        <v>9.4516129032258061</v>
      </c>
    </row>
    <row r="19" spans="1:67" ht="22">
      <c r="A19" s="1">
        <v>3</v>
      </c>
      <c r="B19" s="3"/>
      <c r="C19" s="9" t="s">
        <v>130</v>
      </c>
      <c r="D19" s="9" t="s">
        <v>123</v>
      </c>
      <c r="E19" s="9" t="s">
        <v>129</v>
      </c>
      <c r="F19" s="9" t="s">
        <v>137</v>
      </c>
      <c r="G19" s="9" t="s">
        <v>125</v>
      </c>
      <c r="H19" s="9" t="s">
        <v>123</v>
      </c>
      <c r="I19" s="9" t="s">
        <v>109</v>
      </c>
      <c r="J19" s="9" t="s">
        <v>107</v>
      </c>
      <c r="K19" s="9" t="s">
        <v>131</v>
      </c>
      <c r="L19" s="9" t="s">
        <v>109</v>
      </c>
      <c r="M19" s="9" t="s">
        <v>124</v>
      </c>
      <c r="N19" s="9" t="s">
        <v>137</v>
      </c>
      <c r="O19" s="9" t="s">
        <v>138</v>
      </c>
      <c r="P19" s="9" t="s">
        <v>124</v>
      </c>
      <c r="Q19" s="9" t="s">
        <v>130</v>
      </c>
      <c r="R19" s="9" t="s">
        <v>123</v>
      </c>
      <c r="S19" s="9" t="s">
        <v>132</v>
      </c>
      <c r="T19" s="9" t="s">
        <v>137</v>
      </c>
      <c r="U19" s="9" t="s">
        <v>137</v>
      </c>
      <c r="V19" s="9" t="s">
        <v>109</v>
      </c>
      <c r="W19" s="9" t="s">
        <v>125</v>
      </c>
      <c r="X19" s="9" t="s">
        <v>131</v>
      </c>
      <c r="Y19" s="9" t="s">
        <v>105</v>
      </c>
      <c r="Z19" s="9" t="s">
        <v>125</v>
      </c>
      <c r="AA19" s="9" t="s">
        <v>131</v>
      </c>
      <c r="AB19" s="9" t="s">
        <v>127</v>
      </c>
      <c r="AC19" s="9" t="s">
        <v>109</v>
      </c>
      <c r="AD19" s="9" t="s">
        <v>123</v>
      </c>
      <c r="AE19" s="9" t="s">
        <v>110</v>
      </c>
      <c r="AF19" s="9" t="s">
        <v>137</v>
      </c>
      <c r="AG19" s="9" t="s">
        <v>106</v>
      </c>
      <c r="AH19" s="3"/>
      <c r="AJ19" s="3">
        <f t="shared" si="1"/>
        <v>7</v>
      </c>
      <c r="AK19" s="3">
        <f t="shared" si="2"/>
        <v>4</v>
      </c>
      <c r="AL19" s="3">
        <f t="shared" si="3"/>
        <v>11</v>
      </c>
      <c r="AM19" s="3">
        <f t="shared" si="4"/>
        <v>14</v>
      </c>
      <c r="AN19" s="3">
        <f t="shared" si="5"/>
        <v>22</v>
      </c>
      <c r="AO19" s="3">
        <f t="shared" si="6"/>
        <v>4</v>
      </c>
      <c r="AP19" s="3">
        <f t="shared" si="7"/>
        <v>17</v>
      </c>
      <c r="AQ19" s="3">
        <f t="shared" si="8"/>
        <v>15</v>
      </c>
      <c r="AR19" s="3">
        <f t="shared" si="9"/>
        <v>0</v>
      </c>
      <c r="AS19" s="3">
        <f t="shared" si="10"/>
        <v>17</v>
      </c>
      <c r="AT19" s="3">
        <f t="shared" si="11"/>
        <v>19</v>
      </c>
      <c r="AU19" s="3">
        <f t="shared" si="12"/>
        <v>14</v>
      </c>
      <c r="AV19" s="3">
        <f t="shared" si="13"/>
        <v>5</v>
      </c>
      <c r="AW19" s="3">
        <f t="shared" si="14"/>
        <v>19</v>
      </c>
      <c r="AX19" s="3">
        <f t="shared" si="15"/>
        <v>7</v>
      </c>
      <c r="AY19" s="3">
        <f t="shared" si="16"/>
        <v>4</v>
      </c>
      <c r="AZ19" s="3">
        <f t="shared" si="17"/>
        <v>3</v>
      </c>
      <c r="BA19" s="3">
        <f t="shared" si="18"/>
        <v>14</v>
      </c>
      <c r="BB19" s="3">
        <f t="shared" si="19"/>
        <v>14</v>
      </c>
      <c r="BC19" s="3">
        <f t="shared" si="20"/>
        <v>17</v>
      </c>
      <c r="BD19" s="3">
        <f t="shared" si="21"/>
        <v>22</v>
      </c>
      <c r="BE19" s="3">
        <f t="shared" si="22"/>
        <v>0</v>
      </c>
      <c r="BF19" s="3">
        <f t="shared" si="23"/>
        <v>24</v>
      </c>
      <c r="BG19" s="3">
        <f t="shared" si="24"/>
        <v>22</v>
      </c>
      <c r="BH19" s="3">
        <f t="shared" si="25"/>
        <v>0</v>
      </c>
      <c r="BI19" s="3">
        <f t="shared" si="26"/>
        <v>18</v>
      </c>
      <c r="BJ19" s="3">
        <f t="shared" si="27"/>
        <v>17</v>
      </c>
      <c r="BK19" s="3">
        <f t="shared" si="28"/>
        <v>4</v>
      </c>
      <c r="BL19" s="3">
        <f t="shared" si="29"/>
        <v>12</v>
      </c>
      <c r="BM19" s="3">
        <f t="shared" si="30"/>
        <v>14</v>
      </c>
      <c r="BN19" s="3">
        <f t="shared" si="31"/>
        <v>21</v>
      </c>
      <c r="BO19" s="7">
        <f t="shared" si="32"/>
        <v>12.290322580645162</v>
      </c>
    </row>
    <row r="20" spans="1:67" ht="22">
      <c r="A20" s="1">
        <v>4</v>
      </c>
      <c r="B20" s="3"/>
      <c r="C20" s="9" t="s">
        <v>123</v>
      </c>
      <c r="D20" s="9" t="s">
        <v>132</v>
      </c>
      <c r="E20" s="9" t="s">
        <v>125</v>
      </c>
      <c r="F20" s="9" t="s">
        <v>133</v>
      </c>
      <c r="G20" s="9" t="s">
        <v>124</v>
      </c>
      <c r="H20" s="9" t="s">
        <v>130</v>
      </c>
      <c r="I20" s="9" t="s">
        <v>124</v>
      </c>
      <c r="J20" s="9" t="s">
        <v>109</v>
      </c>
      <c r="K20" s="9" t="s">
        <v>123</v>
      </c>
      <c r="L20" s="9" t="s">
        <v>110</v>
      </c>
      <c r="M20" s="9" t="s">
        <v>122</v>
      </c>
      <c r="N20" s="9" t="s">
        <v>129</v>
      </c>
      <c r="O20" s="9" t="s">
        <v>133</v>
      </c>
      <c r="P20" s="9" t="s">
        <v>126</v>
      </c>
      <c r="Q20" s="9" t="s">
        <v>134</v>
      </c>
      <c r="R20" s="9" t="s">
        <v>130</v>
      </c>
      <c r="S20" s="9" t="s">
        <v>131</v>
      </c>
      <c r="T20" s="9" t="s">
        <v>126</v>
      </c>
      <c r="U20" s="9" t="s">
        <v>132</v>
      </c>
      <c r="V20" s="9" t="s">
        <v>127</v>
      </c>
      <c r="W20" s="9" t="s">
        <v>133</v>
      </c>
      <c r="X20" s="9" t="s">
        <v>110</v>
      </c>
      <c r="Y20" s="9" t="s">
        <v>131</v>
      </c>
      <c r="Z20" s="9" t="s">
        <v>132</v>
      </c>
      <c r="AA20" s="9" t="s">
        <v>123</v>
      </c>
      <c r="AB20" s="9" t="s">
        <v>131</v>
      </c>
      <c r="AC20" s="9" t="s">
        <v>124</v>
      </c>
      <c r="AD20" s="9" t="s">
        <v>133</v>
      </c>
      <c r="AE20" s="9" t="s">
        <v>126</v>
      </c>
      <c r="AF20" s="9" t="s">
        <v>105</v>
      </c>
      <c r="AG20" s="9" t="s">
        <v>122</v>
      </c>
      <c r="AH20" s="3"/>
      <c r="AJ20" s="3">
        <f t="shared" si="1"/>
        <v>4</v>
      </c>
      <c r="AK20" s="3">
        <f t="shared" si="2"/>
        <v>3</v>
      </c>
      <c r="AL20" s="3">
        <f t="shared" si="3"/>
        <v>22</v>
      </c>
      <c r="AM20" s="3">
        <f t="shared" si="4"/>
        <v>8</v>
      </c>
      <c r="AN20" s="3">
        <f t="shared" si="5"/>
        <v>19</v>
      </c>
      <c r="AO20" s="3">
        <f t="shared" si="6"/>
        <v>7</v>
      </c>
      <c r="AP20" s="3">
        <f t="shared" si="7"/>
        <v>19</v>
      </c>
      <c r="AQ20" s="3">
        <f t="shared" si="8"/>
        <v>17</v>
      </c>
      <c r="AR20" s="3">
        <f t="shared" si="9"/>
        <v>4</v>
      </c>
      <c r="AS20" s="3">
        <f t="shared" si="10"/>
        <v>12</v>
      </c>
      <c r="AT20" s="3">
        <f t="shared" si="11"/>
        <v>1</v>
      </c>
      <c r="AU20" s="3">
        <f t="shared" si="12"/>
        <v>11</v>
      </c>
      <c r="AV20" s="3">
        <f t="shared" si="13"/>
        <v>8</v>
      </c>
      <c r="AW20" s="3">
        <f t="shared" si="14"/>
        <v>13</v>
      </c>
      <c r="AX20" s="3">
        <f t="shared" si="15"/>
        <v>6</v>
      </c>
      <c r="AY20" s="3">
        <f t="shared" si="16"/>
        <v>7</v>
      </c>
      <c r="AZ20" s="3">
        <f t="shared" si="17"/>
        <v>0</v>
      </c>
      <c r="BA20" s="3">
        <f t="shared" si="18"/>
        <v>13</v>
      </c>
      <c r="BB20" s="3">
        <f t="shared" si="19"/>
        <v>3</v>
      </c>
      <c r="BC20" s="3">
        <f t="shared" si="20"/>
        <v>18</v>
      </c>
      <c r="BD20" s="3">
        <f t="shared" si="21"/>
        <v>8</v>
      </c>
      <c r="BE20" s="3">
        <f t="shared" si="22"/>
        <v>12</v>
      </c>
      <c r="BF20" s="3">
        <f t="shared" si="23"/>
        <v>0</v>
      </c>
      <c r="BG20" s="3">
        <f t="shared" si="24"/>
        <v>3</v>
      </c>
      <c r="BH20" s="3">
        <f t="shared" si="25"/>
        <v>4</v>
      </c>
      <c r="BI20" s="3">
        <f t="shared" si="26"/>
        <v>0</v>
      </c>
      <c r="BJ20" s="3">
        <f t="shared" si="27"/>
        <v>19</v>
      </c>
      <c r="BK20" s="3">
        <f t="shared" si="28"/>
        <v>8</v>
      </c>
      <c r="BL20" s="3">
        <f t="shared" si="29"/>
        <v>13</v>
      </c>
      <c r="BM20" s="3">
        <f t="shared" si="30"/>
        <v>24</v>
      </c>
      <c r="BN20" s="3">
        <f t="shared" si="31"/>
        <v>1</v>
      </c>
      <c r="BO20" s="7">
        <f t="shared" si="32"/>
        <v>9.258064516129032</v>
      </c>
    </row>
    <row r="21" spans="1:67" ht="22">
      <c r="A21" s="1">
        <v>5</v>
      </c>
      <c r="B21" s="3"/>
      <c r="C21" s="9" t="s">
        <v>109</v>
      </c>
      <c r="D21" s="9" t="s">
        <v>123</v>
      </c>
      <c r="E21" s="9" t="s">
        <v>131</v>
      </c>
      <c r="F21" s="9" t="s">
        <v>136</v>
      </c>
      <c r="G21" s="9" t="s">
        <v>130</v>
      </c>
      <c r="H21" s="9" t="s">
        <v>133</v>
      </c>
      <c r="I21" s="9" t="s">
        <v>126</v>
      </c>
      <c r="J21" s="9" t="s">
        <v>124</v>
      </c>
      <c r="K21" s="9" t="s">
        <v>130</v>
      </c>
      <c r="L21" s="9" t="s">
        <v>123</v>
      </c>
      <c r="M21" s="9" t="s">
        <v>128</v>
      </c>
      <c r="N21" s="9" t="s">
        <v>107</v>
      </c>
      <c r="O21" s="9" t="s">
        <v>107</v>
      </c>
      <c r="P21" s="9" t="s">
        <v>123</v>
      </c>
      <c r="Q21" s="9" t="s">
        <v>109</v>
      </c>
      <c r="R21" s="9" t="s">
        <v>129</v>
      </c>
      <c r="S21" s="9" t="s">
        <v>123</v>
      </c>
      <c r="T21" s="9" t="s">
        <v>138</v>
      </c>
      <c r="U21" s="9" t="s">
        <v>124</v>
      </c>
      <c r="V21" s="9" t="s">
        <v>130</v>
      </c>
      <c r="W21" s="9" t="s">
        <v>131</v>
      </c>
      <c r="X21" s="9" t="s">
        <v>126</v>
      </c>
      <c r="Y21" s="9" t="s">
        <v>132</v>
      </c>
      <c r="Z21" s="9" t="s">
        <v>136</v>
      </c>
      <c r="AA21" s="9" t="s">
        <v>137</v>
      </c>
      <c r="AB21" s="9" t="s">
        <v>109</v>
      </c>
      <c r="AC21" s="9" t="s">
        <v>126</v>
      </c>
      <c r="AD21" s="9" t="s">
        <v>123</v>
      </c>
      <c r="AE21" s="9" t="s">
        <v>109</v>
      </c>
      <c r="AF21" s="9" t="s">
        <v>131</v>
      </c>
      <c r="AG21" s="9" t="s">
        <v>126</v>
      </c>
      <c r="AH21" s="3"/>
      <c r="AJ21" s="3">
        <f t="shared" si="1"/>
        <v>17</v>
      </c>
      <c r="AK21" s="3">
        <f t="shared" si="2"/>
        <v>4</v>
      </c>
      <c r="AL21" s="3">
        <f t="shared" si="3"/>
        <v>0</v>
      </c>
      <c r="AM21" s="3">
        <f t="shared" si="4"/>
        <v>2</v>
      </c>
      <c r="AN21" s="3">
        <f t="shared" si="5"/>
        <v>7</v>
      </c>
      <c r="AO21" s="3">
        <f t="shared" si="6"/>
        <v>8</v>
      </c>
      <c r="AP21" s="3">
        <f t="shared" si="7"/>
        <v>13</v>
      </c>
      <c r="AQ21" s="3">
        <f t="shared" si="8"/>
        <v>19</v>
      </c>
      <c r="AR21" s="3">
        <f t="shared" si="9"/>
        <v>7</v>
      </c>
      <c r="AS21" s="3">
        <f t="shared" si="10"/>
        <v>4</v>
      </c>
      <c r="AT21" s="3">
        <f t="shared" si="11"/>
        <v>20</v>
      </c>
      <c r="AU21" s="3">
        <f t="shared" si="12"/>
        <v>15</v>
      </c>
      <c r="AV21" s="3">
        <f t="shared" si="13"/>
        <v>15</v>
      </c>
      <c r="AW21" s="3">
        <f t="shared" si="14"/>
        <v>4</v>
      </c>
      <c r="AX21" s="3">
        <f t="shared" si="15"/>
        <v>17</v>
      </c>
      <c r="AY21" s="3">
        <f t="shared" si="16"/>
        <v>11</v>
      </c>
      <c r="AZ21" s="3">
        <f t="shared" si="17"/>
        <v>4</v>
      </c>
      <c r="BA21" s="3">
        <f t="shared" si="18"/>
        <v>5</v>
      </c>
      <c r="BB21" s="3">
        <f t="shared" si="19"/>
        <v>19</v>
      </c>
      <c r="BC21" s="3">
        <f t="shared" si="20"/>
        <v>7</v>
      </c>
      <c r="BD21" s="3">
        <f t="shared" si="21"/>
        <v>0</v>
      </c>
      <c r="BE21" s="3">
        <f t="shared" si="22"/>
        <v>13</v>
      </c>
      <c r="BF21" s="3">
        <f t="shared" si="23"/>
        <v>3</v>
      </c>
      <c r="BG21" s="3">
        <f t="shared" si="24"/>
        <v>2</v>
      </c>
      <c r="BH21" s="3">
        <f t="shared" si="25"/>
        <v>14</v>
      </c>
      <c r="BI21" s="3">
        <f t="shared" si="26"/>
        <v>17</v>
      </c>
      <c r="BJ21" s="3">
        <f t="shared" si="27"/>
        <v>13</v>
      </c>
      <c r="BK21" s="3">
        <f t="shared" si="28"/>
        <v>4</v>
      </c>
      <c r="BL21" s="3">
        <f t="shared" si="29"/>
        <v>17</v>
      </c>
      <c r="BM21" s="3">
        <f t="shared" si="30"/>
        <v>0</v>
      </c>
      <c r="BN21" s="3">
        <f t="shared" si="31"/>
        <v>13</v>
      </c>
      <c r="BO21" s="7">
        <f t="shared" si="32"/>
        <v>9.4838709677419359</v>
      </c>
    </row>
    <row r="22" spans="1:67" ht="22">
      <c r="A22" s="1">
        <v>6</v>
      </c>
      <c r="B22" s="3"/>
      <c r="C22" s="9" t="s">
        <v>132</v>
      </c>
      <c r="D22" s="9" t="s">
        <v>124</v>
      </c>
      <c r="E22" s="9" t="s">
        <v>130</v>
      </c>
      <c r="F22" s="9" t="s">
        <v>123</v>
      </c>
      <c r="G22" s="9" t="s">
        <v>126</v>
      </c>
      <c r="H22" s="9" t="s">
        <v>125</v>
      </c>
      <c r="I22" s="9" t="s">
        <v>133</v>
      </c>
      <c r="J22" s="9" t="s">
        <v>132</v>
      </c>
      <c r="K22" s="9" t="s">
        <v>123</v>
      </c>
      <c r="L22" s="9" t="s">
        <v>126</v>
      </c>
      <c r="M22" s="9" t="s">
        <v>133</v>
      </c>
      <c r="N22" s="9" t="s">
        <v>126</v>
      </c>
      <c r="O22" s="9" t="s">
        <v>134</v>
      </c>
      <c r="P22" s="9" t="s">
        <v>124</v>
      </c>
      <c r="Q22" s="9" t="s">
        <v>130</v>
      </c>
      <c r="R22" s="9" t="s">
        <v>123</v>
      </c>
      <c r="S22" s="9" t="s">
        <v>130</v>
      </c>
      <c r="T22" s="9" t="s">
        <v>137</v>
      </c>
      <c r="U22" s="9" t="s">
        <v>129</v>
      </c>
      <c r="V22" s="9" t="s">
        <v>123</v>
      </c>
      <c r="W22" s="9" t="s">
        <v>131</v>
      </c>
      <c r="X22" s="9" t="s">
        <v>129</v>
      </c>
      <c r="Y22" s="9" t="s">
        <v>133</v>
      </c>
      <c r="Z22" s="9" t="s">
        <v>124</v>
      </c>
      <c r="AA22" s="9" t="s">
        <v>124</v>
      </c>
      <c r="AB22" s="9" t="s">
        <v>129</v>
      </c>
      <c r="AC22" s="9" t="s">
        <v>123</v>
      </c>
      <c r="AD22" s="9" t="s">
        <v>133</v>
      </c>
      <c r="AE22" s="9" t="s">
        <v>133</v>
      </c>
      <c r="AF22" s="9" t="s">
        <v>126</v>
      </c>
      <c r="AG22" s="9" t="s">
        <v>127</v>
      </c>
      <c r="AH22" s="3"/>
      <c r="AJ22" s="3">
        <f t="shared" si="1"/>
        <v>3</v>
      </c>
      <c r="AK22" s="3">
        <f t="shared" si="2"/>
        <v>19</v>
      </c>
      <c r="AL22" s="3">
        <f t="shared" si="3"/>
        <v>7</v>
      </c>
      <c r="AM22" s="3">
        <f t="shared" si="4"/>
        <v>4</v>
      </c>
      <c r="AN22" s="3">
        <f t="shared" si="5"/>
        <v>13</v>
      </c>
      <c r="AO22" s="3">
        <f t="shared" si="6"/>
        <v>22</v>
      </c>
      <c r="AP22" s="3">
        <f t="shared" si="7"/>
        <v>8</v>
      </c>
      <c r="AQ22" s="3">
        <f t="shared" si="8"/>
        <v>3</v>
      </c>
      <c r="AR22" s="3">
        <f t="shared" si="9"/>
        <v>4</v>
      </c>
      <c r="AS22" s="3">
        <f t="shared" si="10"/>
        <v>13</v>
      </c>
      <c r="AT22" s="3">
        <f t="shared" si="11"/>
        <v>8</v>
      </c>
      <c r="AU22" s="3">
        <f t="shared" si="12"/>
        <v>13</v>
      </c>
      <c r="AV22" s="3">
        <f t="shared" si="13"/>
        <v>6</v>
      </c>
      <c r="AW22" s="3">
        <f t="shared" si="14"/>
        <v>19</v>
      </c>
      <c r="AX22" s="3">
        <f t="shared" si="15"/>
        <v>7</v>
      </c>
      <c r="AY22" s="3">
        <f t="shared" si="16"/>
        <v>4</v>
      </c>
      <c r="AZ22" s="3">
        <f t="shared" si="17"/>
        <v>7</v>
      </c>
      <c r="BA22" s="3">
        <f t="shared" si="18"/>
        <v>14</v>
      </c>
      <c r="BB22" s="3">
        <f t="shared" si="19"/>
        <v>11</v>
      </c>
      <c r="BC22" s="3">
        <f t="shared" si="20"/>
        <v>4</v>
      </c>
      <c r="BD22" s="3">
        <f t="shared" si="21"/>
        <v>0</v>
      </c>
      <c r="BE22" s="3">
        <f t="shared" si="22"/>
        <v>11</v>
      </c>
      <c r="BF22" s="3">
        <f t="shared" si="23"/>
        <v>8</v>
      </c>
      <c r="BG22" s="3">
        <f t="shared" si="24"/>
        <v>19</v>
      </c>
      <c r="BH22" s="3">
        <f t="shared" si="25"/>
        <v>19</v>
      </c>
      <c r="BI22" s="3">
        <f t="shared" si="26"/>
        <v>11</v>
      </c>
      <c r="BJ22" s="3">
        <f t="shared" si="27"/>
        <v>4</v>
      </c>
      <c r="BK22" s="3">
        <f t="shared" si="28"/>
        <v>8</v>
      </c>
      <c r="BL22" s="3">
        <f t="shared" si="29"/>
        <v>8</v>
      </c>
      <c r="BM22" s="3">
        <f t="shared" si="30"/>
        <v>13</v>
      </c>
      <c r="BN22" s="3">
        <f t="shared" si="31"/>
        <v>18</v>
      </c>
      <c r="BO22" s="7">
        <f t="shared" si="32"/>
        <v>9.935483870967742</v>
      </c>
    </row>
    <row r="23" spans="1:67" ht="22">
      <c r="A23" s="1">
        <v>7</v>
      </c>
      <c r="B23" s="3"/>
      <c r="C23" s="9" t="s">
        <v>123</v>
      </c>
      <c r="D23" s="9" t="s">
        <v>109</v>
      </c>
      <c r="E23" s="9" t="s">
        <v>124</v>
      </c>
      <c r="F23" s="9" t="s">
        <v>123</v>
      </c>
      <c r="G23" s="9" t="s">
        <v>132</v>
      </c>
      <c r="H23" s="9" t="s">
        <v>124</v>
      </c>
      <c r="I23" s="9" t="s">
        <v>130</v>
      </c>
      <c r="J23" s="9" t="s">
        <v>123</v>
      </c>
      <c r="K23" s="9" t="s">
        <v>136</v>
      </c>
      <c r="L23" s="9" t="s">
        <v>131</v>
      </c>
      <c r="M23" s="9" t="s">
        <v>126</v>
      </c>
      <c r="N23" s="9" t="s">
        <v>132</v>
      </c>
      <c r="O23" s="9" t="s">
        <v>129</v>
      </c>
      <c r="P23" s="9" t="s">
        <v>123</v>
      </c>
      <c r="Q23" s="9" t="s">
        <v>131</v>
      </c>
      <c r="R23" s="9" t="s">
        <v>126</v>
      </c>
      <c r="S23" s="9" t="s">
        <v>132</v>
      </c>
      <c r="T23" s="9" t="s">
        <v>107</v>
      </c>
      <c r="U23" s="9" t="s">
        <v>123</v>
      </c>
      <c r="V23" s="9" t="s">
        <v>123</v>
      </c>
      <c r="W23" s="9" t="s">
        <v>109</v>
      </c>
      <c r="X23" s="9" t="s">
        <v>123</v>
      </c>
      <c r="Y23" s="9" t="s">
        <v>132</v>
      </c>
      <c r="Z23" s="9" t="s">
        <v>133</v>
      </c>
      <c r="AA23" s="9" t="s">
        <v>126</v>
      </c>
      <c r="AB23" s="9" t="s">
        <v>124</v>
      </c>
      <c r="AC23" s="9" t="s">
        <v>130</v>
      </c>
      <c r="AD23" s="9" t="s">
        <v>123</v>
      </c>
      <c r="AE23" s="9" t="s">
        <v>130</v>
      </c>
      <c r="AF23" s="9" t="s">
        <v>137</v>
      </c>
      <c r="AG23" s="9" t="s">
        <v>124</v>
      </c>
      <c r="AH23" s="3"/>
      <c r="AJ23" s="3">
        <f t="shared" si="1"/>
        <v>4</v>
      </c>
      <c r="AK23" s="3">
        <f t="shared" si="2"/>
        <v>17</v>
      </c>
      <c r="AL23" s="3">
        <f t="shared" si="3"/>
        <v>19</v>
      </c>
      <c r="AM23" s="3">
        <f t="shared" si="4"/>
        <v>4</v>
      </c>
      <c r="AN23" s="3">
        <f t="shared" si="5"/>
        <v>3</v>
      </c>
      <c r="AO23" s="3">
        <f t="shared" si="6"/>
        <v>19</v>
      </c>
      <c r="AP23" s="3">
        <f t="shared" si="7"/>
        <v>7</v>
      </c>
      <c r="AQ23" s="3">
        <f t="shared" si="8"/>
        <v>4</v>
      </c>
      <c r="AR23" s="3">
        <f t="shared" si="9"/>
        <v>2</v>
      </c>
      <c r="AS23" s="3">
        <f t="shared" si="10"/>
        <v>0</v>
      </c>
      <c r="AT23" s="3">
        <f t="shared" si="11"/>
        <v>13</v>
      </c>
      <c r="AU23" s="3">
        <f t="shared" si="12"/>
        <v>3</v>
      </c>
      <c r="AV23" s="3">
        <f t="shared" si="13"/>
        <v>11</v>
      </c>
      <c r="AW23" s="3">
        <f t="shared" si="14"/>
        <v>4</v>
      </c>
      <c r="AX23" s="3">
        <f t="shared" si="15"/>
        <v>0</v>
      </c>
      <c r="AY23" s="3">
        <f t="shared" si="16"/>
        <v>13</v>
      </c>
      <c r="AZ23" s="3">
        <f t="shared" si="17"/>
        <v>3</v>
      </c>
      <c r="BA23" s="3">
        <f t="shared" si="18"/>
        <v>15</v>
      </c>
      <c r="BB23" s="3">
        <f t="shared" si="19"/>
        <v>4</v>
      </c>
      <c r="BC23" s="3">
        <f t="shared" si="20"/>
        <v>4</v>
      </c>
      <c r="BD23" s="3">
        <f t="shared" si="21"/>
        <v>17</v>
      </c>
      <c r="BE23" s="3">
        <f t="shared" si="22"/>
        <v>4</v>
      </c>
      <c r="BF23" s="3">
        <f t="shared" si="23"/>
        <v>3</v>
      </c>
      <c r="BG23" s="3">
        <f t="shared" si="24"/>
        <v>8</v>
      </c>
      <c r="BH23" s="3">
        <f t="shared" si="25"/>
        <v>13</v>
      </c>
      <c r="BI23" s="3">
        <f t="shared" si="26"/>
        <v>19</v>
      </c>
      <c r="BJ23" s="3">
        <f t="shared" si="27"/>
        <v>7</v>
      </c>
      <c r="BK23" s="3">
        <f t="shared" si="28"/>
        <v>4</v>
      </c>
      <c r="BL23" s="3">
        <f t="shared" si="29"/>
        <v>7</v>
      </c>
      <c r="BM23" s="3">
        <f t="shared" si="30"/>
        <v>14</v>
      </c>
      <c r="BN23" s="3">
        <f t="shared" si="31"/>
        <v>19</v>
      </c>
      <c r="BO23" s="7">
        <f t="shared" si="32"/>
        <v>8.5161290322580641</v>
      </c>
    </row>
    <row r="24" spans="1:67" ht="22">
      <c r="A24" s="1">
        <v>8</v>
      </c>
      <c r="B24" s="3"/>
      <c r="C24" s="9" t="s">
        <v>131</v>
      </c>
      <c r="D24" s="9" t="s">
        <v>133</v>
      </c>
      <c r="E24" s="9" t="s">
        <v>109</v>
      </c>
      <c r="F24" s="9" t="s">
        <v>123</v>
      </c>
      <c r="G24" s="9" t="s">
        <v>127</v>
      </c>
      <c r="H24" s="9" t="s">
        <v>136</v>
      </c>
      <c r="I24" s="9" t="s">
        <v>131</v>
      </c>
      <c r="J24" s="9" t="s">
        <v>107</v>
      </c>
      <c r="K24" s="9" t="s">
        <v>133</v>
      </c>
      <c r="L24" s="9" t="s">
        <v>126</v>
      </c>
      <c r="M24" s="9" t="s">
        <v>134</v>
      </c>
      <c r="N24" s="9" t="s">
        <v>138</v>
      </c>
      <c r="O24" s="9" t="s">
        <v>109</v>
      </c>
      <c r="P24" s="9" t="s">
        <v>137</v>
      </c>
      <c r="Q24" s="9" t="s">
        <v>110</v>
      </c>
      <c r="R24" s="9" t="s">
        <v>124</v>
      </c>
      <c r="S24" s="9" t="s">
        <v>130</v>
      </c>
      <c r="T24" s="9" t="s">
        <v>123</v>
      </c>
      <c r="U24" s="9" t="s">
        <v>136</v>
      </c>
      <c r="V24" s="9" t="s">
        <v>130</v>
      </c>
      <c r="W24" s="9" t="s">
        <v>131</v>
      </c>
      <c r="X24" s="9" t="s">
        <v>110</v>
      </c>
      <c r="Y24" s="9" t="s">
        <v>122</v>
      </c>
      <c r="Z24" s="9" t="s">
        <v>123</v>
      </c>
      <c r="AA24" s="9" t="s">
        <v>109</v>
      </c>
      <c r="AB24" s="9" t="s">
        <v>136</v>
      </c>
      <c r="AC24" s="9" t="s">
        <v>131</v>
      </c>
      <c r="AD24" s="9" t="s">
        <v>128</v>
      </c>
      <c r="AE24" s="9" t="s">
        <v>127</v>
      </c>
      <c r="AF24" s="9" t="s">
        <v>123</v>
      </c>
      <c r="AG24" s="9" t="s">
        <v>132</v>
      </c>
      <c r="AH24" s="3"/>
      <c r="AJ24" s="3">
        <f t="shared" si="1"/>
        <v>0</v>
      </c>
      <c r="AK24" s="3">
        <f t="shared" si="2"/>
        <v>8</v>
      </c>
      <c r="AL24" s="3">
        <f t="shared" si="3"/>
        <v>17</v>
      </c>
      <c r="AM24" s="3">
        <f t="shared" si="4"/>
        <v>4</v>
      </c>
      <c r="AN24" s="3">
        <f t="shared" si="5"/>
        <v>18</v>
      </c>
      <c r="AO24" s="3">
        <f t="shared" si="6"/>
        <v>2</v>
      </c>
      <c r="AP24" s="3">
        <f t="shared" si="7"/>
        <v>0</v>
      </c>
      <c r="AQ24" s="3">
        <f t="shared" si="8"/>
        <v>15</v>
      </c>
      <c r="AR24" s="3">
        <f t="shared" si="9"/>
        <v>8</v>
      </c>
      <c r="AS24" s="3">
        <f t="shared" si="10"/>
        <v>13</v>
      </c>
      <c r="AT24" s="3">
        <f t="shared" si="11"/>
        <v>6</v>
      </c>
      <c r="AU24" s="3">
        <f t="shared" si="12"/>
        <v>5</v>
      </c>
      <c r="AV24" s="3">
        <f t="shared" si="13"/>
        <v>17</v>
      </c>
      <c r="AW24" s="3">
        <f t="shared" si="14"/>
        <v>14</v>
      </c>
      <c r="AX24" s="3">
        <f t="shared" si="15"/>
        <v>12</v>
      </c>
      <c r="AY24" s="3">
        <f t="shared" si="16"/>
        <v>19</v>
      </c>
      <c r="AZ24" s="3">
        <f t="shared" si="17"/>
        <v>7</v>
      </c>
      <c r="BA24" s="3">
        <f t="shared" si="18"/>
        <v>4</v>
      </c>
      <c r="BB24" s="3">
        <f t="shared" si="19"/>
        <v>2</v>
      </c>
      <c r="BC24" s="3">
        <f t="shared" si="20"/>
        <v>7</v>
      </c>
      <c r="BD24" s="3">
        <f t="shared" si="21"/>
        <v>0</v>
      </c>
      <c r="BE24" s="3">
        <f t="shared" si="22"/>
        <v>12</v>
      </c>
      <c r="BF24" s="3">
        <f t="shared" si="23"/>
        <v>1</v>
      </c>
      <c r="BG24" s="3">
        <f t="shared" si="24"/>
        <v>4</v>
      </c>
      <c r="BH24" s="3">
        <f t="shared" si="25"/>
        <v>17</v>
      </c>
      <c r="BI24" s="3">
        <f t="shared" si="26"/>
        <v>2</v>
      </c>
      <c r="BJ24" s="3">
        <f t="shared" si="27"/>
        <v>0</v>
      </c>
      <c r="BK24" s="3">
        <f t="shared" si="28"/>
        <v>20</v>
      </c>
      <c r="BL24" s="3">
        <f t="shared" si="29"/>
        <v>18</v>
      </c>
      <c r="BM24" s="3">
        <f t="shared" si="30"/>
        <v>4</v>
      </c>
      <c r="BN24" s="3">
        <f t="shared" si="31"/>
        <v>3</v>
      </c>
      <c r="BO24" s="7">
        <f t="shared" si="32"/>
        <v>8.3548387096774199</v>
      </c>
    </row>
    <row r="25" spans="1:67" ht="22">
      <c r="A25" s="1">
        <v>9</v>
      </c>
      <c r="B25" s="3"/>
      <c r="C25" s="9" t="s">
        <v>124</v>
      </c>
      <c r="D25" s="9" t="s">
        <v>130</v>
      </c>
      <c r="E25" s="9" t="s">
        <v>123</v>
      </c>
      <c r="F25" s="9" t="s">
        <v>138</v>
      </c>
      <c r="G25" s="9" t="s">
        <v>129</v>
      </c>
      <c r="H25" s="9" t="s">
        <v>131</v>
      </c>
      <c r="I25" s="9" t="s">
        <v>110</v>
      </c>
      <c r="J25" s="9" t="s">
        <v>123</v>
      </c>
      <c r="K25" s="9" t="s">
        <v>124</v>
      </c>
      <c r="L25" s="9" t="s">
        <v>137</v>
      </c>
      <c r="M25" s="9" t="s">
        <v>138</v>
      </c>
      <c r="N25" s="9" t="s">
        <v>129</v>
      </c>
      <c r="O25" s="9" t="s">
        <v>133</v>
      </c>
      <c r="P25" s="9" t="s">
        <v>136</v>
      </c>
      <c r="Q25" s="9" t="s">
        <v>112</v>
      </c>
      <c r="R25" s="9" t="s">
        <v>123</v>
      </c>
      <c r="S25" s="9" t="s">
        <v>109</v>
      </c>
      <c r="T25" s="9" t="s">
        <v>122</v>
      </c>
      <c r="U25" s="9" t="s">
        <v>128</v>
      </c>
      <c r="V25" s="9" t="s">
        <v>124</v>
      </c>
      <c r="W25" s="9" t="s">
        <v>107</v>
      </c>
      <c r="X25" s="9" t="s">
        <v>109</v>
      </c>
      <c r="Y25" s="9" t="s">
        <v>123</v>
      </c>
      <c r="Z25" s="9" t="s">
        <v>127</v>
      </c>
      <c r="AA25" s="9" t="s">
        <v>123</v>
      </c>
      <c r="AB25" s="9" t="s">
        <v>126</v>
      </c>
      <c r="AC25" s="9" t="s">
        <v>124</v>
      </c>
      <c r="AD25" s="9" t="s">
        <v>129</v>
      </c>
      <c r="AE25" s="9" t="s">
        <v>105</v>
      </c>
      <c r="AF25" s="9" t="s">
        <v>132</v>
      </c>
      <c r="AG25" s="9" t="s">
        <v>123</v>
      </c>
      <c r="AH25" s="3"/>
      <c r="AJ25" s="3">
        <f t="shared" si="1"/>
        <v>19</v>
      </c>
      <c r="AK25" s="3">
        <f t="shared" si="2"/>
        <v>7</v>
      </c>
      <c r="AL25" s="3">
        <f t="shared" si="3"/>
        <v>4</v>
      </c>
      <c r="AM25" s="3">
        <f t="shared" si="4"/>
        <v>5</v>
      </c>
      <c r="AN25" s="3">
        <f t="shared" si="5"/>
        <v>11</v>
      </c>
      <c r="AO25" s="3">
        <f t="shared" si="6"/>
        <v>0</v>
      </c>
      <c r="AP25" s="3">
        <f t="shared" si="7"/>
        <v>12</v>
      </c>
      <c r="AQ25" s="3">
        <f t="shared" si="8"/>
        <v>4</v>
      </c>
      <c r="AR25" s="3">
        <f t="shared" si="9"/>
        <v>19</v>
      </c>
      <c r="AS25" s="3">
        <f t="shared" si="10"/>
        <v>14</v>
      </c>
      <c r="AT25" s="3">
        <f t="shared" si="11"/>
        <v>5</v>
      </c>
      <c r="AU25" s="3">
        <f t="shared" si="12"/>
        <v>11</v>
      </c>
      <c r="AV25" s="3">
        <f t="shared" si="13"/>
        <v>8</v>
      </c>
      <c r="AW25" s="3">
        <f t="shared" si="14"/>
        <v>2</v>
      </c>
      <c r="AX25" s="3">
        <f t="shared" si="15"/>
        <v>10</v>
      </c>
      <c r="AY25" s="3">
        <f t="shared" si="16"/>
        <v>4</v>
      </c>
      <c r="AZ25" s="3">
        <f t="shared" si="17"/>
        <v>17</v>
      </c>
      <c r="BA25" s="3">
        <f t="shared" si="18"/>
        <v>1</v>
      </c>
      <c r="BB25" s="3">
        <f t="shared" si="19"/>
        <v>20</v>
      </c>
      <c r="BC25" s="3">
        <f t="shared" si="20"/>
        <v>19</v>
      </c>
      <c r="BD25" s="3">
        <f t="shared" si="21"/>
        <v>15</v>
      </c>
      <c r="BE25" s="3">
        <f t="shared" si="22"/>
        <v>17</v>
      </c>
      <c r="BF25" s="3">
        <f t="shared" si="23"/>
        <v>4</v>
      </c>
      <c r="BG25" s="3">
        <f t="shared" si="24"/>
        <v>18</v>
      </c>
      <c r="BH25" s="3">
        <f t="shared" si="25"/>
        <v>4</v>
      </c>
      <c r="BI25" s="3">
        <f t="shared" si="26"/>
        <v>13</v>
      </c>
      <c r="BJ25" s="3">
        <f t="shared" si="27"/>
        <v>19</v>
      </c>
      <c r="BK25" s="3">
        <f t="shared" si="28"/>
        <v>11</v>
      </c>
      <c r="BL25" s="3">
        <f t="shared" si="29"/>
        <v>24</v>
      </c>
      <c r="BM25" s="3">
        <f t="shared" si="30"/>
        <v>3</v>
      </c>
      <c r="BN25" s="3">
        <f t="shared" si="31"/>
        <v>4</v>
      </c>
      <c r="BO25" s="7">
        <f t="shared" si="32"/>
        <v>10.451612903225806</v>
      </c>
    </row>
    <row r="26" spans="1:67" ht="22">
      <c r="A26" s="1">
        <v>10</v>
      </c>
      <c r="B26" s="3"/>
      <c r="C26" s="9" t="s">
        <v>124</v>
      </c>
      <c r="D26" s="9" t="s">
        <v>131</v>
      </c>
      <c r="E26" s="9" t="s">
        <v>133</v>
      </c>
      <c r="F26" s="9" t="s">
        <v>129</v>
      </c>
      <c r="G26" s="9" t="s">
        <v>127</v>
      </c>
      <c r="H26" s="9" t="s">
        <v>137</v>
      </c>
      <c r="I26" s="9" t="s">
        <v>138</v>
      </c>
      <c r="J26" s="9" t="s">
        <v>124</v>
      </c>
      <c r="K26" s="9" t="s">
        <v>130</v>
      </c>
      <c r="L26" s="9" t="s">
        <v>123</v>
      </c>
      <c r="M26" s="9" t="s">
        <v>109</v>
      </c>
      <c r="N26" s="9" t="s">
        <v>137</v>
      </c>
      <c r="O26" s="9" t="s">
        <v>137</v>
      </c>
      <c r="P26" s="9" t="s">
        <v>110</v>
      </c>
      <c r="Q26" s="9" t="s">
        <v>125</v>
      </c>
      <c r="R26" s="9" t="s">
        <v>133</v>
      </c>
      <c r="S26" s="9" t="s">
        <v>124</v>
      </c>
      <c r="T26" s="9" t="s">
        <v>130</v>
      </c>
      <c r="U26" s="9" t="s">
        <v>133</v>
      </c>
      <c r="V26" s="9" t="s">
        <v>126</v>
      </c>
      <c r="W26" s="9" t="s">
        <v>123</v>
      </c>
      <c r="X26" s="9" t="s">
        <v>110</v>
      </c>
      <c r="Y26" s="9" t="s">
        <v>123</v>
      </c>
      <c r="Z26" s="9" t="s">
        <v>109</v>
      </c>
      <c r="AA26" s="9" t="s">
        <v>134</v>
      </c>
      <c r="AB26" s="9" t="s">
        <v>123</v>
      </c>
      <c r="AC26" s="9" t="s">
        <v>132</v>
      </c>
      <c r="AD26" s="9" t="s">
        <v>138</v>
      </c>
      <c r="AE26" s="9" t="s">
        <v>109</v>
      </c>
      <c r="AF26" s="9" t="s">
        <v>137</v>
      </c>
      <c r="AG26" s="9" t="s">
        <v>110</v>
      </c>
      <c r="AH26" s="3"/>
      <c r="AJ26" s="3">
        <f t="shared" si="1"/>
        <v>19</v>
      </c>
      <c r="AK26" s="3">
        <f t="shared" si="2"/>
        <v>0</v>
      </c>
      <c r="AL26" s="3">
        <f t="shared" si="3"/>
        <v>8</v>
      </c>
      <c r="AM26" s="3">
        <f t="shared" si="4"/>
        <v>11</v>
      </c>
      <c r="AN26" s="3">
        <f t="shared" si="5"/>
        <v>18</v>
      </c>
      <c r="AO26" s="3">
        <f t="shared" si="6"/>
        <v>14</v>
      </c>
      <c r="AP26" s="3">
        <f t="shared" si="7"/>
        <v>5</v>
      </c>
      <c r="AQ26" s="3">
        <f t="shared" si="8"/>
        <v>19</v>
      </c>
      <c r="AR26" s="3">
        <f t="shared" si="9"/>
        <v>7</v>
      </c>
      <c r="AS26" s="3">
        <f t="shared" si="10"/>
        <v>4</v>
      </c>
      <c r="AT26" s="3">
        <f t="shared" si="11"/>
        <v>17</v>
      </c>
      <c r="AU26" s="3">
        <f t="shared" si="12"/>
        <v>14</v>
      </c>
      <c r="AV26" s="3">
        <f t="shared" si="13"/>
        <v>14</v>
      </c>
      <c r="AW26" s="3">
        <f t="shared" si="14"/>
        <v>12</v>
      </c>
      <c r="AX26" s="3">
        <f t="shared" si="15"/>
        <v>22</v>
      </c>
      <c r="AY26" s="3">
        <f t="shared" si="16"/>
        <v>8</v>
      </c>
      <c r="AZ26" s="3">
        <f t="shared" si="17"/>
        <v>19</v>
      </c>
      <c r="BA26" s="3">
        <f t="shared" si="18"/>
        <v>7</v>
      </c>
      <c r="BB26" s="3">
        <f t="shared" si="19"/>
        <v>8</v>
      </c>
      <c r="BC26" s="3">
        <f t="shared" si="20"/>
        <v>13</v>
      </c>
      <c r="BD26" s="3">
        <f t="shared" si="21"/>
        <v>4</v>
      </c>
      <c r="BE26" s="3">
        <f t="shared" si="22"/>
        <v>12</v>
      </c>
      <c r="BF26" s="3">
        <f t="shared" si="23"/>
        <v>4</v>
      </c>
      <c r="BG26" s="3">
        <f t="shared" si="24"/>
        <v>17</v>
      </c>
      <c r="BH26" s="3">
        <f t="shared" si="25"/>
        <v>6</v>
      </c>
      <c r="BI26" s="3">
        <f t="shared" si="26"/>
        <v>4</v>
      </c>
      <c r="BJ26" s="3">
        <f t="shared" si="27"/>
        <v>3</v>
      </c>
      <c r="BK26" s="3">
        <f t="shared" si="28"/>
        <v>5</v>
      </c>
      <c r="BL26" s="3">
        <f t="shared" si="29"/>
        <v>17</v>
      </c>
      <c r="BM26" s="3">
        <f t="shared" si="30"/>
        <v>14</v>
      </c>
      <c r="BN26" s="3">
        <f t="shared" si="31"/>
        <v>12</v>
      </c>
      <c r="BO26" s="7">
        <f t="shared" si="32"/>
        <v>10.870967741935484</v>
      </c>
    </row>
    <row r="27" spans="1:67" ht="22">
      <c r="A27" s="1">
        <v>11</v>
      </c>
      <c r="B27" s="3"/>
      <c r="C27" s="9" t="s">
        <v>124</v>
      </c>
      <c r="D27" s="9" t="s">
        <v>130</v>
      </c>
      <c r="E27" s="9" t="s">
        <v>123</v>
      </c>
      <c r="F27" s="9" t="s">
        <v>110</v>
      </c>
      <c r="G27" s="9" t="s">
        <v>133</v>
      </c>
      <c r="H27" s="9" t="s">
        <v>127</v>
      </c>
      <c r="I27" s="9" t="s">
        <v>124</v>
      </c>
      <c r="J27" s="9" t="s">
        <v>111</v>
      </c>
      <c r="K27" s="9" t="s">
        <v>136</v>
      </c>
      <c r="L27" s="9" t="s">
        <v>131</v>
      </c>
      <c r="M27" s="9" t="s">
        <v>126</v>
      </c>
      <c r="N27" s="9" t="s">
        <v>105</v>
      </c>
      <c r="O27" s="9" t="s">
        <v>137</v>
      </c>
      <c r="P27" s="9" t="s">
        <v>128</v>
      </c>
      <c r="Q27" s="9" t="s">
        <v>127</v>
      </c>
      <c r="R27" s="9" t="s">
        <v>123</v>
      </c>
      <c r="S27" s="9" t="s">
        <v>123</v>
      </c>
      <c r="T27" s="9" t="s">
        <v>131</v>
      </c>
      <c r="U27" s="9" t="s">
        <v>126</v>
      </c>
      <c r="V27" s="9" t="s">
        <v>105</v>
      </c>
      <c r="W27" s="9" t="s">
        <v>124</v>
      </c>
      <c r="X27" s="9" t="s">
        <v>130</v>
      </c>
      <c r="Y27" s="9" t="s">
        <v>133</v>
      </c>
      <c r="Z27" s="9" t="s">
        <v>126</v>
      </c>
      <c r="AA27" s="9" t="s">
        <v>134</v>
      </c>
      <c r="AB27" s="9" t="s">
        <v>139</v>
      </c>
      <c r="AC27" s="9" t="s">
        <v>294</v>
      </c>
      <c r="AD27" s="9" t="s">
        <v>293</v>
      </c>
      <c r="AE27" s="9" t="s">
        <v>293</v>
      </c>
      <c r="AF27" s="9" t="s">
        <v>293</v>
      </c>
      <c r="AG27" s="9" t="s">
        <v>293</v>
      </c>
      <c r="AH27" s="3"/>
      <c r="AJ27" s="3">
        <f t="shared" si="1"/>
        <v>19</v>
      </c>
      <c r="AK27" s="3">
        <f t="shared" si="2"/>
        <v>7</v>
      </c>
      <c r="AL27" s="3">
        <f t="shared" si="3"/>
        <v>4</v>
      </c>
      <c r="AM27" s="3">
        <f t="shared" si="4"/>
        <v>12</v>
      </c>
      <c r="AN27" s="3">
        <f t="shared" si="5"/>
        <v>8</v>
      </c>
      <c r="AO27" s="3">
        <f t="shared" si="6"/>
        <v>18</v>
      </c>
      <c r="AP27" s="3">
        <f t="shared" si="7"/>
        <v>19</v>
      </c>
      <c r="AQ27" s="3">
        <f t="shared" si="8"/>
        <v>23</v>
      </c>
      <c r="AR27" s="3">
        <f t="shared" si="9"/>
        <v>2</v>
      </c>
      <c r="AS27" s="3">
        <f t="shared" si="10"/>
        <v>0</v>
      </c>
      <c r="AT27" s="3">
        <f t="shared" si="11"/>
        <v>13</v>
      </c>
      <c r="AU27" s="3">
        <f t="shared" si="12"/>
        <v>24</v>
      </c>
      <c r="AV27" s="3">
        <f t="shared" si="13"/>
        <v>14</v>
      </c>
      <c r="AW27" s="3">
        <f t="shared" si="14"/>
        <v>20</v>
      </c>
      <c r="AX27" s="3">
        <f t="shared" si="15"/>
        <v>18</v>
      </c>
      <c r="AY27" s="3">
        <f t="shared" si="16"/>
        <v>4</v>
      </c>
      <c r="AZ27" s="3">
        <f t="shared" si="17"/>
        <v>4</v>
      </c>
      <c r="BA27" s="3">
        <f t="shared" si="18"/>
        <v>0</v>
      </c>
      <c r="BB27" s="3">
        <f t="shared" si="19"/>
        <v>13</v>
      </c>
      <c r="BC27" s="3">
        <f t="shared" si="20"/>
        <v>24</v>
      </c>
      <c r="BD27" s="3">
        <f t="shared" si="21"/>
        <v>19</v>
      </c>
      <c r="BE27" s="3">
        <f t="shared" si="22"/>
        <v>7</v>
      </c>
      <c r="BF27" s="3">
        <f t="shared" si="23"/>
        <v>8</v>
      </c>
      <c r="BG27" s="3">
        <f t="shared" si="24"/>
        <v>13</v>
      </c>
      <c r="BH27" s="3">
        <f t="shared" si="25"/>
        <v>6</v>
      </c>
      <c r="BI27" s="3">
        <f t="shared" si="26"/>
        <v>16</v>
      </c>
      <c r="BJ27" s="5" t="str">
        <f t="shared" si="27"/>
        <v/>
      </c>
      <c r="BK27" s="3"/>
      <c r="BL27" s="3"/>
      <c r="BM27" s="3"/>
      <c r="BN27" s="3"/>
      <c r="BO27" s="7">
        <f t="shared" si="32"/>
        <v>12.115384615384615</v>
      </c>
    </row>
    <row r="28" spans="1:67" ht="22">
      <c r="A28" s="1">
        <v>12</v>
      </c>
      <c r="B28" s="3"/>
      <c r="C28" s="9" t="s">
        <v>293</v>
      </c>
      <c r="D28" s="9" t="s">
        <v>293</v>
      </c>
      <c r="E28" s="9" t="s">
        <v>293</v>
      </c>
      <c r="F28" s="9" t="s">
        <v>293</v>
      </c>
      <c r="G28" s="9" t="s">
        <v>293</v>
      </c>
      <c r="H28" s="9" t="s">
        <v>293</v>
      </c>
      <c r="I28" s="9" t="s">
        <v>293</v>
      </c>
      <c r="J28" s="9" t="s">
        <v>293</v>
      </c>
      <c r="K28" s="9" t="s">
        <v>293</v>
      </c>
      <c r="L28" s="9" t="s">
        <v>293</v>
      </c>
      <c r="M28" s="9" t="s">
        <v>293</v>
      </c>
      <c r="N28" s="9" t="s">
        <v>293</v>
      </c>
      <c r="O28" s="9" t="s">
        <v>293</v>
      </c>
      <c r="P28" s="9" t="s">
        <v>293</v>
      </c>
      <c r="Q28" s="9" t="s">
        <v>293</v>
      </c>
      <c r="R28" s="9" t="s">
        <v>293</v>
      </c>
      <c r="S28" s="9" t="s">
        <v>293</v>
      </c>
      <c r="T28" s="9" t="s">
        <v>293</v>
      </c>
      <c r="U28" s="9" t="s">
        <v>293</v>
      </c>
      <c r="V28" s="9" t="s">
        <v>293</v>
      </c>
      <c r="W28" s="9" t="s">
        <v>293</v>
      </c>
      <c r="X28" s="9" t="s">
        <v>293</v>
      </c>
      <c r="Y28" s="9" t="s">
        <v>293</v>
      </c>
      <c r="Z28" s="9" t="s">
        <v>293</v>
      </c>
      <c r="AA28" s="9" t="s">
        <v>293</v>
      </c>
      <c r="AB28" s="9" t="s">
        <v>293</v>
      </c>
      <c r="AC28" s="9" t="s">
        <v>293</v>
      </c>
      <c r="AD28" s="9" t="s">
        <v>293</v>
      </c>
      <c r="AE28" s="9" t="s">
        <v>293</v>
      </c>
      <c r="AF28" s="9" t="s">
        <v>293</v>
      </c>
      <c r="AG28" s="9" t="s">
        <v>293</v>
      </c>
      <c r="AH28" s="3"/>
      <c r="AJ28" s="7">
        <f>AVERAGE(AJ2:AJ27)</f>
        <v>10.08</v>
      </c>
      <c r="AK28" s="7">
        <f t="shared" ref="AK28:BN28" si="33">AVERAGE(AK2:AK27)</f>
        <v>9.48</v>
      </c>
      <c r="AL28" s="7">
        <f t="shared" si="33"/>
        <v>10.88</v>
      </c>
      <c r="AM28" s="7">
        <f t="shared" si="33"/>
        <v>10.119999999999999</v>
      </c>
      <c r="AN28" s="7">
        <f t="shared" si="33"/>
        <v>12.56</v>
      </c>
      <c r="AO28" s="7">
        <f t="shared" si="33"/>
        <v>12.12</v>
      </c>
      <c r="AP28" s="7">
        <f t="shared" si="33"/>
        <v>12.75</v>
      </c>
      <c r="AQ28" s="7">
        <f t="shared" si="33"/>
        <v>11</v>
      </c>
      <c r="AR28" s="7">
        <f t="shared" si="33"/>
        <v>10.68</v>
      </c>
      <c r="AS28" s="7">
        <f t="shared" si="33"/>
        <v>10.4</v>
      </c>
      <c r="AT28" s="7">
        <f t="shared" si="33"/>
        <v>11.16</v>
      </c>
      <c r="AU28" s="7">
        <f t="shared" si="33"/>
        <v>14.36</v>
      </c>
      <c r="AV28" s="7">
        <f t="shared" si="33"/>
        <v>10.119999999999999</v>
      </c>
      <c r="AW28" s="7">
        <f t="shared" si="33"/>
        <v>13.08</v>
      </c>
      <c r="AX28" s="7">
        <f t="shared" si="33"/>
        <v>11.12</v>
      </c>
      <c r="AY28" s="7">
        <f t="shared" si="33"/>
        <v>10.28</v>
      </c>
      <c r="AZ28" s="7">
        <f t="shared" si="33"/>
        <v>9.2799999999999994</v>
      </c>
      <c r="BA28" s="7">
        <f t="shared" si="33"/>
        <v>9.44</v>
      </c>
      <c r="BB28" s="7">
        <f t="shared" si="33"/>
        <v>10.039999999999999</v>
      </c>
      <c r="BC28" s="7">
        <f t="shared" si="33"/>
        <v>11.28</v>
      </c>
      <c r="BD28" s="7">
        <f t="shared" si="33"/>
        <v>11.08</v>
      </c>
      <c r="BE28" s="7">
        <f t="shared" si="33"/>
        <v>10.6</v>
      </c>
      <c r="BF28" s="7">
        <f t="shared" si="33"/>
        <v>10.52</v>
      </c>
      <c r="BG28" s="7">
        <f t="shared" si="33"/>
        <v>11.44</v>
      </c>
      <c r="BH28" s="7">
        <f t="shared" si="33"/>
        <v>8.92</v>
      </c>
      <c r="BI28" s="7">
        <f t="shared" si="33"/>
        <v>10.96</v>
      </c>
      <c r="BJ28" s="7">
        <f t="shared" si="33"/>
        <v>9.5833333333333339</v>
      </c>
      <c r="BK28" s="7">
        <f t="shared" si="33"/>
        <v>10.208333333333334</v>
      </c>
      <c r="BL28" s="7">
        <f t="shared" si="33"/>
        <v>13.666666666666666</v>
      </c>
      <c r="BM28" s="7">
        <f t="shared" si="33"/>
        <v>11.208333333333334</v>
      </c>
      <c r="BN28" s="7">
        <f t="shared" si="33"/>
        <v>12.833333333333334</v>
      </c>
    </row>
    <row r="29" spans="1:67" ht="22">
      <c r="A29" s="1">
        <v>13</v>
      </c>
      <c r="C29" s="9" t="s">
        <v>293</v>
      </c>
      <c r="D29" s="9" t="s">
        <v>293</v>
      </c>
      <c r="E29" s="9" t="s">
        <v>293</v>
      </c>
      <c r="F29" s="9" t="s">
        <v>293</v>
      </c>
      <c r="G29" s="9" t="s">
        <v>293</v>
      </c>
      <c r="H29" s="9" t="s">
        <v>293</v>
      </c>
      <c r="I29" s="9" t="s">
        <v>293</v>
      </c>
      <c r="J29" s="9" t="s">
        <v>293</v>
      </c>
      <c r="K29" s="9" t="s">
        <v>293</v>
      </c>
      <c r="L29" s="9" t="s">
        <v>293</v>
      </c>
      <c r="M29" s="9" t="s">
        <v>293</v>
      </c>
      <c r="N29" s="9" t="s">
        <v>293</v>
      </c>
      <c r="O29" s="9" t="s">
        <v>293</v>
      </c>
      <c r="P29" s="9" t="s">
        <v>293</v>
      </c>
      <c r="Q29" s="9" t="s">
        <v>293</v>
      </c>
      <c r="R29" s="9" t="s">
        <v>293</v>
      </c>
      <c r="S29" s="9" t="s">
        <v>293</v>
      </c>
      <c r="T29" s="9" t="s">
        <v>293</v>
      </c>
      <c r="U29" s="9" t="s">
        <v>293</v>
      </c>
      <c r="V29" s="9" t="s">
        <v>293</v>
      </c>
      <c r="W29" s="9" t="s">
        <v>293</v>
      </c>
      <c r="X29" s="9" t="s">
        <v>293</v>
      </c>
      <c r="Y29" s="9" t="s">
        <v>293</v>
      </c>
      <c r="Z29" s="9" t="s">
        <v>293</v>
      </c>
      <c r="AA29" s="9" t="s">
        <v>293</v>
      </c>
      <c r="AB29" s="9" t="s">
        <v>293</v>
      </c>
      <c r="AC29" s="9" t="s">
        <v>293</v>
      </c>
      <c r="AD29" s="9" t="s">
        <v>293</v>
      </c>
      <c r="AE29" s="9" t="s">
        <v>293</v>
      </c>
      <c r="AF29" s="9" t="s">
        <v>293</v>
      </c>
      <c r="AG29" s="9" t="s">
        <v>293</v>
      </c>
    </row>
    <row r="30" spans="1:67" ht="22">
      <c r="A30" s="1">
        <v>14</v>
      </c>
      <c r="C30" s="9" t="s">
        <v>293</v>
      </c>
      <c r="D30" s="9" t="s">
        <v>293</v>
      </c>
      <c r="E30" s="9" t="s">
        <v>293</v>
      </c>
      <c r="F30" s="9" t="s">
        <v>293</v>
      </c>
      <c r="G30" s="9" t="s">
        <v>293</v>
      </c>
      <c r="H30" s="9" t="s">
        <v>293</v>
      </c>
      <c r="I30" s="9" t="s">
        <v>293</v>
      </c>
      <c r="J30" s="9" t="s">
        <v>293</v>
      </c>
      <c r="K30" s="9" t="s">
        <v>293</v>
      </c>
      <c r="L30" s="9" t="s">
        <v>293</v>
      </c>
      <c r="M30" s="9" t="s">
        <v>293</v>
      </c>
      <c r="N30" s="9" t="s">
        <v>293</v>
      </c>
      <c r="O30" s="9" t="s">
        <v>293</v>
      </c>
      <c r="P30" s="9" t="s">
        <v>293</v>
      </c>
      <c r="Q30" s="9" t="s">
        <v>293</v>
      </c>
      <c r="R30" s="9" t="s">
        <v>293</v>
      </c>
      <c r="S30" s="9" t="s">
        <v>293</v>
      </c>
      <c r="T30" s="9" t="s">
        <v>293</v>
      </c>
      <c r="U30" s="9" t="s">
        <v>293</v>
      </c>
      <c r="V30" s="9" t="s">
        <v>293</v>
      </c>
      <c r="W30" s="9" t="s">
        <v>293</v>
      </c>
      <c r="X30" s="9" t="s">
        <v>293</v>
      </c>
      <c r="Y30" s="9" t="s">
        <v>293</v>
      </c>
      <c r="Z30" s="9" t="s">
        <v>293</v>
      </c>
      <c r="AA30" s="9" t="s">
        <v>293</v>
      </c>
      <c r="AB30" s="9" t="s">
        <v>293</v>
      </c>
      <c r="AC30" s="9" t="s">
        <v>293</v>
      </c>
      <c r="AD30" s="9" t="s">
        <v>293</v>
      </c>
      <c r="AE30" s="9" t="s">
        <v>293</v>
      </c>
      <c r="AF30" s="9" t="s">
        <v>293</v>
      </c>
      <c r="AG30" s="9" t="s">
        <v>293</v>
      </c>
    </row>
    <row r="32" spans="1:67" ht="17">
      <c r="A32" s="1" t="s">
        <v>297</v>
      </c>
      <c r="B32" s="1" t="s">
        <v>295</v>
      </c>
      <c r="C32" s="2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  <c r="Z32" s="1">
        <v>24</v>
      </c>
      <c r="AA32" s="1">
        <v>25</v>
      </c>
      <c r="AB32" s="1">
        <v>26</v>
      </c>
      <c r="AC32" s="1">
        <v>27</v>
      </c>
      <c r="AD32" s="1">
        <v>28</v>
      </c>
      <c r="AE32" s="1">
        <v>29</v>
      </c>
      <c r="AF32" s="1">
        <v>30</v>
      </c>
      <c r="AG32" s="1">
        <v>31</v>
      </c>
      <c r="AJ32" s="2">
        <v>1</v>
      </c>
      <c r="AK32" s="1">
        <v>2</v>
      </c>
      <c r="AL32" s="1">
        <v>3</v>
      </c>
      <c r="AM32" s="1">
        <v>4</v>
      </c>
      <c r="AN32" s="1">
        <v>5</v>
      </c>
      <c r="AO32" s="1">
        <v>6</v>
      </c>
      <c r="AP32" s="1">
        <v>7</v>
      </c>
      <c r="AQ32" s="1">
        <v>8</v>
      </c>
      <c r="AR32" s="1">
        <v>9</v>
      </c>
      <c r="AS32" s="1">
        <v>10</v>
      </c>
      <c r="AT32" s="1">
        <v>11</v>
      </c>
      <c r="AU32" s="1">
        <v>12</v>
      </c>
      <c r="AV32" s="1">
        <v>13</v>
      </c>
      <c r="AW32" s="1">
        <v>14</v>
      </c>
      <c r="AX32" s="1">
        <v>15</v>
      </c>
      <c r="AY32" s="1">
        <v>16</v>
      </c>
      <c r="AZ32" s="1">
        <v>17</v>
      </c>
      <c r="BA32" s="1">
        <v>18</v>
      </c>
      <c r="BB32" s="1">
        <v>19</v>
      </c>
      <c r="BC32" s="1">
        <v>20</v>
      </c>
      <c r="BD32" s="1">
        <v>21</v>
      </c>
      <c r="BE32" s="1">
        <v>22</v>
      </c>
      <c r="BF32" s="1">
        <v>23</v>
      </c>
      <c r="BG32" s="1">
        <v>24</v>
      </c>
      <c r="BH32" s="1">
        <v>25</v>
      </c>
      <c r="BI32" s="1">
        <v>26</v>
      </c>
      <c r="BJ32" s="1">
        <v>27</v>
      </c>
      <c r="BK32" s="1">
        <v>28</v>
      </c>
      <c r="BL32" s="1">
        <v>29</v>
      </c>
      <c r="BM32" s="1">
        <v>30</v>
      </c>
      <c r="BN32" s="1">
        <v>31</v>
      </c>
    </row>
    <row r="33" spans="1:67" ht="22">
      <c r="A33" s="1">
        <v>1</v>
      </c>
      <c r="B33" s="4" t="s">
        <v>113</v>
      </c>
      <c r="C33" s="9" t="s">
        <v>123</v>
      </c>
      <c r="D33" s="9" t="s">
        <v>110</v>
      </c>
      <c r="E33" s="9" t="s">
        <v>128</v>
      </c>
      <c r="F33" s="9" t="s">
        <v>138</v>
      </c>
      <c r="G33" s="9" t="s">
        <v>107</v>
      </c>
      <c r="H33" s="9" t="s">
        <v>130</v>
      </c>
      <c r="I33" s="9" t="s">
        <v>142</v>
      </c>
      <c r="J33" s="9" t="s">
        <v>129</v>
      </c>
      <c r="K33" s="9" t="s">
        <v>109</v>
      </c>
      <c r="L33" s="9" t="s">
        <v>138</v>
      </c>
      <c r="M33" s="9" t="s">
        <v>131</v>
      </c>
      <c r="N33" s="9" t="s">
        <v>111</v>
      </c>
      <c r="O33" s="9" t="s">
        <v>105</v>
      </c>
      <c r="P33" s="9" t="s">
        <v>128</v>
      </c>
      <c r="Q33" s="9" t="s">
        <v>127</v>
      </c>
      <c r="R33" s="9" t="s">
        <v>132</v>
      </c>
      <c r="S33" s="9" t="s">
        <v>141</v>
      </c>
      <c r="T33" s="9" t="s">
        <v>112</v>
      </c>
      <c r="U33" s="9" t="s">
        <v>142</v>
      </c>
      <c r="V33" s="9" t="s">
        <v>129</v>
      </c>
      <c r="W33" s="9" t="s">
        <v>132</v>
      </c>
      <c r="X33" s="9" t="s">
        <v>112</v>
      </c>
      <c r="Y33" s="9" t="s">
        <v>109</v>
      </c>
      <c r="Z33" s="9" t="s">
        <v>126</v>
      </c>
      <c r="AA33" s="9" t="s">
        <v>127</v>
      </c>
      <c r="AB33" s="9" t="s">
        <v>130</v>
      </c>
      <c r="AC33" s="9" t="s">
        <v>134</v>
      </c>
      <c r="AD33" s="9" t="s">
        <v>126</v>
      </c>
      <c r="AE33" s="9" t="s">
        <v>138</v>
      </c>
      <c r="AF33" s="9" t="s">
        <v>133</v>
      </c>
      <c r="AG33" s="9" t="s">
        <v>106</v>
      </c>
      <c r="AJ33" s="3">
        <f>IF(C33&lt;&gt;"?",CODE(C33)-65,"")</f>
        <v>4</v>
      </c>
      <c r="AK33" s="3">
        <f t="shared" ref="AK33:AK46" si="34">IF(D33&lt;&gt;"?",CODE(D33)-65,"")</f>
        <v>12</v>
      </c>
      <c r="AL33" s="3">
        <f t="shared" ref="AL33:AL46" si="35">IF(E33&lt;&gt;"?",CODE(E33)-65,"")</f>
        <v>20</v>
      </c>
      <c r="AM33" s="3">
        <f t="shared" ref="AM33:AM46" si="36">IF(F33&lt;&gt;"?",CODE(F33)-65,"")</f>
        <v>5</v>
      </c>
      <c r="AN33" s="3">
        <f t="shared" ref="AN33:AN46" si="37">IF(G33&lt;&gt;"?",CODE(G33)-65,"")</f>
        <v>15</v>
      </c>
      <c r="AO33" s="3">
        <f t="shared" ref="AO33:AO46" si="38">IF(H33&lt;&gt;"?",CODE(H33)-65,"")</f>
        <v>7</v>
      </c>
      <c r="AP33" s="3">
        <f t="shared" ref="AP33:AP46" si="39">IF(I33&lt;&gt;"?",CODE(I33)-65,"")</f>
        <v>25</v>
      </c>
      <c r="AQ33" s="3">
        <f t="shared" ref="AQ33:AQ46" si="40">IF(J33&lt;&gt;"?",CODE(J33)-65,"")</f>
        <v>11</v>
      </c>
      <c r="AR33" s="3">
        <f t="shared" ref="AR33:AR46" si="41">IF(K33&lt;&gt;"?",CODE(K33)-65,"")</f>
        <v>17</v>
      </c>
      <c r="AS33" s="3">
        <f t="shared" ref="AS33:AS46" si="42">IF(L33&lt;&gt;"?",CODE(L33)-65,"")</f>
        <v>5</v>
      </c>
      <c r="AT33" s="3">
        <f t="shared" ref="AT33:AT46" si="43">IF(M33&lt;&gt;"?",CODE(M33)-65,"")</f>
        <v>0</v>
      </c>
      <c r="AU33" s="3">
        <f t="shared" ref="AU33:AU46" si="44">IF(N33&lt;&gt;"?",CODE(N33)-65,"")</f>
        <v>23</v>
      </c>
      <c r="AV33" s="3">
        <f t="shared" ref="AV33:AV46" si="45">IF(O33&lt;&gt;"?",CODE(O33)-65,"")</f>
        <v>24</v>
      </c>
      <c r="AW33" s="3">
        <f t="shared" ref="AW33:AW46" si="46">IF(P33&lt;&gt;"?",CODE(P33)-65,"")</f>
        <v>20</v>
      </c>
      <c r="AX33" s="3">
        <f t="shared" ref="AX33:AX46" si="47">IF(Q33&lt;&gt;"?",CODE(Q33)-65,"")</f>
        <v>18</v>
      </c>
      <c r="AY33" s="3">
        <f t="shared" ref="AY33:AY46" si="48">IF(R33&lt;&gt;"?",CODE(R33)-65,"")</f>
        <v>3</v>
      </c>
      <c r="AZ33" s="3">
        <f t="shared" ref="AZ33:AZ46" si="49">IF(S33&lt;&gt;"?",CODE(S33)-65,"")</f>
        <v>9</v>
      </c>
      <c r="BA33" s="3">
        <f t="shared" ref="BA33:BA46" si="50">IF(T33&lt;&gt;"?",CODE(T33)-65,"")</f>
        <v>10</v>
      </c>
      <c r="BB33" s="3">
        <f t="shared" ref="BB33:BB46" si="51">IF(U33&lt;&gt;"?",CODE(U33)-65,"")</f>
        <v>25</v>
      </c>
      <c r="BC33" s="3">
        <f t="shared" ref="BC33:BC46" si="52">IF(V33&lt;&gt;"?",CODE(V33)-65,"")</f>
        <v>11</v>
      </c>
      <c r="BD33" s="3">
        <f t="shared" ref="BD33:BD46" si="53">IF(W33&lt;&gt;"?",CODE(W33)-65,"")</f>
        <v>3</v>
      </c>
      <c r="BE33" s="3">
        <f t="shared" ref="BE33:BE46" si="54">IF(X33&lt;&gt;"?",CODE(X33)-65,"")</f>
        <v>10</v>
      </c>
      <c r="BF33" s="3">
        <f t="shared" ref="BF33:BF46" si="55">IF(Y33&lt;&gt;"?",CODE(Y33)-65,"")</f>
        <v>17</v>
      </c>
      <c r="BG33" s="3">
        <f t="shared" ref="BG33:BG46" si="56">IF(Z33&lt;&gt;"?",CODE(Z33)-65,"")</f>
        <v>13</v>
      </c>
      <c r="BH33" s="3">
        <f t="shared" ref="BH33:BH46" si="57">IF(AA33&lt;&gt;"?",CODE(AA33)-65,"")</f>
        <v>18</v>
      </c>
      <c r="BI33" s="3">
        <f t="shared" ref="BI33:BI46" si="58">IF(AB33&lt;&gt;"?",CODE(AB33)-65,"")</f>
        <v>7</v>
      </c>
      <c r="BJ33" s="3">
        <f t="shared" ref="BJ33:BJ46" si="59">IF(AC33&lt;&gt;"?",CODE(AC33)-65,"")</f>
        <v>6</v>
      </c>
      <c r="BK33" s="3">
        <f t="shared" ref="BK33:BK46" si="60">IF(AD33&lt;&gt;"?",CODE(AD33)-65,"")</f>
        <v>13</v>
      </c>
      <c r="BL33" s="3">
        <f t="shared" ref="BL33:BL46" si="61">IF(AE33&lt;&gt;"?",CODE(AE33)-65,"")</f>
        <v>5</v>
      </c>
      <c r="BM33" s="3">
        <f t="shared" ref="BM33:BM46" si="62">IF(AF33&lt;&gt;"?",CODE(AF33)-65,"")</f>
        <v>8</v>
      </c>
      <c r="BN33" s="3">
        <f t="shared" ref="BN33:BN46" si="63">IF(AG33&lt;&gt;"?",CODE(AG33)-65,"")</f>
        <v>21</v>
      </c>
      <c r="BO33" s="7">
        <f>AVERAGE(AJ33:BN33)</f>
        <v>12.419354838709678</v>
      </c>
    </row>
    <row r="34" spans="1:67" ht="22">
      <c r="A34" s="1">
        <v>2</v>
      </c>
      <c r="B34" s="4" t="s">
        <v>292</v>
      </c>
      <c r="C34" s="9" t="s">
        <v>141</v>
      </c>
      <c r="D34" s="9" t="s">
        <v>105</v>
      </c>
      <c r="E34" s="9" t="s">
        <v>139</v>
      </c>
      <c r="F34" s="9" t="s">
        <v>124</v>
      </c>
      <c r="G34" s="9" t="s">
        <v>139</v>
      </c>
      <c r="H34" s="9" t="s">
        <v>128</v>
      </c>
      <c r="I34" s="9" t="s">
        <v>111</v>
      </c>
      <c r="J34" s="9" t="s">
        <v>139</v>
      </c>
      <c r="K34" s="9" t="s">
        <v>122</v>
      </c>
      <c r="L34" s="9" t="s">
        <v>139</v>
      </c>
      <c r="M34" s="9" t="s">
        <v>106</v>
      </c>
      <c r="N34" s="9" t="s">
        <v>105</v>
      </c>
      <c r="O34" s="9" t="s">
        <v>128</v>
      </c>
      <c r="P34" s="9" t="s">
        <v>106</v>
      </c>
      <c r="Q34" s="9" t="s">
        <v>129</v>
      </c>
      <c r="R34" s="9" t="s">
        <v>129</v>
      </c>
      <c r="S34" s="9" t="s">
        <v>124</v>
      </c>
      <c r="T34" s="9" t="s">
        <v>109</v>
      </c>
      <c r="U34" s="9" t="s">
        <v>123</v>
      </c>
      <c r="V34" s="9" t="s">
        <v>106</v>
      </c>
      <c r="W34" s="9" t="s">
        <v>141</v>
      </c>
      <c r="X34" s="9" t="s">
        <v>105</v>
      </c>
      <c r="Y34" s="9" t="s">
        <v>139</v>
      </c>
      <c r="Z34" s="9" t="s">
        <v>124</v>
      </c>
      <c r="AA34" s="9" t="s">
        <v>110</v>
      </c>
      <c r="AB34" s="9" t="s">
        <v>112</v>
      </c>
      <c r="AC34" s="9" t="s">
        <v>105</v>
      </c>
      <c r="AD34" s="9" t="s">
        <v>109</v>
      </c>
      <c r="AE34" s="9" t="s">
        <v>132</v>
      </c>
      <c r="AF34" s="9" t="s">
        <v>110</v>
      </c>
      <c r="AG34" s="9" t="s">
        <v>138</v>
      </c>
      <c r="AJ34" s="3">
        <f t="shared" ref="AJ34:AJ46" si="64">IF(C34&lt;&gt;"?",CODE(C34)-65,"")</f>
        <v>9</v>
      </c>
      <c r="AK34" s="3">
        <f t="shared" si="34"/>
        <v>24</v>
      </c>
      <c r="AL34" s="3">
        <f t="shared" si="35"/>
        <v>16</v>
      </c>
      <c r="AM34" s="3">
        <f t="shared" si="36"/>
        <v>19</v>
      </c>
      <c r="AN34" s="3">
        <f t="shared" si="37"/>
        <v>16</v>
      </c>
      <c r="AO34" s="3">
        <f t="shared" si="38"/>
        <v>20</v>
      </c>
      <c r="AP34" s="3">
        <f t="shared" si="39"/>
        <v>23</v>
      </c>
      <c r="AQ34" s="3">
        <f t="shared" si="40"/>
        <v>16</v>
      </c>
      <c r="AR34" s="3">
        <f t="shared" si="41"/>
        <v>1</v>
      </c>
      <c r="AS34" s="3">
        <f t="shared" si="42"/>
        <v>16</v>
      </c>
      <c r="AT34" s="3">
        <f t="shared" si="43"/>
        <v>21</v>
      </c>
      <c r="AU34" s="3">
        <f t="shared" si="44"/>
        <v>24</v>
      </c>
      <c r="AV34" s="3">
        <f t="shared" si="45"/>
        <v>20</v>
      </c>
      <c r="AW34" s="3">
        <f t="shared" si="46"/>
        <v>21</v>
      </c>
      <c r="AX34" s="3">
        <f t="shared" si="47"/>
        <v>11</v>
      </c>
      <c r="AY34" s="3">
        <f t="shared" si="48"/>
        <v>11</v>
      </c>
      <c r="AZ34" s="3">
        <f t="shared" si="49"/>
        <v>19</v>
      </c>
      <c r="BA34" s="3">
        <f t="shared" si="50"/>
        <v>17</v>
      </c>
      <c r="BB34" s="3">
        <f t="shared" si="51"/>
        <v>4</v>
      </c>
      <c r="BC34" s="3">
        <f t="shared" si="52"/>
        <v>21</v>
      </c>
      <c r="BD34" s="3">
        <f t="shared" si="53"/>
        <v>9</v>
      </c>
      <c r="BE34" s="3">
        <f t="shared" si="54"/>
        <v>24</v>
      </c>
      <c r="BF34" s="3">
        <f t="shared" si="55"/>
        <v>16</v>
      </c>
      <c r="BG34" s="3">
        <f t="shared" si="56"/>
        <v>19</v>
      </c>
      <c r="BH34" s="3">
        <f t="shared" si="57"/>
        <v>12</v>
      </c>
      <c r="BI34" s="3">
        <f t="shared" si="58"/>
        <v>10</v>
      </c>
      <c r="BJ34" s="3">
        <f t="shared" si="59"/>
        <v>24</v>
      </c>
      <c r="BK34" s="3">
        <f t="shared" si="60"/>
        <v>17</v>
      </c>
      <c r="BL34" s="3">
        <f t="shared" si="61"/>
        <v>3</v>
      </c>
      <c r="BM34" s="3">
        <f t="shared" si="62"/>
        <v>12</v>
      </c>
      <c r="BN34" s="3">
        <f t="shared" si="63"/>
        <v>5</v>
      </c>
      <c r="BO34" s="7">
        <f t="shared" ref="BO34:BO46" si="65">AVERAGE(AJ34:BN34)</f>
        <v>15.483870967741936</v>
      </c>
    </row>
    <row r="35" spans="1:67" ht="22">
      <c r="A35" s="1">
        <v>3</v>
      </c>
      <c r="B35" s="3" t="s">
        <v>135</v>
      </c>
      <c r="C35" s="9" t="s">
        <v>106</v>
      </c>
      <c r="D35" s="9" t="s">
        <v>138</v>
      </c>
      <c r="E35" s="9" t="s">
        <v>107</v>
      </c>
      <c r="F35" s="9" t="s">
        <v>141</v>
      </c>
      <c r="G35" s="9" t="s">
        <v>128</v>
      </c>
      <c r="H35" s="9" t="s">
        <v>132</v>
      </c>
      <c r="I35" s="9" t="s">
        <v>123</v>
      </c>
      <c r="J35" s="9" t="s">
        <v>123</v>
      </c>
      <c r="K35" s="9" t="s">
        <v>130</v>
      </c>
      <c r="L35" s="9" t="s">
        <v>142</v>
      </c>
      <c r="M35" s="9" t="s">
        <v>125</v>
      </c>
      <c r="N35" s="9" t="s">
        <v>123</v>
      </c>
      <c r="O35" s="9" t="s">
        <v>124</v>
      </c>
      <c r="P35" s="9" t="s">
        <v>142</v>
      </c>
      <c r="Q35" s="9" t="s">
        <v>105</v>
      </c>
      <c r="R35" s="9" t="s">
        <v>106</v>
      </c>
      <c r="S35" s="9" t="s">
        <v>134</v>
      </c>
      <c r="T35" s="9" t="s">
        <v>125</v>
      </c>
      <c r="U35" s="9" t="s">
        <v>130</v>
      </c>
      <c r="V35" s="9" t="s">
        <v>112</v>
      </c>
      <c r="W35" s="9" t="s">
        <v>112</v>
      </c>
      <c r="X35" s="9" t="s">
        <v>139</v>
      </c>
      <c r="Y35" s="9" t="s">
        <v>123</v>
      </c>
      <c r="Z35" s="9" t="s">
        <v>124</v>
      </c>
      <c r="AA35" s="9" t="s">
        <v>134</v>
      </c>
      <c r="AB35" s="9" t="s">
        <v>138</v>
      </c>
      <c r="AC35" s="9" t="s">
        <v>139</v>
      </c>
      <c r="AD35" s="9" t="s">
        <v>141</v>
      </c>
      <c r="AE35" s="9" t="s">
        <v>126</v>
      </c>
      <c r="AF35" s="9" t="s">
        <v>136</v>
      </c>
      <c r="AG35" s="9" t="s">
        <v>123</v>
      </c>
      <c r="AJ35" s="3">
        <f t="shared" si="64"/>
        <v>21</v>
      </c>
      <c r="AK35" s="3">
        <f t="shared" si="34"/>
        <v>5</v>
      </c>
      <c r="AL35" s="3">
        <f t="shared" si="35"/>
        <v>15</v>
      </c>
      <c r="AM35" s="3">
        <f t="shared" si="36"/>
        <v>9</v>
      </c>
      <c r="AN35" s="3">
        <f t="shared" si="37"/>
        <v>20</v>
      </c>
      <c r="AO35" s="3">
        <f t="shared" si="38"/>
        <v>3</v>
      </c>
      <c r="AP35" s="3">
        <f t="shared" si="39"/>
        <v>4</v>
      </c>
      <c r="AQ35" s="3">
        <f t="shared" si="40"/>
        <v>4</v>
      </c>
      <c r="AR35" s="3">
        <f t="shared" si="41"/>
        <v>7</v>
      </c>
      <c r="AS35" s="3">
        <f t="shared" si="42"/>
        <v>25</v>
      </c>
      <c r="AT35" s="3">
        <f t="shared" si="43"/>
        <v>22</v>
      </c>
      <c r="AU35" s="3">
        <f t="shared" si="44"/>
        <v>4</v>
      </c>
      <c r="AV35" s="3">
        <f t="shared" si="45"/>
        <v>19</v>
      </c>
      <c r="AW35" s="3">
        <f t="shared" si="46"/>
        <v>25</v>
      </c>
      <c r="AX35" s="3">
        <f t="shared" si="47"/>
        <v>24</v>
      </c>
      <c r="AY35" s="3">
        <f t="shared" si="48"/>
        <v>21</v>
      </c>
      <c r="AZ35" s="3">
        <f t="shared" si="49"/>
        <v>6</v>
      </c>
      <c r="BA35" s="3">
        <f t="shared" si="50"/>
        <v>22</v>
      </c>
      <c r="BB35" s="3">
        <f t="shared" si="51"/>
        <v>7</v>
      </c>
      <c r="BC35" s="3">
        <f t="shared" si="52"/>
        <v>10</v>
      </c>
      <c r="BD35" s="3">
        <f t="shared" si="53"/>
        <v>10</v>
      </c>
      <c r="BE35" s="3">
        <f t="shared" si="54"/>
        <v>16</v>
      </c>
      <c r="BF35" s="3">
        <f t="shared" si="55"/>
        <v>4</v>
      </c>
      <c r="BG35" s="3">
        <f t="shared" si="56"/>
        <v>19</v>
      </c>
      <c r="BH35" s="3">
        <f t="shared" si="57"/>
        <v>6</v>
      </c>
      <c r="BI35" s="3">
        <f t="shared" si="58"/>
        <v>5</v>
      </c>
      <c r="BJ35" s="3">
        <f t="shared" si="59"/>
        <v>16</v>
      </c>
      <c r="BK35" s="3">
        <f t="shared" si="60"/>
        <v>9</v>
      </c>
      <c r="BL35" s="3">
        <f t="shared" si="61"/>
        <v>13</v>
      </c>
      <c r="BM35" s="3">
        <f t="shared" si="62"/>
        <v>2</v>
      </c>
      <c r="BN35" s="3">
        <f t="shared" si="63"/>
        <v>4</v>
      </c>
      <c r="BO35" s="7">
        <f t="shared" si="65"/>
        <v>12.161290322580646</v>
      </c>
    </row>
    <row r="36" spans="1:67" ht="22">
      <c r="A36" s="1">
        <v>4</v>
      </c>
      <c r="B36" s="3"/>
      <c r="C36" s="9" t="s">
        <v>134</v>
      </c>
      <c r="D36" s="9" t="s">
        <v>134</v>
      </c>
      <c r="E36" s="9" t="s">
        <v>125</v>
      </c>
      <c r="F36" s="9" t="s">
        <v>130</v>
      </c>
      <c r="G36" s="9" t="s">
        <v>112</v>
      </c>
      <c r="H36" s="9" t="s">
        <v>112</v>
      </c>
      <c r="I36" s="11" t="s">
        <v>108</v>
      </c>
      <c r="J36" s="9" t="s">
        <v>132</v>
      </c>
      <c r="K36" s="9" t="s">
        <v>139</v>
      </c>
      <c r="L36" s="9" t="s">
        <v>110</v>
      </c>
      <c r="M36" s="9" t="s">
        <v>136</v>
      </c>
      <c r="N36" s="9" t="s">
        <v>107</v>
      </c>
      <c r="O36" s="9" t="s">
        <v>138</v>
      </c>
      <c r="P36" s="9" t="s">
        <v>139</v>
      </c>
      <c r="Q36" s="9" t="s">
        <v>142</v>
      </c>
      <c r="R36" s="9" t="s">
        <v>132</v>
      </c>
      <c r="S36" s="9" t="s">
        <v>139</v>
      </c>
      <c r="T36" s="9" t="s">
        <v>110</v>
      </c>
      <c r="U36" s="9" t="s">
        <v>110</v>
      </c>
      <c r="V36" s="9" t="s">
        <v>133</v>
      </c>
      <c r="W36" s="9" t="s">
        <v>131</v>
      </c>
      <c r="X36" s="9" t="s">
        <v>134</v>
      </c>
      <c r="Y36" s="9" t="s">
        <v>107</v>
      </c>
      <c r="Z36" s="9" t="s">
        <v>138</v>
      </c>
      <c r="AA36" s="9" t="s">
        <v>111</v>
      </c>
      <c r="AB36" s="9" t="s">
        <v>130</v>
      </c>
      <c r="AC36" s="9" t="s">
        <v>139</v>
      </c>
      <c r="AD36" s="9" t="s">
        <v>109</v>
      </c>
      <c r="AE36" s="9" t="s">
        <v>129</v>
      </c>
      <c r="AF36" s="9" t="s">
        <v>134</v>
      </c>
      <c r="AG36" s="9" t="s">
        <v>124</v>
      </c>
      <c r="AJ36" s="3">
        <f t="shared" si="64"/>
        <v>6</v>
      </c>
      <c r="AK36" s="3">
        <f t="shared" si="34"/>
        <v>6</v>
      </c>
      <c r="AL36" s="3">
        <f t="shared" si="35"/>
        <v>22</v>
      </c>
      <c r="AM36" s="3">
        <f t="shared" si="36"/>
        <v>7</v>
      </c>
      <c r="AN36" s="3">
        <f t="shared" si="37"/>
        <v>10</v>
      </c>
      <c r="AO36" s="3">
        <f t="shared" si="38"/>
        <v>10</v>
      </c>
      <c r="AP36" s="5" t="str">
        <f t="shared" si="39"/>
        <v/>
      </c>
      <c r="AQ36" s="3">
        <f t="shared" si="40"/>
        <v>3</v>
      </c>
      <c r="AR36" s="3">
        <f t="shared" si="41"/>
        <v>16</v>
      </c>
      <c r="AS36" s="3">
        <f t="shared" si="42"/>
        <v>12</v>
      </c>
      <c r="AT36" s="3">
        <f t="shared" si="43"/>
        <v>2</v>
      </c>
      <c r="AU36" s="3">
        <f t="shared" si="44"/>
        <v>15</v>
      </c>
      <c r="AV36" s="3">
        <f t="shared" si="45"/>
        <v>5</v>
      </c>
      <c r="AW36" s="3">
        <f t="shared" si="46"/>
        <v>16</v>
      </c>
      <c r="AX36" s="3">
        <f t="shared" si="47"/>
        <v>25</v>
      </c>
      <c r="AY36" s="3">
        <f t="shared" si="48"/>
        <v>3</v>
      </c>
      <c r="AZ36" s="3">
        <f t="shared" si="49"/>
        <v>16</v>
      </c>
      <c r="BA36" s="3">
        <f t="shared" si="50"/>
        <v>12</v>
      </c>
      <c r="BB36" s="3">
        <f t="shared" si="51"/>
        <v>12</v>
      </c>
      <c r="BC36" s="3">
        <f t="shared" si="52"/>
        <v>8</v>
      </c>
      <c r="BD36" s="3">
        <f t="shared" si="53"/>
        <v>0</v>
      </c>
      <c r="BE36" s="3">
        <f t="shared" si="54"/>
        <v>6</v>
      </c>
      <c r="BF36" s="3">
        <f t="shared" si="55"/>
        <v>15</v>
      </c>
      <c r="BG36" s="3">
        <f t="shared" si="56"/>
        <v>5</v>
      </c>
      <c r="BH36" s="3">
        <f t="shared" si="57"/>
        <v>23</v>
      </c>
      <c r="BI36" s="3">
        <f t="shared" si="58"/>
        <v>7</v>
      </c>
      <c r="BJ36" s="3">
        <f t="shared" si="59"/>
        <v>16</v>
      </c>
      <c r="BK36" s="3">
        <f t="shared" si="60"/>
        <v>17</v>
      </c>
      <c r="BL36" s="3">
        <f t="shared" si="61"/>
        <v>11</v>
      </c>
      <c r="BM36" s="3">
        <f t="shared" si="62"/>
        <v>6</v>
      </c>
      <c r="BN36" s="3">
        <f t="shared" si="63"/>
        <v>19</v>
      </c>
      <c r="BO36" s="7">
        <f t="shared" si="65"/>
        <v>11.033333333333333</v>
      </c>
    </row>
    <row r="37" spans="1:67" ht="22">
      <c r="A37" s="1">
        <v>5</v>
      </c>
      <c r="B37" s="3" t="s">
        <v>104</v>
      </c>
      <c r="C37" s="9" t="s">
        <v>110</v>
      </c>
      <c r="D37" s="9" t="s">
        <v>106</v>
      </c>
      <c r="E37" s="9" t="s">
        <v>110</v>
      </c>
      <c r="F37" s="9" t="s">
        <v>142</v>
      </c>
      <c r="G37" s="9" t="s">
        <v>141</v>
      </c>
      <c r="H37" s="9" t="s">
        <v>131</v>
      </c>
      <c r="I37" s="9" t="s">
        <v>126</v>
      </c>
      <c r="J37" s="9" t="s">
        <v>139</v>
      </c>
      <c r="K37" s="9" t="s">
        <v>129</v>
      </c>
      <c r="L37" s="9" t="s">
        <v>106</v>
      </c>
      <c r="M37" s="9" t="s">
        <v>112</v>
      </c>
      <c r="N37" s="9" t="s">
        <v>139</v>
      </c>
      <c r="O37" s="9" t="s">
        <v>123</v>
      </c>
      <c r="P37" s="9" t="s">
        <v>132</v>
      </c>
      <c r="Q37" s="9" t="s">
        <v>131</v>
      </c>
      <c r="R37" s="9" t="s">
        <v>134</v>
      </c>
      <c r="S37" s="9" t="s">
        <v>132</v>
      </c>
      <c r="T37" s="9" t="s">
        <v>106</v>
      </c>
      <c r="U37" s="9" t="s">
        <v>138</v>
      </c>
      <c r="V37" s="9" t="s">
        <v>109</v>
      </c>
      <c r="W37" s="9" t="s">
        <v>107</v>
      </c>
      <c r="X37" s="9" t="s">
        <v>141</v>
      </c>
      <c r="Y37" s="9" t="s">
        <v>128</v>
      </c>
      <c r="Z37" s="9" t="s">
        <v>126</v>
      </c>
      <c r="AA37" s="9" t="s">
        <v>134</v>
      </c>
      <c r="AB37" s="9" t="s">
        <v>123</v>
      </c>
      <c r="AC37" s="9" t="s">
        <v>128</v>
      </c>
      <c r="AD37" s="9" t="s">
        <v>126</v>
      </c>
      <c r="AE37" s="9" t="s">
        <v>131</v>
      </c>
      <c r="AF37" s="9" t="s">
        <v>139</v>
      </c>
      <c r="AG37" s="9" t="s">
        <v>142</v>
      </c>
      <c r="AJ37" s="3">
        <f t="shared" si="64"/>
        <v>12</v>
      </c>
      <c r="AK37" s="3">
        <f t="shared" si="34"/>
        <v>21</v>
      </c>
      <c r="AL37" s="3">
        <f t="shared" si="35"/>
        <v>12</v>
      </c>
      <c r="AM37" s="3">
        <f t="shared" si="36"/>
        <v>25</v>
      </c>
      <c r="AN37" s="3">
        <f t="shared" si="37"/>
        <v>9</v>
      </c>
      <c r="AO37" s="3">
        <f t="shared" si="38"/>
        <v>0</v>
      </c>
      <c r="AP37" s="3">
        <f t="shared" si="39"/>
        <v>13</v>
      </c>
      <c r="AQ37" s="3">
        <f t="shared" si="40"/>
        <v>16</v>
      </c>
      <c r="AR37" s="3">
        <f t="shared" si="41"/>
        <v>11</v>
      </c>
      <c r="AS37" s="3">
        <f t="shared" si="42"/>
        <v>21</v>
      </c>
      <c r="AT37" s="3">
        <f t="shared" si="43"/>
        <v>10</v>
      </c>
      <c r="AU37" s="3">
        <f t="shared" si="44"/>
        <v>16</v>
      </c>
      <c r="AV37" s="3">
        <f t="shared" si="45"/>
        <v>4</v>
      </c>
      <c r="AW37" s="3">
        <f t="shared" si="46"/>
        <v>3</v>
      </c>
      <c r="AX37" s="3">
        <f t="shared" si="47"/>
        <v>0</v>
      </c>
      <c r="AY37" s="3">
        <f t="shared" si="48"/>
        <v>6</v>
      </c>
      <c r="AZ37" s="3">
        <f t="shared" si="49"/>
        <v>3</v>
      </c>
      <c r="BA37" s="3">
        <f t="shared" si="50"/>
        <v>21</v>
      </c>
      <c r="BB37" s="3">
        <f t="shared" si="51"/>
        <v>5</v>
      </c>
      <c r="BC37" s="3">
        <f t="shared" si="52"/>
        <v>17</v>
      </c>
      <c r="BD37" s="3">
        <f t="shared" si="53"/>
        <v>15</v>
      </c>
      <c r="BE37" s="3">
        <f t="shared" si="54"/>
        <v>9</v>
      </c>
      <c r="BF37" s="3">
        <f t="shared" si="55"/>
        <v>20</v>
      </c>
      <c r="BG37" s="3">
        <f t="shared" si="56"/>
        <v>13</v>
      </c>
      <c r="BH37" s="3">
        <f t="shared" si="57"/>
        <v>6</v>
      </c>
      <c r="BI37" s="3">
        <f t="shared" si="58"/>
        <v>4</v>
      </c>
      <c r="BJ37" s="3">
        <f t="shared" si="59"/>
        <v>20</v>
      </c>
      <c r="BK37" s="3">
        <f t="shared" si="60"/>
        <v>13</v>
      </c>
      <c r="BL37" s="3">
        <f t="shared" si="61"/>
        <v>0</v>
      </c>
      <c r="BM37" s="3">
        <f t="shared" si="62"/>
        <v>16</v>
      </c>
      <c r="BN37" s="3">
        <f t="shared" si="63"/>
        <v>25</v>
      </c>
      <c r="BO37" s="7">
        <f t="shared" si="65"/>
        <v>11.806451612903226</v>
      </c>
    </row>
    <row r="38" spans="1:67" ht="22">
      <c r="A38" s="1">
        <v>6</v>
      </c>
      <c r="B38" s="3"/>
      <c r="C38" s="9" t="s">
        <v>134</v>
      </c>
      <c r="D38" s="9" t="s">
        <v>142</v>
      </c>
      <c r="E38" s="9" t="s">
        <v>129</v>
      </c>
      <c r="F38" s="9" t="s">
        <v>123</v>
      </c>
      <c r="G38" s="9" t="s">
        <v>136</v>
      </c>
      <c r="H38" s="9" t="s">
        <v>134</v>
      </c>
      <c r="I38" s="9" t="s">
        <v>105</v>
      </c>
      <c r="J38" s="9" t="s">
        <v>128</v>
      </c>
      <c r="K38" s="9" t="s">
        <v>111</v>
      </c>
      <c r="L38" s="9" t="s">
        <v>128</v>
      </c>
      <c r="M38" s="9" t="s">
        <v>123</v>
      </c>
      <c r="N38" s="9" t="s">
        <v>123</v>
      </c>
      <c r="O38" s="9" t="s">
        <v>126</v>
      </c>
      <c r="P38" s="9" t="s">
        <v>141</v>
      </c>
      <c r="Q38" s="9" t="s">
        <v>124</v>
      </c>
      <c r="R38" s="9" t="s">
        <v>122</v>
      </c>
      <c r="S38" s="9" t="s">
        <v>141</v>
      </c>
      <c r="T38" s="9" t="s">
        <v>129</v>
      </c>
      <c r="U38" s="9" t="s">
        <v>122</v>
      </c>
      <c r="V38" s="9" t="s">
        <v>139</v>
      </c>
      <c r="W38" s="9" t="s">
        <v>136</v>
      </c>
      <c r="X38" s="9" t="s">
        <v>109</v>
      </c>
      <c r="Y38" s="9" t="s">
        <v>124</v>
      </c>
      <c r="Z38" s="9" t="s">
        <v>122</v>
      </c>
      <c r="AA38" s="9" t="s">
        <v>141</v>
      </c>
      <c r="AB38" s="9" t="s">
        <v>132</v>
      </c>
      <c r="AC38" s="9" t="s">
        <v>138</v>
      </c>
      <c r="AD38" s="9" t="s">
        <v>130</v>
      </c>
      <c r="AE38" s="9" t="s">
        <v>109</v>
      </c>
      <c r="AF38" s="9" t="s">
        <v>109</v>
      </c>
      <c r="AG38" s="9" t="s">
        <v>105</v>
      </c>
      <c r="AJ38" s="3">
        <f t="shared" si="64"/>
        <v>6</v>
      </c>
      <c r="AK38" s="3">
        <f t="shared" si="34"/>
        <v>25</v>
      </c>
      <c r="AL38" s="3">
        <f t="shared" si="35"/>
        <v>11</v>
      </c>
      <c r="AM38" s="3">
        <f t="shared" si="36"/>
        <v>4</v>
      </c>
      <c r="AN38" s="3">
        <f t="shared" si="37"/>
        <v>2</v>
      </c>
      <c r="AO38" s="3">
        <f t="shared" si="38"/>
        <v>6</v>
      </c>
      <c r="AP38" s="3">
        <f t="shared" si="39"/>
        <v>24</v>
      </c>
      <c r="AQ38" s="3">
        <f t="shared" si="40"/>
        <v>20</v>
      </c>
      <c r="AR38" s="3">
        <f t="shared" si="41"/>
        <v>23</v>
      </c>
      <c r="AS38" s="3">
        <f t="shared" si="42"/>
        <v>20</v>
      </c>
      <c r="AT38" s="3">
        <f t="shared" si="43"/>
        <v>4</v>
      </c>
      <c r="AU38" s="3">
        <f t="shared" si="44"/>
        <v>4</v>
      </c>
      <c r="AV38" s="3">
        <f t="shared" si="45"/>
        <v>13</v>
      </c>
      <c r="AW38" s="3">
        <f t="shared" si="46"/>
        <v>9</v>
      </c>
      <c r="AX38" s="3">
        <f t="shared" si="47"/>
        <v>19</v>
      </c>
      <c r="AY38" s="3">
        <f t="shared" si="48"/>
        <v>1</v>
      </c>
      <c r="AZ38" s="3">
        <f t="shared" si="49"/>
        <v>9</v>
      </c>
      <c r="BA38" s="3">
        <f t="shared" si="50"/>
        <v>11</v>
      </c>
      <c r="BB38" s="3">
        <f t="shared" si="51"/>
        <v>1</v>
      </c>
      <c r="BC38" s="3">
        <f t="shared" si="52"/>
        <v>16</v>
      </c>
      <c r="BD38" s="3">
        <f t="shared" si="53"/>
        <v>2</v>
      </c>
      <c r="BE38" s="3">
        <f t="shared" si="54"/>
        <v>17</v>
      </c>
      <c r="BF38" s="3">
        <f t="shared" si="55"/>
        <v>19</v>
      </c>
      <c r="BG38" s="3">
        <f t="shared" si="56"/>
        <v>1</v>
      </c>
      <c r="BH38" s="3">
        <f t="shared" si="57"/>
        <v>9</v>
      </c>
      <c r="BI38" s="3">
        <f t="shared" si="58"/>
        <v>3</v>
      </c>
      <c r="BJ38" s="3">
        <f t="shared" si="59"/>
        <v>5</v>
      </c>
      <c r="BK38" s="3">
        <f t="shared" si="60"/>
        <v>7</v>
      </c>
      <c r="BL38" s="3">
        <f t="shared" si="61"/>
        <v>17</v>
      </c>
      <c r="BM38" s="3">
        <f t="shared" si="62"/>
        <v>17</v>
      </c>
      <c r="BN38" s="3">
        <f t="shared" si="63"/>
        <v>24</v>
      </c>
      <c r="BO38" s="7">
        <f t="shared" si="65"/>
        <v>11.258064516129032</v>
      </c>
    </row>
    <row r="39" spans="1:67" ht="22">
      <c r="A39" s="1">
        <v>7</v>
      </c>
      <c r="B39" s="3"/>
      <c r="C39" s="9" t="s">
        <v>133</v>
      </c>
      <c r="D39" s="9" t="s">
        <v>142</v>
      </c>
      <c r="E39" s="9" t="s">
        <v>123</v>
      </c>
      <c r="F39" s="9" t="s">
        <v>124</v>
      </c>
      <c r="G39" s="9" t="s">
        <v>112</v>
      </c>
      <c r="H39" s="9" t="s">
        <v>142</v>
      </c>
      <c r="I39" s="9" t="s">
        <v>123</v>
      </c>
      <c r="J39" s="9" t="s">
        <v>110</v>
      </c>
      <c r="K39" s="9" t="s">
        <v>106</v>
      </c>
      <c r="L39" s="9" t="s">
        <v>132</v>
      </c>
      <c r="M39" s="9" t="s">
        <v>128</v>
      </c>
      <c r="N39" s="9" t="s">
        <v>138</v>
      </c>
      <c r="O39" s="9" t="s">
        <v>112</v>
      </c>
      <c r="P39" s="9" t="s">
        <v>127</v>
      </c>
      <c r="Q39" s="9" t="s">
        <v>141</v>
      </c>
      <c r="R39" s="9" t="s">
        <v>130</v>
      </c>
      <c r="S39" s="9" t="s">
        <v>112</v>
      </c>
      <c r="T39" s="9" t="s">
        <v>138</v>
      </c>
      <c r="U39" s="9" t="s">
        <v>125</v>
      </c>
      <c r="V39" s="9" t="s">
        <v>130</v>
      </c>
      <c r="W39" s="9" t="s">
        <v>112</v>
      </c>
      <c r="X39" s="9" t="s">
        <v>128</v>
      </c>
      <c r="Y39" s="9" t="s">
        <v>125</v>
      </c>
      <c r="Z39" s="9" t="s">
        <v>139</v>
      </c>
      <c r="AA39" s="9" t="s">
        <v>129</v>
      </c>
      <c r="AB39" s="9" t="s">
        <v>127</v>
      </c>
      <c r="AC39" s="9" t="s">
        <v>142</v>
      </c>
      <c r="AD39" s="9" t="s">
        <v>138</v>
      </c>
      <c r="AE39" s="9" t="s">
        <v>124</v>
      </c>
      <c r="AF39" s="9" t="s">
        <v>133</v>
      </c>
      <c r="AG39" s="9" t="s">
        <v>130</v>
      </c>
      <c r="AJ39" s="3">
        <f t="shared" si="64"/>
        <v>8</v>
      </c>
      <c r="AK39" s="3">
        <f t="shared" si="34"/>
        <v>25</v>
      </c>
      <c r="AL39" s="3">
        <f t="shared" si="35"/>
        <v>4</v>
      </c>
      <c r="AM39" s="3">
        <f t="shared" si="36"/>
        <v>19</v>
      </c>
      <c r="AN39" s="3">
        <f t="shared" si="37"/>
        <v>10</v>
      </c>
      <c r="AO39" s="3">
        <f t="shared" si="38"/>
        <v>25</v>
      </c>
      <c r="AP39" s="3">
        <f t="shared" si="39"/>
        <v>4</v>
      </c>
      <c r="AQ39" s="3">
        <f t="shared" si="40"/>
        <v>12</v>
      </c>
      <c r="AR39" s="3">
        <f t="shared" si="41"/>
        <v>21</v>
      </c>
      <c r="AS39" s="3">
        <f t="shared" si="42"/>
        <v>3</v>
      </c>
      <c r="AT39" s="3">
        <f t="shared" si="43"/>
        <v>20</v>
      </c>
      <c r="AU39" s="3">
        <f t="shared" si="44"/>
        <v>5</v>
      </c>
      <c r="AV39" s="3">
        <f t="shared" si="45"/>
        <v>10</v>
      </c>
      <c r="AW39" s="3">
        <f t="shared" si="46"/>
        <v>18</v>
      </c>
      <c r="AX39" s="3">
        <f t="shared" si="47"/>
        <v>9</v>
      </c>
      <c r="AY39" s="3">
        <f t="shared" si="48"/>
        <v>7</v>
      </c>
      <c r="AZ39" s="3">
        <f t="shared" si="49"/>
        <v>10</v>
      </c>
      <c r="BA39" s="3">
        <f t="shared" si="50"/>
        <v>5</v>
      </c>
      <c r="BB39" s="3">
        <f t="shared" si="51"/>
        <v>22</v>
      </c>
      <c r="BC39" s="3">
        <f t="shared" si="52"/>
        <v>7</v>
      </c>
      <c r="BD39" s="3">
        <f t="shared" si="53"/>
        <v>10</v>
      </c>
      <c r="BE39" s="3">
        <f t="shared" si="54"/>
        <v>20</v>
      </c>
      <c r="BF39" s="3">
        <f t="shared" si="55"/>
        <v>22</v>
      </c>
      <c r="BG39" s="3">
        <f t="shared" si="56"/>
        <v>16</v>
      </c>
      <c r="BH39" s="3">
        <f t="shared" si="57"/>
        <v>11</v>
      </c>
      <c r="BI39" s="3">
        <f t="shared" si="58"/>
        <v>18</v>
      </c>
      <c r="BJ39" s="3">
        <f t="shared" si="59"/>
        <v>25</v>
      </c>
      <c r="BK39" s="3">
        <f t="shared" si="60"/>
        <v>5</v>
      </c>
      <c r="BL39" s="3">
        <f t="shared" si="61"/>
        <v>19</v>
      </c>
      <c r="BM39" s="3">
        <f t="shared" si="62"/>
        <v>8</v>
      </c>
      <c r="BN39" s="3">
        <f t="shared" si="63"/>
        <v>7</v>
      </c>
      <c r="BO39" s="7">
        <f t="shared" si="65"/>
        <v>13.064516129032258</v>
      </c>
    </row>
    <row r="40" spans="1:67" ht="22">
      <c r="A40" s="1">
        <v>8</v>
      </c>
      <c r="B40" s="3"/>
      <c r="C40" s="9" t="s">
        <v>130</v>
      </c>
      <c r="D40" s="9" t="s">
        <v>132</v>
      </c>
      <c r="E40" s="9" t="s">
        <v>132</v>
      </c>
      <c r="F40" s="9" t="s">
        <v>132</v>
      </c>
      <c r="G40" s="9" t="s">
        <v>128</v>
      </c>
      <c r="H40" s="9" t="s">
        <v>106</v>
      </c>
      <c r="I40" s="9" t="s">
        <v>130</v>
      </c>
      <c r="J40" s="11" t="s">
        <v>108</v>
      </c>
      <c r="K40" s="9" t="s">
        <v>132</v>
      </c>
      <c r="L40" s="9" t="s">
        <v>125</v>
      </c>
      <c r="M40" s="9" t="s">
        <v>112</v>
      </c>
      <c r="N40" s="9" t="s">
        <v>122</v>
      </c>
      <c r="O40" s="9" t="s">
        <v>138</v>
      </c>
      <c r="P40" s="9" t="s">
        <v>128</v>
      </c>
      <c r="Q40" s="9" t="s">
        <v>138</v>
      </c>
      <c r="R40" s="9" t="s">
        <v>107</v>
      </c>
      <c r="S40" s="9" t="s">
        <v>125</v>
      </c>
      <c r="T40" s="9" t="s">
        <v>126</v>
      </c>
      <c r="U40" s="9" t="s">
        <v>124</v>
      </c>
      <c r="V40" s="9" t="s">
        <v>132</v>
      </c>
      <c r="W40" s="9" t="s">
        <v>138</v>
      </c>
      <c r="X40" s="9" t="s">
        <v>133</v>
      </c>
      <c r="Y40" s="9" t="s">
        <v>105</v>
      </c>
      <c r="Z40" s="9" t="s">
        <v>136</v>
      </c>
      <c r="AA40" s="9" t="s">
        <v>128</v>
      </c>
      <c r="AB40" s="10" t="s">
        <v>139</v>
      </c>
      <c r="AC40" s="10" t="s">
        <v>142</v>
      </c>
      <c r="AD40" s="9" t="s">
        <v>123</v>
      </c>
      <c r="AE40" s="9" t="s">
        <v>109</v>
      </c>
      <c r="AF40" s="9" t="s">
        <v>123</v>
      </c>
      <c r="AG40" s="9" t="s">
        <v>123</v>
      </c>
      <c r="AJ40" s="3">
        <f t="shared" si="64"/>
        <v>7</v>
      </c>
      <c r="AK40" s="3">
        <f t="shared" si="34"/>
        <v>3</v>
      </c>
      <c r="AL40" s="3">
        <f t="shared" si="35"/>
        <v>3</v>
      </c>
      <c r="AM40" s="3">
        <f t="shared" si="36"/>
        <v>3</v>
      </c>
      <c r="AN40" s="3">
        <f t="shared" si="37"/>
        <v>20</v>
      </c>
      <c r="AO40" s="3">
        <f t="shared" si="38"/>
        <v>21</v>
      </c>
      <c r="AP40" s="3">
        <f t="shared" si="39"/>
        <v>7</v>
      </c>
      <c r="AQ40" s="5" t="str">
        <f t="shared" si="40"/>
        <v/>
      </c>
      <c r="AR40" s="3">
        <f t="shared" si="41"/>
        <v>3</v>
      </c>
      <c r="AS40" s="3">
        <f t="shared" si="42"/>
        <v>22</v>
      </c>
      <c r="AT40" s="3">
        <f t="shared" si="43"/>
        <v>10</v>
      </c>
      <c r="AU40" s="3">
        <f t="shared" si="44"/>
        <v>1</v>
      </c>
      <c r="AV40" s="3">
        <f t="shared" si="45"/>
        <v>5</v>
      </c>
      <c r="AW40" s="3">
        <f t="shared" si="46"/>
        <v>20</v>
      </c>
      <c r="AX40" s="3">
        <f t="shared" si="47"/>
        <v>5</v>
      </c>
      <c r="AY40" s="3">
        <f t="shared" si="48"/>
        <v>15</v>
      </c>
      <c r="AZ40" s="3">
        <f t="shared" si="49"/>
        <v>22</v>
      </c>
      <c r="BA40" s="3">
        <f t="shared" si="50"/>
        <v>13</v>
      </c>
      <c r="BB40" s="3">
        <f t="shared" si="51"/>
        <v>19</v>
      </c>
      <c r="BC40" s="3">
        <f t="shared" si="52"/>
        <v>3</v>
      </c>
      <c r="BD40" s="3">
        <f t="shared" si="53"/>
        <v>5</v>
      </c>
      <c r="BE40" s="3">
        <f t="shared" si="54"/>
        <v>8</v>
      </c>
      <c r="BF40" s="3">
        <f t="shared" si="55"/>
        <v>24</v>
      </c>
      <c r="BG40" s="3">
        <f t="shared" si="56"/>
        <v>2</v>
      </c>
      <c r="BH40" s="3">
        <f t="shared" si="57"/>
        <v>20</v>
      </c>
      <c r="BI40" s="3">
        <f t="shared" si="58"/>
        <v>16</v>
      </c>
      <c r="BJ40" s="3">
        <f t="shared" si="59"/>
        <v>25</v>
      </c>
      <c r="BK40" s="3">
        <f t="shared" si="60"/>
        <v>4</v>
      </c>
      <c r="BL40" s="3">
        <f t="shared" si="61"/>
        <v>17</v>
      </c>
      <c r="BM40" s="3">
        <f t="shared" si="62"/>
        <v>4</v>
      </c>
      <c r="BN40" s="3">
        <f t="shared" si="63"/>
        <v>4</v>
      </c>
      <c r="BO40" s="7">
        <f t="shared" si="65"/>
        <v>11.033333333333333</v>
      </c>
    </row>
    <row r="41" spans="1:67" ht="22">
      <c r="A41" s="1">
        <v>9</v>
      </c>
      <c r="B41" s="3"/>
      <c r="C41" s="9" t="s">
        <v>106</v>
      </c>
      <c r="D41" s="9" t="s">
        <v>129</v>
      </c>
      <c r="E41" s="9" t="s">
        <v>132</v>
      </c>
      <c r="F41" s="9" t="s">
        <v>112</v>
      </c>
      <c r="G41" s="9" t="s">
        <v>138</v>
      </c>
      <c r="H41" s="9" t="s">
        <v>123</v>
      </c>
      <c r="I41" s="9" t="s">
        <v>142</v>
      </c>
      <c r="J41" s="9" t="s">
        <v>110</v>
      </c>
      <c r="K41" s="9" t="s">
        <v>137</v>
      </c>
      <c r="L41" s="9" t="s">
        <v>139</v>
      </c>
      <c r="M41" s="9" t="s">
        <v>139</v>
      </c>
      <c r="N41" s="9" t="s">
        <v>141</v>
      </c>
      <c r="O41" s="9" t="s">
        <v>129</v>
      </c>
      <c r="P41" s="9" t="s">
        <v>124</v>
      </c>
      <c r="Q41" s="9" t="s">
        <v>124</v>
      </c>
      <c r="R41" s="9" t="s">
        <v>128</v>
      </c>
      <c r="S41" s="9" t="s">
        <v>134</v>
      </c>
      <c r="T41" s="9" t="s">
        <v>127</v>
      </c>
      <c r="U41" s="9" t="s">
        <v>105</v>
      </c>
      <c r="V41" s="9" t="s">
        <v>139</v>
      </c>
      <c r="W41" s="9" t="s">
        <v>107</v>
      </c>
      <c r="X41" s="9" t="s">
        <v>138</v>
      </c>
      <c r="Y41" s="9" t="s">
        <v>123</v>
      </c>
      <c r="Z41" s="9" t="s">
        <v>128</v>
      </c>
      <c r="AA41" s="9" t="s">
        <v>126</v>
      </c>
      <c r="AB41" s="9" t="s">
        <v>129</v>
      </c>
      <c r="AC41" s="9" t="s">
        <v>131</v>
      </c>
      <c r="AD41" s="9" t="s">
        <v>106</v>
      </c>
      <c r="AE41" s="9" t="s">
        <v>133</v>
      </c>
      <c r="AF41" s="9" t="s">
        <v>132</v>
      </c>
      <c r="AG41" s="9" t="s">
        <v>111</v>
      </c>
      <c r="AJ41" s="3">
        <f t="shared" si="64"/>
        <v>21</v>
      </c>
      <c r="AK41" s="3">
        <f t="shared" si="34"/>
        <v>11</v>
      </c>
      <c r="AL41" s="3">
        <f t="shared" si="35"/>
        <v>3</v>
      </c>
      <c r="AM41" s="3">
        <f t="shared" si="36"/>
        <v>10</v>
      </c>
      <c r="AN41" s="3">
        <f t="shared" si="37"/>
        <v>5</v>
      </c>
      <c r="AO41" s="3">
        <f t="shared" si="38"/>
        <v>4</v>
      </c>
      <c r="AP41" s="3">
        <f t="shared" si="39"/>
        <v>25</v>
      </c>
      <c r="AQ41" s="3">
        <f t="shared" si="40"/>
        <v>12</v>
      </c>
      <c r="AR41" s="3">
        <f t="shared" si="41"/>
        <v>14</v>
      </c>
      <c r="AS41" s="3">
        <f t="shared" si="42"/>
        <v>16</v>
      </c>
      <c r="AT41" s="3">
        <f t="shared" si="43"/>
        <v>16</v>
      </c>
      <c r="AU41" s="3">
        <f t="shared" si="44"/>
        <v>9</v>
      </c>
      <c r="AV41" s="3">
        <f t="shared" si="45"/>
        <v>11</v>
      </c>
      <c r="AW41" s="3">
        <f t="shared" si="46"/>
        <v>19</v>
      </c>
      <c r="AX41" s="3">
        <f t="shared" si="47"/>
        <v>19</v>
      </c>
      <c r="AY41" s="3">
        <f t="shared" si="48"/>
        <v>20</v>
      </c>
      <c r="AZ41" s="3">
        <f t="shared" si="49"/>
        <v>6</v>
      </c>
      <c r="BA41" s="3">
        <f t="shared" si="50"/>
        <v>18</v>
      </c>
      <c r="BB41" s="3">
        <f t="shared" si="51"/>
        <v>24</v>
      </c>
      <c r="BC41" s="3">
        <f t="shared" si="52"/>
        <v>16</v>
      </c>
      <c r="BD41" s="3">
        <f t="shared" si="53"/>
        <v>15</v>
      </c>
      <c r="BE41" s="3">
        <f t="shared" si="54"/>
        <v>5</v>
      </c>
      <c r="BF41" s="3">
        <f t="shared" si="55"/>
        <v>4</v>
      </c>
      <c r="BG41" s="3">
        <f t="shared" si="56"/>
        <v>20</v>
      </c>
      <c r="BH41" s="3">
        <f t="shared" si="57"/>
        <v>13</v>
      </c>
      <c r="BI41" s="3">
        <f t="shared" si="58"/>
        <v>11</v>
      </c>
      <c r="BJ41" s="3">
        <f t="shared" si="59"/>
        <v>0</v>
      </c>
      <c r="BK41" s="3">
        <f t="shared" si="60"/>
        <v>21</v>
      </c>
      <c r="BL41" s="3">
        <f t="shared" si="61"/>
        <v>8</v>
      </c>
      <c r="BM41" s="3">
        <f t="shared" si="62"/>
        <v>3</v>
      </c>
      <c r="BN41" s="3">
        <f t="shared" si="63"/>
        <v>23</v>
      </c>
      <c r="BO41" s="7">
        <f t="shared" si="65"/>
        <v>12.96774193548387</v>
      </c>
    </row>
    <row r="42" spans="1:67" ht="22">
      <c r="A42" s="1">
        <v>10</v>
      </c>
      <c r="B42" s="3"/>
      <c r="C42" s="9" t="s">
        <v>138</v>
      </c>
      <c r="D42" s="9" t="s">
        <v>129</v>
      </c>
      <c r="E42" s="9" t="s">
        <v>134</v>
      </c>
      <c r="F42" s="9" t="s">
        <v>134</v>
      </c>
      <c r="G42" s="9" t="s">
        <v>124</v>
      </c>
      <c r="H42" s="9" t="s">
        <v>123</v>
      </c>
      <c r="I42" s="9" t="s">
        <v>142</v>
      </c>
      <c r="J42" s="11" t="s">
        <v>108</v>
      </c>
      <c r="K42" s="9" t="s">
        <v>138</v>
      </c>
      <c r="L42" s="9" t="s">
        <v>112</v>
      </c>
      <c r="M42" s="9" t="s">
        <v>142</v>
      </c>
      <c r="N42" s="9" t="s">
        <v>122</v>
      </c>
      <c r="O42" s="9" t="s">
        <v>127</v>
      </c>
      <c r="P42" s="9" t="s">
        <v>138</v>
      </c>
      <c r="Q42" s="9" t="s">
        <v>132</v>
      </c>
      <c r="R42" s="9" t="s">
        <v>139</v>
      </c>
      <c r="S42" s="9" t="s">
        <v>106</v>
      </c>
      <c r="T42" s="9" t="s">
        <v>134</v>
      </c>
      <c r="U42" s="9" t="s">
        <v>137</v>
      </c>
      <c r="V42" s="9" t="s">
        <v>134</v>
      </c>
      <c r="W42" s="9" t="s">
        <v>133</v>
      </c>
      <c r="X42" s="9" t="s">
        <v>107</v>
      </c>
      <c r="Y42" s="9" t="s">
        <v>128</v>
      </c>
      <c r="Z42" s="9" t="s">
        <v>138</v>
      </c>
      <c r="AA42" s="9" t="s">
        <v>111</v>
      </c>
      <c r="AB42" s="9" t="s">
        <v>130</v>
      </c>
      <c r="AC42" s="9" t="s">
        <v>130</v>
      </c>
      <c r="AD42" s="9" t="s">
        <v>132</v>
      </c>
      <c r="AE42" s="9" t="s">
        <v>109</v>
      </c>
      <c r="AF42" s="9" t="s">
        <v>112</v>
      </c>
      <c r="AG42" s="9" t="s">
        <v>138</v>
      </c>
      <c r="AJ42" s="3">
        <f t="shared" si="64"/>
        <v>5</v>
      </c>
      <c r="AK42" s="3">
        <f t="shared" si="34"/>
        <v>11</v>
      </c>
      <c r="AL42" s="3">
        <f t="shared" si="35"/>
        <v>6</v>
      </c>
      <c r="AM42" s="3">
        <f t="shared" si="36"/>
        <v>6</v>
      </c>
      <c r="AN42" s="3">
        <f t="shared" si="37"/>
        <v>19</v>
      </c>
      <c r="AO42" s="3">
        <f t="shared" si="38"/>
        <v>4</v>
      </c>
      <c r="AP42" s="3">
        <f t="shared" si="39"/>
        <v>25</v>
      </c>
      <c r="AQ42" s="5" t="str">
        <f t="shared" si="40"/>
        <v/>
      </c>
      <c r="AR42" s="3">
        <f t="shared" si="41"/>
        <v>5</v>
      </c>
      <c r="AS42" s="3">
        <f t="shared" si="42"/>
        <v>10</v>
      </c>
      <c r="AT42" s="3">
        <f t="shared" si="43"/>
        <v>25</v>
      </c>
      <c r="AU42" s="3">
        <f t="shared" si="44"/>
        <v>1</v>
      </c>
      <c r="AV42" s="3">
        <f t="shared" si="45"/>
        <v>18</v>
      </c>
      <c r="AW42" s="3">
        <f t="shared" si="46"/>
        <v>5</v>
      </c>
      <c r="AX42" s="3">
        <f t="shared" si="47"/>
        <v>3</v>
      </c>
      <c r="AY42" s="3">
        <f t="shared" si="48"/>
        <v>16</v>
      </c>
      <c r="AZ42" s="3">
        <f t="shared" si="49"/>
        <v>21</v>
      </c>
      <c r="BA42" s="3">
        <f t="shared" si="50"/>
        <v>6</v>
      </c>
      <c r="BB42" s="3">
        <f t="shared" si="51"/>
        <v>14</v>
      </c>
      <c r="BC42" s="3">
        <f t="shared" si="52"/>
        <v>6</v>
      </c>
      <c r="BD42" s="3">
        <f t="shared" si="53"/>
        <v>8</v>
      </c>
      <c r="BE42" s="3">
        <f t="shared" si="54"/>
        <v>15</v>
      </c>
      <c r="BF42" s="3">
        <f t="shared" si="55"/>
        <v>20</v>
      </c>
      <c r="BG42" s="3">
        <f t="shared" si="56"/>
        <v>5</v>
      </c>
      <c r="BH42" s="3">
        <f t="shared" si="57"/>
        <v>23</v>
      </c>
      <c r="BI42" s="3">
        <f t="shared" si="58"/>
        <v>7</v>
      </c>
      <c r="BJ42" s="3">
        <f t="shared" si="59"/>
        <v>7</v>
      </c>
      <c r="BK42" s="3">
        <f t="shared" si="60"/>
        <v>3</v>
      </c>
      <c r="BL42" s="3">
        <f t="shared" si="61"/>
        <v>17</v>
      </c>
      <c r="BM42" s="3">
        <f t="shared" si="62"/>
        <v>10</v>
      </c>
      <c r="BN42" s="3">
        <f t="shared" si="63"/>
        <v>5</v>
      </c>
      <c r="BO42" s="7">
        <f t="shared" si="65"/>
        <v>10.866666666666667</v>
      </c>
    </row>
    <row r="43" spans="1:67" ht="22">
      <c r="A43" s="1">
        <v>11</v>
      </c>
      <c r="B43" s="3"/>
      <c r="C43" s="9" t="s">
        <v>138</v>
      </c>
      <c r="D43" s="9" t="s">
        <v>130</v>
      </c>
      <c r="E43" s="9" t="s">
        <v>139</v>
      </c>
      <c r="F43" s="9" t="s">
        <v>126</v>
      </c>
      <c r="G43" s="9" t="s">
        <v>124</v>
      </c>
      <c r="H43" s="9" t="s">
        <v>134</v>
      </c>
      <c r="I43" s="9" t="s">
        <v>107</v>
      </c>
      <c r="J43" s="9" t="s">
        <v>128</v>
      </c>
      <c r="K43" s="9" t="s">
        <v>131</v>
      </c>
      <c r="L43" s="9" t="s">
        <v>123</v>
      </c>
      <c r="M43" s="9" t="s">
        <v>136</v>
      </c>
      <c r="N43" s="9" t="s">
        <v>126</v>
      </c>
      <c r="O43" s="9" t="s">
        <v>128</v>
      </c>
      <c r="P43" s="9" t="s">
        <v>106</v>
      </c>
      <c r="Q43" s="9" t="s">
        <v>107</v>
      </c>
      <c r="R43" s="9" t="s">
        <v>132</v>
      </c>
      <c r="S43" s="9" t="s">
        <v>141</v>
      </c>
      <c r="T43" s="9" t="s">
        <v>110</v>
      </c>
      <c r="U43" s="9" t="s">
        <v>139</v>
      </c>
      <c r="V43" s="9" t="s">
        <v>136</v>
      </c>
      <c r="W43" s="9" t="s">
        <v>129</v>
      </c>
      <c r="X43" s="9" t="s">
        <v>139</v>
      </c>
      <c r="Y43" s="9" t="s">
        <v>128</v>
      </c>
      <c r="Z43" s="9" t="s">
        <v>110</v>
      </c>
      <c r="AA43" s="9" t="s">
        <v>128</v>
      </c>
      <c r="AB43" s="9" t="s">
        <v>126</v>
      </c>
      <c r="AC43" s="9" t="s">
        <v>123</v>
      </c>
      <c r="AD43" s="9" t="s">
        <v>132</v>
      </c>
      <c r="AE43" s="9" t="s">
        <v>138</v>
      </c>
      <c r="AF43" s="9" t="s">
        <v>139</v>
      </c>
      <c r="AG43" s="9" t="s">
        <v>123</v>
      </c>
      <c r="AJ43" s="3">
        <f t="shared" si="64"/>
        <v>5</v>
      </c>
      <c r="AK43" s="3">
        <f t="shared" si="34"/>
        <v>7</v>
      </c>
      <c r="AL43" s="3">
        <f t="shared" si="35"/>
        <v>16</v>
      </c>
      <c r="AM43" s="3">
        <f t="shared" si="36"/>
        <v>13</v>
      </c>
      <c r="AN43" s="3">
        <f t="shared" si="37"/>
        <v>19</v>
      </c>
      <c r="AO43" s="3">
        <f t="shared" si="38"/>
        <v>6</v>
      </c>
      <c r="AP43" s="3">
        <f t="shared" si="39"/>
        <v>15</v>
      </c>
      <c r="AQ43" s="3">
        <f t="shared" si="40"/>
        <v>20</v>
      </c>
      <c r="AR43" s="3">
        <f t="shared" si="41"/>
        <v>0</v>
      </c>
      <c r="AS43" s="3">
        <f t="shared" si="42"/>
        <v>4</v>
      </c>
      <c r="AT43" s="3">
        <f t="shared" si="43"/>
        <v>2</v>
      </c>
      <c r="AU43" s="3">
        <f t="shared" si="44"/>
        <v>13</v>
      </c>
      <c r="AV43" s="3">
        <f t="shared" si="45"/>
        <v>20</v>
      </c>
      <c r="AW43" s="3">
        <f t="shared" si="46"/>
        <v>21</v>
      </c>
      <c r="AX43" s="3">
        <f t="shared" si="47"/>
        <v>15</v>
      </c>
      <c r="AY43" s="3">
        <f t="shared" si="48"/>
        <v>3</v>
      </c>
      <c r="AZ43" s="3">
        <f t="shared" si="49"/>
        <v>9</v>
      </c>
      <c r="BA43" s="3">
        <f t="shared" si="50"/>
        <v>12</v>
      </c>
      <c r="BB43" s="3">
        <f t="shared" si="51"/>
        <v>16</v>
      </c>
      <c r="BC43" s="3">
        <f t="shared" si="52"/>
        <v>2</v>
      </c>
      <c r="BD43" s="3">
        <f t="shared" si="53"/>
        <v>11</v>
      </c>
      <c r="BE43" s="3">
        <f t="shared" si="54"/>
        <v>16</v>
      </c>
      <c r="BF43" s="3">
        <f t="shared" si="55"/>
        <v>20</v>
      </c>
      <c r="BG43" s="3">
        <f t="shared" si="56"/>
        <v>12</v>
      </c>
      <c r="BH43" s="3">
        <f t="shared" si="57"/>
        <v>20</v>
      </c>
      <c r="BI43" s="3">
        <f t="shared" si="58"/>
        <v>13</v>
      </c>
      <c r="BJ43" s="3">
        <f t="shared" si="59"/>
        <v>4</v>
      </c>
      <c r="BK43" s="3">
        <f t="shared" si="60"/>
        <v>3</v>
      </c>
      <c r="BL43" s="3">
        <f t="shared" si="61"/>
        <v>5</v>
      </c>
      <c r="BM43" s="3">
        <f t="shared" si="62"/>
        <v>16</v>
      </c>
      <c r="BN43" s="3">
        <f t="shared" si="63"/>
        <v>4</v>
      </c>
      <c r="BO43" s="7">
        <f t="shared" si="65"/>
        <v>11.03225806451613</v>
      </c>
    </row>
    <row r="44" spans="1:67" ht="22">
      <c r="A44" s="1">
        <v>12</v>
      </c>
      <c r="B44" s="3"/>
      <c r="C44" s="9" t="s">
        <v>129</v>
      </c>
      <c r="D44" s="9" t="s">
        <v>142</v>
      </c>
      <c r="E44" s="9" t="s">
        <v>142</v>
      </c>
      <c r="F44" s="9" t="s">
        <v>106</v>
      </c>
      <c r="G44" s="9" t="s">
        <v>109</v>
      </c>
      <c r="H44" s="9" t="s">
        <v>109</v>
      </c>
      <c r="I44" s="9" t="s">
        <v>134</v>
      </c>
      <c r="J44" s="9" t="s">
        <v>112</v>
      </c>
      <c r="K44" s="9" t="s">
        <v>138</v>
      </c>
      <c r="L44" s="9" t="s">
        <v>138</v>
      </c>
      <c r="M44" s="9" t="s">
        <v>106</v>
      </c>
      <c r="N44" s="9" t="s">
        <v>137</v>
      </c>
      <c r="O44" s="9" t="s">
        <v>123</v>
      </c>
      <c r="P44" s="9" t="s">
        <v>123</v>
      </c>
      <c r="Q44" s="9" t="s">
        <v>111</v>
      </c>
      <c r="R44" s="9" t="s">
        <v>122</v>
      </c>
      <c r="S44" s="9" t="s">
        <v>132</v>
      </c>
      <c r="T44" s="9" t="s">
        <v>110</v>
      </c>
      <c r="U44" s="9" t="s">
        <v>106</v>
      </c>
      <c r="V44" s="9" t="s">
        <v>107</v>
      </c>
      <c r="W44" s="9" t="s">
        <v>126</v>
      </c>
      <c r="X44" s="9" t="s">
        <v>138</v>
      </c>
      <c r="Y44" s="9" t="s">
        <v>139</v>
      </c>
      <c r="Z44" s="9" t="s">
        <v>111</v>
      </c>
      <c r="AA44" s="9" t="s">
        <v>123</v>
      </c>
      <c r="AB44" s="9" t="s">
        <v>142</v>
      </c>
      <c r="AC44" s="9" t="s">
        <v>129</v>
      </c>
      <c r="AD44" s="9" t="s">
        <v>134</v>
      </c>
      <c r="AE44" s="9" t="s">
        <v>109</v>
      </c>
      <c r="AF44" s="9" t="s">
        <v>123</v>
      </c>
      <c r="AG44" s="9" t="s">
        <v>132</v>
      </c>
      <c r="AJ44" s="3">
        <f t="shared" si="64"/>
        <v>11</v>
      </c>
      <c r="AK44" s="3">
        <f t="shared" si="34"/>
        <v>25</v>
      </c>
      <c r="AL44" s="3">
        <f t="shared" si="35"/>
        <v>25</v>
      </c>
      <c r="AM44" s="3">
        <f t="shared" si="36"/>
        <v>21</v>
      </c>
      <c r="AN44" s="3">
        <f t="shared" si="37"/>
        <v>17</v>
      </c>
      <c r="AO44" s="3">
        <f t="shared" si="38"/>
        <v>17</v>
      </c>
      <c r="AP44" s="3">
        <f t="shared" si="39"/>
        <v>6</v>
      </c>
      <c r="AQ44" s="3">
        <f t="shared" si="40"/>
        <v>10</v>
      </c>
      <c r="AR44" s="3">
        <f t="shared" si="41"/>
        <v>5</v>
      </c>
      <c r="AS44" s="3">
        <f t="shared" si="42"/>
        <v>5</v>
      </c>
      <c r="AT44" s="3">
        <f t="shared" si="43"/>
        <v>21</v>
      </c>
      <c r="AU44" s="3">
        <f t="shared" si="44"/>
        <v>14</v>
      </c>
      <c r="AV44" s="3">
        <f t="shared" si="45"/>
        <v>4</v>
      </c>
      <c r="AW44" s="3">
        <f t="shared" si="46"/>
        <v>4</v>
      </c>
      <c r="AX44" s="3">
        <f t="shared" si="47"/>
        <v>23</v>
      </c>
      <c r="AY44" s="3">
        <f t="shared" si="48"/>
        <v>1</v>
      </c>
      <c r="AZ44" s="3">
        <f t="shared" si="49"/>
        <v>3</v>
      </c>
      <c r="BA44" s="3">
        <f t="shared" si="50"/>
        <v>12</v>
      </c>
      <c r="BB44" s="3">
        <f t="shared" si="51"/>
        <v>21</v>
      </c>
      <c r="BC44" s="3">
        <f t="shared" si="52"/>
        <v>15</v>
      </c>
      <c r="BD44" s="3">
        <f t="shared" si="53"/>
        <v>13</v>
      </c>
      <c r="BE44" s="3">
        <f t="shared" si="54"/>
        <v>5</v>
      </c>
      <c r="BF44" s="3">
        <f t="shared" si="55"/>
        <v>16</v>
      </c>
      <c r="BG44" s="3">
        <f t="shared" si="56"/>
        <v>23</v>
      </c>
      <c r="BH44" s="3">
        <f t="shared" si="57"/>
        <v>4</v>
      </c>
      <c r="BI44" s="3">
        <f t="shared" si="58"/>
        <v>25</v>
      </c>
      <c r="BJ44" s="3">
        <f t="shared" si="59"/>
        <v>11</v>
      </c>
      <c r="BK44" s="3">
        <f t="shared" si="60"/>
        <v>6</v>
      </c>
      <c r="BL44" s="3">
        <f t="shared" si="61"/>
        <v>17</v>
      </c>
      <c r="BM44" s="3">
        <f t="shared" si="62"/>
        <v>4</v>
      </c>
      <c r="BN44" s="3">
        <f t="shared" si="63"/>
        <v>3</v>
      </c>
      <c r="BO44" s="7">
        <f t="shared" si="65"/>
        <v>12.483870967741936</v>
      </c>
    </row>
    <row r="45" spans="1:67" ht="22">
      <c r="A45" s="1">
        <v>13</v>
      </c>
      <c r="B45" s="3"/>
      <c r="C45" s="9" t="s">
        <v>126</v>
      </c>
      <c r="D45" s="9" t="s">
        <v>139</v>
      </c>
      <c r="E45" s="9" t="s">
        <v>138</v>
      </c>
      <c r="F45" s="9" t="s">
        <v>110</v>
      </c>
      <c r="G45" s="9" t="s">
        <v>107</v>
      </c>
      <c r="H45" s="9" t="s">
        <v>126</v>
      </c>
      <c r="I45" s="9" t="s">
        <v>142</v>
      </c>
      <c r="J45" s="9" t="s">
        <v>134</v>
      </c>
      <c r="K45" s="9" t="s">
        <v>129</v>
      </c>
      <c r="L45" s="9" t="s">
        <v>138</v>
      </c>
      <c r="M45" s="9" t="s">
        <v>129</v>
      </c>
      <c r="N45" s="9" t="s">
        <v>107</v>
      </c>
      <c r="O45" s="9" t="s">
        <v>110</v>
      </c>
      <c r="P45" s="9" t="s">
        <v>109</v>
      </c>
      <c r="Q45" s="9" t="s">
        <v>141</v>
      </c>
      <c r="R45" s="9" t="s">
        <v>139</v>
      </c>
      <c r="S45" s="9" t="s">
        <v>105</v>
      </c>
      <c r="T45" s="9" t="s">
        <v>131</v>
      </c>
      <c r="U45" s="9" t="s">
        <v>129</v>
      </c>
      <c r="V45" s="9" t="s">
        <v>110</v>
      </c>
      <c r="W45" s="9" t="s">
        <v>134</v>
      </c>
      <c r="X45" s="9" t="s">
        <v>126</v>
      </c>
      <c r="Y45" s="9" t="s">
        <v>128</v>
      </c>
      <c r="Z45" s="9" t="s">
        <v>106</v>
      </c>
      <c r="AA45" s="9" t="s">
        <v>107</v>
      </c>
      <c r="AB45" s="9" t="s">
        <v>132</v>
      </c>
      <c r="AC45" s="9" t="s">
        <v>111</v>
      </c>
      <c r="AD45" s="9" t="s">
        <v>106</v>
      </c>
      <c r="AE45" s="9" t="s">
        <v>112</v>
      </c>
      <c r="AF45" s="9" t="s">
        <v>107</v>
      </c>
      <c r="AG45" s="9" t="s">
        <v>132</v>
      </c>
      <c r="AJ45" s="3">
        <f t="shared" si="64"/>
        <v>13</v>
      </c>
      <c r="AK45" s="3">
        <f t="shared" si="34"/>
        <v>16</v>
      </c>
      <c r="AL45" s="3">
        <f t="shared" si="35"/>
        <v>5</v>
      </c>
      <c r="AM45" s="3">
        <f t="shared" si="36"/>
        <v>12</v>
      </c>
      <c r="AN45" s="3">
        <f t="shared" si="37"/>
        <v>15</v>
      </c>
      <c r="AO45" s="3">
        <f t="shared" si="38"/>
        <v>13</v>
      </c>
      <c r="AP45" s="3">
        <f t="shared" si="39"/>
        <v>25</v>
      </c>
      <c r="AQ45" s="3">
        <f t="shared" si="40"/>
        <v>6</v>
      </c>
      <c r="AR45" s="3">
        <f t="shared" si="41"/>
        <v>11</v>
      </c>
      <c r="AS45" s="3">
        <f t="shared" si="42"/>
        <v>5</v>
      </c>
      <c r="AT45" s="3">
        <f t="shared" si="43"/>
        <v>11</v>
      </c>
      <c r="AU45" s="3">
        <f t="shared" si="44"/>
        <v>15</v>
      </c>
      <c r="AV45" s="3">
        <f t="shared" si="45"/>
        <v>12</v>
      </c>
      <c r="AW45" s="3">
        <f t="shared" si="46"/>
        <v>17</v>
      </c>
      <c r="AX45" s="3">
        <f t="shared" si="47"/>
        <v>9</v>
      </c>
      <c r="AY45" s="3">
        <f t="shared" si="48"/>
        <v>16</v>
      </c>
      <c r="AZ45" s="3">
        <f t="shared" si="49"/>
        <v>24</v>
      </c>
      <c r="BA45" s="3">
        <f t="shared" si="50"/>
        <v>0</v>
      </c>
      <c r="BB45" s="3">
        <f t="shared" si="51"/>
        <v>11</v>
      </c>
      <c r="BC45" s="3">
        <f t="shared" si="52"/>
        <v>12</v>
      </c>
      <c r="BD45" s="3">
        <f t="shared" si="53"/>
        <v>6</v>
      </c>
      <c r="BE45" s="3">
        <f t="shared" si="54"/>
        <v>13</v>
      </c>
      <c r="BF45" s="3">
        <f t="shared" si="55"/>
        <v>20</v>
      </c>
      <c r="BG45" s="3">
        <f t="shared" si="56"/>
        <v>21</v>
      </c>
      <c r="BH45" s="3">
        <f t="shared" si="57"/>
        <v>15</v>
      </c>
      <c r="BI45" s="3">
        <f t="shared" si="58"/>
        <v>3</v>
      </c>
      <c r="BJ45" s="3">
        <f t="shared" si="59"/>
        <v>23</v>
      </c>
      <c r="BK45" s="3">
        <f t="shared" si="60"/>
        <v>21</v>
      </c>
      <c r="BL45" s="3">
        <f t="shared" si="61"/>
        <v>10</v>
      </c>
      <c r="BM45" s="3">
        <f t="shared" si="62"/>
        <v>15</v>
      </c>
      <c r="BN45" s="3">
        <f t="shared" si="63"/>
        <v>3</v>
      </c>
      <c r="BO45" s="7">
        <f t="shared" si="65"/>
        <v>12.838709677419354</v>
      </c>
    </row>
    <row r="46" spans="1:67" ht="22">
      <c r="A46" s="1">
        <v>14</v>
      </c>
      <c r="B46" s="3"/>
      <c r="C46" s="9" t="s">
        <v>139</v>
      </c>
      <c r="D46" s="9" t="s">
        <v>128</v>
      </c>
      <c r="E46" s="9" t="s">
        <v>110</v>
      </c>
      <c r="F46" s="9" t="s">
        <v>123</v>
      </c>
      <c r="G46" s="9" t="s">
        <v>122</v>
      </c>
      <c r="H46" s="9" t="s">
        <v>123</v>
      </c>
      <c r="I46" s="9" t="s">
        <v>132</v>
      </c>
      <c r="J46" s="9" t="s">
        <v>110</v>
      </c>
      <c r="K46" s="9" t="s">
        <v>130</v>
      </c>
      <c r="L46" s="9" t="s">
        <v>132</v>
      </c>
      <c r="M46" s="9" t="s">
        <v>131</v>
      </c>
      <c r="N46" s="9" t="s">
        <v>138</v>
      </c>
      <c r="O46" s="9" t="s">
        <v>110</v>
      </c>
      <c r="P46" s="9" t="s">
        <v>141</v>
      </c>
      <c r="Q46" s="9" t="s">
        <v>134</v>
      </c>
      <c r="R46" s="9" t="s">
        <v>142</v>
      </c>
      <c r="S46" s="9" t="s">
        <v>126</v>
      </c>
      <c r="T46" s="9" t="s">
        <v>128</v>
      </c>
      <c r="U46" s="9" t="s">
        <v>107</v>
      </c>
      <c r="V46" s="9" t="s">
        <v>129</v>
      </c>
      <c r="W46" s="9" t="s">
        <v>134</v>
      </c>
      <c r="X46" s="9" t="s">
        <v>123</v>
      </c>
      <c r="Y46" s="9" t="s">
        <v>25</v>
      </c>
      <c r="Z46" s="9" t="s">
        <v>26</v>
      </c>
      <c r="AA46" s="9" t="s">
        <v>141</v>
      </c>
      <c r="AB46" s="9" t="s">
        <v>129</v>
      </c>
      <c r="AC46" s="9" t="s">
        <v>129</v>
      </c>
      <c r="AD46" s="9" t="s">
        <v>131</v>
      </c>
      <c r="AE46" s="9" t="s">
        <v>123</v>
      </c>
      <c r="AF46" s="9" t="s">
        <v>124</v>
      </c>
      <c r="AG46" s="9" t="s">
        <v>134</v>
      </c>
      <c r="AJ46" s="3">
        <f t="shared" si="64"/>
        <v>16</v>
      </c>
      <c r="AK46" s="3">
        <f t="shared" si="34"/>
        <v>20</v>
      </c>
      <c r="AL46" s="3">
        <f t="shared" si="35"/>
        <v>12</v>
      </c>
      <c r="AM46" s="3">
        <f t="shared" si="36"/>
        <v>4</v>
      </c>
      <c r="AN46" s="3">
        <f t="shared" si="37"/>
        <v>1</v>
      </c>
      <c r="AO46" s="3">
        <f t="shared" si="38"/>
        <v>4</v>
      </c>
      <c r="AP46" s="3">
        <f t="shared" si="39"/>
        <v>3</v>
      </c>
      <c r="AQ46" s="3">
        <f t="shared" si="40"/>
        <v>12</v>
      </c>
      <c r="AR46" s="3">
        <f t="shared" si="41"/>
        <v>7</v>
      </c>
      <c r="AS46" s="3">
        <f t="shared" si="42"/>
        <v>3</v>
      </c>
      <c r="AT46" s="3">
        <f t="shared" si="43"/>
        <v>0</v>
      </c>
      <c r="AU46" s="3">
        <f t="shared" si="44"/>
        <v>5</v>
      </c>
      <c r="AV46" s="3">
        <f t="shared" si="45"/>
        <v>12</v>
      </c>
      <c r="AW46" s="3">
        <f t="shared" si="46"/>
        <v>9</v>
      </c>
      <c r="AX46" s="3">
        <f t="shared" si="47"/>
        <v>6</v>
      </c>
      <c r="AY46" s="3">
        <f t="shared" si="48"/>
        <v>25</v>
      </c>
      <c r="AZ46" s="3">
        <f t="shared" si="49"/>
        <v>13</v>
      </c>
      <c r="BA46" s="3">
        <f t="shared" si="50"/>
        <v>20</v>
      </c>
      <c r="BB46" s="3">
        <f t="shared" si="51"/>
        <v>15</v>
      </c>
      <c r="BC46" s="3">
        <f t="shared" si="52"/>
        <v>11</v>
      </c>
      <c r="BD46" s="3">
        <f t="shared" si="53"/>
        <v>6</v>
      </c>
      <c r="BE46" s="3">
        <f t="shared" si="54"/>
        <v>4</v>
      </c>
      <c r="BF46" s="3">
        <f t="shared" si="55"/>
        <v>18</v>
      </c>
      <c r="BG46" s="3">
        <f t="shared" si="56"/>
        <v>22</v>
      </c>
      <c r="BH46" s="3">
        <f t="shared" si="57"/>
        <v>9</v>
      </c>
      <c r="BI46" s="3">
        <f t="shared" si="58"/>
        <v>11</v>
      </c>
      <c r="BJ46" s="3">
        <f t="shared" si="59"/>
        <v>11</v>
      </c>
      <c r="BK46" s="3">
        <f t="shared" si="60"/>
        <v>0</v>
      </c>
      <c r="BL46" s="3">
        <f t="shared" si="61"/>
        <v>4</v>
      </c>
      <c r="BM46" s="3">
        <f t="shared" si="62"/>
        <v>19</v>
      </c>
      <c r="BN46" s="3">
        <f t="shared" si="63"/>
        <v>6</v>
      </c>
      <c r="BO46" s="7">
        <f t="shared" si="65"/>
        <v>9.935483870967742</v>
      </c>
    </row>
    <row r="47" spans="1:67" ht="2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7" ht="22">
      <c r="A48" s="1">
        <v>1</v>
      </c>
      <c r="B48" s="3"/>
      <c r="C48" s="9" t="s">
        <v>123</v>
      </c>
      <c r="D48" s="9" t="s">
        <v>126</v>
      </c>
      <c r="E48" s="9" t="s">
        <v>132</v>
      </c>
      <c r="F48" s="9" t="s">
        <v>105</v>
      </c>
      <c r="G48" s="9" t="s">
        <v>131</v>
      </c>
      <c r="H48" s="9" t="s">
        <v>130</v>
      </c>
      <c r="I48" s="9" t="s">
        <v>109</v>
      </c>
      <c r="J48" s="9" t="s">
        <v>137</v>
      </c>
      <c r="K48" s="9" t="s">
        <v>130</v>
      </c>
      <c r="L48" s="9" t="s">
        <v>126</v>
      </c>
      <c r="M48" s="9" t="s">
        <v>129</v>
      </c>
      <c r="N48" s="9" t="s">
        <v>127</v>
      </c>
      <c r="O48" s="9" t="s">
        <v>109</v>
      </c>
      <c r="P48" s="9" t="s">
        <v>130</v>
      </c>
      <c r="Q48" s="9" t="s">
        <v>123</v>
      </c>
      <c r="R48" s="9" t="s">
        <v>137</v>
      </c>
      <c r="S48" s="9" t="s">
        <v>136</v>
      </c>
      <c r="T48" s="9" t="s">
        <v>107</v>
      </c>
      <c r="U48" s="9" t="s">
        <v>124</v>
      </c>
      <c r="V48" s="9" t="s">
        <v>123</v>
      </c>
      <c r="W48" s="9" t="s">
        <v>137</v>
      </c>
      <c r="X48" s="9" t="s">
        <v>133</v>
      </c>
      <c r="Y48" s="9" t="s">
        <v>122</v>
      </c>
      <c r="Z48" s="9" t="s">
        <v>133</v>
      </c>
      <c r="AA48" s="9" t="s">
        <v>132</v>
      </c>
      <c r="AB48" s="9" t="s">
        <v>105</v>
      </c>
      <c r="AC48" s="9" t="s">
        <v>127</v>
      </c>
      <c r="AD48" s="9" t="s">
        <v>130</v>
      </c>
      <c r="AE48" s="9" t="s">
        <v>126</v>
      </c>
      <c r="AF48" s="9" t="s">
        <v>131</v>
      </c>
      <c r="AG48" s="9" t="s">
        <v>133</v>
      </c>
      <c r="AJ48" s="3">
        <f t="shared" ref="AJ48:AJ61" si="66">IF(C48&lt;&gt;"?",CODE(C48)-65,"")</f>
        <v>4</v>
      </c>
      <c r="AK48" s="3">
        <f t="shared" ref="AK48:AK61" si="67">IF(D48&lt;&gt;"?",CODE(D48)-65,"")</f>
        <v>13</v>
      </c>
      <c r="AL48" s="3">
        <f t="shared" ref="AL48:AL61" si="68">IF(E48&lt;&gt;"?",CODE(E48)-65,"")</f>
        <v>3</v>
      </c>
      <c r="AM48" s="3">
        <f t="shared" ref="AM48:AM61" si="69">IF(F48&lt;&gt;"?",CODE(F48)-65,"")</f>
        <v>24</v>
      </c>
      <c r="AN48" s="3">
        <f t="shared" ref="AN48:AN61" si="70">IF(G48&lt;&gt;"?",CODE(G48)-65,"")</f>
        <v>0</v>
      </c>
      <c r="AO48" s="3">
        <f t="shared" ref="AO48:AO61" si="71">IF(H48&lt;&gt;"?",CODE(H48)-65,"")</f>
        <v>7</v>
      </c>
      <c r="AP48" s="3">
        <f t="shared" ref="AP48:AP61" si="72">IF(I48&lt;&gt;"?",CODE(I48)-65,"")</f>
        <v>17</v>
      </c>
      <c r="AQ48" s="3">
        <f t="shared" ref="AQ48:AQ61" si="73">IF(J48&lt;&gt;"?",CODE(J48)-65,"")</f>
        <v>14</v>
      </c>
      <c r="AR48" s="3">
        <f t="shared" ref="AR48:AR61" si="74">IF(K48&lt;&gt;"?",CODE(K48)-65,"")</f>
        <v>7</v>
      </c>
      <c r="AS48" s="3">
        <f t="shared" ref="AS48:AS61" si="75">IF(L48&lt;&gt;"?",CODE(L48)-65,"")</f>
        <v>13</v>
      </c>
      <c r="AT48" s="3">
        <f t="shared" ref="AT48:AT61" si="76">IF(M48&lt;&gt;"?",CODE(M48)-65,"")</f>
        <v>11</v>
      </c>
      <c r="AU48" s="3">
        <f t="shared" ref="AU48:AU61" si="77">IF(N48&lt;&gt;"?",CODE(N48)-65,"")</f>
        <v>18</v>
      </c>
      <c r="AV48" s="3">
        <f t="shared" ref="AV48:AV61" si="78">IF(O48&lt;&gt;"?",CODE(O48)-65,"")</f>
        <v>17</v>
      </c>
      <c r="AW48" s="3">
        <f t="shared" ref="AW48:AW61" si="79">IF(P48&lt;&gt;"?",CODE(P48)-65,"")</f>
        <v>7</v>
      </c>
      <c r="AX48" s="3">
        <f t="shared" ref="AX48:AX61" si="80">IF(Q48&lt;&gt;"?",CODE(Q48)-65,"")</f>
        <v>4</v>
      </c>
      <c r="AY48" s="3">
        <f t="shared" ref="AY48:AY61" si="81">IF(R48&lt;&gt;"?",CODE(R48)-65,"")</f>
        <v>14</v>
      </c>
      <c r="AZ48" s="3">
        <f t="shared" ref="AZ48:AZ61" si="82">IF(S48&lt;&gt;"?",CODE(S48)-65,"")</f>
        <v>2</v>
      </c>
      <c r="BA48" s="3">
        <f t="shared" ref="BA48:BA61" si="83">IF(T48&lt;&gt;"?",CODE(T48)-65,"")</f>
        <v>15</v>
      </c>
      <c r="BB48" s="3">
        <f t="shared" ref="BB48:BB61" si="84">IF(U48&lt;&gt;"?",CODE(U48)-65,"")</f>
        <v>19</v>
      </c>
      <c r="BC48" s="3">
        <f t="shared" ref="BC48:BC61" si="85">IF(V48&lt;&gt;"?",CODE(V48)-65,"")</f>
        <v>4</v>
      </c>
      <c r="BD48" s="3">
        <f t="shared" ref="BD48:BD61" si="86">IF(W48&lt;&gt;"?",CODE(W48)-65,"")</f>
        <v>14</v>
      </c>
      <c r="BE48" s="3">
        <f t="shared" ref="BE48:BE61" si="87">IF(X48&lt;&gt;"?",CODE(X48)-65,"")</f>
        <v>8</v>
      </c>
      <c r="BF48" s="3">
        <f t="shared" ref="BF48:BF61" si="88">IF(Y48&lt;&gt;"?",CODE(Y48)-65,"")</f>
        <v>1</v>
      </c>
      <c r="BG48" s="3">
        <f t="shared" ref="BG48:BG61" si="89">IF(Z48&lt;&gt;"?",CODE(Z48)-65,"")</f>
        <v>8</v>
      </c>
      <c r="BH48" s="3">
        <f t="shared" ref="BH48:BH61" si="90">IF(AA48&lt;&gt;"?",CODE(AA48)-65,"")</f>
        <v>3</v>
      </c>
      <c r="BI48" s="3">
        <f t="shared" ref="BI48:BI61" si="91">IF(AB48&lt;&gt;"?",CODE(AB48)-65,"")</f>
        <v>24</v>
      </c>
      <c r="BJ48" s="3">
        <f t="shared" ref="BJ48:BJ61" si="92">IF(AC48&lt;&gt;"?",CODE(AC48)-65,"")</f>
        <v>18</v>
      </c>
      <c r="BK48" s="3">
        <f t="shared" ref="BK48:BK61" si="93">IF(AD48&lt;&gt;"?",CODE(AD48)-65,"")</f>
        <v>7</v>
      </c>
      <c r="BL48" s="3">
        <f t="shared" ref="BL48:BL61" si="94">IF(AE48&lt;&gt;"?",CODE(AE48)-65,"")</f>
        <v>13</v>
      </c>
      <c r="BM48" s="3">
        <f t="shared" ref="BM48:BM61" si="95">IF(AF48&lt;&gt;"?",CODE(AF48)-65,"")</f>
        <v>0</v>
      </c>
      <c r="BN48" s="3">
        <f t="shared" ref="BN48:BN61" si="96">IF(AG48&lt;&gt;"?",CODE(AG48)-65,"")</f>
        <v>8</v>
      </c>
      <c r="BO48" s="7">
        <f t="shared" ref="BO48:BO61" si="97">AVERAGE(AJ48:BN48)</f>
        <v>10.225806451612904</v>
      </c>
    </row>
    <row r="49" spans="1:67" ht="22">
      <c r="A49" s="1">
        <v>2</v>
      </c>
      <c r="B49" s="3"/>
      <c r="C49" s="9" t="s">
        <v>131</v>
      </c>
      <c r="D49" s="9" t="s">
        <v>136</v>
      </c>
      <c r="E49" s="9" t="s">
        <v>130</v>
      </c>
      <c r="F49" s="9" t="s">
        <v>124</v>
      </c>
      <c r="G49" s="9" t="s">
        <v>126</v>
      </c>
      <c r="H49" s="9" t="s">
        <v>109</v>
      </c>
      <c r="I49" s="9" t="s">
        <v>123</v>
      </c>
      <c r="J49" s="9" t="s">
        <v>105</v>
      </c>
      <c r="K49" s="9" t="s">
        <v>128</v>
      </c>
      <c r="L49" s="9" t="s">
        <v>129</v>
      </c>
      <c r="M49" s="9" t="s">
        <v>132</v>
      </c>
      <c r="N49" s="9" t="s">
        <v>127</v>
      </c>
      <c r="O49" s="9" t="s">
        <v>129</v>
      </c>
      <c r="P49" s="9" t="s">
        <v>129</v>
      </c>
      <c r="Q49" s="9" t="s">
        <v>127</v>
      </c>
      <c r="R49" s="9" t="s">
        <v>129</v>
      </c>
      <c r="S49" s="9" t="s">
        <v>129</v>
      </c>
      <c r="T49" s="9" t="s">
        <v>126</v>
      </c>
      <c r="U49" s="9" t="s">
        <v>137</v>
      </c>
      <c r="V49" s="9" t="s">
        <v>130</v>
      </c>
      <c r="W49" s="9" t="s">
        <v>127</v>
      </c>
      <c r="X49" s="9" t="s">
        <v>126</v>
      </c>
      <c r="Y49" s="9" t="s">
        <v>137</v>
      </c>
      <c r="Z49" s="9" t="s">
        <v>127</v>
      </c>
      <c r="AA49" s="9" t="s">
        <v>110</v>
      </c>
      <c r="AB49" s="9" t="s">
        <v>109</v>
      </c>
      <c r="AC49" s="9" t="s">
        <v>125</v>
      </c>
      <c r="AD49" s="9" t="s">
        <v>111</v>
      </c>
      <c r="AE49" s="9" t="s">
        <v>110</v>
      </c>
      <c r="AF49" s="9" t="s">
        <v>126</v>
      </c>
      <c r="AG49" s="9" t="s">
        <v>123</v>
      </c>
      <c r="AJ49" s="3">
        <f t="shared" si="66"/>
        <v>0</v>
      </c>
      <c r="AK49" s="3">
        <f t="shared" si="67"/>
        <v>2</v>
      </c>
      <c r="AL49" s="3">
        <f t="shared" si="68"/>
        <v>7</v>
      </c>
      <c r="AM49" s="3">
        <f t="shared" si="69"/>
        <v>19</v>
      </c>
      <c r="AN49" s="3">
        <f t="shared" si="70"/>
        <v>13</v>
      </c>
      <c r="AO49" s="3">
        <f t="shared" si="71"/>
        <v>17</v>
      </c>
      <c r="AP49" s="3">
        <f t="shared" si="72"/>
        <v>4</v>
      </c>
      <c r="AQ49" s="3">
        <f t="shared" si="73"/>
        <v>24</v>
      </c>
      <c r="AR49" s="3">
        <f t="shared" si="74"/>
        <v>20</v>
      </c>
      <c r="AS49" s="3">
        <f t="shared" si="75"/>
        <v>11</v>
      </c>
      <c r="AT49" s="3">
        <f t="shared" si="76"/>
        <v>3</v>
      </c>
      <c r="AU49" s="3">
        <f t="shared" si="77"/>
        <v>18</v>
      </c>
      <c r="AV49" s="3">
        <f t="shared" si="78"/>
        <v>11</v>
      </c>
      <c r="AW49" s="3">
        <f t="shared" si="79"/>
        <v>11</v>
      </c>
      <c r="AX49" s="3">
        <f t="shared" si="80"/>
        <v>18</v>
      </c>
      <c r="AY49" s="3">
        <f t="shared" si="81"/>
        <v>11</v>
      </c>
      <c r="AZ49" s="3">
        <f t="shared" si="82"/>
        <v>11</v>
      </c>
      <c r="BA49" s="3">
        <f t="shared" si="83"/>
        <v>13</v>
      </c>
      <c r="BB49" s="3">
        <f t="shared" si="84"/>
        <v>14</v>
      </c>
      <c r="BC49" s="3">
        <f t="shared" si="85"/>
        <v>7</v>
      </c>
      <c r="BD49" s="3">
        <f t="shared" si="86"/>
        <v>18</v>
      </c>
      <c r="BE49" s="3">
        <f t="shared" si="87"/>
        <v>13</v>
      </c>
      <c r="BF49" s="3">
        <f t="shared" si="88"/>
        <v>14</v>
      </c>
      <c r="BG49" s="3">
        <f t="shared" si="89"/>
        <v>18</v>
      </c>
      <c r="BH49" s="3">
        <f t="shared" si="90"/>
        <v>12</v>
      </c>
      <c r="BI49" s="3">
        <f t="shared" si="91"/>
        <v>17</v>
      </c>
      <c r="BJ49" s="3">
        <f t="shared" si="92"/>
        <v>22</v>
      </c>
      <c r="BK49" s="3">
        <f t="shared" si="93"/>
        <v>23</v>
      </c>
      <c r="BL49" s="3">
        <f t="shared" si="94"/>
        <v>12</v>
      </c>
      <c r="BM49" s="3">
        <f t="shared" si="95"/>
        <v>13</v>
      </c>
      <c r="BN49" s="3">
        <f t="shared" si="96"/>
        <v>4</v>
      </c>
      <c r="BO49" s="7">
        <f t="shared" si="97"/>
        <v>12.903225806451612</v>
      </c>
    </row>
    <row r="50" spans="1:67" ht="22">
      <c r="A50" s="1">
        <v>3</v>
      </c>
      <c r="B50" s="3"/>
      <c r="C50" s="9" t="s">
        <v>124</v>
      </c>
      <c r="D50" s="9" t="s">
        <v>107</v>
      </c>
      <c r="E50" s="9" t="s">
        <v>109</v>
      </c>
      <c r="F50" s="9" t="s">
        <v>126</v>
      </c>
      <c r="G50" s="9" t="s">
        <v>134</v>
      </c>
      <c r="H50" s="9" t="s">
        <v>131</v>
      </c>
      <c r="I50" s="9" t="s">
        <v>124</v>
      </c>
      <c r="J50" s="9" t="s">
        <v>133</v>
      </c>
      <c r="K50" s="9" t="s">
        <v>130</v>
      </c>
      <c r="L50" s="9" t="s">
        <v>126</v>
      </c>
      <c r="M50" s="9" t="s">
        <v>109</v>
      </c>
      <c r="N50" s="9" t="s">
        <v>131</v>
      </c>
      <c r="O50" s="9" t="s">
        <v>109</v>
      </c>
      <c r="P50" s="9" t="s">
        <v>107</v>
      </c>
      <c r="Q50" s="9" t="s">
        <v>123</v>
      </c>
      <c r="R50" s="9" t="s">
        <v>127</v>
      </c>
      <c r="S50" s="9" t="s">
        <v>129</v>
      </c>
      <c r="T50" s="9" t="s">
        <v>126</v>
      </c>
      <c r="U50" s="9" t="s">
        <v>126</v>
      </c>
      <c r="V50" s="9" t="s">
        <v>123</v>
      </c>
      <c r="W50" s="9" t="s">
        <v>129</v>
      </c>
      <c r="X50" s="9" t="s">
        <v>123</v>
      </c>
      <c r="Y50" s="9" t="s">
        <v>122</v>
      </c>
      <c r="Z50" s="9" t="s">
        <v>129</v>
      </c>
      <c r="AA50" s="9" t="s">
        <v>107</v>
      </c>
      <c r="AB50" s="9" t="s">
        <v>133</v>
      </c>
      <c r="AC50" s="9" t="s">
        <v>133</v>
      </c>
      <c r="AD50" s="9" t="s">
        <v>131</v>
      </c>
      <c r="AE50" s="9" t="s">
        <v>136</v>
      </c>
      <c r="AF50" s="9" t="s">
        <v>131</v>
      </c>
      <c r="AG50" s="9" t="s">
        <v>123</v>
      </c>
      <c r="AJ50" s="3">
        <f t="shared" si="66"/>
        <v>19</v>
      </c>
      <c r="AK50" s="3">
        <f t="shared" si="67"/>
        <v>15</v>
      </c>
      <c r="AL50" s="3">
        <f t="shared" si="68"/>
        <v>17</v>
      </c>
      <c r="AM50" s="3">
        <f t="shared" si="69"/>
        <v>13</v>
      </c>
      <c r="AN50" s="3">
        <f t="shared" si="70"/>
        <v>6</v>
      </c>
      <c r="AO50" s="3">
        <f t="shared" si="71"/>
        <v>0</v>
      </c>
      <c r="AP50" s="3">
        <f t="shared" si="72"/>
        <v>19</v>
      </c>
      <c r="AQ50" s="3">
        <f t="shared" si="73"/>
        <v>8</v>
      </c>
      <c r="AR50" s="3">
        <f t="shared" si="74"/>
        <v>7</v>
      </c>
      <c r="AS50" s="3">
        <f t="shared" si="75"/>
        <v>13</v>
      </c>
      <c r="AT50" s="3">
        <f t="shared" si="76"/>
        <v>17</v>
      </c>
      <c r="AU50" s="3">
        <f t="shared" si="77"/>
        <v>0</v>
      </c>
      <c r="AV50" s="3">
        <f t="shared" si="78"/>
        <v>17</v>
      </c>
      <c r="AW50" s="3">
        <f t="shared" si="79"/>
        <v>15</v>
      </c>
      <c r="AX50" s="3">
        <f t="shared" si="80"/>
        <v>4</v>
      </c>
      <c r="AY50" s="3">
        <f t="shared" si="81"/>
        <v>18</v>
      </c>
      <c r="AZ50" s="3">
        <f t="shared" si="82"/>
        <v>11</v>
      </c>
      <c r="BA50" s="3">
        <f t="shared" si="83"/>
        <v>13</v>
      </c>
      <c r="BB50" s="3">
        <f t="shared" si="84"/>
        <v>13</v>
      </c>
      <c r="BC50" s="3">
        <f t="shared" si="85"/>
        <v>4</v>
      </c>
      <c r="BD50" s="3">
        <f t="shared" si="86"/>
        <v>11</v>
      </c>
      <c r="BE50" s="3">
        <f t="shared" si="87"/>
        <v>4</v>
      </c>
      <c r="BF50" s="3">
        <f t="shared" si="88"/>
        <v>1</v>
      </c>
      <c r="BG50" s="3">
        <f t="shared" si="89"/>
        <v>11</v>
      </c>
      <c r="BH50" s="3">
        <f t="shared" si="90"/>
        <v>15</v>
      </c>
      <c r="BI50" s="3">
        <f t="shared" si="91"/>
        <v>8</v>
      </c>
      <c r="BJ50" s="3">
        <f t="shared" si="92"/>
        <v>8</v>
      </c>
      <c r="BK50" s="3">
        <f t="shared" si="93"/>
        <v>0</v>
      </c>
      <c r="BL50" s="3">
        <f t="shared" si="94"/>
        <v>2</v>
      </c>
      <c r="BM50" s="3">
        <f t="shared" si="95"/>
        <v>0</v>
      </c>
      <c r="BN50" s="3">
        <f t="shared" si="96"/>
        <v>4</v>
      </c>
      <c r="BO50" s="7">
        <f t="shared" si="97"/>
        <v>9.4516129032258061</v>
      </c>
    </row>
    <row r="51" spans="1:67" ht="22">
      <c r="A51" s="1">
        <v>4</v>
      </c>
      <c r="B51" s="3"/>
      <c r="C51" s="9" t="s">
        <v>125</v>
      </c>
      <c r="D51" s="9" t="s">
        <v>110</v>
      </c>
      <c r="E51" s="9" t="s">
        <v>124</v>
      </c>
      <c r="F51" s="9" t="s">
        <v>125</v>
      </c>
      <c r="G51" s="9" t="s">
        <v>126</v>
      </c>
      <c r="H51" s="9" t="s">
        <v>132</v>
      </c>
      <c r="I51" s="9" t="s">
        <v>133</v>
      </c>
      <c r="J51" s="9" t="s">
        <v>124</v>
      </c>
      <c r="K51" s="9" t="s">
        <v>123</v>
      </c>
      <c r="L51" s="9" t="s">
        <v>123</v>
      </c>
      <c r="M51" s="9" t="s">
        <v>126</v>
      </c>
      <c r="N51" s="9" t="s">
        <v>109</v>
      </c>
      <c r="O51" s="9" t="s">
        <v>131</v>
      </c>
      <c r="P51" s="9" t="s">
        <v>130</v>
      </c>
      <c r="Q51" s="9" t="s">
        <v>136</v>
      </c>
      <c r="R51" s="9" t="s">
        <v>124</v>
      </c>
      <c r="S51" s="9" t="s">
        <v>123</v>
      </c>
      <c r="T51" s="9" t="s">
        <v>126</v>
      </c>
      <c r="U51" s="9" t="s">
        <v>123</v>
      </c>
      <c r="V51" s="9" t="s">
        <v>128</v>
      </c>
      <c r="W51" s="9" t="s">
        <v>132</v>
      </c>
      <c r="X51" s="9" t="s">
        <v>109</v>
      </c>
      <c r="Y51" s="9" t="s">
        <v>123</v>
      </c>
      <c r="Z51" s="9" t="s">
        <v>124</v>
      </c>
      <c r="AA51" s="9" t="s">
        <v>126</v>
      </c>
      <c r="AB51" s="9" t="s">
        <v>130</v>
      </c>
      <c r="AC51" s="9" t="s">
        <v>131</v>
      </c>
      <c r="AD51" s="9" t="s">
        <v>123</v>
      </c>
      <c r="AE51" s="9" t="s">
        <v>137</v>
      </c>
      <c r="AF51" s="9" t="s">
        <v>123</v>
      </c>
      <c r="AG51" s="9" t="s">
        <v>124</v>
      </c>
      <c r="AJ51" s="3">
        <f t="shared" si="66"/>
        <v>22</v>
      </c>
      <c r="AK51" s="3">
        <f t="shared" si="67"/>
        <v>12</v>
      </c>
      <c r="AL51" s="3">
        <f t="shared" si="68"/>
        <v>19</v>
      </c>
      <c r="AM51" s="3">
        <f t="shared" si="69"/>
        <v>22</v>
      </c>
      <c r="AN51" s="3">
        <f t="shared" si="70"/>
        <v>13</v>
      </c>
      <c r="AO51" s="3">
        <f t="shared" si="71"/>
        <v>3</v>
      </c>
      <c r="AP51" s="3">
        <f t="shared" si="72"/>
        <v>8</v>
      </c>
      <c r="AQ51" s="3">
        <f t="shared" si="73"/>
        <v>19</v>
      </c>
      <c r="AR51" s="3">
        <f t="shared" si="74"/>
        <v>4</v>
      </c>
      <c r="AS51" s="3">
        <f t="shared" si="75"/>
        <v>4</v>
      </c>
      <c r="AT51" s="3">
        <f t="shared" si="76"/>
        <v>13</v>
      </c>
      <c r="AU51" s="3">
        <f t="shared" si="77"/>
        <v>17</v>
      </c>
      <c r="AV51" s="3">
        <f t="shared" si="78"/>
        <v>0</v>
      </c>
      <c r="AW51" s="3">
        <f t="shared" si="79"/>
        <v>7</v>
      </c>
      <c r="AX51" s="3">
        <f t="shared" si="80"/>
        <v>2</v>
      </c>
      <c r="AY51" s="3">
        <f t="shared" si="81"/>
        <v>19</v>
      </c>
      <c r="AZ51" s="3">
        <f t="shared" si="82"/>
        <v>4</v>
      </c>
      <c r="BA51" s="3">
        <f t="shared" si="83"/>
        <v>13</v>
      </c>
      <c r="BB51" s="3">
        <f t="shared" si="84"/>
        <v>4</v>
      </c>
      <c r="BC51" s="3">
        <f t="shared" si="85"/>
        <v>20</v>
      </c>
      <c r="BD51" s="3">
        <f t="shared" si="86"/>
        <v>3</v>
      </c>
      <c r="BE51" s="3">
        <f t="shared" si="87"/>
        <v>17</v>
      </c>
      <c r="BF51" s="3">
        <f t="shared" si="88"/>
        <v>4</v>
      </c>
      <c r="BG51" s="3">
        <f t="shared" si="89"/>
        <v>19</v>
      </c>
      <c r="BH51" s="3">
        <f t="shared" si="90"/>
        <v>13</v>
      </c>
      <c r="BI51" s="3">
        <f t="shared" si="91"/>
        <v>7</v>
      </c>
      <c r="BJ51" s="3">
        <f t="shared" si="92"/>
        <v>0</v>
      </c>
      <c r="BK51" s="3">
        <f t="shared" si="93"/>
        <v>4</v>
      </c>
      <c r="BL51" s="3">
        <f t="shared" si="94"/>
        <v>14</v>
      </c>
      <c r="BM51" s="3">
        <f t="shared" si="95"/>
        <v>4</v>
      </c>
      <c r="BN51" s="3">
        <f t="shared" si="96"/>
        <v>19</v>
      </c>
      <c r="BO51" s="7">
        <f t="shared" si="97"/>
        <v>10.612903225806452</v>
      </c>
    </row>
    <row r="52" spans="1:67" ht="22">
      <c r="A52" s="1">
        <v>5</v>
      </c>
      <c r="B52" s="3"/>
      <c r="C52" s="9" t="s">
        <v>138</v>
      </c>
      <c r="D52" s="9" t="s">
        <v>137</v>
      </c>
      <c r="E52" s="9" t="s">
        <v>129</v>
      </c>
      <c r="F52" s="9" t="s">
        <v>127</v>
      </c>
      <c r="G52" s="9" t="s">
        <v>123</v>
      </c>
      <c r="H52" s="9" t="s">
        <v>132</v>
      </c>
      <c r="I52" s="9" t="s">
        <v>124</v>
      </c>
      <c r="J52" s="9" t="s">
        <v>133</v>
      </c>
      <c r="K52" s="9" t="s">
        <v>125</v>
      </c>
      <c r="L52" s="9" t="s">
        <v>123</v>
      </c>
      <c r="M52" s="9" t="s">
        <v>126</v>
      </c>
      <c r="N52" s="9" t="s">
        <v>130</v>
      </c>
      <c r="O52" s="9" t="s">
        <v>131</v>
      </c>
      <c r="P52" s="9" t="s">
        <v>123</v>
      </c>
      <c r="Q52" s="9" t="s">
        <v>133</v>
      </c>
      <c r="R52" s="9" t="s">
        <v>137</v>
      </c>
      <c r="S52" s="9" t="s">
        <v>105</v>
      </c>
      <c r="T52" s="9" t="s">
        <v>124</v>
      </c>
      <c r="U52" s="9" t="s">
        <v>123</v>
      </c>
      <c r="V52" s="9" t="s">
        <v>105</v>
      </c>
      <c r="W52" s="9" t="s">
        <v>139</v>
      </c>
      <c r="X52" s="9" t="s">
        <v>130</v>
      </c>
      <c r="Y52" s="9" t="s">
        <v>123</v>
      </c>
      <c r="Z52" s="9" t="s">
        <v>123</v>
      </c>
      <c r="AA52" s="9" t="s">
        <v>126</v>
      </c>
      <c r="AB52" s="9" t="s">
        <v>136</v>
      </c>
      <c r="AC52" s="9" t="s">
        <v>124</v>
      </c>
      <c r="AD52" s="9" t="s">
        <v>131</v>
      </c>
      <c r="AE52" s="9" t="s">
        <v>105</v>
      </c>
      <c r="AF52" s="9" t="s">
        <v>136</v>
      </c>
      <c r="AG52" s="9" t="s">
        <v>109</v>
      </c>
      <c r="AJ52" s="3">
        <f t="shared" si="66"/>
        <v>5</v>
      </c>
      <c r="AK52" s="3">
        <f t="shared" si="67"/>
        <v>14</v>
      </c>
      <c r="AL52" s="3">
        <f t="shared" si="68"/>
        <v>11</v>
      </c>
      <c r="AM52" s="3">
        <f t="shared" si="69"/>
        <v>18</v>
      </c>
      <c r="AN52" s="3">
        <f t="shared" si="70"/>
        <v>4</v>
      </c>
      <c r="AO52" s="3">
        <f t="shared" si="71"/>
        <v>3</v>
      </c>
      <c r="AP52" s="3">
        <f t="shared" si="72"/>
        <v>19</v>
      </c>
      <c r="AQ52" s="3">
        <f t="shared" si="73"/>
        <v>8</v>
      </c>
      <c r="AR52" s="3">
        <f t="shared" si="74"/>
        <v>22</v>
      </c>
      <c r="AS52" s="3">
        <f t="shared" si="75"/>
        <v>4</v>
      </c>
      <c r="AT52" s="3">
        <f t="shared" si="76"/>
        <v>13</v>
      </c>
      <c r="AU52" s="3">
        <f t="shared" si="77"/>
        <v>7</v>
      </c>
      <c r="AV52" s="3">
        <f t="shared" si="78"/>
        <v>0</v>
      </c>
      <c r="AW52" s="3">
        <f t="shared" si="79"/>
        <v>4</v>
      </c>
      <c r="AX52" s="3">
        <f t="shared" si="80"/>
        <v>8</v>
      </c>
      <c r="AY52" s="3">
        <f t="shared" si="81"/>
        <v>14</v>
      </c>
      <c r="AZ52" s="3">
        <f t="shared" si="82"/>
        <v>24</v>
      </c>
      <c r="BA52" s="3">
        <f t="shared" si="83"/>
        <v>19</v>
      </c>
      <c r="BB52" s="3">
        <f t="shared" si="84"/>
        <v>4</v>
      </c>
      <c r="BC52" s="3">
        <f t="shared" si="85"/>
        <v>24</v>
      </c>
      <c r="BD52" s="3">
        <f t="shared" si="86"/>
        <v>16</v>
      </c>
      <c r="BE52" s="3">
        <f t="shared" si="87"/>
        <v>7</v>
      </c>
      <c r="BF52" s="3">
        <f t="shared" si="88"/>
        <v>4</v>
      </c>
      <c r="BG52" s="3">
        <f t="shared" si="89"/>
        <v>4</v>
      </c>
      <c r="BH52" s="3">
        <f t="shared" si="90"/>
        <v>13</v>
      </c>
      <c r="BI52" s="3">
        <f t="shared" si="91"/>
        <v>2</v>
      </c>
      <c r="BJ52" s="3">
        <f t="shared" si="92"/>
        <v>19</v>
      </c>
      <c r="BK52" s="3">
        <f t="shared" si="93"/>
        <v>0</v>
      </c>
      <c r="BL52" s="3">
        <f t="shared" si="94"/>
        <v>24</v>
      </c>
      <c r="BM52" s="3">
        <f t="shared" si="95"/>
        <v>2</v>
      </c>
      <c r="BN52" s="3">
        <f t="shared" si="96"/>
        <v>17</v>
      </c>
      <c r="BO52" s="7">
        <f t="shared" si="97"/>
        <v>10.741935483870968</v>
      </c>
    </row>
    <row r="53" spans="1:67" ht="22">
      <c r="A53" s="1">
        <v>6</v>
      </c>
      <c r="B53" s="3"/>
      <c r="C53" s="9" t="s">
        <v>123</v>
      </c>
      <c r="D53" s="9" t="s">
        <v>133</v>
      </c>
      <c r="E53" s="9" t="s">
        <v>138</v>
      </c>
      <c r="F53" s="9" t="s">
        <v>124</v>
      </c>
      <c r="G53" s="9" t="s">
        <v>122</v>
      </c>
      <c r="H53" s="9" t="s">
        <v>109</v>
      </c>
      <c r="I53" s="9" t="s">
        <v>127</v>
      </c>
      <c r="J53" s="9" t="s">
        <v>107</v>
      </c>
      <c r="K53" s="9" t="s">
        <v>131</v>
      </c>
      <c r="L53" s="9" t="s">
        <v>110</v>
      </c>
      <c r="M53" s="9" t="s">
        <v>130</v>
      </c>
      <c r="N53" s="9" t="s">
        <v>130</v>
      </c>
      <c r="O53" s="9" t="s">
        <v>123</v>
      </c>
      <c r="P53" s="9" t="s">
        <v>125</v>
      </c>
      <c r="Q53" s="9" t="s">
        <v>123</v>
      </c>
      <c r="R53" s="9" t="s">
        <v>126</v>
      </c>
      <c r="S53" s="9" t="s">
        <v>131</v>
      </c>
      <c r="T53" s="9" t="s">
        <v>124</v>
      </c>
      <c r="U53" s="9" t="s">
        <v>131</v>
      </c>
      <c r="V53" s="9" t="s">
        <v>110</v>
      </c>
      <c r="W53" s="9" t="s">
        <v>131</v>
      </c>
      <c r="X53" s="9" t="s">
        <v>124</v>
      </c>
      <c r="Y53" s="9" t="s">
        <v>123</v>
      </c>
      <c r="Z53" s="9" t="s">
        <v>134</v>
      </c>
      <c r="AA53" s="9" t="s">
        <v>105</v>
      </c>
      <c r="AB53" s="9" t="s">
        <v>123</v>
      </c>
      <c r="AC53" s="9" t="s">
        <v>123</v>
      </c>
      <c r="AD53" s="9" t="s">
        <v>109</v>
      </c>
      <c r="AE53" s="9" t="s">
        <v>129</v>
      </c>
      <c r="AF53" s="9" t="s">
        <v>122</v>
      </c>
      <c r="AG53" s="9" t="s">
        <v>124</v>
      </c>
      <c r="AJ53" s="3">
        <f t="shared" si="66"/>
        <v>4</v>
      </c>
      <c r="AK53" s="3">
        <f t="shared" si="67"/>
        <v>8</v>
      </c>
      <c r="AL53" s="3">
        <f t="shared" si="68"/>
        <v>5</v>
      </c>
      <c r="AM53" s="3">
        <f t="shared" si="69"/>
        <v>19</v>
      </c>
      <c r="AN53" s="3">
        <f t="shared" si="70"/>
        <v>1</v>
      </c>
      <c r="AO53" s="3">
        <f t="shared" si="71"/>
        <v>17</v>
      </c>
      <c r="AP53" s="3">
        <f t="shared" si="72"/>
        <v>18</v>
      </c>
      <c r="AQ53" s="3">
        <f t="shared" si="73"/>
        <v>15</v>
      </c>
      <c r="AR53" s="3">
        <f t="shared" si="74"/>
        <v>0</v>
      </c>
      <c r="AS53" s="3">
        <f t="shared" si="75"/>
        <v>12</v>
      </c>
      <c r="AT53" s="3">
        <f t="shared" si="76"/>
        <v>7</v>
      </c>
      <c r="AU53" s="3">
        <f t="shared" si="77"/>
        <v>7</v>
      </c>
      <c r="AV53" s="3">
        <f t="shared" si="78"/>
        <v>4</v>
      </c>
      <c r="AW53" s="3">
        <f t="shared" si="79"/>
        <v>22</v>
      </c>
      <c r="AX53" s="3">
        <f t="shared" si="80"/>
        <v>4</v>
      </c>
      <c r="AY53" s="3">
        <f t="shared" si="81"/>
        <v>13</v>
      </c>
      <c r="AZ53" s="3">
        <f t="shared" si="82"/>
        <v>0</v>
      </c>
      <c r="BA53" s="3">
        <f t="shared" si="83"/>
        <v>19</v>
      </c>
      <c r="BB53" s="3">
        <f t="shared" si="84"/>
        <v>0</v>
      </c>
      <c r="BC53" s="3">
        <f t="shared" si="85"/>
        <v>12</v>
      </c>
      <c r="BD53" s="3">
        <f t="shared" si="86"/>
        <v>0</v>
      </c>
      <c r="BE53" s="3">
        <f t="shared" si="87"/>
        <v>19</v>
      </c>
      <c r="BF53" s="3">
        <f t="shared" si="88"/>
        <v>4</v>
      </c>
      <c r="BG53" s="3">
        <f t="shared" si="89"/>
        <v>6</v>
      </c>
      <c r="BH53" s="3">
        <f t="shared" si="90"/>
        <v>24</v>
      </c>
      <c r="BI53" s="3">
        <f t="shared" si="91"/>
        <v>4</v>
      </c>
      <c r="BJ53" s="3">
        <f t="shared" si="92"/>
        <v>4</v>
      </c>
      <c r="BK53" s="3">
        <f t="shared" si="93"/>
        <v>17</v>
      </c>
      <c r="BL53" s="3">
        <f t="shared" si="94"/>
        <v>11</v>
      </c>
      <c r="BM53" s="3">
        <f t="shared" si="95"/>
        <v>1</v>
      </c>
      <c r="BN53" s="3">
        <f t="shared" si="96"/>
        <v>19</v>
      </c>
      <c r="BO53" s="7">
        <f t="shared" si="97"/>
        <v>9.5483870967741939</v>
      </c>
    </row>
    <row r="54" spans="1:67" ht="22">
      <c r="A54" s="1">
        <v>7</v>
      </c>
      <c r="B54" s="3"/>
      <c r="C54" s="9" t="s">
        <v>123</v>
      </c>
      <c r="D54" s="9" t="s">
        <v>123</v>
      </c>
      <c r="E54" s="9" t="s">
        <v>138</v>
      </c>
      <c r="F54" s="9" t="s">
        <v>137</v>
      </c>
      <c r="G54" s="9" t="s">
        <v>131</v>
      </c>
      <c r="H54" s="9" t="s">
        <v>127</v>
      </c>
      <c r="I54" s="9" t="s">
        <v>138</v>
      </c>
      <c r="J54" s="9" t="s">
        <v>133</v>
      </c>
      <c r="K54" s="9" t="s">
        <v>137</v>
      </c>
      <c r="L54" s="9" t="s">
        <v>124</v>
      </c>
      <c r="M54" s="9" t="s">
        <v>128</v>
      </c>
      <c r="N54" s="9" t="s">
        <v>123</v>
      </c>
      <c r="O54" s="9" t="s">
        <v>124</v>
      </c>
      <c r="P54" s="9" t="s">
        <v>128</v>
      </c>
      <c r="Q54" s="9" t="s">
        <v>131</v>
      </c>
      <c r="R54" s="9" t="s">
        <v>123</v>
      </c>
      <c r="S54" s="9" t="s">
        <v>137</v>
      </c>
      <c r="T54" s="9" t="s">
        <v>124</v>
      </c>
      <c r="U54" s="9" t="s">
        <v>137</v>
      </c>
      <c r="V54" s="9" t="s">
        <v>131</v>
      </c>
      <c r="W54" s="9" t="s">
        <v>109</v>
      </c>
      <c r="X54" s="9" t="s">
        <v>110</v>
      </c>
      <c r="Y54" s="9" t="s">
        <v>131</v>
      </c>
      <c r="Z54" s="9" t="s">
        <v>123</v>
      </c>
      <c r="AA54" s="9" t="s">
        <v>123</v>
      </c>
      <c r="AB54" s="9" t="s">
        <v>109</v>
      </c>
      <c r="AC54" s="9" t="s">
        <v>124</v>
      </c>
      <c r="AD54" s="9" t="s">
        <v>126</v>
      </c>
      <c r="AE54" s="9" t="s">
        <v>109</v>
      </c>
      <c r="AF54" s="9" t="s">
        <v>124</v>
      </c>
      <c r="AG54" s="9" t="s">
        <v>133</v>
      </c>
      <c r="AJ54" s="3">
        <f t="shared" si="66"/>
        <v>4</v>
      </c>
      <c r="AK54" s="3">
        <f t="shared" si="67"/>
        <v>4</v>
      </c>
      <c r="AL54" s="3">
        <f t="shared" si="68"/>
        <v>5</v>
      </c>
      <c r="AM54" s="3">
        <f t="shared" si="69"/>
        <v>14</v>
      </c>
      <c r="AN54" s="3">
        <f t="shared" si="70"/>
        <v>0</v>
      </c>
      <c r="AO54" s="3">
        <f t="shared" si="71"/>
        <v>18</v>
      </c>
      <c r="AP54" s="3">
        <f t="shared" si="72"/>
        <v>5</v>
      </c>
      <c r="AQ54" s="3">
        <f t="shared" si="73"/>
        <v>8</v>
      </c>
      <c r="AR54" s="3">
        <f t="shared" si="74"/>
        <v>14</v>
      </c>
      <c r="AS54" s="3">
        <f t="shared" si="75"/>
        <v>19</v>
      </c>
      <c r="AT54" s="3">
        <f t="shared" si="76"/>
        <v>20</v>
      </c>
      <c r="AU54" s="3">
        <f t="shared" si="77"/>
        <v>4</v>
      </c>
      <c r="AV54" s="3">
        <f t="shared" si="78"/>
        <v>19</v>
      </c>
      <c r="AW54" s="3">
        <f t="shared" si="79"/>
        <v>20</v>
      </c>
      <c r="AX54" s="3">
        <f t="shared" si="80"/>
        <v>0</v>
      </c>
      <c r="AY54" s="3">
        <f t="shared" si="81"/>
        <v>4</v>
      </c>
      <c r="AZ54" s="3">
        <f t="shared" si="82"/>
        <v>14</v>
      </c>
      <c r="BA54" s="3">
        <f t="shared" si="83"/>
        <v>19</v>
      </c>
      <c r="BB54" s="3">
        <f t="shared" si="84"/>
        <v>14</v>
      </c>
      <c r="BC54" s="3">
        <f t="shared" si="85"/>
        <v>0</v>
      </c>
      <c r="BD54" s="3">
        <f t="shared" si="86"/>
        <v>17</v>
      </c>
      <c r="BE54" s="3">
        <f t="shared" si="87"/>
        <v>12</v>
      </c>
      <c r="BF54" s="3">
        <f t="shared" si="88"/>
        <v>0</v>
      </c>
      <c r="BG54" s="3">
        <f t="shared" si="89"/>
        <v>4</v>
      </c>
      <c r="BH54" s="3">
        <f t="shared" si="90"/>
        <v>4</v>
      </c>
      <c r="BI54" s="3">
        <f t="shared" si="91"/>
        <v>17</v>
      </c>
      <c r="BJ54" s="3">
        <f t="shared" si="92"/>
        <v>19</v>
      </c>
      <c r="BK54" s="3">
        <f t="shared" si="93"/>
        <v>13</v>
      </c>
      <c r="BL54" s="3">
        <f t="shared" si="94"/>
        <v>17</v>
      </c>
      <c r="BM54" s="3">
        <f t="shared" si="95"/>
        <v>19</v>
      </c>
      <c r="BN54" s="3">
        <f t="shared" si="96"/>
        <v>8</v>
      </c>
      <c r="BO54" s="7">
        <f t="shared" si="97"/>
        <v>10.806451612903226</v>
      </c>
    </row>
    <row r="55" spans="1:67" ht="22">
      <c r="A55" s="1">
        <v>8</v>
      </c>
      <c r="B55" s="3"/>
      <c r="C55" s="9" t="s">
        <v>122</v>
      </c>
      <c r="D55" s="9" t="s">
        <v>127</v>
      </c>
      <c r="E55" s="9" t="s">
        <v>123</v>
      </c>
      <c r="F55" s="9" t="s">
        <v>132</v>
      </c>
      <c r="G55" s="9" t="s">
        <v>132</v>
      </c>
      <c r="H55" s="9" t="s">
        <v>126</v>
      </c>
      <c r="I55" s="9" t="s">
        <v>133</v>
      </c>
      <c r="J55" s="9" t="s">
        <v>131</v>
      </c>
      <c r="K55" s="9" t="s">
        <v>131</v>
      </c>
      <c r="L55" s="9" t="s">
        <v>130</v>
      </c>
      <c r="M55" s="9" t="s">
        <v>124</v>
      </c>
      <c r="N55" s="9" t="s">
        <v>124</v>
      </c>
      <c r="O55" s="9" t="s">
        <v>110</v>
      </c>
      <c r="P55" s="9" t="s">
        <v>127</v>
      </c>
      <c r="Q55" s="9" t="s">
        <v>124</v>
      </c>
      <c r="R55" s="9" t="s">
        <v>123</v>
      </c>
      <c r="S55" s="9" t="s">
        <v>125</v>
      </c>
      <c r="T55" s="9" t="s">
        <v>107</v>
      </c>
      <c r="U55" s="9" t="s">
        <v>133</v>
      </c>
      <c r="V55" s="9" t="s">
        <v>123</v>
      </c>
      <c r="W55" s="9" t="s">
        <v>109</v>
      </c>
      <c r="X55" s="9" t="s">
        <v>137</v>
      </c>
      <c r="Y55" s="9" t="s">
        <v>131</v>
      </c>
      <c r="Z55" s="9" t="s">
        <v>134</v>
      </c>
      <c r="AA55" s="9" t="s">
        <v>109</v>
      </c>
      <c r="AB55" s="9" t="s">
        <v>133</v>
      </c>
      <c r="AC55" s="9" t="s">
        <v>123</v>
      </c>
      <c r="AD55" s="9" t="s">
        <v>125</v>
      </c>
      <c r="AE55" s="9" t="s">
        <v>138</v>
      </c>
      <c r="AF55" s="9" t="s">
        <v>123</v>
      </c>
      <c r="AG55" s="9" t="s">
        <v>122</v>
      </c>
      <c r="AJ55" s="3">
        <f t="shared" si="66"/>
        <v>1</v>
      </c>
      <c r="AK55" s="3">
        <f t="shared" si="67"/>
        <v>18</v>
      </c>
      <c r="AL55" s="3">
        <f t="shared" si="68"/>
        <v>4</v>
      </c>
      <c r="AM55" s="3">
        <f t="shared" si="69"/>
        <v>3</v>
      </c>
      <c r="AN55" s="3">
        <f t="shared" si="70"/>
        <v>3</v>
      </c>
      <c r="AO55" s="3">
        <f t="shared" si="71"/>
        <v>13</v>
      </c>
      <c r="AP55" s="3">
        <f t="shared" si="72"/>
        <v>8</v>
      </c>
      <c r="AQ55" s="3">
        <f t="shared" si="73"/>
        <v>0</v>
      </c>
      <c r="AR55" s="3">
        <f t="shared" si="74"/>
        <v>0</v>
      </c>
      <c r="AS55" s="3">
        <f t="shared" si="75"/>
        <v>7</v>
      </c>
      <c r="AT55" s="3">
        <f t="shared" si="76"/>
        <v>19</v>
      </c>
      <c r="AU55" s="3">
        <f t="shared" si="77"/>
        <v>19</v>
      </c>
      <c r="AV55" s="3">
        <f t="shared" si="78"/>
        <v>12</v>
      </c>
      <c r="AW55" s="3">
        <f t="shared" si="79"/>
        <v>18</v>
      </c>
      <c r="AX55" s="3">
        <f t="shared" si="80"/>
        <v>19</v>
      </c>
      <c r="AY55" s="3">
        <f t="shared" si="81"/>
        <v>4</v>
      </c>
      <c r="AZ55" s="3">
        <f t="shared" si="82"/>
        <v>22</v>
      </c>
      <c r="BA55" s="3">
        <f t="shared" si="83"/>
        <v>15</v>
      </c>
      <c r="BB55" s="3">
        <f t="shared" si="84"/>
        <v>8</v>
      </c>
      <c r="BC55" s="3">
        <f t="shared" si="85"/>
        <v>4</v>
      </c>
      <c r="BD55" s="3">
        <f t="shared" si="86"/>
        <v>17</v>
      </c>
      <c r="BE55" s="3">
        <f t="shared" si="87"/>
        <v>14</v>
      </c>
      <c r="BF55" s="3">
        <f t="shared" si="88"/>
        <v>0</v>
      </c>
      <c r="BG55" s="3">
        <f t="shared" si="89"/>
        <v>6</v>
      </c>
      <c r="BH55" s="3">
        <f t="shared" si="90"/>
        <v>17</v>
      </c>
      <c r="BI55" s="3">
        <f t="shared" si="91"/>
        <v>8</v>
      </c>
      <c r="BJ55" s="3">
        <f t="shared" si="92"/>
        <v>4</v>
      </c>
      <c r="BK55" s="3">
        <f t="shared" si="93"/>
        <v>22</v>
      </c>
      <c r="BL55" s="3">
        <f t="shared" si="94"/>
        <v>5</v>
      </c>
      <c r="BM55" s="3">
        <f t="shared" si="95"/>
        <v>4</v>
      </c>
      <c r="BN55" s="3">
        <f t="shared" si="96"/>
        <v>1</v>
      </c>
      <c r="BO55" s="7">
        <f t="shared" si="97"/>
        <v>9.5161290322580641</v>
      </c>
    </row>
    <row r="56" spans="1:67" ht="22">
      <c r="A56" s="1">
        <v>9</v>
      </c>
      <c r="B56" s="3"/>
      <c r="C56" s="9" t="s">
        <v>131</v>
      </c>
      <c r="D56" s="9" t="s">
        <v>123</v>
      </c>
      <c r="E56" s="9" t="s">
        <v>136</v>
      </c>
      <c r="F56" s="9" t="s">
        <v>124</v>
      </c>
      <c r="G56" s="9" t="s">
        <v>132</v>
      </c>
      <c r="H56" s="9" t="s">
        <v>132</v>
      </c>
      <c r="I56" s="9" t="s">
        <v>130</v>
      </c>
      <c r="J56" s="9" t="s">
        <v>133</v>
      </c>
      <c r="K56" s="9" t="s">
        <v>129</v>
      </c>
      <c r="L56" s="9" t="s">
        <v>136</v>
      </c>
      <c r="M56" s="9" t="s">
        <v>123</v>
      </c>
      <c r="N56" s="9" t="s">
        <v>133</v>
      </c>
      <c r="O56" s="9" t="s">
        <v>130</v>
      </c>
      <c r="P56" s="9" t="s">
        <v>127</v>
      </c>
      <c r="Q56" s="9" t="s">
        <v>133</v>
      </c>
      <c r="R56" s="9" t="s">
        <v>124</v>
      </c>
      <c r="S56" s="9" t="s">
        <v>123</v>
      </c>
      <c r="T56" s="9" t="s">
        <v>134</v>
      </c>
      <c r="U56" s="9" t="s">
        <v>137</v>
      </c>
      <c r="V56" s="9" t="s">
        <v>123</v>
      </c>
      <c r="W56" s="9" t="s">
        <v>131</v>
      </c>
      <c r="X56" s="9" t="s">
        <v>137</v>
      </c>
      <c r="Y56" s="9" t="s">
        <v>127</v>
      </c>
      <c r="Z56" s="9" t="s">
        <v>132</v>
      </c>
      <c r="AA56" s="9" t="s">
        <v>132</v>
      </c>
      <c r="AB56" s="9" t="s">
        <v>109</v>
      </c>
      <c r="AC56" s="9" t="s">
        <v>105</v>
      </c>
      <c r="AD56" s="9" t="s">
        <v>132</v>
      </c>
      <c r="AE56" s="9" t="s">
        <v>129</v>
      </c>
      <c r="AF56" s="9" t="s">
        <v>137</v>
      </c>
      <c r="AG56" s="9" t="s">
        <v>109</v>
      </c>
      <c r="AJ56" s="3">
        <f t="shared" si="66"/>
        <v>0</v>
      </c>
      <c r="AK56" s="3">
        <f t="shared" si="67"/>
        <v>4</v>
      </c>
      <c r="AL56" s="3">
        <f t="shared" si="68"/>
        <v>2</v>
      </c>
      <c r="AM56" s="3">
        <f t="shared" si="69"/>
        <v>19</v>
      </c>
      <c r="AN56" s="3">
        <f t="shared" si="70"/>
        <v>3</v>
      </c>
      <c r="AO56" s="3">
        <f t="shared" si="71"/>
        <v>3</v>
      </c>
      <c r="AP56" s="3">
        <f t="shared" si="72"/>
        <v>7</v>
      </c>
      <c r="AQ56" s="3">
        <f t="shared" si="73"/>
        <v>8</v>
      </c>
      <c r="AR56" s="3">
        <f t="shared" si="74"/>
        <v>11</v>
      </c>
      <c r="AS56" s="3">
        <f t="shared" si="75"/>
        <v>2</v>
      </c>
      <c r="AT56" s="3">
        <f t="shared" si="76"/>
        <v>4</v>
      </c>
      <c r="AU56" s="3">
        <f t="shared" si="77"/>
        <v>8</v>
      </c>
      <c r="AV56" s="3">
        <f t="shared" si="78"/>
        <v>7</v>
      </c>
      <c r="AW56" s="3">
        <f t="shared" si="79"/>
        <v>18</v>
      </c>
      <c r="AX56" s="3">
        <f t="shared" si="80"/>
        <v>8</v>
      </c>
      <c r="AY56" s="3">
        <f t="shared" si="81"/>
        <v>19</v>
      </c>
      <c r="AZ56" s="3">
        <f t="shared" si="82"/>
        <v>4</v>
      </c>
      <c r="BA56" s="3">
        <f t="shared" si="83"/>
        <v>6</v>
      </c>
      <c r="BB56" s="3">
        <f t="shared" si="84"/>
        <v>14</v>
      </c>
      <c r="BC56" s="3">
        <f t="shared" si="85"/>
        <v>4</v>
      </c>
      <c r="BD56" s="3">
        <f t="shared" si="86"/>
        <v>0</v>
      </c>
      <c r="BE56" s="3">
        <f t="shared" si="87"/>
        <v>14</v>
      </c>
      <c r="BF56" s="3">
        <f t="shared" si="88"/>
        <v>18</v>
      </c>
      <c r="BG56" s="3">
        <f t="shared" si="89"/>
        <v>3</v>
      </c>
      <c r="BH56" s="3">
        <f t="shared" si="90"/>
        <v>3</v>
      </c>
      <c r="BI56" s="3">
        <f t="shared" si="91"/>
        <v>17</v>
      </c>
      <c r="BJ56" s="3">
        <f t="shared" si="92"/>
        <v>24</v>
      </c>
      <c r="BK56" s="3">
        <f t="shared" si="93"/>
        <v>3</v>
      </c>
      <c r="BL56" s="3">
        <f t="shared" si="94"/>
        <v>11</v>
      </c>
      <c r="BM56" s="3">
        <f t="shared" si="95"/>
        <v>14</v>
      </c>
      <c r="BN56" s="3">
        <f t="shared" si="96"/>
        <v>17</v>
      </c>
      <c r="BO56" s="7">
        <f t="shared" si="97"/>
        <v>8.870967741935484</v>
      </c>
    </row>
    <row r="57" spans="1:67" ht="22">
      <c r="A57" s="1">
        <v>10</v>
      </c>
      <c r="B57" s="3"/>
      <c r="C57" s="9" t="s">
        <v>133</v>
      </c>
      <c r="D57" s="9" t="s">
        <v>124</v>
      </c>
      <c r="E57" s="9" t="s">
        <v>109</v>
      </c>
      <c r="F57" s="9" t="s">
        <v>112</v>
      </c>
      <c r="G57" s="9" t="s">
        <v>129</v>
      </c>
      <c r="H57" s="9" t="s">
        <v>110</v>
      </c>
      <c r="I57" s="9" t="s">
        <v>129</v>
      </c>
      <c r="J57" s="9" t="s">
        <v>123</v>
      </c>
      <c r="K57" s="9" t="s">
        <v>130</v>
      </c>
      <c r="L57" s="9" t="s">
        <v>131</v>
      </c>
      <c r="M57" s="9" t="s">
        <v>134</v>
      </c>
      <c r="N57" s="9" t="s">
        <v>124</v>
      </c>
      <c r="O57" s="9" t="s">
        <v>132</v>
      </c>
      <c r="P57" s="9" t="s">
        <v>130</v>
      </c>
      <c r="Q57" s="9" t="s">
        <v>131</v>
      </c>
      <c r="R57" s="9" t="s">
        <v>109</v>
      </c>
      <c r="S57" s="9" t="s">
        <v>132</v>
      </c>
      <c r="T57" s="9" t="s">
        <v>107</v>
      </c>
      <c r="U57" s="9" t="s">
        <v>126</v>
      </c>
      <c r="V57" s="9" t="s">
        <v>123</v>
      </c>
      <c r="W57" s="9" t="s">
        <v>137</v>
      </c>
      <c r="X57" s="9" t="s">
        <v>130</v>
      </c>
      <c r="Y57" s="9" t="s">
        <v>110</v>
      </c>
      <c r="Z57" s="9" t="s">
        <v>134</v>
      </c>
      <c r="AA57" s="9" t="s">
        <v>138</v>
      </c>
      <c r="AB57" s="9" t="s">
        <v>110</v>
      </c>
      <c r="AC57" s="9" t="s">
        <v>138</v>
      </c>
      <c r="AD57" s="9" t="s">
        <v>123</v>
      </c>
      <c r="AE57" s="9" t="s">
        <v>128</v>
      </c>
      <c r="AF57" s="9" t="s">
        <v>130</v>
      </c>
      <c r="AG57" s="9" t="s">
        <v>123</v>
      </c>
      <c r="AJ57" s="3">
        <f t="shared" si="66"/>
        <v>8</v>
      </c>
      <c r="AK57" s="3">
        <f t="shared" si="67"/>
        <v>19</v>
      </c>
      <c r="AL57" s="3">
        <f t="shared" si="68"/>
        <v>17</v>
      </c>
      <c r="AM57" s="3">
        <f t="shared" si="69"/>
        <v>10</v>
      </c>
      <c r="AN57" s="3">
        <f t="shared" si="70"/>
        <v>11</v>
      </c>
      <c r="AO57" s="3">
        <f t="shared" si="71"/>
        <v>12</v>
      </c>
      <c r="AP57" s="3">
        <f t="shared" si="72"/>
        <v>11</v>
      </c>
      <c r="AQ57" s="3">
        <f t="shared" si="73"/>
        <v>4</v>
      </c>
      <c r="AR57" s="3">
        <f t="shared" si="74"/>
        <v>7</v>
      </c>
      <c r="AS57" s="3">
        <f t="shared" si="75"/>
        <v>0</v>
      </c>
      <c r="AT57" s="3">
        <f t="shared" si="76"/>
        <v>6</v>
      </c>
      <c r="AU57" s="3">
        <f t="shared" si="77"/>
        <v>19</v>
      </c>
      <c r="AV57" s="3">
        <f t="shared" si="78"/>
        <v>3</v>
      </c>
      <c r="AW57" s="3">
        <f t="shared" si="79"/>
        <v>7</v>
      </c>
      <c r="AX57" s="3">
        <f t="shared" si="80"/>
        <v>0</v>
      </c>
      <c r="AY57" s="3">
        <f t="shared" si="81"/>
        <v>17</v>
      </c>
      <c r="AZ57" s="3">
        <f t="shared" si="82"/>
        <v>3</v>
      </c>
      <c r="BA57" s="3">
        <f t="shared" si="83"/>
        <v>15</v>
      </c>
      <c r="BB57" s="3">
        <f t="shared" si="84"/>
        <v>13</v>
      </c>
      <c r="BC57" s="3">
        <f t="shared" si="85"/>
        <v>4</v>
      </c>
      <c r="BD57" s="3">
        <f t="shared" si="86"/>
        <v>14</v>
      </c>
      <c r="BE57" s="3">
        <f t="shared" si="87"/>
        <v>7</v>
      </c>
      <c r="BF57" s="3">
        <f t="shared" si="88"/>
        <v>12</v>
      </c>
      <c r="BG57" s="3">
        <f t="shared" si="89"/>
        <v>6</v>
      </c>
      <c r="BH57" s="3">
        <f t="shared" si="90"/>
        <v>5</v>
      </c>
      <c r="BI57" s="3">
        <f t="shared" si="91"/>
        <v>12</v>
      </c>
      <c r="BJ57" s="3">
        <f t="shared" si="92"/>
        <v>5</v>
      </c>
      <c r="BK57" s="3">
        <f t="shared" si="93"/>
        <v>4</v>
      </c>
      <c r="BL57" s="3">
        <f t="shared" si="94"/>
        <v>20</v>
      </c>
      <c r="BM57" s="3">
        <f t="shared" si="95"/>
        <v>7</v>
      </c>
      <c r="BN57" s="3">
        <f t="shared" si="96"/>
        <v>4</v>
      </c>
      <c r="BO57" s="7">
        <f t="shared" si="97"/>
        <v>9.0967741935483879</v>
      </c>
    </row>
    <row r="58" spans="1:67" ht="22">
      <c r="A58" s="1">
        <v>11</v>
      </c>
      <c r="B58" s="3"/>
      <c r="C58" s="9" t="s">
        <v>123</v>
      </c>
      <c r="D58" s="9" t="s">
        <v>136</v>
      </c>
      <c r="E58" s="9" t="s">
        <v>132</v>
      </c>
      <c r="F58" s="9" t="s">
        <v>110</v>
      </c>
      <c r="G58" s="9" t="s">
        <v>109</v>
      </c>
      <c r="H58" s="9" t="s">
        <v>133</v>
      </c>
      <c r="I58" s="9" t="s">
        <v>107</v>
      </c>
      <c r="J58" s="9" t="s">
        <v>138</v>
      </c>
      <c r="K58" s="9" t="s">
        <v>123</v>
      </c>
      <c r="L58" s="9" t="s">
        <v>133</v>
      </c>
      <c r="M58" s="9" t="s">
        <v>110</v>
      </c>
      <c r="N58" s="9" t="s">
        <v>123</v>
      </c>
      <c r="O58" s="9" t="s">
        <v>130</v>
      </c>
      <c r="P58" s="9" t="s">
        <v>126</v>
      </c>
      <c r="Q58" s="9" t="s">
        <v>129</v>
      </c>
      <c r="R58" s="9" t="s">
        <v>127</v>
      </c>
      <c r="S58" s="9" t="s">
        <v>127</v>
      </c>
      <c r="T58" s="9" t="s">
        <v>124</v>
      </c>
      <c r="U58" s="9" t="s">
        <v>124</v>
      </c>
      <c r="V58" s="9" t="s">
        <v>109</v>
      </c>
      <c r="W58" s="9" t="s">
        <v>124</v>
      </c>
      <c r="X58" s="9" t="s">
        <v>106</v>
      </c>
      <c r="Y58" s="9" t="s">
        <v>132</v>
      </c>
      <c r="Z58" s="9" t="s">
        <v>137</v>
      </c>
      <c r="AA58" s="9" t="s">
        <v>130</v>
      </c>
      <c r="AB58" s="9" t="s">
        <v>125</v>
      </c>
      <c r="AC58" s="11" t="s">
        <v>57</v>
      </c>
      <c r="AD58" s="9" t="s">
        <v>140</v>
      </c>
      <c r="AE58" s="9" t="s">
        <v>27</v>
      </c>
      <c r="AF58" s="9" t="s">
        <v>58</v>
      </c>
      <c r="AG58" s="9" t="s">
        <v>28</v>
      </c>
      <c r="AJ58" s="3">
        <f t="shared" si="66"/>
        <v>4</v>
      </c>
      <c r="AK58" s="3">
        <f t="shared" si="67"/>
        <v>2</v>
      </c>
      <c r="AL58" s="3">
        <f t="shared" si="68"/>
        <v>3</v>
      </c>
      <c r="AM58" s="3">
        <f t="shared" si="69"/>
        <v>12</v>
      </c>
      <c r="AN58" s="3">
        <f t="shared" si="70"/>
        <v>17</v>
      </c>
      <c r="AO58" s="3">
        <f t="shared" si="71"/>
        <v>8</v>
      </c>
      <c r="AP58" s="3">
        <f t="shared" si="72"/>
        <v>15</v>
      </c>
      <c r="AQ58" s="3">
        <f t="shared" si="73"/>
        <v>5</v>
      </c>
      <c r="AR58" s="3">
        <f t="shared" si="74"/>
        <v>4</v>
      </c>
      <c r="AS58" s="3">
        <f t="shared" si="75"/>
        <v>8</v>
      </c>
      <c r="AT58" s="3">
        <f t="shared" si="76"/>
        <v>12</v>
      </c>
      <c r="AU58" s="3">
        <f t="shared" si="77"/>
        <v>4</v>
      </c>
      <c r="AV58" s="3">
        <f t="shared" si="78"/>
        <v>7</v>
      </c>
      <c r="AW58" s="3">
        <f t="shared" si="79"/>
        <v>13</v>
      </c>
      <c r="AX58" s="3">
        <f t="shared" si="80"/>
        <v>11</v>
      </c>
      <c r="AY58" s="3">
        <f t="shared" si="81"/>
        <v>18</v>
      </c>
      <c r="AZ58" s="3">
        <f t="shared" si="82"/>
        <v>18</v>
      </c>
      <c r="BA58" s="3">
        <f t="shared" si="83"/>
        <v>19</v>
      </c>
      <c r="BB58" s="3">
        <f t="shared" si="84"/>
        <v>19</v>
      </c>
      <c r="BC58" s="3">
        <f t="shared" si="85"/>
        <v>17</v>
      </c>
      <c r="BD58" s="3">
        <f t="shared" si="86"/>
        <v>19</v>
      </c>
      <c r="BE58" s="3">
        <f t="shared" si="87"/>
        <v>21</v>
      </c>
      <c r="BF58" s="3">
        <f t="shared" si="88"/>
        <v>3</v>
      </c>
      <c r="BG58" s="3">
        <f t="shared" si="89"/>
        <v>14</v>
      </c>
      <c r="BH58" s="3">
        <f t="shared" si="90"/>
        <v>7</v>
      </c>
      <c r="BI58" s="3">
        <f t="shared" si="91"/>
        <v>22</v>
      </c>
      <c r="BJ58" s="5" t="str">
        <f t="shared" si="92"/>
        <v/>
      </c>
      <c r="BK58" s="3">
        <f t="shared" si="93"/>
        <v>14</v>
      </c>
      <c r="BL58" s="3">
        <f t="shared" si="94"/>
        <v>1</v>
      </c>
      <c r="BM58" s="3">
        <f t="shared" si="95"/>
        <v>10</v>
      </c>
      <c r="BN58" s="3">
        <f t="shared" si="96"/>
        <v>17</v>
      </c>
      <c r="BO58" s="7">
        <f t="shared" si="97"/>
        <v>11.466666666666667</v>
      </c>
    </row>
    <row r="59" spans="1:67" ht="22">
      <c r="A59" s="1">
        <v>12</v>
      </c>
      <c r="B59" s="3"/>
      <c r="C59" s="9" t="s">
        <v>128</v>
      </c>
      <c r="D59" s="9" t="s">
        <v>137</v>
      </c>
      <c r="E59" s="9" t="s">
        <v>111</v>
      </c>
      <c r="F59" s="9" t="s">
        <v>137</v>
      </c>
      <c r="G59" s="9" t="s">
        <v>134</v>
      </c>
      <c r="H59" s="9" t="s">
        <v>130</v>
      </c>
      <c r="I59" s="9" t="s">
        <v>128</v>
      </c>
      <c r="J59" s="9" t="s">
        <v>129</v>
      </c>
      <c r="K59" s="9" t="s">
        <v>122</v>
      </c>
      <c r="L59" s="9" t="s">
        <v>127</v>
      </c>
      <c r="M59" s="9" t="s">
        <v>137</v>
      </c>
      <c r="N59" s="9" t="s">
        <v>129</v>
      </c>
      <c r="O59" s="9" t="s">
        <v>133</v>
      </c>
      <c r="P59" s="9" t="s">
        <v>138</v>
      </c>
      <c r="Q59" s="9" t="s">
        <v>122</v>
      </c>
      <c r="R59" s="9" t="s">
        <v>122</v>
      </c>
      <c r="S59" s="9" t="s">
        <v>125</v>
      </c>
      <c r="T59" s="9" t="s">
        <v>138</v>
      </c>
      <c r="U59" s="9" t="s">
        <v>129</v>
      </c>
      <c r="V59" s="9" t="s">
        <v>109</v>
      </c>
      <c r="W59" s="9" t="s">
        <v>106</v>
      </c>
      <c r="X59" s="9" t="s">
        <v>139</v>
      </c>
      <c r="Y59" s="9" t="s">
        <v>139</v>
      </c>
      <c r="Z59" s="9" t="s">
        <v>107</v>
      </c>
      <c r="AA59" s="9" t="s">
        <v>109</v>
      </c>
      <c r="AB59" s="9" t="s">
        <v>126</v>
      </c>
      <c r="AC59" s="9" t="s">
        <v>134</v>
      </c>
      <c r="AD59" s="9" t="s">
        <v>112</v>
      </c>
      <c r="AE59" s="9" t="s">
        <v>127</v>
      </c>
      <c r="AF59" s="9" t="s">
        <v>127</v>
      </c>
      <c r="AG59" s="9" t="s">
        <v>137</v>
      </c>
      <c r="AJ59" s="3">
        <f t="shared" si="66"/>
        <v>20</v>
      </c>
      <c r="AK59" s="3">
        <f t="shared" si="67"/>
        <v>14</v>
      </c>
      <c r="AL59" s="3">
        <f t="shared" si="68"/>
        <v>23</v>
      </c>
      <c r="AM59" s="3">
        <f t="shared" si="69"/>
        <v>14</v>
      </c>
      <c r="AN59" s="3">
        <f t="shared" si="70"/>
        <v>6</v>
      </c>
      <c r="AO59" s="3">
        <f t="shared" si="71"/>
        <v>7</v>
      </c>
      <c r="AP59" s="3">
        <f t="shared" si="72"/>
        <v>20</v>
      </c>
      <c r="AQ59" s="3">
        <f t="shared" si="73"/>
        <v>11</v>
      </c>
      <c r="AR59" s="3">
        <f t="shared" si="74"/>
        <v>1</v>
      </c>
      <c r="AS59" s="3">
        <f t="shared" si="75"/>
        <v>18</v>
      </c>
      <c r="AT59" s="3">
        <f t="shared" si="76"/>
        <v>14</v>
      </c>
      <c r="AU59" s="3">
        <f t="shared" si="77"/>
        <v>11</v>
      </c>
      <c r="AV59" s="3">
        <f t="shared" si="78"/>
        <v>8</v>
      </c>
      <c r="AW59" s="3">
        <f t="shared" si="79"/>
        <v>5</v>
      </c>
      <c r="AX59" s="3">
        <f t="shared" si="80"/>
        <v>1</v>
      </c>
      <c r="AY59" s="3">
        <f t="shared" si="81"/>
        <v>1</v>
      </c>
      <c r="AZ59" s="3">
        <f t="shared" si="82"/>
        <v>22</v>
      </c>
      <c r="BA59" s="3">
        <f t="shared" si="83"/>
        <v>5</v>
      </c>
      <c r="BB59" s="3">
        <f t="shared" si="84"/>
        <v>11</v>
      </c>
      <c r="BC59" s="3">
        <f t="shared" si="85"/>
        <v>17</v>
      </c>
      <c r="BD59" s="3">
        <f t="shared" si="86"/>
        <v>21</v>
      </c>
      <c r="BE59" s="3">
        <f t="shared" si="87"/>
        <v>16</v>
      </c>
      <c r="BF59" s="3">
        <f t="shared" si="88"/>
        <v>16</v>
      </c>
      <c r="BG59" s="3">
        <f t="shared" si="89"/>
        <v>15</v>
      </c>
      <c r="BH59" s="3">
        <f t="shared" si="90"/>
        <v>17</v>
      </c>
      <c r="BI59" s="3">
        <f t="shared" si="91"/>
        <v>13</v>
      </c>
      <c r="BJ59" s="3">
        <f t="shared" si="92"/>
        <v>6</v>
      </c>
      <c r="BK59" s="3">
        <f t="shared" si="93"/>
        <v>10</v>
      </c>
      <c r="BL59" s="3">
        <f t="shared" si="94"/>
        <v>18</v>
      </c>
      <c r="BM59" s="3">
        <f t="shared" si="95"/>
        <v>18</v>
      </c>
      <c r="BN59" s="3">
        <f t="shared" si="96"/>
        <v>14</v>
      </c>
      <c r="BO59" s="7">
        <f t="shared" si="97"/>
        <v>12.67741935483871</v>
      </c>
    </row>
    <row r="60" spans="1:67" ht="22">
      <c r="A60" s="1">
        <v>13</v>
      </c>
      <c r="C60" s="9" t="s">
        <v>124</v>
      </c>
      <c r="D60" s="9" t="s">
        <v>125</v>
      </c>
      <c r="E60" s="9" t="s">
        <v>124</v>
      </c>
      <c r="F60" s="9" t="s">
        <v>139</v>
      </c>
      <c r="G60" s="9" t="s">
        <v>127</v>
      </c>
      <c r="H60" s="9" t="s">
        <v>141</v>
      </c>
      <c r="I60" s="9" t="s">
        <v>139</v>
      </c>
      <c r="J60" s="9" t="s">
        <v>127</v>
      </c>
      <c r="K60" s="9" t="s">
        <v>127</v>
      </c>
      <c r="L60" s="9" t="s">
        <v>123</v>
      </c>
      <c r="M60" s="9" t="s">
        <v>112</v>
      </c>
      <c r="N60" s="9" t="s">
        <v>142</v>
      </c>
      <c r="O60" s="9" t="s">
        <v>142</v>
      </c>
      <c r="P60" s="9" t="s">
        <v>125</v>
      </c>
      <c r="Q60" s="9" t="s">
        <v>131</v>
      </c>
      <c r="R60" s="9" t="s">
        <v>124</v>
      </c>
      <c r="S60" s="9" t="s">
        <v>141</v>
      </c>
      <c r="T60" s="9" t="s">
        <v>112</v>
      </c>
      <c r="U60" s="9" t="s">
        <v>129</v>
      </c>
      <c r="V60" s="9" t="s">
        <v>128</v>
      </c>
      <c r="W60" s="9" t="s">
        <v>132</v>
      </c>
      <c r="X60" s="9" t="s">
        <v>133</v>
      </c>
      <c r="Y60" s="9" t="s">
        <v>131</v>
      </c>
      <c r="Z60" s="9" t="s">
        <v>125</v>
      </c>
      <c r="AA60" s="9" t="s">
        <v>133</v>
      </c>
      <c r="AB60" s="9" t="s">
        <v>126</v>
      </c>
      <c r="AC60" s="9" t="s">
        <v>138</v>
      </c>
      <c r="AD60" s="9" t="s">
        <v>122</v>
      </c>
      <c r="AE60" s="9" t="s">
        <v>126</v>
      </c>
      <c r="AF60" s="9" t="s">
        <v>105</v>
      </c>
      <c r="AG60" s="9" t="s">
        <v>107</v>
      </c>
      <c r="AJ60" s="3">
        <f t="shared" si="66"/>
        <v>19</v>
      </c>
      <c r="AK60" s="3">
        <f t="shared" si="67"/>
        <v>22</v>
      </c>
      <c r="AL60" s="3">
        <f t="shared" si="68"/>
        <v>19</v>
      </c>
      <c r="AM60" s="3">
        <f t="shared" si="69"/>
        <v>16</v>
      </c>
      <c r="AN60" s="3">
        <f t="shared" si="70"/>
        <v>18</v>
      </c>
      <c r="AO60" s="3">
        <f t="shared" si="71"/>
        <v>9</v>
      </c>
      <c r="AP60" s="3">
        <f t="shared" si="72"/>
        <v>16</v>
      </c>
      <c r="AQ60" s="3">
        <f t="shared" si="73"/>
        <v>18</v>
      </c>
      <c r="AR60" s="3">
        <f t="shared" si="74"/>
        <v>18</v>
      </c>
      <c r="AS60" s="3">
        <f t="shared" si="75"/>
        <v>4</v>
      </c>
      <c r="AT60" s="3">
        <f t="shared" si="76"/>
        <v>10</v>
      </c>
      <c r="AU60" s="3">
        <f t="shared" si="77"/>
        <v>25</v>
      </c>
      <c r="AV60" s="3">
        <f t="shared" si="78"/>
        <v>25</v>
      </c>
      <c r="AW60" s="3">
        <f t="shared" si="79"/>
        <v>22</v>
      </c>
      <c r="AX60" s="3">
        <f t="shared" si="80"/>
        <v>0</v>
      </c>
      <c r="AY60" s="3">
        <f t="shared" si="81"/>
        <v>19</v>
      </c>
      <c r="AZ60" s="3">
        <f t="shared" si="82"/>
        <v>9</v>
      </c>
      <c r="BA60" s="3">
        <f t="shared" si="83"/>
        <v>10</v>
      </c>
      <c r="BB60" s="3">
        <f t="shared" si="84"/>
        <v>11</v>
      </c>
      <c r="BC60" s="3">
        <f t="shared" si="85"/>
        <v>20</v>
      </c>
      <c r="BD60" s="3">
        <f t="shared" si="86"/>
        <v>3</v>
      </c>
      <c r="BE60" s="3">
        <f t="shared" si="87"/>
        <v>8</v>
      </c>
      <c r="BF60" s="3">
        <f t="shared" si="88"/>
        <v>0</v>
      </c>
      <c r="BG60" s="3">
        <f t="shared" si="89"/>
        <v>22</v>
      </c>
      <c r="BH60" s="3">
        <f t="shared" si="90"/>
        <v>8</v>
      </c>
      <c r="BI60" s="3">
        <f t="shared" si="91"/>
        <v>13</v>
      </c>
      <c r="BJ60" s="3">
        <f t="shared" si="92"/>
        <v>5</v>
      </c>
      <c r="BK60" s="3">
        <f t="shared" si="93"/>
        <v>1</v>
      </c>
      <c r="BL60" s="3">
        <f t="shared" si="94"/>
        <v>13</v>
      </c>
      <c r="BM60" s="3">
        <f t="shared" si="95"/>
        <v>24</v>
      </c>
      <c r="BN60" s="3">
        <f t="shared" si="96"/>
        <v>15</v>
      </c>
      <c r="BO60" s="7">
        <f t="shared" si="97"/>
        <v>13.612903225806452</v>
      </c>
    </row>
    <row r="61" spans="1:67" ht="22">
      <c r="A61" s="1">
        <v>14</v>
      </c>
      <c r="C61" s="9" t="s">
        <v>106</v>
      </c>
      <c r="D61" s="9" t="s">
        <v>124</v>
      </c>
      <c r="E61" s="9" t="s">
        <v>124</v>
      </c>
      <c r="F61" s="9" t="s">
        <v>110</v>
      </c>
      <c r="G61" s="9" t="s">
        <v>142</v>
      </c>
      <c r="H61" s="9" t="s">
        <v>138</v>
      </c>
      <c r="I61" s="9" t="s">
        <v>107</v>
      </c>
      <c r="J61" s="9" t="s">
        <v>112</v>
      </c>
      <c r="K61" s="9" t="s">
        <v>125</v>
      </c>
      <c r="L61" s="9" t="s">
        <v>134</v>
      </c>
      <c r="M61" s="9" t="s">
        <v>132</v>
      </c>
      <c r="N61" s="9" t="s">
        <v>112</v>
      </c>
      <c r="O61" s="9" t="s">
        <v>142</v>
      </c>
      <c r="P61" s="9" t="s">
        <v>111</v>
      </c>
      <c r="Q61" s="9" t="s">
        <v>124</v>
      </c>
      <c r="R61" s="9" t="s">
        <v>141</v>
      </c>
      <c r="S61" s="9" t="s">
        <v>136</v>
      </c>
      <c r="T61" s="9" t="s">
        <v>132</v>
      </c>
      <c r="U61" s="9" t="s">
        <v>133</v>
      </c>
      <c r="V61" s="9" t="s">
        <v>134</v>
      </c>
      <c r="W61" s="9" t="s">
        <v>112</v>
      </c>
      <c r="X61" s="9" t="s">
        <v>128</v>
      </c>
      <c r="Y61" s="9" t="s">
        <v>130</v>
      </c>
      <c r="Z61" s="9" t="s">
        <v>128</v>
      </c>
      <c r="AA61" s="9" t="s">
        <v>131</v>
      </c>
      <c r="AB61" s="9" t="s">
        <v>128</v>
      </c>
      <c r="AC61" s="9" t="s">
        <v>123</v>
      </c>
      <c r="AD61" s="9" t="s">
        <v>112</v>
      </c>
      <c r="AE61" s="9" t="s">
        <v>136</v>
      </c>
      <c r="AF61" s="9" t="s">
        <v>131</v>
      </c>
      <c r="AG61" s="9" t="s">
        <v>109</v>
      </c>
      <c r="AJ61" s="3">
        <f t="shared" si="66"/>
        <v>21</v>
      </c>
      <c r="AK61" s="3">
        <f t="shared" si="67"/>
        <v>19</v>
      </c>
      <c r="AL61" s="3">
        <f t="shared" si="68"/>
        <v>19</v>
      </c>
      <c r="AM61" s="3">
        <f t="shared" si="69"/>
        <v>12</v>
      </c>
      <c r="AN61" s="3">
        <f t="shared" si="70"/>
        <v>25</v>
      </c>
      <c r="AO61" s="3">
        <f t="shared" si="71"/>
        <v>5</v>
      </c>
      <c r="AP61" s="3">
        <f t="shared" si="72"/>
        <v>15</v>
      </c>
      <c r="AQ61" s="3">
        <f t="shared" si="73"/>
        <v>10</v>
      </c>
      <c r="AR61" s="3">
        <f t="shared" si="74"/>
        <v>22</v>
      </c>
      <c r="AS61" s="3">
        <f t="shared" si="75"/>
        <v>6</v>
      </c>
      <c r="AT61" s="3">
        <f t="shared" si="76"/>
        <v>3</v>
      </c>
      <c r="AU61" s="3">
        <f t="shared" si="77"/>
        <v>10</v>
      </c>
      <c r="AV61" s="3">
        <f t="shared" si="78"/>
        <v>25</v>
      </c>
      <c r="AW61" s="3">
        <f t="shared" si="79"/>
        <v>23</v>
      </c>
      <c r="AX61" s="3">
        <f t="shared" si="80"/>
        <v>19</v>
      </c>
      <c r="AY61" s="3">
        <f t="shared" si="81"/>
        <v>9</v>
      </c>
      <c r="AZ61" s="3">
        <f t="shared" si="82"/>
        <v>2</v>
      </c>
      <c r="BA61" s="3">
        <f t="shared" si="83"/>
        <v>3</v>
      </c>
      <c r="BB61" s="3">
        <f t="shared" si="84"/>
        <v>8</v>
      </c>
      <c r="BC61" s="3">
        <f t="shared" si="85"/>
        <v>6</v>
      </c>
      <c r="BD61" s="3">
        <f t="shared" si="86"/>
        <v>10</v>
      </c>
      <c r="BE61" s="3">
        <f t="shared" si="87"/>
        <v>20</v>
      </c>
      <c r="BF61" s="3">
        <f t="shared" si="88"/>
        <v>7</v>
      </c>
      <c r="BG61" s="3">
        <f t="shared" si="89"/>
        <v>20</v>
      </c>
      <c r="BH61" s="3">
        <f t="shared" si="90"/>
        <v>0</v>
      </c>
      <c r="BI61" s="3">
        <f t="shared" si="91"/>
        <v>20</v>
      </c>
      <c r="BJ61" s="3">
        <f t="shared" si="92"/>
        <v>4</v>
      </c>
      <c r="BK61" s="3">
        <f t="shared" si="93"/>
        <v>10</v>
      </c>
      <c r="BL61" s="3">
        <f t="shared" si="94"/>
        <v>2</v>
      </c>
      <c r="BM61" s="3">
        <f t="shared" si="95"/>
        <v>0</v>
      </c>
      <c r="BN61" s="3">
        <f t="shared" si="96"/>
        <v>17</v>
      </c>
      <c r="BO61" s="7">
        <f t="shared" si="97"/>
        <v>12</v>
      </c>
    </row>
    <row r="62" spans="1:67">
      <c r="AJ62" s="12">
        <f>AVERAGE(AJ32:AJ61)</f>
        <v>9.5172413793103452</v>
      </c>
      <c r="AK62" s="12">
        <f t="shared" ref="AK62:BN62" si="98">AVERAGE(AK32:AK61)</f>
        <v>13.068965517241379</v>
      </c>
      <c r="AL62" s="12">
        <f t="shared" si="98"/>
        <v>11.275862068965518</v>
      </c>
      <c r="AM62" s="12">
        <f t="shared" si="98"/>
        <v>12.96551724137931</v>
      </c>
      <c r="AN62" s="12">
        <f t="shared" si="98"/>
        <v>10.448275862068966</v>
      </c>
      <c r="AO62" s="12">
        <f t="shared" si="98"/>
        <v>9.2413793103448274</v>
      </c>
      <c r="AP62" s="12">
        <f t="shared" si="98"/>
        <v>13.857142857142858</v>
      </c>
      <c r="AQ62" s="12">
        <f t="shared" si="98"/>
        <v>11.185185185185185</v>
      </c>
      <c r="AR62" s="12">
        <f t="shared" si="98"/>
        <v>9.8965517241379306</v>
      </c>
      <c r="AS62" s="12">
        <f t="shared" si="98"/>
        <v>10.275862068965518</v>
      </c>
      <c r="AT62" s="12">
        <f t="shared" si="98"/>
        <v>11.275862068965518</v>
      </c>
      <c r="AU62" s="12">
        <f t="shared" si="98"/>
        <v>11.310344827586206</v>
      </c>
      <c r="AV62" s="12">
        <f t="shared" si="98"/>
        <v>11.896551724137931</v>
      </c>
      <c r="AW62" s="12">
        <f t="shared" si="98"/>
        <v>14.241379310344827</v>
      </c>
      <c r="AX62" s="12">
        <f t="shared" si="98"/>
        <v>10.310344827586206</v>
      </c>
      <c r="AY62" s="12">
        <f t="shared" si="98"/>
        <v>11.862068965517242</v>
      </c>
      <c r="AZ62" s="12">
        <f t="shared" si="98"/>
        <v>11.482758620689655</v>
      </c>
      <c r="BA62" s="12">
        <f t="shared" si="98"/>
        <v>13.137931034482758</v>
      </c>
      <c r="BB62" s="12">
        <f t="shared" si="98"/>
        <v>12.655172413793103</v>
      </c>
      <c r="BC62" s="12">
        <f t="shared" si="98"/>
        <v>10.96551724137931</v>
      </c>
      <c r="BD62" s="12">
        <f t="shared" si="98"/>
        <v>10.241379310344827</v>
      </c>
      <c r="BE62" s="12">
        <f t="shared" si="98"/>
        <v>12.758620689655173</v>
      </c>
      <c r="BF62" s="12">
        <f t="shared" si="98"/>
        <v>11.793103448275861</v>
      </c>
      <c r="BG62" s="12">
        <f t="shared" si="98"/>
        <v>12.793103448275861</v>
      </c>
      <c r="BH62" s="12">
        <f t="shared" si="98"/>
        <v>12.241379310344827</v>
      </c>
      <c r="BI62" s="12">
        <f t="shared" si="98"/>
        <v>12.068965517241379</v>
      </c>
      <c r="BJ62" s="12">
        <f t="shared" si="98"/>
        <v>12.785714285714286</v>
      </c>
      <c r="BK62" s="12">
        <f t="shared" si="98"/>
        <v>10.172413793103448</v>
      </c>
      <c r="BL62" s="12">
        <f t="shared" si="98"/>
        <v>11.655172413793103</v>
      </c>
      <c r="BM62" s="12">
        <f t="shared" si="98"/>
        <v>9.862068965517242</v>
      </c>
      <c r="BN62" s="1">
        <f t="shared" si="98"/>
        <v>12</v>
      </c>
    </row>
  </sheetData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30"/>
  <sheetViews>
    <sheetView topLeftCell="A85" workbookViewId="0">
      <selection activeCell="F130" sqref="F1:F130"/>
    </sheetView>
  </sheetViews>
  <sheetFormatPr baseColWidth="10" defaultRowHeight="13"/>
  <sheetData>
    <row r="1" spans="1:13">
      <c r="A1">
        <v>1</v>
      </c>
      <c r="B1" s="8" t="s">
        <v>59</v>
      </c>
      <c r="C1" t="str">
        <f>MID(B1,2,1)</f>
        <v>B</v>
      </c>
      <c r="D1">
        <f>CODE(C1)-65</f>
        <v>1</v>
      </c>
      <c r="E1">
        <f>AVERAGE(D1:D24)</f>
        <v>12.083333333333334</v>
      </c>
      <c r="F1" t="str">
        <f>MID(B1,LEN(B1),1)</f>
        <v>N</v>
      </c>
      <c r="G1">
        <f>CODE(F1)-65</f>
        <v>13</v>
      </c>
      <c r="H1">
        <f>AVERAGE(G1:G24)</f>
        <v>10.541666666666666</v>
      </c>
      <c r="I1" t="s">
        <v>29</v>
      </c>
      <c r="J1" t="s">
        <v>35</v>
      </c>
      <c r="K1">
        <f>CODE(I1)-65</f>
        <v>13</v>
      </c>
      <c r="L1">
        <f>CODE(J1)-65</f>
        <v>1</v>
      </c>
      <c r="M1">
        <f>MOD(K1-L1,26)</f>
        <v>12</v>
      </c>
    </row>
    <row r="2" spans="1:13">
      <c r="A2">
        <v>2</v>
      </c>
      <c r="B2" s="8" t="s">
        <v>60</v>
      </c>
      <c r="C2" t="str">
        <f t="shared" ref="C2:C65" si="0">MID(B2,2,1)</f>
        <v>S</v>
      </c>
      <c r="D2">
        <f t="shared" ref="D2:D23" si="1">CODE(C2)-65</f>
        <v>18</v>
      </c>
      <c r="E2">
        <f t="shared" ref="E2:E65" si="2">AVERAGE(D2:D25)</f>
        <v>13</v>
      </c>
      <c r="F2" t="str">
        <f t="shared" ref="F2:F65" si="3">MID(B2,LEN(B2),1)</f>
        <v>E</v>
      </c>
      <c r="G2">
        <f t="shared" ref="G2:G65" si="4">CODE(F2)-65</f>
        <v>4</v>
      </c>
      <c r="H2">
        <f t="shared" ref="H2:H65" si="5">AVERAGE(G2:G25)</f>
        <v>10.958333333333334</v>
      </c>
      <c r="I2" t="s">
        <v>30</v>
      </c>
      <c r="J2" t="s">
        <v>36</v>
      </c>
      <c r="K2">
        <f t="shared" ref="K2:K6" si="6">CODE(I2)-65</f>
        <v>24</v>
      </c>
      <c r="L2">
        <f t="shared" ref="L2:L6" si="7">CODE(J2)-65</f>
        <v>4</v>
      </c>
      <c r="M2">
        <f>MOD(K2-L2,26)</f>
        <v>20</v>
      </c>
    </row>
    <row r="3" spans="1:13">
      <c r="A3">
        <v>3</v>
      </c>
      <c r="B3" s="8" t="s">
        <v>61</v>
      </c>
      <c r="C3" t="str">
        <f t="shared" si="0"/>
        <v>S</v>
      </c>
      <c r="D3">
        <f t="shared" si="1"/>
        <v>18</v>
      </c>
      <c r="E3">
        <f t="shared" si="2"/>
        <v>12.583333333333334</v>
      </c>
      <c r="F3" t="str">
        <f t="shared" si="3"/>
        <v>G</v>
      </c>
      <c r="G3">
        <f t="shared" si="4"/>
        <v>6</v>
      </c>
      <c r="H3">
        <f t="shared" si="5"/>
        <v>11.333333333333334</v>
      </c>
      <c r="I3" t="s">
        <v>31</v>
      </c>
      <c r="J3" t="s">
        <v>37</v>
      </c>
      <c r="K3">
        <f t="shared" si="6"/>
        <v>15</v>
      </c>
      <c r="L3">
        <f t="shared" si="7"/>
        <v>17</v>
      </c>
      <c r="M3">
        <f t="shared" ref="M3:M6" si="8">MOD(K3-L3,26)</f>
        <v>24</v>
      </c>
    </row>
    <row r="4" spans="1:13">
      <c r="A4">
        <v>4</v>
      </c>
      <c r="B4" s="8" t="s">
        <v>62</v>
      </c>
      <c r="C4" t="str">
        <f t="shared" si="0"/>
        <v>A</v>
      </c>
      <c r="D4">
        <f t="shared" si="1"/>
        <v>0</v>
      </c>
      <c r="E4">
        <f t="shared" si="2"/>
        <v>12.75</v>
      </c>
      <c r="F4" t="str">
        <f t="shared" si="3"/>
        <v>D</v>
      </c>
      <c r="G4">
        <f t="shared" si="4"/>
        <v>3</v>
      </c>
      <c r="H4">
        <f t="shared" si="5"/>
        <v>11.833333333333334</v>
      </c>
      <c r="I4" t="s">
        <v>32</v>
      </c>
      <c r="J4" t="s">
        <v>71</v>
      </c>
      <c r="K4">
        <f t="shared" si="6"/>
        <v>21</v>
      </c>
      <c r="L4">
        <f t="shared" si="7"/>
        <v>11</v>
      </c>
      <c r="M4">
        <f t="shared" si="8"/>
        <v>10</v>
      </c>
    </row>
    <row r="5" spans="1:13">
      <c r="A5">
        <v>5</v>
      </c>
      <c r="B5" s="8" t="s">
        <v>63</v>
      </c>
      <c r="C5" t="str">
        <f t="shared" si="0"/>
        <v>T</v>
      </c>
      <c r="D5">
        <f t="shared" si="1"/>
        <v>19</v>
      </c>
      <c r="E5">
        <f t="shared" si="2"/>
        <v>13</v>
      </c>
      <c r="F5" t="str">
        <f t="shared" si="3"/>
        <v>E</v>
      </c>
      <c r="G5">
        <f t="shared" si="4"/>
        <v>4</v>
      </c>
      <c r="H5">
        <f t="shared" si="5"/>
        <v>11.833333333333334</v>
      </c>
      <c r="I5" t="s">
        <v>33</v>
      </c>
      <c r="J5" t="s">
        <v>72</v>
      </c>
      <c r="K5">
        <f t="shared" si="6"/>
        <v>19</v>
      </c>
      <c r="L5">
        <f t="shared" si="7"/>
        <v>8</v>
      </c>
      <c r="M5">
        <f t="shared" si="8"/>
        <v>11</v>
      </c>
    </row>
    <row r="6" spans="1:13">
      <c r="A6">
        <v>6</v>
      </c>
      <c r="B6" s="8" t="s">
        <v>64</v>
      </c>
      <c r="C6" t="str">
        <f t="shared" si="0"/>
        <v>A</v>
      </c>
      <c r="D6">
        <f t="shared" si="1"/>
        <v>0</v>
      </c>
      <c r="E6">
        <f t="shared" si="2"/>
        <v>12.208333333333334</v>
      </c>
      <c r="F6" t="str">
        <f t="shared" si="3"/>
        <v>E</v>
      </c>
      <c r="G6">
        <f t="shared" si="4"/>
        <v>4</v>
      </c>
      <c r="H6">
        <f t="shared" si="5"/>
        <v>11.791666666666666</v>
      </c>
      <c r="I6" t="s">
        <v>34</v>
      </c>
      <c r="J6" t="s">
        <v>73</v>
      </c>
      <c r="K6">
        <f t="shared" si="6"/>
        <v>19</v>
      </c>
      <c r="L6">
        <f t="shared" si="7"/>
        <v>13</v>
      </c>
      <c r="M6">
        <f t="shared" si="8"/>
        <v>6</v>
      </c>
    </row>
    <row r="7" spans="1:13">
      <c r="A7">
        <v>7</v>
      </c>
      <c r="B7" s="8" t="s">
        <v>65</v>
      </c>
      <c r="C7" t="str">
        <f t="shared" si="0"/>
        <v>O</v>
      </c>
      <c r="D7">
        <f t="shared" si="1"/>
        <v>14</v>
      </c>
      <c r="E7">
        <f t="shared" si="2"/>
        <v>13</v>
      </c>
      <c r="F7" t="str">
        <f t="shared" si="3"/>
        <v>F</v>
      </c>
      <c r="G7">
        <f t="shared" si="4"/>
        <v>5</v>
      </c>
      <c r="H7">
        <f t="shared" si="5"/>
        <v>11.75</v>
      </c>
    </row>
    <row r="8" spans="1:13">
      <c r="A8">
        <v>8</v>
      </c>
      <c r="B8" s="8" t="s">
        <v>66</v>
      </c>
      <c r="C8" t="str">
        <f t="shared" si="0"/>
        <v>L</v>
      </c>
      <c r="D8">
        <f t="shared" si="1"/>
        <v>11</v>
      </c>
      <c r="E8">
        <f t="shared" si="2"/>
        <v>13.25</v>
      </c>
      <c r="F8" t="str">
        <f t="shared" si="3"/>
        <v>T</v>
      </c>
      <c r="G8">
        <f t="shared" si="4"/>
        <v>19</v>
      </c>
      <c r="H8">
        <f t="shared" si="5"/>
        <v>11.666666666666666</v>
      </c>
    </row>
    <row r="9" spans="1:13">
      <c r="A9">
        <v>9</v>
      </c>
      <c r="B9" s="8" t="s">
        <v>287</v>
      </c>
      <c r="C9" t="str">
        <f t="shared" si="0"/>
        <v>L</v>
      </c>
      <c r="D9">
        <f t="shared" si="1"/>
        <v>11</v>
      </c>
      <c r="E9">
        <f t="shared" si="2"/>
        <v>13.583333333333334</v>
      </c>
      <c r="F9" t="str">
        <f t="shared" si="3"/>
        <v>S</v>
      </c>
      <c r="G9">
        <f t="shared" si="4"/>
        <v>18</v>
      </c>
      <c r="H9">
        <f t="shared" si="5"/>
        <v>11.458333333333334</v>
      </c>
    </row>
    <row r="10" spans="1:13">
      <c r="A10">
        <v>10</v>
      </c>
      <c r="B10" s="8" t="s">
        <v>288</v>
      </c>
      <c r="C10" t="str">
        <f t="shared" si="0"/>
        <v>N</v>
      </c>
      <c r="D10">
        <f t="shared" si="1"/>
        <v>13</v>
      </c>
      <c r="E10">
        <f t="shared" si="2"/>
        <v>13.125</v>
      </c>
      <c r="F10" t="str">
        <f t="shared" si="3"/>
        <v>E</v>
      </c>
      <c r="G10">
        <f t="shared" si="4"/>
        <v>4</v>
      </c>
      <c r="H10">
        <f t="shared" si="5"/>
        <v>11.25</v>
      </c>
    </row>
    <row r="11" spans="1:13">
      <c r="A11">
        <v>11</v>
      </c>
      <c r="B11" s="8" t="s">
        <v>289</v>
      </c>
      <c r="C11" t="str">
        <f t="shared" si="0"/>
        <v>I</v>
      </c>
      <c r="D11">
        <f t="shared" si="1"/>
        <v>8</v>
      </c>
      <c r="E11">
        <f t="shared" si="2"/>
        <v>13.416666666666666</v>
      </c>
      <c r="F11" t="str">
        <f t="shared" si="3"/>
        <v>N</v>
      </c>
      <c r="G11">
        <f t="shared" si="4"/>
        <v>13</v>
      </c>
      <c r="H11">
        <f t="shared" si="5"/>
        <v>11.625</v>
      </c>
    </row>
    <row r="12" spans="1:13">
      <c r="A12">
        <v>12</v>
      </c>
      <c r="B12" s="8" t="s">
        <v>290</v>
      </c>
      <c r="C12" t="str">
        <f t="shared" si="0"/>
        <v>I</v>
      </c>
      <c r="D12">
        <f t="shared" si="1"/>
        <v>8</v>
      </c>
      <c r="E12">
        <f t="shared" si="2"/>
        <v>13.541666666666666</v>
      </c>
      <c r="F12" t="str">
        <f t="shared" si="3"/>
        <v>T</v>
      </c>
      <c r="G12">
        <f t="shared" si="4"/>
        <v>19</v>
      </c>
      <c r="H12">
        <f t="shared" si="5"/>
        <v>11.625</v>
      </c>
    </row>
    <row r="13" spans="1:13">
      <c r="A13">
        <v>13</v>
      </c>
      <c r="B13" s="8" t="s">
        <v>291</v>
      </c>
      <c r="C13" t="str">
        <f t="shared" si="0"/>
        <v>W</v>
      </c>
      <c r="D13">
        <f t="shared" si="1"/>
        <v>22</v>
      </c>
      <c r="E13">
        <f t="shared" si="2"/>
        <v>13.333333333333334</v>
      </c>
      <c r="F13" t="str">
        <f t="shared" si="3"/>
        <v>S</v>
      </c>
      <c r="G13">
        <f t="shared" si="4"/>
        <v>18</v>
      </c>
      <c r="H13">
        <f t="shared" si="5"/>
        <v>11.583333333333334</v>
      </c>
    </row>
    <row r="14" spans="1:13">
      <c r="A14">
        <v>14</v>
      </c>
      <c r="B14" s="8" t="s">
        <v>253</v>
      </c>
      <c r="C14" t="str">
        <f t="shared" si="0"/>
        <v>T</v>
      </c>
      <c r="D14">
        <f t="shared" si="1"/>
        <v>19</v>
      </c>
      <c r="E14">
        <f t="shared" si="2"/>
        <v>12.875</v>
      </c>
      <c r="F14" t="str">
        <f t="shared" si="3"/>
        <v>Y</v>
      </c>
      <c r="G14">
        <f t="shared" si="4"/>
        <v>24</v>
      </c>
      <c r="H14">
        <f t="shared" si="5"/>
        <v>11.833333333333334</v>
      </c>
    </row>
    <row r="15" spans="1:13">
      <c r="A15">
        <v>15</v>
      </c>
      <c r="B15" s="8" t="s">
        <v>254</v>
      </c>
      <c r="C15" t="str">
        <f t="shared" si="0"/>
        <v>I</v>
      </c>
      <c r="D15">
        <f t="shared" si="1"/>
        <v>8</v>
      </c>
      <c r="E15">
        <f t="shared" si="2"/>
        <v>12.5</v>
      </c>
      <c r="F15" t="str">
        <f t="shared" si="3"/>
        <v>E</v>
      </c>
      <c r="G15">
        <f t="shared" si="4"/>
        <v>4</v>
      </c>
      <c r="H15">
        <f t="shared" si="5"/>
        <v>11.75</v>
      </c>
    </row>
    <row r="16" spans="1:13">
      <c r="A16">
        <v>16</v>
      </c>
      <c r="B16" s="8" t="s">
        <v>255</v>
      </c>
      <c r="C16" t="str">
        <f t="shared" si="0"/>
        <v>H</v>
      </c>
      <c r="D16">
        <f t="shared" si="1"/>
        <v>7</v>
      </c>
      <c r="E16">
        <f t="shared" si="2"/>
        <v>12.166666666666666</v>
      </c>
      <c r="F16" t="str">
        <f t="shared" si="3"/>
        <v>S</v>
      </c>
      <c r="G16">
        <f t="shared" si="4"/>
        <v>18</v>
      </c>
      <c r="H16">
        <f t="shared" si="5"/>
        <v>12.375</v>
      </c>
    </row>
    <row r="17" spans="1:8">
      <c r="A17">
        <v>17</v>
      </c>
      <c r="B17" s="8" t="s">
        <v>256</v>
      </c>
      <c r="C17" t="str">
        <f t="shared" si="0"/>
        <v>T</v>
      </c>
      <c r="D17">
        <f t="shared" si="1"/>
        <v>19</v>
      </c>
      <c r="E17">
        <f t="shared" si="2"/>
        <v>12.666666666666666</v>
      </c>
      <c r="F17" t="str">
        <f t="shared" si="3"/>
        <v>T</v>
      </c>
      <c r="G17">
        <f t="shared" si="4"/>
        <v>19</v>
      </c>
      <c r="H17">
        <f t="shared" si="5"/>
        <v>12.375</v>
      </c>
    </row>
    <row r="18" spans="1:8">
      <c r="A18">
        <v>18</v>
      </c>
      <c r="B18" s="8" t="s">
        <v>257</v>
      </c>
      <c r="C18" t="str">
        <f t="shared" si="0"/>
        <v>P</v>
      </c>
      <c r="D18">
        <f t="shared" si="1"/>
        <v>15</v>
      </c>
      <c r="E18">
        <f t="shared" si="2"/>
        <v>12.625</v>
      </c>
      <c r="F18" t="str">
        <f t="shared" si="3"/>
        <v>E</v>
      </c>
      <c r="G18">
        <f t="shared" si="4"/>
        <v>4</v>
      </c>
      <c r="H18">
        <f t="shared" si="5"/>
        <v>11.708333333333334</v>
      </c>
    </row>
    <row r="19" spans="1:8">
      <c r="A19">
        <v>19</v>
      </c>
      <c r="B19" s="8" t="s">
        <v>258</v>
      </c>
      <c r="C19" t="str">
        <f t="shared" si="0"/>
        <v>T</v>
      </c>
      <c r="D19">
        <f t="shared" si="1"/>
        <v>19</v>
      </c>
      <c r="E19">
        <f t="shared" si="2"/>
        <v>12.333333333333334</v>
      </c>
      <c r="F19" t="str">
        <f t="shared" si="3"/>
        <v>Y</v>
      </c>
      <c r="G19">
        <f t="shared" si="4"/>
        <v>24</v>
      </c>
      <c r="H19">
        <f t="shared" si="5"/>
        <v>12.291666666666666</v>
      </c>
    </row>
    <row r="20" spans="1:8">
      <c r="A20">
        <v>20</v>
      </c>
      <c r="B20" s="8" t="s">
        <v>259</v>
      </c>
      <c r="C20" t="str">
        <f t="shared" si="0"/>
        <v>U</v>
      </c>
      <c r="D20">
        <f t="shared" si="1"/>
        <v>20</v>
      </c>
      <c r="E20">
        <f t="shared" si="2"/>
        <v>11.583333333333334</v>
      </c>
      <c r="F20" t="str">
        <f t="shared" si="3"/>
        <v>D</v>
      </c>
      <c r="G20">
        <f t="shared" si="4"/>
        <v>3</v>
      </c>
      <c r="H20">
        <f t="shared" si="5"/>
        <v>11.416666666666666</v>
      </c>
    </row>
    <row r="21" spans="1:8">
      <c r="A21">
        <v>21</v>
      </c>
      <c r="B21" s="8" t="s">
        <v>63</v>
      </c>
      <c r="C21" t="str">
        <f t="shared" si="0"/>
        <v>T</v>
      </c>
      <c r="D21">
        <f t="shared" si="1"/>
        <v>19</v>
      </c>
      <c r="E21">
        <f t="shared" si="2"/>
        <v>11.333333333333334</v>
      </c>
      <c r="F21" t="str">
        <f t="shared" si="3"/>
        <v>E</v>
      </c>
      <c r="G21">
        <f t="shared" si="4"/>
        <v>4</v>
      </c>
      <c r="H21">
        <f t="shared" si="5"/>
        <v>12.083333333333334</v>
      </c>
    </row>
    <row r="22" spans="1:8">
      <c r="A22">
        <v>22</v>
      </c>
      <c r="B22" s="8" t="s">
        <v>260</v>
      </c>
      <c r="C22" t="str">
        <f t="shared" si="0"/>
        <v>E</v>
      </c>
      <c r="D22">
        <f t="shared" si="1"/>
        <v>4</v>
      </c>
      <c r="E22">
        <f t="shared" si="2"/>
        <v>11.333333333333334</v>
      </c>
      <c r="F22" t="str">
        <f t="shared" si="3"/>
        <v>S</v>
      </c>
      <c r="G22">
        <f t="shared" si="4"/>
        <v>18</v>
      </c>
      <c r="H22">
        <f t="shared" si="5"/>
        <v>12.083333333333334</v>
      </c>
    </row>
    <row r="23" spans="1:8">
      <c r="A23">
        <v>23</v>
      </c>
      <c r="B23" s="8" t="s">
        <v>261</v>
      </c>
      <c r="C23" t="str">
        <f t="shared" si="0"/>
        <v>M</v>
      </c>
      <c r="D23">
        <f t="shared" si="1"/>
        <v>12</v>
      </c>
      <c r="E23">
        <f t="shared" si="2"/>
        <v>11.916666666666666</v>
      </c>
      <c r="F23" t="str">
        <f t="shared" si="3"/>
        <v>C</v>
      </c>
      <c r="G23">
        <f t="shared" si="4"/>
        <v>2</v>
      </c>
      <c r="H23">
        <f t="shared" si="5"/>
        <v>11.5</v>
      </c>
    </row>
    <row r="24" spans="1:8">
      <c r="A24">
        <v>24</v>
      </c>
      <c r="B24" s="8" t="s">
        <v>262</v>
      </c>
      <c r="C24" t="str">
        <f t="shared" si="0"/>
        <v>F</v>
      </c>
      <c r="D24">
        <f>CODE(C24)-65</f>
        <v>5</v>
      </c>
      <c r="E24">
        <f t="shared" si="2"/>
        <v>12.333333333333334</v>
      </c>
      <c r="F24" t="str">
        <f t="shared" si="3"/>
        <v>D</v>
      </c>
      <c r="G24">
        <f t="shared" si="4"/>
        <v>3</v>
      </c>
      <c r="H24">
        <f t="shared" si="5"/>
        <v>12</v>
      </c>
    </row>
    <row r="25" spans="1:8">
      <c r="A25">
        <v>25</v>
      </c>
      <c r="B25" s="8" t="s">
        <v>263</v>
      </c>
      <c r="C25" t="str">
        <f t="shared" si="0"/>
        <v>X</v>
      </c>
      <c r="D25">
        <f t="shared" ref="D25:D88" si="9">CODE(C25)-65</f>
        <v>23</v>
      </c>
      <c r="E25">
        <f t="shared" si="2"/>
        <v>12.541666666666666</v>
      </c>
      <c r="F25" t="str">
        <f t="shared" si="3"/>
        <v>X</v>
      </c>
      <c r="G25">
        <f t="shared" si="4"/>
        <v>23</v>
      </c>
      <c r="H25">
        <f t="shared" si="5"/>
        <v>12.625</v>
      </c>
    </row>
    <row r="26" spans="1:8">
      <c r="A26">
        <v>26</v>
      </c>
      <c r="B26" s="8" t="s">
        <v>264</v>
      </c>
      <c r="C26" t="str">
        <f t="shared" si="0"/>
        <v>I</v>
      </c>
      <c r="D26">
        <f t="shared" si="9"/>
        <v>8</v>
      </c>
      <c r="E26">
        <f t="shared" si="2"/>
        <v>12.375</v>
      </c>
      <c r="F26" t="str">
        <f t="shared" si="3"/>
        <v>N</v>
      </c>
      <c r="G26">
        <f t="shared" si="4"/>
        <v>13</v>
      </c>
      <c r="H26">
        <f t="shared" si="5"/>
        <v>11.833333333333334</v>
      </c>
    </row>
    <row r="27" spans="1:8">
      <c r="A27">
        <v>27</v>
      </c>
      <c r="B27" s="8" t="s">
        <v>291</v>
      </c>
      <c r="C27" t="str">
        <f t="shared" si="0"/>
        <v>W</v>
      </c>
      <c r="D27">
        <f t="shared" si="9"/>
        <v>22</v>
      </c>
      <c r="E27">
        <f t="shared" si="2"/>
        <v>12.208333333333334</v>
      </c>
      <c r="F27" t="str">
        <f t="shared" si="3"/>
        <v>S</v>
      </c>
      <c r="G27">
        <f t="shared" si="4"/>
        <v>18</v>
      </c>
      <c r="H27">
        <f t="shared" si="5"/>
        <v>12.083333333333334</v>
      </c>
    </row>
    <row r="28" spans="1:8">
      <c r="A28">
        <v>28</v>
      </c>
      <c r="B28" s="8" t="s">
        <v>265</v>
      </c>
      <c r="C28" t="str">
        <f t="shared" si="0"/>
        <v>G</v>
      </c>
      <c r="D28">
        <f t="shared" si="9"/>
        <v>6</v>
      </c>
      <c r="E28">
        <f t="shared" si="2"/>
        <v>11.75</v>
      </c>
      <c r="F28" t="str">
        <f t="shared" si="3"/>
        <v>D</v>
      </c>
      <c r="G28">
        <f t="shared" si="4"/>
        <v>3</v>
      </c>
      <c r="H28">
        <f t="shared" si="5"/>
        <v>11.875</v>
      </c>
    </row>
    <row r="29" spans="1:8">
      <c r="A29">
        <v>29</v>
      </c>
      <c r="B29" s="8" t="s">
        <v>62</v>
      </c>
      <c r="C29" t="str">
        <f t="shared" si="0"/>
        <v>A</v>
      </c>
      <c r="D29">
        <f t="shared" si="9"/>
        <v>0</v>
      </c>
      <c r="E29">
        <f t="shared" si="2"/>
        <v>12.083333333333334</v>
      </c>
      <c r="F29" t="str">
        <f t="shared" si="3"/>
        <v>D</v>
      </c>
      <c r="G29">
        <f t="shared" si="4"/>
        <v>3</v>
      </c>
      <c r="H29">
        <f t="shared" si="5"/>
        <v>12.75</v>
      </c>
    </row>
    <row r="30" spans="1:8">
      <c r="A30">
        <v>30</v>
      </c>
      <c r="B30" s="8" t="s">
        <v>266</v>
      </c>
      <c r="C30" t="str">
        <f t="shared" si="0"/>
        <v>T</v>
      </c>
      <c r="D30">
        <f t="shared" si="9"/>
        <v>19</v>
      </c>
      <c r="E30">
        <f t="shared" si="2"/>
        <v>13</v>
      </c>
      <c r="F30" t="str">
        <f t="shared" si="3"/>
        <v>D</v>
      </c>
      <c r="G30">
        <f t="shared" si="4"/>
        <v>3</v>
      </c>
      <c r="H30">
        <f t="shared" si="5"/>
        <v>13.541666666666666</v>
      </c>
    </row>
    <row r="31" spans="1:8">
      <c r="A31">
        <v>31</v>
      </c>
      <c r="B31" s="8" t="s">
        <v>267</v>
      </c>
      <c r="C31" t="str">
        <f t="shared" si="0"/>
        <v>U</v>
      </c>
      <c r="D31">
        <f t="shared" si="9"/>
        <v>20</v>
      </c>
      <c r="E31">
        <f t="shared" si="2"/>
        <v>13</v>
      </c>
      <c r="F31" t="str">
        <f t="shared" si="3"/>
        <v>D</v>
      </c>
      <c r="G31">
        <f t="shared" si="4"/>
        <v>3</v>
      </c>
      <c r="H31">
        <f t="shared" si="5"/>
        <v>14.166666666666666</v>
      </c>
    </row>
    <row r="32" spans="1:8">
      <c r="A32">
        <v>32</v>
      </c>
      <c r="B32" s="8" t="s">
        <v>268</v>
      </c>
      <c r="C32" t="str">
        <f t="shared" si="0"/>
        <v>T</v>
      </c>
      <c r="D32">
        <f t="shared" si="9"/>
        <v>19</v>
      </c>
      <c r="E32">
        <f t="shared" si="2"/>
        <v>13.083333333333334</v>
      </c>
      <c r="F32" t="str">
        <f t="shared" si="3"/>
        <v>O</v>
      </c>
      <c r="G32">
        <f t="shared" si="4"/>
        <v>14</v>
      </c>
      <c r="H32">
        <f t="shared" si="5"/>
        <v>14.791666666666666</v>
      </c>
    </row>
    <row r="33" spans="1:8">
      <c r="A33">
        <v>33</v>
      </c>
      <c r="B33" s="8" t="s">
        <v>269</v>
      </c>
      <c r="C33" t="str">
        <f t="shared" si="0"/>
        <v>A</v>
      </c>
      <c r="D33">
        <f t="shared" si="9"/>
        <v>0</v>
      </c>
      <c r="E33">
        <f t="shared" si="2"/>
        <v>12.583333333333334</v>
      </c>
      <c r="F33" t="str">
        <f t="shared" si="3"/>
        <v>N</v>
      </c>
      <c r="G33">
        <f t="shared" si="4"/>
        <v>13</v>
      </c>
      <c r="H33">
        <f t="shared" si="5"/>
        <v>14.958333333333334</v>
      </c>
    </row>
    <row r="34" spans="1:8">
      <c r="A34">
        <v>34</v>
      </c>
      <c r="B34" s="8" t="s">
        <v>270</v>
      </c>
      <c r="C34" t="str">
        <f t="shared" si="0"/>
        <v>U</v>
      </c>
      <c r="D34">
        <f t="shared" si="9"/>
        <v>20</v>
      </c>
      <c r="E34">
        <f t="shared" si="2"/>
        <v>13.041666666666666</v>
      </c>
      <c r="F34" t="str">
        <f t="shared" si="3"/>
        <v>N</v>
      </c>
      <c r="G34">
        <f t="shared" si="4"/>
        <v>13</v>
      </c>
      <c r="H34">
        <f t="shared" si="5"/>
        <v>15.208333333333334</v>
      </c>
    </row>
    <row r="35" spans="1:8">
      <c r="A35">
        <v>35</v>
      </c>
      <c r="B35" s="8" t="s">
        <v>271</v>
      </c>
      <c r="C35" t="str">
        <f t="shared" si="0"/>
        <v>L</v>
      </c>
      <c r="D35">
        <f t="shared" si="9"/>
        <v>11</v>
      </c>
      <c r="E35">
        <f t="shared" si="2"/>
        <v>12.708333333333334</v>
      </c>
      <c r="F35" t="str">
        <f t="shared" si="3"/>
        <v>N</v>
      </c>
      <c r="G35">
        <f t="shared" si="4"/>
        <v>13</v>
      </c>
      <c r="H35">
        <f t="shared" si="5"/>
        <v>14.833333333333334</v>
      </c>
    </row>
    <row r="36" spans="1:8">
      <c r="A36">
        <v>36</v>
      </c>
      <c r="B36" s="8" t="s">
        <v>272</v>
      </c>
      <c r="C36" t="str">
        <f t="shared" si="0"/>
        <v>D</v>
      </c>
      <c r="D36">
        <f t="shared" si="9"/>
        <v>3</v>
      </c>
      <c r="E36">
        <f t="shared" si="2"/>
        <v>13.041666666666666</v>
      </c>
      <c r="F36" t="str">
        <f t="shared" si="3"/>
        <v>S</v>
      </c>
      <c r="G36">
        <f t="shared" si="4"/>
        <v>18</v>
      </c>
      <c r="H36">
        <f t="shared" si="5"/>
        <v>15.291666666666666</v>
      </c>
    </row>
    <row r="37" spans="1:8">
      <c r="A37">
        <v>37</v>
      </c>
      <c r="B37" s="8" t="s">
        <v>273</v>
      </c>
      <c r="C37" t="str">
        <f t="shared" si="0"/>
        <v>L</v>
      </c>
      <c r="D37">
        <f t="shared" si="9"/>
        <v>11</v>
      </c>
      <c r="E37">
        <f t="shared" si="2"/>
        <v>13.083333333333334</v>
      </c>
      <c r="F37" t="str">
        <f t="shared" si="3"/>
        <v>Y</v>
      </c>
      <c r="G37">
        <f t="shared" si="4"/>
        <v>24</v>
      </c>
      <c r="H37">
        <f t="shared" si="5"/>
        <v>15.333333333333334</v>
      </c>
    </row>
    <row r="38" spans="1:8">
      <c r="A38">
        <v>38</v>
      </c>
      <c r="B38" s="8" t="s">
        <v>274</v>
      </c>
      <c r="C38" t="str">
        <f t="shared" si="0"/>
        <v>K</v>
      </c>
      <c r="D38">
        <f t="shared" si="9"/>
        <v>10</v>
      </c>
      <c r="E38">
        <f t="shared" si="2"/>
        <v>12.75</v>
      </c>
      <c r="F38" t="str">
        <f t="shared" si="3"/>
        <v>W</v>
      </c>
      <c r="G38">
        <f t="shared" si="4"/>
        <v>22</v>
      </c>
      <c r="H38">
        <f t="shared" si="5"/>
        <v>15.083333333333334</v>
      </c>
    </row>
    <row r="39" spans="1:8">
      <c r="A39">
        <v>39</v>
      </c>
      <c r="B39" s="8" t="s">
        <v>275</v>
      </c>
      <c r="C39" t="str">
        <f t="shared" si="0"/>
        <v>A</v>
      </c>
      <c r="D39">
        <f t="shared" si="9"/>
        <v>0</v>
      </c>
      <c r="E39">
        <f t="shared" si="2"/>
        <v>12.541666666666666</v>
      </c>
      <c r="F39" t="str">
        <f t="shared" si="3"/>
        <v>T</v>
      </c>
      <c r="G39">
        <f t="shared" si="4"/>
        <v>19</v>
      </c>
      <c r="H39">
        <f t="shared" si="5"/>
        <v>15.166666666666666</v>
      </c>
    </row>
    <row r="40" spans="1:8">
      <c r="A40">
        <v>40</v>
      </c>
      <c r="B40" s="8" t="s">
        <v>276</v>
      </c>
      <c r="C40" t="str">
        <f t="shared" si="0"/>
        <v>T</v>
      </c>
      <c r="D40">
        <f t="shared" si="9"/>
        <v>19</v>
      </c>
      <c r="E40">
        <f t="shared" si="2"/>
        <v>13.291666666666666</v>
      </c>
      <c r="F40" t="str">
        <f t="shared" si="3"/>
        <v>S</v>
      </c>
      <c r="G40">
        <f t="shared" si="4"/>
        <v>18</v>
      </c>
      <c r="H40">
        <f t="shared" si="5"/>
        <v>14.916666666666666</v>
      </c>
    </row>
    <row r="41" spans="1:8">
      <c r="A41">
        <v>41</v>
      </c>
      <c r="B41" s="8" t="s">
        <v>277</v>
      </c>
      <c r="C41" t="str">
        <f t="shared" si="0"/>
        <v>S</v>
      </c>
      <c r="D41">
        <f t="shared" si="9"/>
        <v>18</v>
      </c>
      <c r="E41">
        <f t="shared" si="2"/>
        <v>13</v>
      </c>
      <c r="F41" t="str">
        <f t="shared" si="3"/>
        <v>D</v>
      </c>
      <c r="G41">
        <f t="shared" si="4"/>
        <v>3</v>
      </c>
      <c r="H41">
        <f t="shared" si="5"/>
        <v>14.916666666666666</v>
      </c>
    </row>
    <row r="42" spans="1:8">
      <c r="A42">
        <v>42</v>
      </c>
      <c r="B42" s="8" t="s">
        <v>278</v>
      </c>
      <c r="C42" t="str">
        <f t="shared" si="0"/>
        <v>I</v>
      </c>
      <c r="D42">
        <f t="shared" si="9"/>
        <v>8</v>
      </c>
      <c r="E42">
        <f t="shared" si="2"/>
        <v>13</v>
      </c>
      <c r="F42" t="str">
        <f t="shared" si="3"/>
        <v>S</v>
      </c>
      <c r="G42">
        <f t="shared" si="4"/>
        <v>18</v>
      </c>
      <c r="H42">
        <f t="shared" si="5"/>
        <v>15.75</v>
      </c>
    </row>
    <row r="43" spans="1:8">
      <c r="A43">
        <v>43</v>
      </c>
      <c r="B43" s="8" t="s">
        <v>279</v>
      </c>
      <c r="C43" t="str">
        <f t="shared" si="0"/>
        <v>B</v>
      </c>
      <c r="D43">
        <f t="shared" si="9"/>
        <v>1</v>
      </c>
      <c r="E43">
        <f t="shared" si="2"/>
        <v>13.291666666666666</v>
      </c>
      <c r="F43" t="str">
        <f t="shared" si="3"/>
        <v>D</v>
      </c>
      <c r="G43">
        <f t="shared" si="4"/>
        <v>3</v>
      </c>
      <c r="H43">
        <f t="shared" si="5"/>
        <v>15.791666666666666</v>
      </c>
    </row>
    <row r="44" spans="1:8">
      <c r="A44">
        <v>44</v>
      </c>
      <c r="B44" s="8" t="s">
        <v>280</v>
      </c>
      <c r="C44" t="str">
        <f t="shared" si="0"/>
        <v>O</v>
      </c>
      <c r="D44">
        <f t="shared" si="9"/>
        <v>14</v>
      </c>
      <c r="E44">
        <f t="shared" si="2"/>
        <v>13.458333333333334</v>
      </c>
      <c r="F44" t="str">
        <f t="shared" si="3"/>
        <v>T</v>
      </c>
      <c r="G44">
        <f t="shared" si="4"/>
        <v>19</v>
      </c>
      <c r="H44">
        <f t="shared" si="5"/>
        <v>15.833333333333334</v>
      </c>
    </row>
    <row r="45" spans="1:8">
      <c r="A45">
        <v>45</v>
      </c>
      <c r="B45" s="8" t="s">
        <v>281</v>
      </c>
      <c r="C45" t="str">
        <f t="shared" si="0"/>
        <v>T</v>
      </c>
      <c r="D45">
        <f t="shared" si="9"/>
        <v>19</v>
      </c>
      <c r="E45">
        <f t="shared" si="2"/>
        <v>13.625</v>
      </c>
      <c r="F45" t="str">
        <f t="shared" si="3"/>
        <v>E</v>
      </c>
      <c r="G45">
        <f t="shared" si="4"/>
        <v>4</v>
      </c>
      <c r="H45">
        <f t="shared" si="5"/>
        <v>15.791666666666666</v>
      </c>
    </row>
    <row r="46" spans="1:8">
      <c r="A46">
        <v>46</v>
      </c>
      <c r="B46" s="8" t="s">
        <v>282</v>
      </c>
      <c r="C46" t="str">
        <f t="shared" si="0"/>
        <v>S</v>
      </c>
      <c r="D46">
        <f t="shared" si="9"/>
        <v>18</v>
      </c>
      <c r="E46">
        <f t="shared" si="2"/>
        <v>13.375</v>
      </c>
      <c r="F46" t="str">
        <f t="shared" si="3"/>
        <v>E</v>
      </c>
      <c r="G46">
        <f t="shared" si="4"/>
        <v>4</v>
      </c>
      <c r="H46">
        <f t="shared" si="5"/>
        <v>15.916666666666666</v>
      </c>
    </row>
    <row r="47" spans="1:8">
      <c r="A47">
        <v>47</v>
      </c>
      <c r="B47" s="8" t="s">
        <v>4</v>
      </c>
      <c r="C47" t="str">
        <f t="shared" si="0"/>
        <v>W</v>
      </c>
      <c r="D47">
        <f t="shared" si="9"/>
        <v>22</v>
      </c>
      <c r="E47">
        <f t="shared" si="2"/>
        <v>13.375</v>
      </c>
      <c r="F47" t="str">
        <f t="shared" si="3"/>
        <v>O</v>
      </c>
      <c r="G47">
        <f t="shared" si="4"/>
        <v>14</v>
      </c>
      <c r="H47">
        <f t="shared" si="5"/>
        <v>16.75</v>
      </c>
    </row>
    <row r="48" spans="1:8">
      <c r="A48">
        <v>48</v>
      </c>
      <c r="B48" s="8" t="s">
        <v>5</v>
      </c>
      <c r="C48" t="str">
        <f t="shared" si="0"/>
        <v>K</v>
      </c>
      <c r="D48">
        <f t="shared" si="9"/>
        <v>10</v>
      </c>
      <c r="E48">
        <f t="shared" si="2"/>
        <v>12.625</v>
      </c>
      <c r="F48" t="str">
        <f t="shared" si="3"/>
        <v>S</v>
      </c>
      <c r="G48">
        <f t="shared" si="4"/>
        <v>18</v>
      </c>
      <c r="H48">
        <f t="shared" si="5"/>
        <v>16.958333333333332</v>
      </c>
    </row>
    <row r="49" spans="1:8">
      <c r="A49">
        <v>49</v>
      </c>
      <c r="B49" s="8" t="s">
        <v>63</v>
      </c>
      <c r="C49" t="str">
        <f t="shared" si="0"/>
        <v>T</v>
      </c>
      <c r="D49">
        <f t="shared" si="9"/>
        <v>19</v>
      </c>
      <c r="E49">
        <f t="shared" si="2"/>
        <v>12.416666666666666</v>
      </c>
      <c r="F49" t="str">
        <f t="shared" si="3"/>
        <v>E</v>
      </c>
      <c r="G49">
        <f t="shared" si="4"/>
        <v>4</v>
      </c>
      <c r="H49">
        <f t="shared" si="5"/>
        <v>17.208333333333332</v>
      </c>
    </row>
    <row r="50" spans="1:8">
      <c r="A50">
        <v>50</v>
      </c>
      <c r="B50" s="8" t="s">
        <v>6</v>
      </c>
      <c r="C50" t="str">
        <f t="shared" si="0"/>
        <v>E</v>
      </c>
      <c r="D50">
        <f t="shared" si="9"/>
        <v>4</v>
      </c>
      <c r="E50">
        <f t="shared" si="2"/>
        <v>11.833333333333334</v>
      </c>
      <c r="F50" t="str">
        <f t="shared" si="3"/>
        <v>T</v>
      </c>
      <c r="G50">
        <f t="shared" si="4"/>
        <v>19</v>
      </c>
      <c r="H50">
        <f t="shared" si="5"/>
        <v>17.75</v>
      </c>
    </row>
    <row r="51" spans="1:8">
      <c r="A51">
        <v>51</v>
      </c>
      <c r="B51" s="8" t="s">
        <v>271</v>
      </c>
      <c r="C51" t="str">
        <f t="shared" si="0"/>
        <v>L</v>
      </c>
      <c r="D51">
        <f t="shared" si="9"/>
        <v>11</v>
      </c>
      <c r="E51">
        <f t="shared" si="2"/>
        <v>12.583333333333334</v>
      </c>
      <c r="F51" t="str">
        <f t="shared" si="3"/>
        <v>N</v>
      </c>
      <c r="G51">
        <f t="shared" si="4"/>
        <v>13</v>
      </c>
      <c r="H51">
        <f t="shared" si="5"/>
        <v>17.75</v>
      </c>
    </row>
    <row r="52" spans="1:8">
      <c r="A52">
        <v>52</v>
      </c>
      <c r="B52" s="8" t="s">
        <v>7</v>
      </c>
      <c r="C52" t="str">
        <f t="shared" si="0"/>
        <v>O</v>
      </c>
      <c r="D52">
        <f t="shared" si="9"/>
        <v>14</v>
      </c>
      <c r="E52">
        <f t="shared" si="2"/>
        <v>12.583333333333334</v>
      </c>
      <c r="F52" t="str">
        <f t="shared" si="3"/>
        <v>Y</v>
      </c>
      <c r="G52">
        <f t="shared" si="4"/>
        <v>24</v>
      </c>
      <c r="H52">
        <f t="shared" si="5"/>
        <v>17.916666666666668</v>
      </c>
    </row>
    <row r="53" spans="1:8">
      <c r="A53">
        <v>53</v>
      </c>
      <c r="B53" s="8" t="s">
        <v>8</v>
      </c>
      <c r="C53" t="str">
        <f t="shared" si="0"/>
        <v>W</v>
      </c>
      <c r="D53">
        <f t="shared" si="9"/>
        <v>22</v>
      </c>
      <c r="E53">
        <f t="shared" si="2"/>
        <v>12.791666666666666</v>
      </c>
      <c r="F53" t="str">
        <f t="shared" si="3"/>
        <v>W</v>
      </c>
      <c r="G53">
        <f t="shared" si="4"/>
        <v>22</v>
      </c>
      <c r="H53">
        <f t="shared" si="5"/>
        <v>17.5</v>
      </c>
    </row>
    <row r="54" spans="1:8">
      <c r="A54">
        <v>54</v>
      </c>
      <c r="B54" s="8" t="s">
        <v>276</v>
      </c>
      <c r="C54" t="str">
        <f t="shared" si="0"/>
        <v>T</v>
      </c>
      <c r="D54">
        <f t="shared" si="9"/>
        <v>19</v>
      </c>
      <c r="E54">
        <f t="shared" si="2"/>
        <v>12.625</v>
      </c>
      <c r="F54" t="str">
        <f t="shared" si="3"/>
        <v>S</v>
      </c>
      <c r="G54">
        <f t="shared" si="4"/>
        <v>18</v>
      </c>
      <c r="H54">
        <f t="shared" si="5"/>
        <v>17.583333333333332</v>
      </c>
    </row>
    <row r="55" spans="1:8">
      <c r="A55">
        <v>55</v>
      </c>
      <c r="B55" s="8" t="s">
        <v>291</v>
      </c>
      <c r="C55" t="str">
        <f t="shared" si="0"/>
        <v>W</v>
      </c>
      <c r="D55">
        <f t="shared" si="9"/>
        <v>22</v>
      </c>
      <c r="E55">
        <f t="shared" si="2"/>
        <v>11.958333333333334</v>
      </c>
      <c r="F55" t="str">
        <f t="shared" si="3"/>
        <v>S</v>
      </c>
      <c r="G55">
        <f t="shared" si="4"/>
        <v>18</v>
      </c>
      <c r="H55">
        <f t="shared" si="5"/>
        <v>17.833333333333332</v>
      </c>
    </row>
    <row r="56" spans="1:8">
      <c r="A56">
        <v>56</v>
      </c>
      <c r="B56" s="8" t="s">
        <v>9</v>
      </c>
      <c r="C56" t="str">
        <f t="shared" si="0"/>
        <v>H</v>
      </c>
      <c r="D56">
        <f t="shared" si="9"/>
        <v>7</v>
      </c>
      <c r="E56">
        <f t="shared" si="2"/>
        <v>11.833333333333334</v>
      </c>
      <c r="F56" t="str">
        <f t="shared" si="3"/>
        <v>S</v>
      </c>
      <c r="G56">
        <f t="shared" si="4"/>
        <v>18</v>
      </c>
      <c r="H56">
        <f t="shared" si="5"/>
        <v>17.25</v>
      </c>
    </row>
    <row r="57" spans="1:8">
      <c r="A57">
        <v>57</v>
      </c>
      <c r="B57" s="8" t="s">
        <v>10</v>
      </c>
      <c r="C57" t="str">
        <f t="shared" si="0"/>
        <v>L</v>
      </c>
      <c r="D57">
        <f t="shared" si="9"/>
        <v>11</v>
      </c>
      <c r="E57">
        <f t="shared" si="2"/>
        <v>12.25</v>
      </c>
      <c r="F57" t="str">
        <f t="shared" si="3"/>
        <v>T</v>
      </c>
      <c r="G57">
        <f t="shared" si="4"/>
        <v>19</v>
      </c>
      <c r="H57">
        <f t="shared" si="5"/>
        <v>17.25</v>
      </c>
    </row>
    <row r="58" spans="1:8">
      <c r="A58">
        <v>58</v>
      </c>
      <c r="B58" s="8" t="s">
        <v>11</v>
      </c>
      <c r="C58" t="str">
        <f t="shared" si="0"/>
        <v>M</v>
      </c>
      <c r="D58">
        <f t="shared" si="9"/>
        <v>12</v>
      </c>
      <c r="E58">
        <f t="shared" si="2"/>
        <v>12.375</v>
      </c>
      <c r="F58" t="str">
        <f t="shared" si="3"/>
        <v>E</v>
      </c>
      <c r="G58">
        <f t="shared" si="4"/>
        <v>4</v>
      </c>
      <c r="H58">
        <f t="shared" si="5"/>
        <v>16.666666666666668</v>
      </c>
    </row>
    <row r="59" spans="1:8">
      <c r="A59">
        <v>59</v>
      </c>
      <c r="B59" s="8" t="s">
        <v>12</v>
      </c>
      <c r="C59" t="str">
        <f t="shared" si="0"/>
        <v>T</v>
      </c>
      <c r="D59">
        <f t="shared" si="9"/>
        <v>19</v>
      </c>
      <c r="E59">
        <f t="shared" si="2"/>
        <v>12.5</v>
      </c>
      <c r="F59" t="str">
        <f t="shared" si="3"/>
        <v>Y</v>
      </c>
      <c r="G59">
        <f t="shared" si="4"/>
        <v>24</v>
      </c>
      <c r="H59">
        <f t="shared" si="5"/>
        <v>16.666666666666668</v>
      </c>
    </row>
    <row r="60" spans="1:8">
      <c r="A60">
        <v>60</v>
      </c>
      <c r="B60" s="8" t="s">
        <v>323</v>
      </c>
      <c r="C60" t="str">
        <f t="shared" si="0"/>
        <v>E</v>
      </c>
      <c r="D60">
        <f t="shared" si="9"/>
        <v>4</v>
      </c>
      <c r="E60">
        <f t="shared" si="2"/>
        <v>11.833333333333334</v>
      </c>
      <c r="F60" t="str">
        <f t="shared" si="3"/>
        <v>T</v>
      </c>
      <c r="G60">
        <f t="shared" si="4"/>
        <v>19</v>
      </c>
      <c r="H60">
        <f t="shared" si="5"/>
        <v>16.416666666666668</v>
      </c>
    </row>
    <row r="61" spans="1:8">
      <c r="A61">
        <v>61</v>
      </c>
      <c r="B61" s="8" t="s">
        <v>324</v>
      </c>
      <c r="C61" t="str">
        <f t="shared" si="0"/>
        <v>D</v>
      </c>
      <c r="D61">
        <f t="shared" si="9"/>
        <v>3</v>
      </c>
      <c r="E61">
        <f t="shared" si="2"/>
        <v>12.458333333333334</v>
      </c>
      <c r="F61" t="str">
        <f t="shared" si="3"/>
        <v>S</v>
      </c>
      <c r="G61">
        <f t="shared" si="4"/>
        <v>18</v>
      </c>
      <c r="H61">
        <f t="shared" si="5"/>
        <v>16.416666666666668</v>
      </c>
    </row>
    <row r="62" spans="1:8">
      <c r="A62">
        <v>62</v>
      </c>
      <c r="B62" s="8" t="s">
        <v>325</v>
      </c>
      <c r="C62" t="str">
        <f t="shared" si="0"/>
        <v>F</v>
      </c>
      <c r="D62">
        <f t="shared" si="9"/>
        <v>5</v>
      </c>
      <c r="E62">
        <f t="shared" si="2"/>
        <v>12.5</v>
      </c>
      <c r="F62" t="str">
        <f t="shared" si="3"/>
        <v>Y</v>
      </c>
      <c r="G62">
        <f t="shared" si="4"/>
        <v>24</v>
      </c>
      <c r="H62">
        <f t="shared" si="5"/>
        <v>15.791666666666666</v>
      </c>
    </row>
    <row r="63" spans="1:8">
      <c r="A63">
        <v>63</v>
      </c>
      <c r="B63" s="8" t="s">
        <v>326</v>
      </c>
      <c r="C63" t="str">
        <f t="shared" si="0"/>
        <v>S</v>
      </c>
      <c r="D63">
        <f t="shared" si="9"/>
        <v>18</v>
      </c>
      <c r="E63">
        <f t="shared" si="2"/>
        <v>12.75</v>
      </c>
      <c r="F63" t="str">
        <f t="shared" si="3"/>
        <v>N</v>
      </c>
      <c r="G63">
        <f t="shared" si="4"/>
        <v>13</v>
      </c>
      <c r="H63">
        <f t="shared" si="5"/>
        <v>15.5</v>
      </c>
    </row>
    <row r="64" spans="1:8">
      <c r="A64">
        <v>64</v>
      </c>
      <c r="B64" s="8" t="s">
        <v>327</v>
      </c>
      <c r="C64" t="str">
        <f t="shared" si="0"/>
        <v>M</v>
      </c>
      <c r="D64">
        <f t="shared" si="9"/>
        <v>12</v>
      </c>
      <c r="E64">
        <f t="shared" si="2"/>
        <v>12.625</v>
      </c>
      <c r="F64" t="str">
        <f t="shared" si="3"/>
        <v>S</v>
      </c>
      <c r="G64">
        <f t="shared" si="4"/>
        <v>18</v>
      </c>
      <c r="H64">
        <f t="shared" si="5"/>
        <v>15.75</v>
      </c>
    </row>
    <row r="65" spans="1:8">
      <c r="A65">
        <v>65</v>
      </c>
      <c r="B65" s="8" t="s">
        <v>328</v>
      </c>
      <c r="C65" t="str">
        <f t="shared" si="0"/>
        <v>S</v>
      </c>
      <c r="D65">
        <f t="shared" si="9"/>
        <v>18</v>
      </c>
      <c r="E65">
        <f t="shared" si="2"/>
        <v>12.25</v>
      </c>
      <c r="F65" t="str">
        <f t="shared" si="3"/>
        <v>X</v>
      </c>
      <c r="G65">
        <f t="shared" si="4"/>
        <v>23</v>
      </c>
      <c r="H65">
        <f t="shared" si="5"/>
        <v>16</v>
      </c>
    </row>
    <row r="66" spans="1:8">
      <c r="A66">
        <v>66</v>
      </c>
      <c r="B66" s="8" t="s">
        <v>329</v>
      </c>
      <c r="C66" t="str">
        <f t="shared" ref="C66:C129" si="10">MID(B66,2,1)</f>
        <v>P</v>
      </c>
      <c r="D66">
        <f t="shared" si="9"/>
        <v>15</v>
      </c>
      <c r="E66">
        <f t="shared" ref="E66:E107" si="11">AVERAGE(D66:D89)</f>
        <v>12.416666666666666</v>
      </c>
      <c r="F66" t="str">
        <f t="shared" ref="F66:F129" si="12">MID(B66,LEN(B66),1)</f>
        <v>T</v>
      </c>
      <c r="G66">
        <f t="shared" ref="G66:G107" si="13">CODE(F66)-65</f>
        <v>19</v>
      </c>
      <c r="H66">
        <f t="shared" ref="H66:H107" si="14">AVERAGE(G66:G89)</f>
        <v>15.791666666666666</v>
      </c>
    </row>
    <row r="67" spans="1:8">
      <c r="A67">
        <v>67</v>
      </c>
      <c r="B67" s="8" t="s">
        <v>330</v>
      </c>
      <c r="C67" t="str">
        <f t="shared" si="10"/>
        <v>F</v>
      </c>
      <c r="D67">
        <f t="shared" si="9"/>
        <v>5</v>
      </c>
      <c r="E67">
        <f t="shared" si="11"/>
        <v>12.5</v>
      </c>
      <c r="F67" t="str">
        <f t="shared" si="12"/>
        <v>E</v>
      </c>
      <c r="G67">
        <f t="shared" si="13"/>
        <v>4</v>
      </c>
      <c r="H67">
        <f t="shared" si="14"/>
        <v>15.125</v>
      </c>
    </row>
    <row r="68" spans="1:8">
      <c r="A68">
        <v>68</v>
      </c>
      <c r="B68" s="8" t="s">
        <v>331</v>
      </c>
      <c r="C68" t="str">
        <f t="shared" si="10"/>
        <v>S</v>
      </c>
      <c r="D68">
        <f t="shared" si="9"/>
        <v>18</v>
      </c>
      <c r="E68">
        <f t="shared" si="11"/>
        <v>13.208333333333334</v>
      </c>
      <c r="F68" t="str">
        <f t="shared" si="12"/>
        <v>S</v>
      </c>
      <c r="G68">
        <f t="shared" si="13"/>
        <v>18</v>
      </c>
      <c r="H68">
        <f t="shared" si="14"/>
        <v>15.25</v>
      </c>
    </row>
    <row r="69" spans="1:8">
      <c r="A69">
        <v>69</v>
      </c>
      <c r="B69" s="8" t="s">
        <v>332</v>
      </c>
      <c r="C69" t="str">
        <f t="shared" si="10"/>
        <v>N</v>
      </c>
      <c r="D69">
        <f t="shared" si="9"/>
        <v>13</v>
      </c>
      <c r="E69">
        <f t="shared" si="11"/>
        <v>13.25</v>
      </c>
      <c r="F69" t="str">
        <f t="shared" si="12"/>
        <v>H</v>
      </c>
      <c r="G69">
        <f t="shared" si="13"/>
        <v>7</v>
      </c>
      <c r="H69">
        <f t="shared" si="14"/>
        <v>14.75</v>
      </c>
    </row>
    <row r="70" spans="1:8">
      <c r="A70">
        <v>70</v>
      </c>
      <c r="B70" s="8" t="s">
        <v>333</v>
      </c>
      <c r="C70" t="str">
        <f t="shared" si="10"/>
        <v>S</v>
      </c>
      <c r="D70">
        <f t="shared" si="9"/>
        <v>18</v>
      </c>
      <c r="E70">
        <f t="shared" si="11"/>
        <v>13</v>
      </c>
      <c r="F70" t="str">
        <f t="shared" si="12"/>
        <v>Y</v>
      </c>
      <c r="G70">
        <f t="shared" si="13"/>
        <v>24</v>
      </c>
      <c r="H70">
        <f t="shared" si="14"/>
        <v>15.208333333333334</v>
      </c>
    </row>
    <row r="71" spans="1:8">
      <c r="A71">
        <v>71</v>
      </c>
      <c r="B71" s="8" t="s">
        <v>323</v>
      </c>
      <c r="C71" t="str">
        <f t="shared" si="10"/>
        <v>E</v>
      </c>
      <c r="D71">
        <f t="shared" si="9"/>
        <v>4</v>
      </c>
      <c r="E71">
        <f t="shared" si="11"/>
        <v>12.583333333333334</v>
      </c>
      <c r="F71" t="str">
        <f t="shared" si="12"/>
        <v>T</v>
      </c>
      <c r="G71">
        <f t="shared" si="13"/>
        <v>19</v>
      </c>
      <c r="H71">
        <f t="shared" si="14"/>
        <v>14.541666666666666</v>
      </c>
    </row>
    <row r="72" spans="1:8">
      <c r="A72">
        <v>72</v>
      </c>
      <c r="B72" s="8" t="s">
        <v>334</v>
      </c>
      <c r="C72" t="str">
        <f t="shared" si="10"/>
        <v>F</v>
      </c>
      <c r="D72">
        <f t="shared" si="9"/>
        <v>5</v>
      </c>
      <c r="E72">
        <f t="shared" si="11"/>
        <v>12.916666666666666</v>
      </c>
      <c r="F72" t="str">
        <f t="shared" si="12"/>
        <v>Y</v>
      </c>
      <c r="G72">
        <f t="shared" si="13"/>
        <v>24</v>
      </c>
      <c r="H72">
        <f t="shared" si="14"/>
        <v>13.916666666666666</v>
      </c>
    </row>
    <row r="73" spans="1:8">
      <c r="A73">
        <v>73</v>
      </c>
      <c r="B73" s="8" t="s">
        <v>335</v>
      </c>
      <c r="C73" t="str">
        <f t="shared" si="10"/>
        <v>F</v>
      </c>
      <c r="D73">
        <f t="shared" si="9"/>
        <v>5</v>
      </c>
      <c r="E73">
        <f t="shared" si="11"/>
        <v>12.708333333333334</v>
      </c>
      <c r="F73" t="str">
        <f t="shared" si="12"/>
        <v>R</v>
      </c>
      <c r="G73">
        <f t="shared" si="13"/>
        <v>17</v>
      </c>
      <c r="H73">
        <f t="shared" si="14"/>
        <v>12.916666666666666</v>
      </c>
    </row>
    <row r="74" spans="1:8">
      <c r="A74">
        <v>74</v>
      </c>
      <c r="B74" s="8" t="s">
        <v>336</v>
      </c>
      <c r="C74" t="str">
        <f t="shared" si="10"/>
        <v>W</v>
      </c>
      <c r="D74">
        <f t="shared" si="9"/>
        <v>22</v>
      </c>
      <c r="E74">
        <f t="shared" si="11"/>
        <v>13.291666666666666</v>
      </c>
      <c r="F74" t="str">
        <f t="shared" si="12"/>
        <v>T</v>
      </c>
      <c r="G74">
        <f t="shared" si="13"/>
        <v>19</v>
      </c>
      <c r="H74">
        <f t="shared" si="14"/>
        <v>13.208333333333334</v>
      </c>
    </row>
    <row r="75" spans="1:8">
      <c r="A75">
        <v>75</v>
      </c>
      <c r="B75" s="8" t="s">
        <v>337</v>
      </c>
      <c r="C75" t="str">
        <f t="shared" si="10"/>
        <v>L</v>
      </c>
      <c r="D75">
        <f t="shared" si="9"/>
        <v>11</v>
      </c>
      <c r="E75">
        <f t="shared" si="11"/>
        <v>12.416666666666666</v>
      </c>
      <c r="F75" t="str">
        <f t="shared" si="12"/>
        <v>R</v>
      </c>
      <c r="G75">
        <f t="shared" si="13"/>
        <v>17</v>
      </c>
      <c r="H75">
        <f t="shared" si="14"/>
        <v>12.708333333333334</v>
      </c>
    </row>
    <row r="76" spans="1:8">
      <c r="A76">
        <v>76</v>
      </c>
      <c r="B76" s="8" t="s">
        <v>338</v>
      </c>
      <c r="C76" t="str">
        <f t="shared" si="10"/>
        <v>T</v>
      </c>
      <c r="D76">
        <f t="shared" si="9"/>
        <v>19</v>
      </c>
      <c r="E76">
        <f t="shared" si="11"/>
        <v>12.291666666666666</v>
      </c>
      <c r="F76" t="str">
        <f t="shared" si="12"/>
        <v>O</v>
      </c>
      <c r="G76">
        <f t="shared" si="13"/>
        <v>14</v>
      </c>
      <c r="H76">
        <f t="shared" si="14"/>
        <v>12.541666666666666</v>
      </c>
    </row>
    <row r="77" spans="1:8">
      <c r="A77">
        <v>77</v>
      </c>
      <c r="B77" s="8" t="s">
        <v>339</v>
      </c>
      <c r="C77" t="str">
        <f t="shared" si="10"/>
        <v>S</v>
      </c>
      <c r="D77">
        <f t="shared" si="9"/>
        <v>18</v>
      </c>
      <c r="E77">
        <f t="shared" si="11"/>
        <v>12.333333333333334</v>
      </c>
      <c r="F77" t="str">
        <f t="shared" si="12"/>
        <v>Y</v>
      </c>
      <c r="G77">
        <f t="shared" si="13"/>
        <v>24</v>
      </c>
      <c r="H77">
        <f t="shared" si="14"/>
        <v>12.666666666666666</v>
      </c>
    </row>
    <row r="78" spans="1:8">
      <c r="A78">
        <v>78</v>
      </c>
      <c r="B78" s="8" t="s">
        <v>340</v>
      </c>
      <c r="C78" t="str">
        <f t="shared" si="10"/>
        <v>D</v>
      </c>
      <c r="D78">
        <f t="shared" si="9"/>
        <v>3</v>
      </c>
      <c r="E78">
        <f t="shared" si="11"/>
        <v>12.041666666666666</v>
      </c>
      <c r="F78" t="str">
        <f t="shared" si="12"/>
        <v>Y</v>
      </c>
      <c r="G78">
        <f t="shared" si="13"/>
        <v>24</v>
      </c>
      <c r="H78">
        <f t="shared" si="14"/>
        <v>12.458333333333334</v>
      </c>
    </row>
    <row r="79" spans="1:8">
      <c r="A79">
        <v>79</v>
      </c>
      <c r="B79" s="8" t="s">
        <v>63</v>
      </c>
      <c r="C79" t="str">
        <f t="shared" si="10"/>
        <v>T</v>
      </c>
      <c r="D79">
        <f t="shared" si="9"/>
        <v>19</v>
      </c>
      <c r="E79">
        <f t="shared" si="11"/>
        <v>12.208333333333334</v>
      </c>
      <c r="F79" t="str">
        <f t="shared" si="12"/>
        <v>E</v>
      </c>
      <c r="G79">
        <f t="shared" si="13"/>
        <v>4</v>
      </c>
      <c r="H79">
        <f t="shared" si="14"/>
        <v>11.583333333333334</v>
      </c>
    </row>
    <row r="80" spans="1:8">
      <c r="A80">
        <v>80</v>
      </c>
      <c r="B80" s="8" t="s">
        <v>341</v>
      </c>
      <c r="C80" t="str">
        <f t="shared" si="10"/>
        <v>R</v>
      </c>
      <c r="D80">
        <f t="shared" si="9"/>
        <v>17</v>
      </c>
      <c r="E80">
        <f t="shared" si="11"/>
        <v>11.5</v>
      </c>
      <c r="F80" t="str">
        <f t="shared" si="12"/>
        <v>S</v>
      </c>
      <c r="G80">
        <f t="shared" si="13"/>
        <v>18</v>
      </c>
      <c r="H80">
        <f t="shared" si="14"/>
        <v>12.125</v>
      </c>
    </row>
    <row r="81" spans="1:8">
      <c r="A81">
        <v>81</v>
      </c>
      <c r="B81" s="8" t="s">
        <v>65</v>
      </c>
      <c r="C81" t="str">
        <f t="shared" si="10"/>
        <v>O</v>
      </c>
      <c r="D81">
        <f t="shared" si="9"/>
        <v>14</v>
      </c>
      <c r="E81">
        <f t="shared" si="11"/>
        <v>11.583333333333334</v>
      </c>
      <c r="F81" t="str">
        <f t="shared" si="12"/>
        <v>F</v>
      </c>
      <c r="G81">
        <f t="shared" si="13"/>
        <v>5</v>
      </c>
      <c r="H81">
        <f t="shared" si="14"/>
        <v>11.916666666666666</v>
      </c>
    </row>
    <row r="82" spans="1:8">
      <c r="A82">
        <v>82</v>
      </c>
      <c r="B82" s="8" t="s">
        <v>342</v>
      </c>
      <c r="C82" t="str">
        <f t="shared" si="10"/>
        <v>P</v>
      </c>
      <c r="D82">
        <f t="shared" si="9"/>
        <v>15</v>
      </c>
      <c r="E82">
        <f t="shared" si="11"/>
        <v>11.916666666666666</v>
      </c>
      <c r="F82" t="str">
        <f t="shared" si="12"/>
        <v>E</v>
      </c>
      <c r="G82">
        <f t="shared" si="13"/>
        <v>4</v>
      </c>
      <c r="H82">
        <f t="shared" si="14"/>
        <v>11.958333333333334</v>
      </c>
    </row>
    <row r="83" spans="1:8">
      <c r="A83">
        <v>83</v>
      </c>
      <c r="B83" s="8" t="s">
        <v>343</v>
      </c>
      <c r="C83" t="str">
        <f t="shared" si="10"/>
        <v>D</v>
      </c>
      <c r="D83">
        <f t="shared" si="9"/>
        <v>3</v>
      </c>
      <c r="E83">
        <f t="shared" si="11"/>
        <v>11.583333333333334</v>
      </c>
      <c r="F83" t="str">
        <f t="shared" si="12"/>
        <v>S</v>
      </c>
      <c r="G83">
        <f t="shared" si="13"/>
        <v>18</v>
      </c>
      <c r="H83">
        <f t="shared" si="14"/>
        <v>11.958333333333334</v>
      </c>
    </row>
    <row r="84" spans="1:8">
      <c r="A84">
        <v>84</v>
      </c>
      <c r="B84" s="8" t="s">
        <v>256</v>
      </c>
      <c r="C84" t="str">
        <f t="shared" si="10"/>
        <v>T</v>
      </c>
      <c r="D84">
        <f t="shared" si="9"/>
        <v>19</v>
      </c>
      <c r="E84">
        <f t="shared" si="11"/>
        <v>11.791666666666666</v>
      </c>
      <c r="F84" t="str">
        <f t="shared" si="12"/>
        <v>T</v>
      </c>
      <c r="G84">
        <f t="shared" si="13"/>
        <v>19</v>
      </c>
      <c r="H84">
        <f t="shared" si="14"/>
        <v>11.333333333333334</v>
      </c>
    </row>
    <row r="85" spans="1:8">
      <c r="A85">
        <v>85</v>
      </c>
      <c r="B85" s="8" t="s">
        <v>344</v>
      </c>
      <c r="C85" t="str">
        <f t="shared" si="10"/>
        <v>E</v>
      </c>
      <c r="D85">
        <f t="shared" si="9"/>
        <v>4</v>
      </c>
      <c r="E85">
        <f t="shared" si="11"/>
        <v>11.083333333333334</v>
      </c>
      <c r="F85" t="str">
        <f t="shared" si="12"/>
        <v>D</v>
      </c>
      <c r="G85">
        <f t="shared" si="13"/>
        <v>3</v>
      </c>
      <c r="H85">
        <f t="shared" si="14"/>
        <v>11</v>
      </c>
    </row>
    <row r="86" spans="1:8">
      <c r="A86">
        <v>86</v>
      </c>
      <c r="B86" s="8" t="s">
        <v>345</v>
      </c>
      <c r="C86" t="str">
        <f t="shared" si="10"/>
        <v>L</v>
      </c>
      <c r="D86">
        <f t="shared" si="9"/>
        <v>11</v>
      </c>
      <c r="E86">
        <f t="shared" si="11"/>
        <v>10.916666666666666</v>
      </c>
      <c r="F86" t="str">
        <f t="shared" si="12"/>
        <v>R</v>
      </c>
      <c r="G86">
        <f t="shared" si="13"/>
        <v>17</v>
      </c>
      <c r="H86">
        <f t="shared" si="14"/>
        <v>11.363636363636363</v>
      </c>
    </row>
    <row r="87" spans="1:8">
      <c r="A87">
        <v>87</v>
      </c>
      <c r="B87" s="8" t="s">
        <v>346</v>
      </c>
      <c r="C87" t="str">
        <f t="shared" si="10"/>
        <v>P</v>
      </c>
      <c r="D87">
        <f t="shared" si="9"/>
        <v>15</v>
      </c>
      <c r="E87">
        <f t="shared" si="11"/>
        <v>11.083333333333334</v>
      </c>
      <c r="F87" t="str">
        <f t="shared" si="12"/>
        <v>T</v>
      </c>
      <c r="G87">
        <f t="shared" si="13"/>
        <v>19</v>
      </c>
      <c r="H87">
        <f t="shared" si="14"/>
        <v>11.095238095238095</v>
      </c>
    </row>
    <row r="88" spans="1:8">
      <c r="A88">
        <v>88</v>
      </c>
      <c r="B88" s="8" t="s">
        <v>347</v>
      </c>
      <c r="C88" t="str">
        <f t="shared" si="10"/>
        <v>D</v>
      </c>
      <c r="D88">
        <f t="shared" si="9"/>
        <v>3</v>
      </c>
      <c r="E88">
        <f t="shared" si="11"/>
        <v>10.75</v>
      </c>
      <c r="F88" t="str">
        <f t="shared" si="12"/>
        <v>Y</v>
      </c>
      <c r="G88">
        <f t="shared" si="13"/>
        <v>24</v>
      </c>
      <c r="H88">
        <f t="shared" si="14"/>
        <v>10.7</v>
      </c>
    </row>
    <row r="89" spans="1:8">
      <c r="A89">
        <v>89</v>
      </c>
      <c r="B89" s="8" t="s">
        <v>291</v>
      </c>
      <c r="C89" t="str">
        <f t="shared" si="10"/>
        <v>W</v>
      </c>
      <c r="D89">
        <f t="shared" ref="D89:D130" si="15">CODE(C89)-65</f>
        <v>22</v>
      </c>
      <c r="E89">
        <f t="shared" si="11"/>
        <v>10.625</v>
      </c>
      <c r="F89" t="str">
        <f t="shared" si="12"/>
        <v>S</v>
      </c>
      <c r="G89">
        <f t="shared" si="13"/>
        <v>18</v>
      </c>
      <c r="H89">
        <f t="shared" si="14"/>
        <v>10</v>
      </c>
    </row>
    <row r="90" spans="1:8">
      <c r="A90">
        <v>90</v>
      </c>
      <c r="B90" s="8" t="s">
        <v>348</v>
      </c>
      <c r="C90" t="str">
        <f t="shared" si="10"/>
        <v>R</v>
      </c>
      <c r="D90">
        <f t="shared" si="15"/>
        <v>17</v>
      </c>
      <c r="E90">
        <f t="shared" si="11"/>
        <v>9.875</v>
      </c>
      <c r="F90" t="str">
        <f t="shared" si="12"/>
        <v>D</v>
      </c>
      <c r="G90">
        <f t="shared" si="13"/>
        <v>3</v>
      </c>
      <c r="H90">
        <f t="shared" si="14"/>
        <v>9.5555555555555554</v>
      </c>
    </row>
    <row r="91" spans="1:8">
      <c r="A91">
        <v>91</v>
      </c>
      <c r="B91" s="8" t="s">
        <v>349</v>
      </c>
      <c r="C91" t="str">
        <f t="shared" si="10"/>
        <v>W</v>
      </c>
      <c r="D91">
        <f t="shared" si="15"/>
        <v>22</v>
      </c>
      <c r="E91">
        <f t="shared" si="11"/>
        <v>9.375</v>
      </c>
      <c r="F91" t="str">
        <f t="shared" si="12"/>
        <v>H</v>
      </c>
      <c r="G91">
        <f t="shared" si="13"/>
        <v>7</v>
      </c>
      <c r="H91">
        <f t="shared" si="14"/>
        <v>9.9411764705882355</v>
      </c>
    </row>
    <row r="92" spans="1:8">
      <c r="A92">
        <v>92</v>
      </c>
      <c r="B92" s="8" t="s">
        <v>350</v>
      </c>
      <c r="C92" t="str">
        <f t="shared" si="10"/>
        <v>T</v>
      </c>
      <c r="D92">
        <f t="shared" si="15"/>
        <v>19</v>
      </c>
      <c r="E92">
        <f t="shared" si="11"/>
        <v>8.5416666666666661</v>
      </c>
      <c r="F92" t="str">
        <f t="shared" si="12"/>
        <v>G</v>
      </c>
      <c r="G92">
        <f t="shared" si="13"/>
        <v>6</v>
      </c>
      <c r="H92">
        <f t="shared" si="14"/>
        <v>10.125</v>
      </c>
    </row>
    <row r="93" spans="1:8">
      <c r="A93">
        <v>93</v>
      </c>
      <c r="B93" s="8" t="s">
        <v>351</v>
      </c>
      <c r="C93" t="str">
        <f t="shared" si="10"/>
        <v>H</v>
      </c>
      <c r="D93">
        <f t="shared" si="15"/>
        <v>7</v>
      </c>
      <c r="E93">
        <f t="shared" si="11"/>
        <v>7.833333333333333</v>
      </c>
      <c r="F93" t="str">
        <f t="shared" si="12"/>
        <v>S</v>
      </c>
      <c r="G93">
        <f t="shared" si="13"/>
        <v>18</v>
      </c>
      <c r="H93">
        <f t="shared" si="14"/>
        <v>10.4</v>
      </c>
    </row>
    <row r="94" spans="1:8">
      <c r="A94">
        <v>94</v>
      </c>
      <c r="B94" s="8" t="s">
        <v>352</v>
      </c>
      <c r="C94" t="str">
        <f t="shared" si="10"/>
        <v>I</v>
      </c>
      <c r="D94">
        <f t="shared" si="15"/>
        <v>8</v>
      </c>
      <c r="E94">
        <f t="shared" si="11"/>
        <v>7.75</v>
      </c>
      <c r="F94" t="str">
        <f t="shared" si="12"/>
        <v>I</v>
      </c>
      <c r="G94">
        <f t="shared" si="13"/>
        <v>8</v>
      </c>
      <c r="H94">
        <f t="shared" si="14"/>
        <v>9.8571428571428577</v>
      </c>
    </row>
    <row r="95" spans="1:8">
      <c r="A95">
        <v>95</v>
      </c>
      <c r="B95" s="8" t="s">
        <v>353</v>
      </c>
      <c r="C95" t="str">
        <f t="shared" si="10"/>
        <v>M</v>
      </c>
      <c r="D95">
        <f t="shared" si="15"/>
        <v>12</v>
      </c>
      <c r="E95">
        <f t="shared" si="11"/>
        <v>7.625</v>
      </c>
      <c r="F95" t="str">
        <f t="shared" si="12"/>
        <v>E</v>
      </c>
      <c r="G95">
        <f t="shared" si="13"/>
        <v>4</v>
      </c>
      <c r="H95">
        <f t="shared" si="14"/>
        <v>10</v>
      </c>
    </row>
    <row r="96" spans="1:8">
      <c r="A96">
        <v>96</v>
      </c>
      <c r="B96" s="8" t="s">
        <v>354</v>
      </c>
      <c r="C96" t="str">
        <f t="shared" si="10"/>
        <v>A</v>
      </c>
      <c r="D96">
        <f t="shared" si="15"/>
        <v>0</v>
      </c>
      <c r="E96">
        <f t="shared" si="11"/>
        <v>7.166666666666667</v>
      </c>
      <c r="F96" t="str">
        <f t="shared" si="12"/>
        <v>A</v>
      </c>
      <c r="G96">
        <f t="shared" si="13"/>
        <v>0</v>
      </c>
      <c r="H96">
        <f t="shared" si="14"/>
        <v>10.5</v>
      </c>
    </row>
    <row r="97" spans="1:8">
      <c r="A97">
        <v>97</v>
      </c>
      <c r="B97" s="8" t="s">
        <v>167</v>
      </c>
      <c r="C97" t="str">
        <f t="shared" si="10"/>
        <v>T</v>
      </c>
      <c r="D97">
        <f t="shared" si="15"/>
        <v>19</v>
      </c>
      <c r="E97">
        <f t="shared" si="11"/>
        <v>7.791666666666667</v>
      </c>
      <c r="F97" t="str">
        <f t="shared" si="12"/>
        <v>Y</v>
      </c>
      <c r="G97">
        <f t="shared" si="13"/>
        <v>24</v>
      </c>
      <c r="H97">
        <f t="shared" si="14"/>
        <v>11.454545454545455</v>
      </c>
    </row>
    <row r="98" spans="1:8">
      <c r="A98">
        <v>98</v>
      </c>
      <c r="B98" s="8" t="s">
        <v>168</v>
      </c>
      <c r="C98" t="str">
        <f t="shared" si="10"/>
        <v>B</v>
      </c>
      <c r="D98">
        <f t="shared" si="15"/>
        <v>1</v>
      </c>
      <c r="E98">
        <f t="shared" si="11"/>
        <v>7.125</v>
      </c>
      <c r="F98" t="str">
        <f t="shared" si="12"/>
        <v>H</v>
      </c>
      <c r="G98">
        <f t="shared" si="13"/>
        <v>7</v>
      </c>
      <c r="H98">
        <f t="shared" si="14"/>
        <v>10.199999999999999</v>
      </c>
    </row>
    <row r="99" spans="1:8">
      <c r="A99">
        <v>99</v>
      </c>
      <c r="B99" s="8" t="s">
        <v>169</v>
      </c>
      <c r="C99" t="str">
        <f t="shared" si="10"/>
        <v>I</v>
      </c>
      <c r="D99">
        <f t="shared" si="15"/>
        <v>8</v>
      </c>
      <c r="E99">
        <f t="shared" si="11"/>
        <v>7.791666666666667</v>
      </c>
      <c r="F99" t="str">
        <f t="shared" si="12"/>
        <v>N</v>
      </c>
      <c r="G99">
        <f t="shared" si="13"/>
        <v>13</v>
      </c>
      <c r="H99">
        <f t="shared" si="14"/>
        <v>10.555555555555555</v>
      </c>
    </row>
    <row r="100" spans="1:8">
      <c r="A100">
        <v>100</v>
      </c>
      <c r="B100" s="8" t="s">
        <v>170</v>
      </c>
      <c r="C100" t="str">
        <f t="shared" si="10"/>
        <v>U</v>
      </c>
      <c r="D100">
        <f t="shared" si="15"/>
        <v>20</v>
      </c>
      <c r="E100">
        <f t="shared" si="11"/>
        <v>8.375</v>
      </c>
      <c r="F100" t="str">
        <f t="shared" si="12"/>
        <v>R</v>
      </c>
      <c r="G100">
        <f t="shared" si="13"/>
        <v>17</v>
      </c>
      <c r="H100">
        <f t="shared" si="14"/>
        <v>10.25</v>
      </c>
    </row>
    <row r="101" spans="1:8">
      <c r="A101">
        <v>101</v>
      </c>
      <c r="B101" s="8" t="s">
        <v>171</v>
      </c>
      <c r="C101" t="str">
        <f t="shared" si="10"/>
        <v>L</v>
      </c>
      <c r="D101">
        <f t="shared" si="15"/>
        <v>11</v>
      </c>
      <c r="E101">
        <f t="shared" si="11"/>
        <v>7.708333333333333</v>
      </c>
      <c r="F101" t="str">
        <f t="shared" si="12"/>
        <v>T</v>
      </c>
      <c r="G101">
        <f t="shared" si="13"/>
        <v>19</v>
      </c>
      <c r="H101">
        <f t="shared" si="14"/>
        <v>9.2857142857142865</v>
      </c>
    </row>
    <row r="102" spans="1:8">
      <c r="A102">
        <v>102</v>
      </c>
      <c r="B102" s="8" t="s">
        <v>172</v>
      </c>
      <c r="C102" t="str">
        <f t="shared" si="10"/>
        <v>H</v>
      </c>
      <c r="D102">
        <f t="shared" si="15"/>
        <v>7</v>
      </c>
      <c r="E102">
        <f t="shared" si="11"/>
        <v>7.75</v>
      </c>
      <c r="F102" t="str">
        <f t="shared" si="12"/>
        <v>D</v>
      </c>
      <c r="G102">
        <f t="shared" si="13"/>
        <v>3</v>
      </c>
      <c r="H102">
        <f t="shared" si="14"/>
        <v>7.666666666666667</v>
      </c>
    </row>
    <row r="103" spans="1:8">
      <c r="A103">
        <v>103</v>
      </c>
      <c r="B103" s="8" t="s">
        <v>173</v>
      </c>
      <c r="C103" t="str">
        <f t="shared" si="10"/>
        <v>C</v>
      </c>
      <c r="D103">
        <f t="shared" si="15"/>
        <v>2</v>
      </c>
      <c r="E103">
        <f t="shared" si="11"/>
        <v>7.541666666666667</v>
      </c>
      <c r="F103" t="str">
        <f t="shared" si="12"/>
        <v>R</v>
      </c>
      <c r="G103">
        <f t="shared" si="13"/>
        <v>17</v>
      </c>
      <c r="H103">
        <f t="shared" si="14"/>
        <v>8.6</v>
      </c>
    </row>
    <row r="104" spans="1:8">
      <c r="A104">
        <v>104</v>
      </c>
      <c r="B104" s="8" t="s">
        <v>174</v>
      </c>
      <c r="C104" t="str">
        <f t="shared" si="10"/>
        <v>T</v>
      </c>
      <c r="D104">
        <f t="shared" si="15"/>
        <v>19</v>
      </c>
      <c r="E104">
        <f t="shared" si="11"/>
        <v>8.4583333333333339</v>
      </c>
      <c r="F104" t="str">
        <f t="shared" si="12"/>
        <v>N</v>
      </c>
      <c r="G104">
        <f t="shared" si="13"/>
        <v>13</v>
      </c>
      <c r="H104">
        <f t="shared" si="14"/>
        <v>6.5</v>
      </c>
    </row>
    <row r="105" spans="1:8">
      <c r="A105">
        <v>105</v>
      </c>
      <c r="B105" s="8" t="s">
        <v>79</v>
      </c>
      <c r="C105" t="str">
        <f t="shared" si="10"/>
        <v>W</v>
      </c>
      <c r="D105">
        <f t="shared" si="15"/>
        <v>22</v>
      </c>
      <c r="E105">
        <f t="shared" si="11"/>
        <v>8.4166666666666661</v>
      </c>
      <c r="F105" t="str">
        <f t="shared" si="12"/>
        <v>G</v>
      </c>
      <c r="G105">
        <f t="shared" si="13"/>
        <v>6</v>
      </c>
      <c r="H105">
        <f t="shared" si="14"/>
        <v>4.333333333333333</v>
      </c>
    </row>
    <row r="106" spans="1:8">
      <c r="A106">
        <v>106</v>
      </c>
      <c r="B106" s="8" t="s">
        <v>80</v>
      </c>
      <c r="C106" t="str">
        <f t="shared" si="10"/>
        <v>H</v>
      </c>
      <c r="D106">
        <f t="shared" si="15"/>
        <v>7</v>
      </c>
      <c r="E106">
        <f t="shared" si="11"/>
        <v>7.5</v>
      </c>
      <c r="F106" t="str">
        <f t="shared" si="12"/>
        <v>E</v>
      </c>
      <c r="G106">
        <f t="shared" si="13"/>
        <v>4</v>
      </c>
      <c r="H106">
        <f t="shared" si="14"/>
        <v>3.5</v>
      </c>
    </row>
    <row r="107" spans="1:8">
      <c r="A107">
        <v>107</v>
      </c>
      <c r="B107" s="8" t="s">
        <v>81</v>
      </c>
      <c r="C107" t="str">
        <f t="shared" si="10"/>
        <v>I</v>
      </c>
      <c r="D107">
        <f t="shared" si="15"/>
        <v>8</v>
      </c>
      <c r="E107">
        <f t="shared" si="11"/>
        <v>7.875</v>
      </c>
      <c r="F107" t="str">
        <f t="shared" si="12"/>
        <v>D</v>
      </c>
      <c r="G107">
        <f t="shared" si="13"/>
        <v>3</v>
      </c>
      <c r="H107">
        <f t="shared" si="14"/>
        <v>3</v>
      </c>
    </row>
    <row r="108" spans="1:8">
      <c r="A108">
        <v>108</v>
      </c>
      <c r="B108" s="8" t="s">
        <v>82</v>
      </c>
      <c r="C108" t="str">
        <f t="shared" si="10"/>
        <v>C</v>
      </c>
      <c r="D108">
        <f t="shared" si="15"/>
        <v>2</v>
      </c>
      <c r="F108" t="str">
        <f t="shared" si="12"/>
        <v>E</v>
      </c>
    </row>
    <row r="109" spans="1:8">
      <c r="A109">
        <v>109</v>
      </c>
      <c r="B109" s="8" t="s">
        <v>62</v>
      </c>
      <c r="C109" t="str">
        <f t="shared" si="10"/>
        <v>A</v>
      </c>
      <c r="D109">
        <f t="shared" si="15"/>
        <v>0</v>
      </c>
      <c r="F109" t="str">
        <f t="shared" si="12"/>
        <v>D</v>
      </c>
    </row>
    <row r="110" spans="1:8">
      <c r="A110">
        <v>110</v>
      </c>
      <c r="B110" s="8" t="s">
        <v>83</v>
      </c>
      <c r="C110" t="str">
        <f t="shared" si="10"/>
        <v>P</v>
      </c>
      <c r="D110">
        <f t="shared" si="15"/>
        <v>15</v>
      </c>
      <c r="F110" t="str">
        <f t="shared" si="12"/>
        <v>D</v>
      </c>
    </row>
    <row r="111" spans="1:8">
      <c r="A111">
        <v>111</v>
      </c>
      <c r="B111" s="8" t="s">
        <v>84</v>
      </c>
      <c r="C111" t="str">
        <f t="shared" si="10"/>
        <v>H</v>
      </c>
      <c r="D111">
        <f t="shared" si="15"/>
        <v>7</v>
      </c>
      <c r="F111" t="str">
        <f t="shared" si="12"/>
        <v>T</v>
      </c>
    </row>
    <row r="112" spans="1:8">
      <c r="A112">
        <v>112</v>
      </c>
      <c r="B112" s="8" t="s">
        <v>85</v>
      </c>
      <c r="C112" t="str">
        <f t="shared" si="10"/>
        <v>A</v>
      </c>
      <c r="D112">
        <f t="shared" si="15"/>
        <v>0</v>
      </c>
      <c r="F112" t="str">
        <f t="shared" si="12"/>
        <v>R</v>
      </c>
    </row>
    <row r="113" spans="1:6">
      <c r="A113">
        <v>113</v>
      </c>
      <c r="B113" s="8" t="s">
        <v>86</v>
      </c>
      <c r="C113" t="str">
        <f t="shared" si="10"/>
        <v>E</v>
      </c>
      <c r="D113">
        <f t="shared" si="15"/>
        <v>4</v>
      </c>
      <c r="F113" t="str">
        <f t="shared" si="12"/>
        <v>G</v>
      </c>
    </row>
    <row r="114" spans="1:6">
      <c r="A114">
        <v>114</v>
      </c>
      <c r="B114" s="8" t="s">
        <v>87</v>
      </c>
      <c r="C114" t="str">
        <f t="shared" si="10"/>
        <v>F</v>
      </c>
      <c r="D114">
        <f t="shared" si="15"/>
        <v>5</v>
      </c>
      <c r="F114" t="str">
        <f t="shared" si="12"/>
        <v>M</v>
      </c>
    </row>
    <row r="115" spans="1:6">
      <c r="A115">
        <v>115</v>
      </c>
      <c r="B115" s="8" t="s">
        <v>88</v>
      </c>
      <c r="C115" t="str">
        <f t="shared" si="10"/>
        <v>C</v>
      </c>
      <c r="D115">
        <f t="shared" si="15"/>
        <v>2</v>
      </c>
      <c r="F115" t="str">
        <f t="shared" si="12"/>
        <v>R</v>
      </c>
    </row>
    <row r="116" spans="1:6">
      <c r="A116">
        <v>116</v>
      </c>
      <c r="B116" s="8" t="s">
        <v>89</v>
      </c>
      <c r="C116" t="str">
        <f t="shared" si="10"/>
        <v>C</v>
      </c>
      <c r="D116">
        <f t="shared" si="15"/>
        <v>2</v>
      </c>
      <c r="F116" t="str">
        <f t="shared" si="12"/>
        <v>D</v>
      </c>
    </row>
    <row r="117" spans="1:6">
      <c r="A117">
        <v>117</v>
      </c>
      <c r="B117" s="8" t="s">
        <v>90</v>
      </c>
      <c r="C117" t="str">
        <f t="shared" si="10"/>
        <v>F</v>
      </c>
      <c r="D117">
        <f t="shared" si="15"/>
        <v>5</v>
      </c>
      <c r="F117" t="str">
        <f t="shared" si="12"/>
        <v>E</v>
      </c>
    </row>
    <row r="118" spans="1:6">
      <c r="A118">
        <v>118</v>
      </c>
      <c r="B118" s="8" t="s">
        <v>91</v>
      </c>
      <c r="C118" t="str">
        <f t="shared" si="10"/>
        <v>F</v>
      </c>
      <c r="D118">
        <f t="shared" si="15"/>
        <v>5</v>
      </c>
      <c r="F118" t="str">
        <f t="shared" si="12"/>
        <v>R</v>
      </c>
    </row>
    <row r="119" spans="1:6">
      <c r="A119">
        <v>119</v>
      </c>
      <c r="B119" s="8" t="s">
        <v>92</v>
      </c>
      <c r="C119" t="str">
        <f t="shared" si="10"/>
        <v>B</v>
      </c>
      <c r="D119">
        <f t="shared" si="15"/>
        <v>1</v>
      </c>
      <c r="F119" t="str">
        <f t="shared" si="12"/>
        <v>T</v>
      </c>
    </row>
    <row r="120" spans="1:6">
      <c r="A120">
        <v>120</v>
      </c>
      <c r="B120" s="8" t="s">
        <v>93</v>
      </c>
      <c r="C120" t="str">
        <f t="shared" si="10"/>
        <v>P</v>
      </c>
      <c r="D120">
        <f t="shared" si="15"/>
        <v>15</v>
      </c>
      <c r="F120" t="str">
        <f t="shared" si="12"/>
        <v>Y</v>
      </c>
    </row>
    <row r="121" spans="1:6">
      <c r="A121">
        <v>121</v>
      </c>
      <c r="B121" s="8" t="s">
        <v>94</v>
      </c>
      <c r="C121" t="str">
        <f t="shared" si="10"/>
        <v>D</v>
      </c>
      <c r="D121">
        <f t="shared" si="15"/>
        <v>3</v>
      </c>
      <c r="F121" t="str">
        <f t="shared" si="12"/>
        <v>S</v>
      </c>
    </row>
    <row r="122" spans="1:6">
      <c r="A122">
        <v>122</v>
      </c>
      <c r="B122" s="8" t="s">
        <v>95</v>
      </c>
      <c r="C122" t="str">
        <f t="shared" si="10"/>
        <v>R</v>
      </c>
      <c r="D122">
        <f t="shared" si="15"/>
        <v>17</v>
      </c>
      <c r="F122" t="str">
        <f t="shared" si="12"/>
        <v>M</v>
      </c>
    </row>
    <row r="123" spans="1:6">
      <c r="A123">
        <v>123</v>
      </c>
      <c r="B123" s="8" t="s">
        <v>96</v>
      </c>
      <c r="C123" t="str">
        <f t="shared" si="10"/>
        <v>W</v>
      </c>
      <c r="D123">
        <f t="shared" si="15"/>
        <v>22</v>
      </c>
      <c r="F123" t="str">
        <f t="shared" si="12"/>
        <v>N</v>
      </c>
    </row>
    <row r="124" spans="1:6">
      <c r="A124">
        <v>124</v>
      </c>
      <c r="B124" s="8" t="s">
        <v>97</v>
      </c>
      <c r="C124" t="str">
        <f t="shared" si="10"/>
        <v>E</v>
      </c>
      <c r="D124">
        <f t="shared" si="15"/>
        <v>4</v>
      </c>
      <c r="F124" t="str">
        <f t="shared" si="12"/>
        <v>D</v>
      </c>
    </row>
    <row r="125" spans="1:6">
      <c r="A125">
        <v>125</v>
      </c>
      <c r="B125" s="8" t="s">
        <v>98</v>
      </c>
      <c r="C125" t="str">
        <f t="shared" si="10"/>
        <v>M</v>
      </c>
      <c r="D125">
        <f t="shared" si="15"/>
        <v>12</v>
      </c>
      <c r="F125" t="str">
        <f t="shared" si="12"/>
        <v>T</v>
      </c>
    </row>
    <row r="126" spans="1:6">
      <c r="A126">
        <v>126</v>
      </c>
      <c r="B126" s="8" t="s">
        <v>99</v>
      </c>
      <c r="C126" t="str">
        <f t="shared" si="10"/>
        <v>C</v>
      </c>
      <c r="D126">
        <f t="shared" si="15"/>
        <v>2</v>
      </c>
      <c r="F126" t="str">
        <f t="shared" si="12"/>
        <v>N</v>
      </c>
    </row>
    <row r="127" spans="1:6">
      <c r="A127">
        <v>127</v>
      </c>
      <c r="B127" s="8" t="s">
        <v>100</v>
      </c>
      <c r="C127" t="str">
        <f t="shared" si="10"/>
        <v>Y</v>
      </c>
      <c r="D127">
        <f t="shared" si="15"/>
        <v>24</v>
      </c>
      <c r="F127" t="str">
        <f t="shared" si="12"/>
        <v>U</v>
      </c>
    </row>
    <row r="128" spans="1:6">
      <c r="A128">
        <v>128</v>
      </c>
      <c r="B128" s="8" t="s">
        <v>101</v>
      </c>
      <c r="C128" t="str">
        <f t="shared" si="10"/>
        <v>S</v>
      </c>
      <c r="D128">
        <f t="shared" si="15"/>
        <v>18</v>
      </c>
      <c r="F128" t="str">
        <f t="shared" si="12"/>
        <v>E</v>
      </c>
    </row>
    <row r="129" spans="1:6">
      <c r="A129">
        <v>129</v>
      </c>
      <c r="B129" s="8" t="s">
        <v>102</v>
      </c>
      <c r="C129" t="str">
        <f t="shared" si="10"/>
        <v>A</v>
      </c>
      <c r="D129">
        <f t="shared" si="15"/>
        <v>0</v>
      </c>
      <c r="F129" t="str">
        <f t="shared" si="12"/>
        <v>G</v>
      </c>
    </row>
    <row r="130" spans="1:6">
      <c r="A130">
        <v>130</v>
      </c>
      <c r="B130" s="8" t="s">
        <v>103</v>
      </c>
      <c r="C130" t="str">
        <f t="shared" ref="C130" si="16">MID(B130,2,1)</f>
        <v>Q</v>
      </c>
      <c r="D130">
        <f t="shared" si="15"/>
        <v>16</v>
      </c>
      <c r="F130" t="str">
        <f t="shared" ref="F130" si="17">MID(B130,LEN(B130),1)</f>
        <v>Q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165"/>
  <sheetViews>
    <sheetView topLeftCell="L34" workbookViewId="0">
      <selection activeCell="B92" sqref="B92:O93"/>
    </sheetView>
  </sheetViews>
  <sheetFormatPr baseColWidth="10" defaultRowHeight="13"/>
  <cols>
    <col min="1" max="1" width="10.7109375" style="14"/>
    <col min="3" max="7" width="10.7109375" style="14" hidden="1" customWidth="1"/>
    <col min="8" max="8" width="10.7109375" style="1"/>
    <col min="9" max="10" width="10.7109375" style="14"/>
  </cols>
  <sheetData>
    <row r="1" spans="1:15">
      <c r="A1" s="14" t="s">
        <v>18</v>
      </c>
      <c r="B1" t="s">
        <v>24</v>
      </c>
      <c r="C1" s="14" t="s">
        <v>17</v>
      </c>
      <c r="D1" s="14" t="s">
        <v>19</v>
      </c>
      <c r="E1" s="14" t="s">
        <v>20</v>
      </c>
      <c r="F1" s="14" t="s">
        <v>21</v>
      </c>
      <c r="G1" s="14" t="s">
        <v>22</v>
      </c>
      <c r="H1" s="1" t="s">
        <v>23</v>
      </c>
      <c r="I1" s="14" t="s">
        <v>299</v>
      </c>
      <c r="J1" s="14" t="s">
        <v>298</v>
      </c>
      <c r="K1" s="14" t="s">
        <v>302</v>
      </c>
      <c r="L1" s="14" t="s">
        <v>303</v>
      </c>
      <c r="M1" s="14" t="s">
        <v>305</v>
      </c>
      <c r="N1" s="14" t="s">
        <v>304</v>
      </c>
    </row>
    <row r="2" spans="1:15" ht="17">
      <c r="A2" s="14">
        <f>1</f>
        <v>1</v>
      </c>
      <c r="B2" s="13" t="s">
        <v>74</v>
      </c>
      <c r="H2" s="1" t="str">
        <f>MID(B2,LEN(B2),1)</f>
        <v>N</v>
      </c>
      <c r="I2" s="14">
        <f>CODE(H2)-65</f>
        <v>13</v>
      </c>
      <c r="J2" s="15">
        <f>AVERAGE(I2:I25)</f>
        <v>10.708333333333334</v>
      </c>
    </row>
    <row r="3" spans="1:15">
      <c r="A3" s="14">
        <f>1+A2</f>
        <v>2</v>
      </c>
      <c r="B3" t="s">
        <v>75</v>
      </c>
      <c r="H3" s="1" t="str">
        <f t="shared" ref="H3:H66" si="0">MID(B3,LEN(B3),1)</f>
        <v>E</v>
      </c>
      <c r="I3" s="14">
        <f t="shared" ref="I3:I66" si="1">CODE(H3)-65</f>
        <v>4</v>
      </c>
      <c r="J3" s="15">
        <f t="shared" ref="J3:J66" si="2">AVERAGE(I3:I26)</f>
        <v>10.25</v>
      </c>
      <c r="K3">
        <v>14</v>
      </c>
      <c r="L3">
        <f>MOD(K3-I3,26)</f>
        <v>10</v>
      </c>
      <c r="M3">
        <f>AVERAGE(K3:K26)</f>
        <v>11.291666666666666</v>
      </c>
      <c r="N3">
        <f>AVERAGE(L3:L26)</f>
        <v>11.875</v>
      </c>
      <c r="O3" t="str">
        <f>CHAR(L3+65)</f>
        <v>K</v>
      </c>
    </row>
    <row r="4" spans="1:15">
      <c r="A4" s="14">
        <f t="shared" ref="A4:A67" si="3">1+A3</f>
        <v>3</v>
      </c>
      <c r="B4" t="s">
        <v>76</v>
      </c>
      <c r="H4" s="1" t="str">
        <f t="shared" si="0"/>
        <v>G</v>
      </c>
      <c r="I4" s="14">
        <f t="shared" si="1"/>
        <v>6</v>
      </c>
      <c r="J4" s="15">
        <f t="shared" si="2"/>
        <v>10.208333333333334</v>
      </c>
      <c r="K4">
        <v>1</v>
      </c>
      <c r="L4">
        <f t="shared" ref="L4:L67" si="4">MOD(K4-I4,26)</f>
        <v>21</v>
      </c>
      <c r="M4">
        <f t="shared" ref="M4:M67" si="5">AVERAGE(K4:K27)</f>
        <v>11.583333333333334</v>
      </c>
      <c r="N4">
        <f t="shared" ref="N4:N67" si="6">AVERAGE(L4:L27)</f>
        <v>12.208333333333334</v>
      </c>
      <c r="O4" t="str">
        <f t="shared" ref="O4:O67" si="7">CHAR(L4+65)</f>
        <v>V</v>
      </c>
    </row>
    <row r="5" spans="1:15">
      <c r="A5" s="14">
        <f t="shared" si="3"/>
        <v>4</v>
      </c>
      <c r="B5" t="s">
        <v>77</v>
      </c>
      <c r="H5" s="1" t="str">
        <f t="shared" si="0"/>
        <v>D</v>
      </c>
      <c r="I5" s="14">
        <f t="shared" si="1"/>
        <v>3</v>
      </c>
      <c r="J5" s="15">
        <f t="shared" si="2"/>
        <v>10.916666666666666</v>
      </c>
      <c r="K5">
        <v>10</v>
      </c>
      <c r="L5">
        <f t="shared" si="4"/>
        <v>7</v>
      </c>
      <c r="M5">
        <f t="shared" si="5"/>
        <v>12.208333333333334</v>
      </c>
      <c r="N5">
        <f t="shared" si="6"/>
        <v>12.125</v>
      </c>
      <c r="O5" t="str">
        <f t="shared" si="7"/>
        <v>H</v>
      </c>
    </row>
    <row r="6" spans="1:15">
      <c r="A6" s="14">
        <f t="shared" si="3"/>
        <v>5</v>
      </c>
      <c r="B6" t="s">
        <v>78</v>
      </c>
      <c r="H6" s="1" t="str">
        <f t="shared" si="0"/>
        <v>E</v>
      </c>
      <c r="I6" s="14">
        <f t="shared" si="1"/>
        <v>4</v>
      </c>
      <c r="J6" s="15">
        <f t="shared" si="2"/>
        <v>10.958333333333334</v>
      </c>
      <c r="K6">
        <v>17</v>
      </c>
      <c r="L6">
        <f t="shared" si="4"/>
        <v>13</v>
      </c>
      <c r="M6">
        <f t="shared" si="5"/>
        <v>12.458333333333334</v>
      </c>
      <c r="N6">
        <f t="shared" si="6"/>
        <v>12.333333333333334</v>
      </c>
      <c r="O6" t="str">
        <f t="shared" si="7"/>
        <v>N</v>
      </c>
    </row>
    <row r="7" spans="1:15">
      <c r="A7" s="14">
        <f t="shared" si="3"/>
        <v>6</v>
      </c>
      <c r="B7" t="s">
        <v>38</v>
      </c>
      <c r="H7" s="1" t="str">
        <f t="shared" si="0"/>
        <v>E</v>
      </c>
      <c r="I7" s="14">
        <f t="shared" si="1"/>
        <v>4</v>
      </c>
      <c r="J7" s="15">
        <f t="shared" si="2"/>
        <v>11.333333333333334</v>
      </c>
      <c r="K7">
        <v>20</v>
      </c>
      <c r="L7">
        <f t="shared" si="4"/>
        <v>16</v>
      </c>
      <c r="M7">
        <f t="shared" si="5"/>
        <v>12.375</v>
      </c>
      <c r="N7">
        <f t="shared" si="6"/>
        <v>11.875</v>
      </c>
      <c r="O7" t="str">
        <f t="shared" si="7"/>
        <v>Q</v>
      </c>
    </row>
    <row r="8" spans="1:15">
      <c r="A8" s="14">
        <f t="shared" si="3"/>
        <v>7</v>
      </c>
      <c r="B8" t="s">
        <v>39</v>
      </c>
      <c r="H8" s="1" t="str">
        <f t="shared" si="0"/>
        <v>F</v>
      </c>
      <c r="I8" s="14">
        <f t="shared" si="1"/>
        <v>5</v>
      </c>
      <c r="J8" s="15">
        <f t="shared" si="2"/>
        <v>11.916666666666666</v>
      </c>
      <c r="K8">
        <v>14</v>
      </c>
      <c r="L8">
        <f t="shared" si="4"/>
        <v>9</v>
      </c>
      <c r="M8">
        <f t="shared" si="5"/>
        <v>12.25</v>
      </c>
      <c r="N8">
        <f t="shared" si="6"/>
        <v>12.25</v>
      </c>
      <c r="O8" t="str">
        <f t="shared" si="7"/>
        <v>J</v>
      </c>
    </row>
    <row r="9" spans="1:15">
      <c r="A9" s="14">
        <f t="shared" si="3"/>
        <v>8</v>
      </c>
      <c r="B9" t="s">
        <v>40</v>
      </c>
      <c r="H9" s="1" t="str">
        <f t="shared" si="0"/>
        <v>T</v>
      </c>
      <c r="I9" s="14">
        <f t="shared" si="1"/>
        <v>19</v>
      </c>
      <c r="J9" s="15">
        <f t="shared" si="2"/>
        <v>11.833333333333334</v>
      </c>
      <c r="K9">
        <v>23</v>
      </c>
      <c r="L9">
        <f t="shared" si="4"/>
        <v>4</v>
      </c>
      <c r="M9">
        <f t="shared" si="5"/>
        <v>12.208333333333334</v>
      </c>
      <c r="N9">
        <f t="shared" si="6"/>
        <v>12.291666666666666</v>
      </c>
      <c r="O9" t="str">
        <f t="shared" si="7"/>
        <v>E</v>
      </c>
    </row>
    <row r="10" spans="1:15">
      <c r="A10" s="14">
        <f t="shared" si="3"/>
        <v>9</v>
      </c>
      <c r="B10" t="s">
        <v>41</v>
      </c>
      <c r="H10" s="1" t="str">
        <f t="shared" si="0"/>
        <v>S</v>
      </c>
      <c r="I10" s="14">
        <f t="shared" si="1"/>
        <v>18</v>
      </c>
      <c r="J10" s="15">
        <f t="shared" si="2"/>
        <v>11.166666666666666</v>
      </c>
      <c r="K10">
        <v>14</v>
      </c>
      <c r="L10">
        <f t="shared" si="4"/>
        <v>22</v>
      </c>
      <c r="M10">
        <f t="shared" si="5"/>
        <v>11.5</v>
      </c>
      <c r="N10">
        <f t="shared" si="6"/>
        <v>12.25</v>
      </c>
      <c r="O10" t="str">
        <f t="shared" si="7"/>
        <v>W</v>
      </c>
    </row>
    <row r="11" spans="1:15">
      <c r="A11" s="14">
        <f t="shared" si="3"/>
        <v>10</v>
      </c>
      <c r="B11" t="s">
        <v>78</v>
      </c>
      <c r="H11" s="1" t="str">
        <f t="shared" si="0"/>
        <v>E</v>
      </c>
      <c r="I11" s="14">
        <f t="shared" si="1"/>
        <v>4</v>
      </c>
      <c r="J11" s="15">
        <f t="shared" si="2"/>
        <v>10.541666666666666</v>
      </c>
      <c r="K11">
        <v>6</v>
      </c>
      <c r="L11">
        <f t="shared" si="4"/>
        <v>2</v>
      </c>
      <c r="M11">
        <f t="shared" si="5"/>
        <v>11.333333333333334</v>
      </c>
      <c r="N11">
        <f t="shared" si="6"/>
        <v>11.625</v>
      </c>
      <c r="O11" t="str">
        <f t="shared" si="7"/>
        <v>C</v>
      </c>
    </row>
    <row r="12" spans="1:15">
      <c r="A12" s="14">
        <f t="shared" si="3"/>
        <v>11</v>
      </c>
      <c r="B12" t="s">
        <v>42</v>
      </c>
      <c r="H12" s="1" t="str">
        <f t="shared" si="0"/>
        <v>E</v>
      </c>
      <c r="I12" s="14">
        <f t="shared" si="1"/>
        <v>4</v>
      </c>
      <c r="J12" s="15">
        <f t="shared" si="2"/>
        <v>10.5</v>
      </c>
      <c r="K12">
        <v>7</v>
      </c>
      <c r="L12">
        <f t="shared" si="4"/>
        <v>3</v>
      </c>
      <c r="M12">
        <f t="shared" si="5"/>
        <v>11.833333333333334</v>
      </c>
      <c r="N12">
        <f t="shared" si="6"/>
        <v>12.166666666666666</v>
      </c>
      <c r="O12" t="str">
        <f t="shared" si="7"/>
        <v>D</v>
      </c>
    </row>
    <row r="13" spans="1:15">
      <c r="A13" s="14">
        <f t="shared" si="3"/>
        <v>12</v>
      </c>
      <c r="B13" t="s">
        <v>39</v>
      </c>
      <c r="H13" s="1" t="str">
        <f t="shared" si="0"/>
        <v>F</v>
      </c>
      <c r="I13" s="14">
        <f t="shared" si="1"/>
        <v>5</v>
      </c>
      <c r="J13" s="15">
        <f t="shared" si="2"/>
        <v>10.916666666666666</v>
      </c>
      <c r="K13">
        <v>20</v>
      </c>
      <c r="L13">
        <f t="shared" si="4"/>
        <v>15</v>
      </c>
      <c r="M13">
        <f t="shared" si="5"/>
        <v>12.291666666666666</v>
      </c>
      <c r="N13">
        <f t="shared" si="6"/>
        <v>12.208333333333334</v>
      </c>
      <c r="O13" t="str">
        <f t="shared" si="7"/>
        <v>P</v>
      </c>
    </row>
    <row r="14" spans="1:15">
      <c r="A14" s="14">
        <f t="shared" si="3"/>
        <v>13</v>
      </c>
      <c r="B14" t="s">
        <v>43</v>
      </c>
      <c r="H14" s="1" t="str">
        <f t="shared" si="0"/>
        <v>N</v>
      </c>
      <c r="I14" s="14">
        <f t="shared" si="1"/>
        <v>13</v>
      </c>
      <c r="J14" s="15">
        <f t="shared" si="2"/>
        <v>11.25</v>
      </c>
      <c r="K14">
        <v>11</v>
      </c>
      <c r="L14">
        <f t="shared" si="4"/>
        <v>24</v>
      </c>
      <c r="M14">
        <f t="shared" si="5"/>
        <v>12.041666666666666</v>
      </c>
      <c r="N14">
        <f t="shared" si="6"/>
        <v>11.625</v>
      </c>
      <c r="O14" t="str">
        <f t="shared" si="7"/>
        <v>Y</v>
      </c>
    </row>
    <row r="15" spans="1:15" ht="17">
      <c r="A15" s="14">
        <f t="shared" si="3"/>
        <v>14</v>
      </c>
      <c r="B15" s="13" t="s">
        <v>44</v>
      </c>
      <c r="H15" s="1" t="str">
        <f t="shared" si="0"/>
        <v>T</v>
      </c>
      <c r="I15" s="14">
        <f t="shared" si="1"/>
        <v>19</v>
      </c>
      <c r="J15" s="15">
        <f t="shared" si="2"/>
        <v>11.25</v>
      </c>
      <c r="K15">
        <v>1</v>
      </c>
      <c r="L15">
        <f t="shared" si="4"/>
        <v>8</v>
      </c>
      <c r="M15">
        <f t="shared" si="5"/>
        <v>12.375</v>
      </c>
      <c r="N15">
        <f t="shared" si="6"/>
        <v>10.875</v>
      </c>
      <c r="O15" t="str">
        <f t="shared" si="7"/>
        <v>I</v>
      </c>
    </row>
    <row r="16" spans="1:15">
      <c r="A16" s="14">
        <f t="shared" si="3"/>
        <v>15</v>
      </c>
      <c r="B16" t="s">
        <v>45</v>
      </c>
      <c r="H16" s="1" t="str">
        <f t="shared" si="0"/>
        <v>S</v>
      </c>
      <c r="I16" s="14">
        <f t="shared" si="1"/>
        <v>18</v>
      </c>
      <c r="J16" s="15">
        <f t="shared" si="2"/>
        <v>11</v>
      </c>
      <c r="K16">
        <v>18</v>
      </c>
      <c r="L16">
        <f t="shared" si="4"/>
        <v>0</v>
      </c>
      <c r="M16">
        <f t="shared" si="5"/>
        <v>13.25</v>
      </c>
      <c r="N16">
        <f t="shared" si="6"/>
        <v>10.916666666666666</v>
      </c>
      <c r="O16" t="str">
        <f t="shared" si="7"/>
        <v>A</v>
      </c>
    </row>
    <row r="17" spans="1:15">
      <c r="A17" s="14">
        <f t="shared" si="3"/>
        <v>16</v>
      </c>
      <c r="B17" t="s">
        <v>46</v>
      </c>
      <c r="H17" s="1" t="str">
        <f t="shared" si="0"/>
        <v>Y</v>
      </c>
      <c r="I17" s="14">
        <f t="shared" si="1"/>
        <v>24</v>
      </c>
      <c r="J17" s="15">
        <f t="shared" si="2"/>
        <v>11.208333333333334</v>
      </c>
      <c r="K17">
        <v>14</v>
      </c>
      <c r="L17">
        <f t="shared" si="4"/>
        <v>16</v>
      </c>
      <c r="M17">
        <f t="shared" si="5"/>
        <v>13.291666666666666</v>
      </c>
      <c r="N17">
        <f t="shared" si="6"/>
        <v>11.833333333333334</v>
      </c>
      <c r="O17" t="str">
        <f t="shared" si="7"/>
        <v>Q</v>
      </c>
    </row>
    <row r="18" spans="1:15">
      <c r="A18" s="14">
        <f t="shared" si="3"/>
        <v>17</v>
      </c>
      <c r="B18" t="s">
        <v>47</v>
      </c>
      <c r="H18" s="1" t="str">
        <f t="shared" si="0"/>
        <v>E</v>
      </c>
      <c r="I18" s="14">
        <f t="shared" si="1"/>
        <v>4</v>
      </c>
      <c r="J18" s="15">
        <f t="shared" si="2"/>
        <v>10.958333333333334</v>
      </c>
      <c r="K18">
        <v>11</v>
      </c>
      <c r="L18">
        <f t="shared" si="4"/>
        <v>7</v>
      </c>
      <c r="M18">
        <f t="shared" si="5"/>
        <v>13.375</v>
      </c>
      <c r="N18">
        <f t="shared" si="6"/>
        <v>12.166666666666666</v>
      </c>
      <c r="O18" t="str">
        <f t="shared" si="7"/>
        <v>H</v>
      </c>
    </row>
    <row r="19" spans="1:15">
      <c r="A19" s="14">
        <f t="shared" si="3"/>
        <v>18</v>
      </c>
      <c r="B19" t="s">
        <v>48</v>
      </c>
      <c r="H19" s="1" t="str">
        <f t="shared" si="0"/>
        <v>S</v>
      </c>
      <c r="I19" s="14">
        <f t="shared" si="1"/>
        <v>18</v>
      </c>
      <c r="J19" s="15">
        <f t="shared" si="2"/>
        <v>11.791666666666666</v>
      </c>
      <c r="K19">
        <v>8</v>
      </c>
      <c r="L19">
        <f t="shared" si="4"/>
        <v>16</v>
      </c>
      <c r="M19">
        <f t="shared" si="5"/>
        <v>13.666666666666666</v>
      </c>
      <c r="N19">
        <f t="shared" si="6"/>
        <v>12.708333333333334</v>
      </c>
      <c r="O19" t="str">
        <f t="shared" si="7"/>
        <v>Q</v>
      </c>
    </row>
    <row r="20" spans="1:15">
      <c r="A20" s="14">
        <f t="shared" si="3"/>
        <v>19</v>
      </c>
      <c r="B20" t="s">
        <v>49</v>
      </c>
      <c r="H20" s="1" t="str">
        <f t="shared" si="0"/>
        <v>T</v>
      </c>
      <c r="I20" s="14">
        <f t="shared" si="1"/>
        <v>19</v>
      </c>
      <c r="J20" s="15">
        <f t="shared" si="2"/>
        <v>11.958333333333334</v>
      </c>
      <c r="K20">
        <v>5</v>
      </c>
      <c r="L20">
        <f t="shared" si="4"/>
        <v>12</v>
      </c>
      <c r="M20">
        <f t="shared" si="5"/>
        <v>13.708333333333334</v>
      </c>
      <c r="N20">
        <f t="shared" si="6"/>
        <v>12.583333333333334</v>
      </c>
      <c r="O20" t="str">
        <f t="shared" si="7"/>
        <v>M</v>
      </c>
    </row>
    <row r="21" spans="1:15">
      <c r="A21" s="14">
        <f t="shared" si="3"/>
        <v>20</v>
      </c>
      <c r="B21" t="s">
        <v>243</v>
      </c>
      <c r="C21" s="14" t="s">
        <v>244</v>
      </c>
      <c r="F21" s="14">
        <v>20</v>
      </c>
      <c r="G21" s="14">
        <f>F45-F21</f>
        <v>24</v>
      </c>
      <c r="H21" s="1" t="str">
        <f t="shared" si="0"/>
        <v>E</v>
      </c>
      <c r="I21" s="14">
        <f t="shared" si="1"/>
        <v>4</v>
      </c>
      <c r="J21" s="15">
        <f t="shared" si="2"/>
        <v>11.958333333333334</v>
      </c>
      <c r="K21">
        <v>1</v>
      </c>
      <c r="L21">
        <f t="shared" si="4"/>
        <v>23</v>
      </c>
      <c r="M21">
        <f t="shared" si="5"/>
        <v>14.166666666666666</v>
      </c>
      <c r="N21">
        <f t="shared" si="6"/>
        <v>13.041666666666666</v>
      </c>
      <c r="O21" t="str">
        <f t="shared" si="7"/>
        <v>X</v>
      </c>
    </row>
    <row r="22" spans="1:15">
      <c r="A22" s="14">
        <f t="shared" si="3"/>
        <v>21</v>
      </c>
      <c r="B22" t="s">
        <v>50</v>
      </c>
      <c r="H22" s="1" t="str">
        <f t="shared" si="0"/>
        <v>Y</v>
      </c>
      <c r="I22" s="14">
        <f t="shared" si="1"/>
        <v>24</v>
      </c>
      <c r="J22" s="15">
        <f t="shared" si="2"/>
        <v>12.541666666666666</v>
      </c>
      <c r="K22">
        <v>1</v>
      </c>
      <c r="L22">
        <f t="shared" si="4"/>
        <v>3</v>
      </c>
      <c r="M22">
        <f t="shared" si="5"/>
        <v>14.875</v>
      </c>
      <c r="N22">
        <f t="shared" si="6"/>
        <v>12.083333333333334</v>
      </c>
      <c r="O22" t="str">
        <f t="shared" si="7"/>
        <v>D</v>
      </c>
    </row>
    <row r="23" spans="1:15">
      <c r="A23" s="14">
        <f t="shared" si="3"/>
        <v>22</v>
      </c>
      <c r="B23" t="s">
        <v>51</v>
      </c>
      <c r="H23" s="1" t="str">
        <f t="shared" si="0"/>
        <v>D</v>
      </c>
      <c r="I23" s="14">
        <f t="shared" si="1"/>
        <v>3</v>
      </c>
      <c r="J23" s="15">
        <f t="shared" si="2"/>
        <v>12.541666666666666</v>
      </c>
      <c r="K23">
        <v>22</v>
      </c>
      <c r="L23">
        <f t="shared" si="4"/>
        <v>19</v>
      </c>
      <c r="M23">
        <f t="shared" si="5"/>
        <v>15.583333333333334</v>
      </c>
      <c r="N23">
        <f t="shared" si="6"/>
        <v>12.791666666666666</v>
      </c>
      <c r="O23" t="str">
        <f t="shared" si="7"/>
        <v>T</v>
      </c>
    </row>
    <row r="24" spans="1:15">
      <c r="A24" s="14">
        <f t="shared" si="3"/>
        <v>23</v>
      </c>
      <c r="B24" t="s">
        <v>78</v>
      </c>
      <c r="H24" s="1" t="str">
        <f t="shared" si="0"/>
        <v>E</v>
      </c>
      <c r="I24" s="14">
        <f t="shared" si="1"/>
        <v>4</v>
      </c>
      <c r="J24" s="15">
        <f t="shared" si="2"/>
        <v>12.541666666666666</v>
      </c>
      <c r="K24">
        <v>5</v>
      </c>
      <c r="L24">
        <f t="shared" si="4"/>
        <v>1</v>
      </c>
      <c r="M24">
        <f t="shared" si="5"/>
        <v>14.833333333333334</v>
      </c>
      <c r="N24">
        <f t="shared" si="6"/>
        <v>12.041666666666666</v>
      </c>
      <c r="O24" t="str">
        <f t="shared" si="7"/>
        <v>B</v>
      </c>
    </row>
    <row r="25" spans="1:15">
      <c r="A25" s="14">
        <f t="shared" si="3"/>
        <v>24</v>
      </c>
      <c r="B25" t="s">
        <v>52</v>
      </c>
      <c r="H25" s="1" t="str">
        <f t="shared" si="0"/>
        <v>S</v>
      </c>
      <c r="I25" s="14">
        <f t="shared" si="1"/>
        <v>18</v>
      </c>
      <c r="J25" s="15">
        <f t="shared" si="2"/>
        <v>13.125</v>
      </c>
      <c r="K25">
        <v>11</v>
      </c>
      <c r="L25">
        <f t="shared" si="4"/>
        <v>19</v>
      </c>
      <c r="M25">
        <f t="shared" si="5"/>
        <v>15.041666666666666</v>
      </c>
      <c r="N25">
        <f t="shared" si="6"/>
        <v>12.75</v>
      </c>
      <c r="O25" t="str">
        <f t="shared" si="7"/>
        <v>T</v>
      </c>
    </row>
    <row r="26" spans="1:15">
      <c r="A26" s="14">
        <f t="shared" si="3"/>
        <v>25</v>
      </c>
      <c r="B26" t="s">
        <v>53</v>
      </c>
      <c r="H26" s="1" t="str">
        <f t="shared" si="0"/>
        <v>C</v>
      </c>
      <c r="I26" s="14">
        <f t="shared" si="1"/>
        <v>2</v>
      </c>
      <c r="J26" s="15">
        <f t="shared" si="2"/>
        <v>12.5</v>
      </c>
      <c r="K26">
        <v>17</v>
      </c>
      <c r="L26">
        <f t="shared" si="4"/>
        <v>15</v>
      </c>
      <c r="M26">
        <f t="shared" si="5"/>
        <v>15.625</v>
      </c>
      <c r="N26">
        <f t="shared" si="6"/>
        <v>12.875</v>
      </c>
      <c r="O26" t="str">
        <f t="shared" si="7"/>
        <v>P</v>
      </c>
    </row>
    <row r="27" spans="1:15">
      <c r="A27" s="14">
        <f t="shared" si="3"/>
        <v>26</v>
      </c>
      <c r="B27" t="s">
        <v>54</v>
      </c>
      <c r="H27" s="1" t="str">
        <f t="shared" si="0"/>
        <v>D</v>
      </c>
      <c r="I27" s="14">
        <f t="shared" si="1"/>
        <v>3</v>
      </c>
      <c r="J27" s="15">
        <f t="shared" si="2"/>
        <v>13.208333333333334</v>
      </c>
      <c r="K27">
        <v>21</v>
      </c>
      <c r="L27">
        <f t="shared" si="4"/>
        <v>18</v>
      </c>
      <c r="M27">
        <f t="shared" si="5"/>
        <v>15.958333333333334</v>
      </c>
      <c r="N27">
        <f t="shared" si="6"/>
        <v>12.5</v>
      </c>
      <c r="O27" t="str">
        <f t="shared" si="7"/>
        <v>S</v>
      </c>
    </row>
    <row r="28" spans="1:15">
      <c r="A28" s="14">
        <f t="shared" si="3"/>
        <v>27</v>
      </c>
      <c r="B28" t="s">
        <v>111</v>
      </c>
      <c r="C28" s="14" t="s">
        <v>250</v>
      </c>
      <c r="D28" s="14">
        <v>22</v>
      </c>
      <c r="E28" s="14">
        <f>D40-D28</f>
        <v>17</v>
      </c>
      <c r="H28" s="1" t="str">
        <f t="shared" si="0"/>
        <v>X</v>
      </c>
      <c r="I28" s="14">
        <f t="shared" si="1"/>
        <v>23</v>
      </c>
      <c r="J28" s="15">
        <f t="shared" si="2"/>
        <v>13.25</v>
      </c>
      <c r="K28">
        <v>16</v>
      </c>
      <c r="L28">
        <f t="shared" si="4"/>
        <v>19</v>
      </c>
      <c r="M28">
        <f t="shared" si="5"/>
        <v>16</v>
      </c>
      <c r="N28">
        <f t="shared" si="6"/>
        <v>12.5</v>
      </c>
      <c r="O28" t="str">
        <f t="shared" si="7"/>
        <v>T</v>
      </c>
    </row>
    <row r="29" spans="1:15">
      <c r="A29" s="14">
        <f t="shared" si="3"/>
        <v>28</v>
      </c>
      <c r="B29" t="s">
        <v>78</v>
      </c>
      <c r="H29" s="1" t="str">
        <f t="shared" si="0"/>
        <v>E</v>
      </c>
      <c r="I29" s="14">
        <f t="shared" si="1"/>
        <v>4</v>
      </c>
      <c r="J29" s="15">
        <f t="shared" si="2"/>
        <v>12.458333333333334</v>
      </c>
      <c r="K29">
        <v>16</v>
      </c>
      <c r="L29">
        <f t="shared" si="4"/>
        <v>12</v>
      </c>
      <c r="M29">
        <f t="shared" si="5"/>
        <v>15.333333333333334</v>
      </c>
      <c r="N29">
        <f t="shared" si="6"/>
        <v>12.625</v>
      </c>
      <c r="O29" t="str">
        <f t="shared" si="7"/>
        <v>M</v>
      </c>
    </row>
    <row r="30" spans="1:15">
      <c r="A30" s="14">
        <f t="shared" si="3"/>
        <v>29</v>
      </c>
      <c r="B30" t="s">
        <v>55</v>
      </c>
      <c r="H30" s="1" t="str">
        <f t="shared" si="0"/>
        <v>N</v>
      </c>
      <c r="I30" s="14">
        <f t="shared" si="1"/>
        <v>13</v>
      </c>
      <c r="J30" s="15">
        <f t="shared" si="2"/>
        <v>13.25</v>
      </c>
      <c r="K30">
        <v>15</v>
      </c>
      <c r="L30">
        <f t="shared" si="4"/>
        <v>2</v>
      </c>
      <c r="M30">
        <f t="shared" si="5"/>
        <v>15.458333333333334</v>
      </c>
      <c r="N30">
        <f t="shared" si="6"/>
        <v>13.041666666666666</v>
      </c>
      <c r="O30" t="str">
        <f t="shared" si="7"/>
        <v>C</v>
      </c>
    </row>
    <row r="31" spans="1:15">
      <c r="A31" s="14">
        <f t="shared" si="3"/>
        <v>30</v>
      </c>
      <c r="B31" t="s">
        <v>45</v>
      </c>
      <c r="H31" s="1" t="str">
        <f t="shared" si="0"/>
        <v>S</v>
      </c>
      <c r="I31" s="14">
        <f t="shared" si="1"/>
        <v>18</v>
      </c>
      <c r="J31" s="15">
        <f t="shared" si="2"/>
        <v>13.291666666666666</v>
      </c>
      <c r="K31">
        <v>17</v>
      </c>
      <c r="L31">
        <f t="shared" si="4"/>
        <v>25</v>
      </c>
      <c r="M31">
        <f t="shared" si="5"/>
        <v>15.208333333333334</v>
      </c>
      <c r="N31">
        <f t="shared" si="6"/>
        <v>13.833333333333334</v>
      </c>
      <c r="O31" t="str">
        <f t="shared" si="7"/>
        <v>Z</v>
      </c>
    </row>
    <row r="32" spans="1:15">
      <c r="A32" s="14">
        <f t="shared" si="3"/>
        <v>31</v>
      </c>
      <c r="B32" t="s">
        <v>56</v>
      </c>
      <c r="H32" s="1" t="str">
        <f t="shared" si="0"/>
        <v>D</v>
      </c>
      <c r="I32" s="14">
        <f t="shared" si="1"/>
        <v>3</v>
      </c>
      <c r="J32" s="15">
        <f t="shared" si="2"/>
        <v>13.291666666666666</v>
      </c>
      <c r="K32">
        <v>13</v>
      </c>
      <c r="L32">
        <f t="shared" si="4"/>
        <v>10</v>
      </c>
      <c r="M32">
        <f t="shared" si="5"/>
        <v>14.916666666666666</v>
      </c>
      <c r="N32">
        <f t="shared" si="6"/>
        <v>13.541666666666666</v>
      </c>
      <c r="O32" t="str">
        <f t="shared" si="7"/>
        <v>K</v>
      </c>
    </row>
    <row r="33" spans="1:15">
      <c r="A33" s="14">
        <f t="shared" si="3"/>
        <v>32</v>
      </c>
      <c r="B33" t="s">
        <v>77</v>
      </c>
      <c r="H33" s="1" t="str">
        <f t="shared" si="0"/>
        <v>D</v>
      </c>
      <c r="I33" s="14">
        <f t="shared" si="1"/>
        <v>3</v>
      </c>
      <c r="J33" s="15">
        <f t="shared" si="2"/>
        <v>13.333333333333334</v>
      </c>
      <c r="K33">
        <v>6</v>
      </c>
      <c r="L33">
        <f t="shared" si="4"/>
        <v>3</v>
      </c>
      <c r="M33">
        <f t="shared" si="5"/>
        <v>14.833333333333334</v>
      </c>
      <c r="N33">
        <f t="shared" si="6"/>
        <v>13.416666666666666</v>
      </c>
      <c r="O33" t="str">
        <f t="shared" si="7"/>
        <v>D</v>
      </c>
    </row>
    <row r="34" spans="1:15">
      <c r="A34" s="14">
        <f t="shared" si="3"/>
        <v>33</v>
      </c>
      <c r="B34" t="s">
        <v>311</v>
      </c>
      <c r="H34" s="1" t="str">
        <f t="shared" si="0"/>
        <v>D</v>
      </c>
      <c r="I34" s="14">
        <f t="shared" si="1"/>
        <v>3</v>
      </c>
      <c r="J34" s="15">
        <f t="shared" si="2"/>
        <v>14</v>
      </c>
      <c r="K34">
        <v>10</v>
      </c>
      <c r="L34">
        <f t="shared" si="4"/>
        <v>7</v>
      </c>
      <c r="M34">
        <f t="shared" si="5"/>
        <v>15.416666666666666</v>
      </c>
      <c r="N34">
        <f t="shared" si="6"/>
        <v>13.333333333333334</v>
      </c>
      <c r="O34" t="str">
        <f t="shared" si="7"/>
        <v>H</v>
      </c>
    </row>
    <row r="35" spans="1:15">
      <c r="A35" s="14">
        <f t="shared" si="3"/>
        <v>34</v>
      </c>
      <c r="B35" t="s">
        <v>312</v>
      </c>
      <c r="H35" s="1" t="str">
        <f t="shared" si="0"/>
        <v>D</v>
      </c>
      <c r="I35" s="14">
        <f t="shared" si="1"/>
        <v>3</v>
      </c>
      <c r="J35" s="15">
        <f t="shared" si="2"/>
        <v>14.416666666666666</v>
      </c>
      <c r="K35">
        <v>18</v>
      </c>
      <c r="L35">
        <f t="shared" si="4"/>
        <v>15</v>
      </c>
      <c r="M35">
        <f t="shared" si="5"/>
        <v>15.125</v>
      </c>
      <c r="N35">
        <f t="shared" si="6"/>
        <v>13.708333333333334</v>
      </c>
      <c r="O35" t="str">
        <f t="shared" si="7"/>
        <v>P</v>
      </c>
    </row>
    <row r="36" spans="1:15">
      <c r="A36" s="14">
        <f t="shared" si="3"/>
        <v>35</v>
      </c>
      <c r="B36" t="s">
        <v>313</v>
      </c>
      <c r="H36" s="1" t="str">
        <f t="shared" si="0"/>
        <v>O</v>
      </c>
      <c r="I36" s="14">
        <f t="shared" si="1"/>
        <v>14</v>
      </c>
      <c r="J36" s="15">
        <f t="shared" si="2"/>
        <v>15.291666666666666</v>
      </c>
      <c r="K36">
        <v>18</v>
      </c>
      <c r="L36">
        <f t="shared" si="4"/>
        <v>4</v>
      </c>
      <c r="M36">
        <f t="shared" si="5"/>
        <v>14.708333333333334</v>
      </c>
      <c r="N36">
        <f t="shared" si="6"/>
        <v>13.5</v>
      </c>
      <c r="O36" t="str">
        <f t="shared" si="7"/>
        <v>E</v>
      </c>
    </row>
    <row r="37" spans="1:15">
      <c r="A37" s="14">
        <f t="shared" si="3"/>
        <v>36</v>
      </c>
      <c r="B37" t="s">
        <v>314</v>
      </c>
      <c r="H37" s="1" t="str">
        <f t="shared" si="0"/>
        <v>N</v>
      </c>
      <c r="I37" s="14">
        <f t="shared" si="1"/>
        <v>13</v>
      </c>
      <c r="J37" s="15">
        <f t="shared" si="2"/>
        <v>15.625</v>
      </c>
      <c r="K37">
        <v>14</v>
      </c>
      <c r="L37">
        <f t="shared" si="4"/>
        <v>1</v>
      </c>
      <c r="M37">
        <f t="shared" si="5"/>
        <v>13.958333333333334</v>
      </c>
      <c r="N37">
        <f t="shared" si="6"/>
        <v>13.5</v>
      </c>
      <c r="O37" t="str">
        <f t="shared" si="7"/>
        <v>B</v>
      </c>
    </row>
    <row r="38" spans="1:15">
      <c r="A38" s="14">
        <f t="shared" si="3"/>
        <v>37</v>
      </c>
      <c r="B38" t="s">
        <v>315</v>
      </c>
      <c r="H38" s="1" t="str">
        <f t="shared" si="0"/>
        <v>N</v>
      </c>
      <c r="I38" s="14">
        <f t="shared" si="1"/>
        <v>13</v>
      </c>
      <c r="J38" s="15">
        <f t="shared" si="2"/>
        <v>15.833333333333334</v>
      </c>
      <c r="K38">
        <v>19</v>
      </c>
      <c r="L38">
        <f t="shared" si="4"/>
        <v>6</v>
      </c>
      <c r="M38">
        <f t="shared" si="5"/>
        <v>14.291666666666666</v>
      </c>
      <c r="N38">
        <f t="shared" si="6"/>
        <v>13.625</v>
      </c>
      <c r="O38" t="str">
        <f t="shared" si="7"/>
        <v>G</v>
      </c>
    </row>
    <row r="39" spans="1:15">
      <c r="A39" s="14">
        <f t="shared" si="3"/>
        <v>38</v>
      </c>
      <c r="B39" t="s">
        <v>316</v>
      </c>
      <c r="H39" s="1" t="str">
        <f t="shared" si="0"/>
        <v>N</v>
      </c>
      <c r="I39" s="14">
        <f t="shared" si="1"/>
        <v>13</v>
      </c>
      <c r="J39" s="15">
        <f t="shared" si="2"/>
        <v>16.041666666666668</v>
      </c>
      <c r="K39">
        <v>22</v>
      </c>
      <c r="L39">
        <f t="shared" si="4"/>
        <v>9</v>
      </c>
      <c r="M39">
        <f t="shared" si="5"/>
        <v>13.833333333333334</v>
      </c>
      <c r="N39">
        <f t="shared" si="6"/>
        <v>14.041666666666666</v>
      </c>
      <c r="O39" t="str">
        <f t="shared" si="7"/>
        <v>J</v>
      </c>
    </row>
    <row r="40" spans="1:15">
      <c r="A40" s="14">
        <f t="shared" si="3"/>
        <v>39</v>
      </c>
      <c r="B40" t="s">
        <v>111</v>
      </c>
      <c r="C40" s="14" t="s">
        <v>247</v>
      </c>
      <c r="D40" s="14">
        <v>39</v>
      </c>
      <c r="E40" s="14">
        <f>D53-D40</f>
        <v>13</v>
      </c>
      <c r="H40" s="1" t="str">
        <f t="shared" si="0"/>
        <v>X</v>
      </c>
      <c r="I40" s="14">
        <f t="shared" si="1"/>
        <v>23</v>
      </c>
      <c r="J40" s="15">
        <f t="shared" si="2"/>
        <v>16.25</v>
      </c>
      <c r="K40">
        <v>19</v>
      </c>
      <c r="L40">
        <f t="shared" si="4"/>
        <v>22</v>
      </c>
      <c r="M40">
        <f t="shared" si="5"/>
        <v>13.458333333333334</v>
      </c>
      <c r="N40">
        <f t="shared" si="6"/>
        <v>14.541666666666666</v>
      </c>
      <c r="O40" t="str">
        <f t="shared" si="7"/>
        <v>W</v>
      </c>
    </row>
    <row r="41" spans="1:15">
      <c r="A41" s="14">
        <f t="shared" si="3"/>
        <v>40</v>
      </c>
      <c r="B41" t="s">
        <v>317</v>
      </c>
      <c r="H41" s="1" t="str">
        <f t="shared" si="0"/>
        <v>S</v>
      </c>
      <c r="I41" s="14">
        <f t="shared" si="1"/>
        <v>18</v>
      </c>
      <c r="J41" s="15">
        <f t="shared" si="2"/>
        <v>16.083333333333332</v>
      </c>
      <c r="K41">
        <v>16</v>
      </c>
      <c r="L41">
        <f t="shared" si="4"/>
        <v>24</v>
      </c>
      <c r="M41">
        <f t="shared" si="5"/>
        <v>12.875</v>
      </c>
      <c r="N41">
        <f t="shared" si="6"/>
        <v>14.125</v>
      </c>
      <c r="O41" t="str">
        <f t="shared" si="7"/>
        <v>Y</v>
      </c>
    </row>
    <row r="42" spans="1:15">
      <c r="A42" s="14">
        <f t="shared" si="3"/>
        <v>41</v>
      </c>
      <c r="B42" t="s">
        <v>318</v>
      </c>
      <c r="H42" s="1" t="str">
        <f t="shared" si="0"/>
        <v>Y</v>
      </c>
      <c r="I42" s="14">
        <f t="shared" si="1"/>
        <v>24</v>
      </c>
      <c r="J42" s="15">
        <f t="shared" si="2"/>
        <v>15.5</v>
      </c>
      <c r="K42">
        <v>18</v>
      </c>
      <c r="L42">
        <f t="shared" si="4"/>
        <v>20</v>
      </c>
      <c r="M42">
        <f t="shared" si="5"/>
        <v>12.25</v>
      </c>
      <c r="N42">
        <f t="shared" si="6"/>
        <v>14.083333333333334</v>
      </c>
      <c r="O42" t="str">
        <f t="shared" si="7"/>
        <v>U</v>
      </c>
    </row>
    <row r="43" spans="1:15">
      <c r="A43" s="14">
        <f t="shared" si="3"/>
        <v>42</v>
      </c>
      <c r="B43" t="s">
        <v>319</v>
      </c>
      <c r="H43" s="1" t="str">
        <f t="shared" si="0"/>
        <v>W</v>
      </c>
      <c r="I43" s="14">
        <f t="shared" si="1"/>
        <v>22</v>
      </c>
      <c r="J43" s="15">
        <f t="shared" si="2"/>
        <v>15.458333333333334</v>
      </c>
      <c r="K43">
        <v>9</v>
      </c>
      <c r="L43">
        <f t="shared" si="4"/>
        <v>13</v>
      </c>
      <c r="M43">
        <f t="shared" si="5"/>
        <v>12.041666666666666</v>
      </c>
      <c r="N43">
        <f t="shared" si="6"/>
        <v>13.916666666666666</v>
      </c>
      <c r="O43" t="str">
        <f t="shared" si="7"/>
        <v>N</v>
      </c>
    </row>
    <row r="44" spans="1:15">
      <c r="A44" s="14">
        <f t="shared" si="3"/>
        <v>43</v>
      </c>
      <c r="B44" t="s">
        <v>320</v>
      </c>
      <c r="H44" s="1" t="str">
        <f t="shared" si="0"/>
        <v>T</v>
      </c>
      <c r="I44" s="14">
        <f t="shared" si="1"/>
        <v>19</v>
      </c>
      <c r="J44" s="15">
        <f t="shared" si="2"/>
        <v>15.541666666666666</v>
      </c>
      <c r="K44">
        <v>16</v>
      </c>
      <c r="L44">
        <f t="shared" si="4"/>
        <v>23</v>
      </c>
      <c r="M44">
        <f t="shared" si="5"/>
        <v>12.666666666666666</v>
      </c>
      <c r="N44">
        <f t="shared" si="6"/>
        <v>13.375</v>
      </c>
      <c r="O44" t="str">
        <f t="shared" si="7"/>
        <v>X</v>
      </c>
    </row>
    <row r="45" spans="1:15">
      <c r="A45" s="14">
        <f t="shared" si="3"/>
        <v>44</v>
      </c>
      <c r="B45" t="s">
        <v>301</v>
      </c>
      <c r="C45" s="14" t="s">
        <v>300</v>
      </c>
      <c r="F45" s="14">
        <f>44</f>
        <v>44</v>
      </c>
      <c r="G45" s="14">
        <f>F58-F45</f>
        <v>13</v>
      </c>
      <c r="H45" s="1" t="str">
        <f t="shared" si="0"/>
        <v>S</v>
      </c>
      <c r="I45" s="14">
        <f t="shared" si="1"/>
        <v>18</v>
      </c>
      <c r="J45" s="15">
        <f t="shared" si="2"/>
        <v>15.541666666666666</v>
      </c>
      <c r="K45">
        <v>18</v>
      </c>
      <c r="L45">
        <f t="shared" si="4"/>
        <v>0</v>
      </c>
      <c r="M45">
        <f t="shared" si="5"/>
        <v>12.625</v>
      </c>
      <c r="N45">
        <f t="shared" si="6"/>
        <v>13.333333333333334</v>
      </c>
      <c r="O45" t="str">
        <f t="shared" si="7"/>
        <v>A</v>
      </c>
    </row>
    <row r="46" spans="1:15">
      <c r="A46" s="14">
        <f t="shared" si="3"/>
        <v>45</v>
      </c>
      <c r="B46" t="s">
        <v>50</v>
      </c>
      <c r="H46" s="1" t="str">
        <f t="shared" si="0"/>
        <v>Y</v>
      </c>
      <c r="I46" s="14">
        <f t="shared" si="1"/>
        <v>24</v>
      </c>
      <c r="J46" s="15">
        <f t="shared" si="2"/>
        <v>15.541666666666666</v>
      </c>
      <c r="K46">
        <v>18</v>
      </c>
      <c r="L46">
        <f t="shared" si="4"/>
        <v>20</v>
      </c>
      <c r="M46">
        <f t="shared" si="5"/>
        <v>12.75</v>
      </c>
      <c r="N46">
        <f t="shared" si="6"/>
        <v>13.458333333333334</v>
      </c>
      <c r="O46" t="str">
        <f t="shared" si="7"/>
        <v>U</v>
      </c>
    </row>
    <row r="47" spans="1:15">
      <c r="A47" s="14">
        <f t="shared" si="3"/>
        <v>46</v>
      </c>
      <c r="B47" t="s">
        <v>321</v>
      </c>
      <c r="H47" s="1" t="str">
        <f t="shared" si="0"/>
        <v>D</v>
      </c>
      <c r="I47" s="14">
        <f t="shared" si="1"/>
        <v>3</v>
      </c>
      <c r="J47" s="15">
        <f t="shared" si="2"/>
        <v>15.541666666666666</v>
      </c>
      <c r="K47">
        <v>4</v>
      </c>
      <c r="L47">
        <f t="shared" si="4"/>
        <v>1</v>
      </c>
      <c r="M47">
        <f t="shared" si="5"/>
        <v>12.791666666666666</v>
      </c>
      <c r="N47">
        <f t="shared" si="6"/>
        <v>13.5</v>
      </c>
      <c r="O47" t="str">
        <f t="shared" si="7"/>
        <v>B</v>
      </c>
    </row>
    <row r="48" spans="1:15">
      <c r="A48" s="14">
        <f t="shared" si="3"/>
        <v>47</v>
      </c>
      <c r="B48" t="s">
        <v>322</v>
      </c>
      <c r="H48" s="1" t="str">
        <f t="shared" si="0"/>
        <v>S</v>
      </c>
      <c r="I48" s="14">
        <f t="shared" si="1"/>
        <v>18</v>
      </c>
      <c r="J48" s="15">
        <f t="shared" si="2"/>
        <v>15.958333333333334</v>
      </c>
      <c r="K48">
        <v>10</v>
      </c>
      <c r="L48">
        <f t="shared" si="4"/>
        <v>18</v>
      </c>
      <c r="M48">
        <f t="shared" si="5"/>
        <v>13.416666666666666</v>
      </c>
      <c r="N48">
        <f t="shared" si="6"/>
        <v>13.708333333333334</v>
      </c>
      <c r="O48" t="str">
        <f t="shared" si="7"/>
        <v>S</v>
      </c>
    </row>
    <row r="49" spans="1:15">
      <c r="A49" s="14">
        <f t="shared" si="3"/>
        <v>48</v>
      </c>
      <c r="B49" t="s">
        <v>145</v>
      </c>
      <c r="H49" s="1" t="str">
        <f t="shared" si="0"/>
        <v>D</v>
      </c>
      <c r="I49" s="14">
        <f t="shared" si="1"/>
        <v>3</v>
      </c>
      <c r="J49" s="15">
        <f t="shared" si="2"/>
        <v>15.958333333333334</v>
      </c>
      <c r="K49">
        <v>25</v>
      </c>
      <c r="L49">
        <f t="shared" si="4"/>
        <v>22</v>
      </c>
      <c r="M49">
        <f t="shared" si="5"/>
        <v>13.5</v>
      </c>
      <c r="N49">
        <f t="shared" si="6"/>
        <v>13.791666666666666</v>
      </c>
      <c r="O49" t="str">
        <f t="shared" si="7"/>
        <v>W</v>
      </c>
    </row>
    <row r="50" spans="1:15">
      <c r="A50" s="14">
        <f t="shared" si="3"/>
        <v>49</v>
      </c>
      <c r="B50" t="s">
        <v>146</v>
      </c>
      <c r="H50" s="1" t="str">
        <f t="shared" si="0"/>
        <v>T</v>
      </c>
      <c r="I50" s="14">
        <f t="shared" si="1"/>
        <v>19</v>
      </c>
      <c r="J50" s="15">
        <f t="shared" si="2"/>
        <v>16.791666666666668</v>
      </c>
      <c r="K50">
        <v>25</v>
      </c>
      <c r="L50">
        <f t="shared" si="4"/>
        <v>6</v>
      </c>
      <c r="M50">
        <f t="shared" si="5"/>
        <v>13.5</v>
      </c>
      <c r="N50">
        <f t="shared" si="6"/>
        <v>12.958333333333334</v>
      </c>
      <c r="O50" t="str">
        <f t="shared" si="7"/>
        <v>G</v>
      </c>
    </row>
    <row r="51" spans="1:15">
      <c r="A51" s="14">
        <f t="shared" si="3"/>
        <v>50</v>
      </c>
      <c r="B51" t="s">
        <v>147</v>
      </c>
      <c r="H51" s="1" t="str">
        <f t="shared" si="0"/>
        <v>E</v>
      </c>
      <c r="I51" s="14">
        <f t="shared" si="1"/>
        <v>4</v>
      </c>
      <c r="J51" s="15">
        <f t="shared" si="2"/>
        <v>16.791666666666668</v>
      </c>
      <c r="K51">
        <v>22</v>
      </c>
      <c r="L51">
        <f t="shared" si="4"/>
        <v>18</v>
      </c>
      <c r="M51">
        <f t="shared" si="5"/>
        <v>12.666666666666666</v>
      </c>
      <c r="N51">
        <f t="shared" si="6"/>
        <v>13.208333333333334</v>
      </c>
      <c r="O51" t="str">
        <f t="shared" si="7"/>
        <v>S</v>
      </c>
    </row>
    <row r="52" spans="1:15">
      <c r="A52" s="14">
        <f t="shared" si="3"/>
        <v>51</v>
      </c>
      <c r="B52" t="s">
        <v>148</v>
      </c>
      <c r="H52" s="1" t="str">
        <f t="shared" si="0"/>
        <v>E</v>
      </c>
      <c r="I52" s="14">
        <f t="shared" si="1"/>
        <v>4</v>
      </c>
      <c r="J52" s="15">
        <f t="shared" si="2"/>
        <v>16.791666666666668</v>
      </c>
      <c r="K52">
        <v>0</v>
      </c>
      <c r="L52">
        <f t="shared" si="4"/>
        <v>22</v>
      </c>
      <c r="M52">
        <f t="shared" si="5"/>
        <v>12.375</v>
      </c>
      <c r="N52">
        <f t="shared" si="6"/>
        <v>12.916666666666666</v>
      </c>
      <c r="O52" s="16" t="str">
        <f t="shared" si="7"/>
        <v>W</v>
      </c>
    </row>
    <row r="53" spans="1:15">
      <c r="A53" s="14">
        <f t="shared" si="3"/>
        <v>52</v>
      </c>
      <c r="B53" t="s">
        <v>111</v>
      </c>
      <c r="C53" s="14" t="s">
        <v>248</v>
      </c>
      <c r="D53" s="14">
        <v>52</v>
      </c>
      <c r="E53" s="14">
        <f>D66-D53</f>
        <v>13</v>
      </c>
      <c r="H53" s="1" t="str">
        <f t="shared" si="0"/>
        <v>X</v>
      </c>
      <c r="I53" s="14">
        <f t="shared" si="1"/>
        <v>23</v>
      </c>
      <c r="J53" s="15">
        <f t="shared" si="2"/>
        <v>17.375</v>
      </c>
      <c r="K53">
        <v>19</v>
      </c>
      <c r="L53">
        <f t="shared" si="4"/>
        <v>22</v>
      </c>
      <c r="M53">
        <f t="shared" si="5"/>
        <v>12.791666666666666</v>
      </c>
      <c r="N53">
        <f t="shared" si="6"/>
        <v>12.75</v>
      </c>
      <c r="O53" s="16" t="str">
        <f t="shared" si="7"/>
        <v>W</v>
      </c>
    </row>
    <row r="54" spans="1:15">
      <c r="A54" s="14">
        <f t="shared" si="3"/>
        <v>53</v>
      </c>
      <c r="B54" t="s">
        <v>149</v>
      </c>
      <c r="H54" s="1" t="str">
        <f t="shared" si="0"/>
        <v>O</v>
      </c>
      <c r="I54" s="14">
        <f t="shared" si="1"/>
        <v>14</v>
      </c>
      <c r="J54" s="15">
        <f t="shared" si="2"/>
        <v>16.708333333333332</v>
      </c>
      <c r="K54">
        <v>9</v>
      </c>
      <c r="L54">
        <f t="shared" si="4"/>
        <v>21</v>
      </c>
      <c r="M54">
        <f t="shared" si="5"/>
        <v>12.916666666666666</v>
      </c>
      <c r="N54">
        <f t="shared" si="6"/>
        <v>12.458333333333334</v>
      </c>
      <c r="O54" t="str">
        <f t="shared" si="7"/>
        <v>V</v>
      </c>
    </row>
    <row r="55" spans="1:15">
      <c r="A55" s="14">
        <f t="shared" si="3"/>
        <v>54</v>
      </c>
      <c r="B55" t="s">
        <v>150</v>
      </c>
      <c r="H55" s="1" t="str">
        <f t="shared" si="0"/>
        <v>S</v>
      </c>
      <c r="I55" s="14">
        <f t="shared" si="1"/>
        <v>18</v>
      </c>
      <c r="J55" s="15">
        <f t="shared" si="2"/>
        <v>17.125</v>
      </c>
      <c r="K55">
        <v>10</v>
      </c>
      <c r="L55">
        <f t="shared" si="4"/>
        <v>18</v>
      </c>
      <c r="M55">
        <f t="shared" si="5"/>
        <v>12.791666666666666</v>
      </c>
      <c r="N55">
        <f t="shared" si="6"/>
        <v>11.916666666666666</v>
      </c>
      <c r="O55" t="str">
        <f t="shared" si="7"/>
        <v>S</v>
      </c>
    </row>
    <row r="56" spans="1:15">
      <c r="A56" s="14">
        <f t="shared" si="3"/>
        <v>55</v>
      </c>
      <c r="B56" t="s">
        <v>78</v>
      </c>
      <c r="H56" s="1" t="str">
        <f t="shared" si="0"/>
        <v>E</v>
      </c>
      <c r="I56" s="14">
        <f t="shared" si="1"/>
        <v>4</v>
      </c>
      <c r="J56" s="15">
        <f t="shared" si="2"/>
        <v>16.916666666666668</v>
      </c>
      <c r="K56">
        <v>11</v>
      </c>
      <c r="L56">
        <f t="shared" si="4"/>
        <v>7</v>
      </c>
      <c r="M56">
        <f t="shared" si="5"/>
        <v>12.5</v>
      </c>
      <c r="N56">
        <f t="shared" si="6"/>
        <v>11.833333333333334</v>
      </c>
      <c r="O56" t="str">
        <f t="shared" si="7"/>
        <v>H</v>
      </c>
    </row>
    <row r="57" spans="1:15">
      <c r="A57" s="14">
        <f t="shared" si="3"/>
        <v>56</v>
      </c>
      <c r="B57" t="s">
        <v>151</v>
      </c>
      <c r="H57" s="1" t="str">
        <f t="shared" si="0"/>
        <v>T</v>
      </c>
      <c r="I57" s="14">
        <f t="shared" si="1"/>
        <v>19</v>
      </c>
      <c r="J57" s="15">
        <f t="shared" si="2"/>
        <v>17.5</v>
      </c>
      <c r="K57">
        <v>20</v>
      </c>
      <c r="L57">
        <f t="shared" si="4"/>
        <v>1</v>
      </c>
      <c r="M57">
        <f t="shared" si="5"/>
        <v>12.458333333333334</v>
      </c>
      <c r="N57">
        <f t="shared" si="6"/>
        <v>12.291666666666666</v>
      </c>
      <c r="O57" t="str">
        <f t="shared" si="7"/>
        <v>B</v>
      </c>
    </row>
    <row r="58" spans="1:15">
      <c r="A58" s="14">
        <f t="shared" si="3"/>
        <v>57</v>
      </c>
      <c r="B58" t="s">
        <v>246</v>
      </c>
      <c r="C58" s="14" t="s">
        <v>245</v>
      </c>
      <c r="F58" s="14">
        <v>57</v>
      </c>
      <c r="G58" s="14">
        <f>E165-F58</f>
        <v>107</v>
      </c>
      <c r="H58" s="1" t="str">
        <f t="shared" si="0"/>
        <v>N</v>
      </c>
      <c r="I58" s="14">
        <f t="shared" si="1"/>
        <v>13</v>
      </c>
      <c r="J58" s="15">
        <f t="shared" si="2"/>
        <v>17.5</v>
      </c>
      <c r="K58">
        <v>3</v>
      </c>
      <c r="L58">
        <f t="shared" si="4"/>
        <v>16</v>
      </c>
      <c r="M58">
        <f t="shared" si="5"/>
        <v>12.666666666666666</v>
      </c>
      <c r="N58">
        <f t="shared" si="6"/>
        <v>12.5</v>
      </c>
      <c r="O58" t="str">
        <f t="shared" si="7"/>
        <v>Q</v>
      </c>
    </row>
    <row r="59" spans="1:15">
      <c r="A59" s="14">
        <f t="shared" si="3"/>
        <v>58</v>
      </c>
      <c r="B59" t="s">
        <v>152</v>
      </c>
      <c r="H59" s="1" t="str">
        <f t="shared" si="0"/>
        <v>Y</v>
      </c>
      <c r="I59" s="14">
        <f t="shared" si="1"/>
        <v>24</v>
      </c>
      <c r="J59" s="15">
        <f t="shared" si="2"/>
        <v>17.708333333333332</v>
      </c>
      <c r="K59">
        <v>8</v>
      </c>
      <c r="L59">
        <f t="shared" si="4"/>
        <v>10</v>
      </c>
      <c r="M59">
        <f t="shared" si="5"/>
        <v>13.5</v>
      </c>
      <c r="N59">
        <f t="shared" si="6"/>
        <v>12.041666666666666</v>
      </c>
      <c r="O59" t="str">
        <f t="shared" si="7"/>
        <v>K</v>
      </c>
    </row>
    <row r="60" spans="1:15">
      <c r="A60" s="14">
        <f t="shared" si="3"/>
        <v>59</v>
      </c>
      <c r="B60" t="s">
        <v>153</v>
      </c>
      <c r="H60" s="1" t="str">
        <f t="shared" si="0"/>
        <v>W</v>
      </c>
      <c r="I60" s="14">
        <f t="shared" si="1"/>
        <v>22</v>
      </c>
      <c r="J60" s="15">
        <f t="shared" si="2"/>
        <v>17.708333333333332</v>
      </c>
      <c r="K60">
        <v>0</v>
      </c>
      <c r="L60">
        <f t="shared" si="4"/>
        <v>4</v>
      </c>
      <c r="M60">
        <f t="shared" si="5"/>
        <v>13.958333333333334</v>
      </c>
      <c r="N60">
        <f t="shared" si="6"/>
        <v>12.5</v>
      </c>
      <c r="O60" t="str">
        <f t="shared" si="7"/>
        <v>E</v>
      </c>
    </row>
    <row r="61" spans="1:15">
      <c r="A61" s="14">
        <f t="shared" si="3"/>
        <v>60</v>
      </c>
      <c r="B61" t="s">
        <v>154</v>
      </c>
      <c r="H61" s="1" t="str">
        <f t="shared" si="0"/>
        <v>S</v>
      </c>
      <c r="I61" s="14">
        <f t="shared" si="1"/>
        <v>18</v>
      </c>
      <c r="J61" s="15">
        <f t="shared" si="2"/>
        <v>17.5</v>
      </c>
      <c r="K61">
        <v>22</v>
      </c>
      <c r="L61">
        <f t="shared" si="4"/>
        <v>4</v>
      </c>
      <c r="M61">
        <f t="shared" si="5"/>
        <v>14.333333333333334</v>
      </c>
      <c r="N61">
        <f t="shared" si="6"/>
        <v>13.083333333333334</v>
      </c>
      <c r="O61" t="str">
        <f t="shared" si="7"/>
        <v>E</v>
      </c>
    </row>
    <row r="62" spans="1:15">
      <c r="A62" s="14">
        <f t="shared" si="3"/>
        <v>61</v>
      </c>
      <c r="B62" t="s">
        <v>45</v>
      </c>
      <c r="H62" s="1" t="str">
        <f t="shared" si="0"/>
        <v>S</v>
      </c>
      <c r="I62" s="14">
        <f t="shared" si="1"/>
        <v>18</v>
      </c>
      <c r="J62" s="15">
        <f t="shared" si="2"/>
        <v>17.5</v>
      </c>
      <c r="K62">
        <v>8</v>
      </c>
      <c r="L62">
        <f t="shared" si="4"/>
        <v>16</v>
      </c>
      <c r="M62">
        <f t="shared" si="5"/>
        <v>13.5</v>
      </c>
      <c r="N62">
        <f t="shared" si="6"/>
        <v>13.333333333333334</v>
      </c>
      <c r="O62" t="str">
        <f t="shared" si="7"/>
        <v>Q</v>
      </c>
    </row>
    <row r="63" spans="1:15">
      <c r="A63" s="14">
        <f t="shared" si="3"/>
        <v>62</v>
      </c>
      <c r="B63" t="s">
        <v>155</v>
      </c>
      <c r="H63" s="1" t="str">
        <f t="shared" si="0"/>
        <v>S</v>
      </c>
      <c r="I63" s="14">
        <f t="shared" si="1"/>
        <v>18</v>
      </c>
      <c r="J63" s="15">
        <f t="shared" si="2"/>
        <v>17.541666666666668</v>
      </c>
      <c r="K63">
        <v>13</v>
      </c>
      <c r="L63">
        <f t="shared" si="4"/>
        <v>21</v>
      </c>
      <c r="M63">
        <f t="shared" si="5"/>
        <v>13.291666666666666</v>
      </c>
      <c r="N63">
        <f t="shared" si="6"/>
        <v>13.083333333333334</v>
      </c>
      <c r="O63" t="str">
        <f t="shared" si="7"/>
        <v>V</v>
      </c>
    </row>
    <row r="64" spans="1:15">
      <c r="A64" s="14">
        <f t="shared" si="3"/>
        <v>63</v>
      </c>
      <c r="B64" t="s">
        <v>156</v>
      </c>
      <c r="H64" s="1" t="str">
        <f t="shared" si="0"/>
        <v>T</v>
      </c>
      <c r="I64" s="14">
        <f t="shared" si="1"/>
        <v>19</v>
      </c>
      <c r="J64" s="15">
        <f t="shared" si="2"/>
        <v>17.75</v>
      </c>
      <c r="K64">
        <v>5</v>
      </c>
      <c r="L64">
        <f t="shared" si="4"/>
        <v>12</v>
      </c>
      <c r="M64">
        <f t="shared" si="5"/>
        <v>13.083333333333334</v>
      </c>
      <c r="N64">
        <f t="shared" si="6"/>
        <v>12.666666666666666</v>
      </c>
      <c r="O64" t="str">
        <f t="shared" si="7"/>
        <v>M</v>
      </c>
    </row>
    <row r="65" spans="1:15">
      <c r="A65" s="14">
        <f t="shared" si="3"/>
        <v>64</v>
      </c>
      <c r="B65" t="s">
        <v>157</v>
      </c>
      <c r="H65" s="1" t="str">
        <f t="shared" si="0"/>
        <v>E</v>
      </c>
      <c r="I65" s="14">
        <f t="shared" si="1"/>
        <v>4</v>
      </c>
      <c r="J65" s="15">
        <f t="shared" si="2"/>
        <v>17.666666666666668</v>
      </c>
      <c r="K65">
        <v>1</v>
      </c>
      <c r="L65">
        <f t="shared" si="4"/>
        <v>23</v>
      </c>
      <c r="M65">
        <f t="shared" si="5"/>
        <v>13.125</v>
      </c>
      <c r="N65">
        <f t="shared" si="6"/>
        <v>12.791666666666666</v>
      </c>
      <c r="O65" t="str">
        <f t="shared" si="7"/>
        <v>X</v>
      </c>
    </row>
    <row r="66" spans="1:15">
      <c r="A66" s="14">
        <f t="shared" si="3"/>
        <v>65</v>
      </c>
      <c r="B66" t="s">
        <v>111</v>
      </c>
      <c r="C66" s="14" t="s">
        <v>247</v>
      </c>
      <c r="D66" s="14">
        <v>65</v>
      </c>
      <c r="H66" s="1" t="str">
        <f t="shared" si="0"/>
        <v>X</v>
      </c>
      <c r="I66" s="14">
        <f t="shared" si="1"/>
        <v>23</v>
      </c>
      <c r="J66" s="15">
        <f t="shared" si="2"/>
        <v>18.083333333333332</v>
      </c>
      <c r="K66">
        <v>13</v>
      </c>
      <c r="L66">
        <f t="shared" si="4"/>
        <v>16</v>
      </c>
      <c r="M66">
        <f t="shared" si="5"/>
        <v>13.5</v>
      </c>
      <c r="N66">
        <f t="shared" si="6"/>
        <v>12.75</v>
      </c>
      <c r="O66" t="str">
        <f t="shared" si="7"/>
        <v>Q</v>
      </c>
    </row>
    <row r="67" spans="1:15">
      <c r="A67" s="14">
        <f t="shared" si="3"/>
        <v>66</v>
      </c>
      <c r="B67" t="s">
        <v>226</v>
      </c>
      <c r="H67" s="1" t="str">
        <f t="shared" ref="H67:H130" si="8">MID(B67,LEN(B67),1)</f>
        <v>Y</v>
      </c>
      <c r="I67" s="14">
        <f t="shared" ref="I67:I130" si="9">CODE(H67)-65</f>
        <v>24</v>
      </c>
      <c r="J67" s="15">
        <f t="shared" ref="J67:J130" si="10">AVERAGE(I67:I90)</f>
        <v>18.125</v>
      </c>
      <c r="K67">
        <v>24</v>
      </c>
      <c r="L67">
        <f t="shared" si="4"/>
        <v>0</v>
      </c>
      <c r="M67">
        <f t="shared" si="5"/>
        <v>13.791666666666666</v>
      </c>
      <c r="N67">
        <f t="shared" si="6"/>
        <v>13</v>
      </c>
      <c r="O67" t="str">
        <f t="shared" si="7"/>
        <v>A</v>
      </c>
    </row>
    <row r="68" spans="1:15">
      <c r="A68" s="14">
        <f t="shared" ref="A68:A131" si="11">1+A67</f>
        <v>67</v>
      </c>
      <c r="B68" t="s">
        <v>227</v>
      </c>
      <c r="H68" s="1" t="str">
        <f t="shared" si="8"/>
        <v>T</v>
      </c>
      <c r="I68" s="14">
        <f t="shared" si="9"/>
        <v>19</v>
      </c>
      <c r="J68" s="15">
        <f t="shared" si="10"/>
        <v>18.125</v>
      </c>
      <c r="K68">
        <v>15</v>
      </c>
      <c r="L68">
        <f t="shared" ref="L68:L99" si="12">MOD(K68-I68,26)</f>
        <v>22</v>
      </c>
      <c r="M68">
        <f t="shared" ref="M68:M76" si="13">AVERAGE(K68:K91)</f>
        <v>13.083333333333334</v>
      </c>
      <c r="N68">
        <f t="shared" ref="N68:N76" si="14">AVERAGE(L68:L91)</f>
        <v>13.375</v>
      </c>
      <c r="O68" t="str">
        <f t="shared" ref="O68:O76" si="15">CHAR(L68+65)</f>
        <v>W</v>
      </c>
    </row>
    <row r="69" spans="1:15">
      <c r="A69" s="14">
        <f t="shared" si="11"/>
        <v>68</v>
      </c>
      <c r="B69" t="s">
        <v>228</v>
      </c>
      <c r="H69" s="1" t="str">
        <f t="shared" si="8"/>
        <v>S</v>
      </c>
      <c r="I69" s="14">
        <f t="shared" si="9"/>
        <v>18</v>
      </c>
      <c r="J69" s="15">
        <f t="shared" si="10"/>
        <v>18.333333333333332</v>
      </c>
      <c r="K69">
        <v>21</v>
      </c>
      <c r="L69">
        <f t="shared" si="12"/>
        <v>3</v>
      </c>
      <c r="M69">
        <f t="shared" si="13"/>
        <v>13.291666666666666</v>
      </c>
      <c r="N69">
        <f t="shared" si="14"/>
        <v>13.375</v>
      </c>
      <c r="O69" t="str">
        <f t="shared" si="15"/>
        <v>D</v>
      </c>
    </row>
    <row r="70" spans="1:15">
      <c r="A70" s="14">
        <f t="shared" si="11"/>
        <v>69</v>
      </c>
      <c r="B70" t="s">
        <v>229</v>
      </c>
      <c r="H70" s="1" t="str">
        <f t="shared" si="8"/>
        <v>Y</v>
      </c>
      <c r="I70" s="14">
        <f t="shared" si="9"/>
        <v>24</v>
      </c>
      <c r="J70" s="15">
        <f t="shared" si="10"/>
        <v>17.75</v>
      </c>
      <c r="K70">
        <v>19</v>
      </c>
      <c r="L70">
        <f t="shared" si="12"/>
        <v>21</v>
      </c>
      <c r="M70">
        <f t="shared" si="13"/>
        <v>12.416666666666666</v>
      </c>
      <c r="N70">
        <f t="shared" si="14"/>
        <v>14.166666666666666</v>
      </c>
      <c r="O70" t="str">
        <f t="shared" si="15"/>
        <v>V</v>
      </c>
    </row>
    <row r="71" spans="1:15">
      <c r="A71" s="14">
        <f t="shared" si="11"/>
        <v>70</v>
      </c>
      <c r="B71" t="s">
        <v>230</v>
      </c>
      <c r="H71" s="1" t="str">
        <f t="shared" si="8"/>
        <v>N</v>
      </c>
      <c r="I71" s="14">
        <f t="shared" si="9"/>
        <v>13</v>
      </c>
      <c r="J71" s="15">
        <f t="shared" si="10"/>
        <v>17.5</v>
      </c>
      <c r="K71">
        <v>19</v>
      </c>
      <c r="L71">
        <f t="shared" si="12"/>
        <v>6</v>
      </c>
      <c r="M71">
        <f t="shared" si="13"/>
        <v>12.458333333333334</v>
      </c>
      <c r="N71">
        <f t="shared" si="14"/>
        <v>13.375</v>
      </c>
      <c r="O71" t="str">
        <f t="shared" si="15"/>
        <v>G</v>
      </c>
    </row>
    <row r="72" spans="1:15">
      <c r="A72" s="14">
        <f t="shared" si="11"/>
        <v>71</v>
      </c>
      <c r="B72" t="s">
        <v>231</v>
      </c>
      <c r="H72" s="1" t="str">
        <f t="shared" si="8"/>
        <v>S</v>
      </c>
      <c r="I72" s="14">
        <f t="shared" si="9"/>
        <v>18</v>
      </c>
      <c r="J72" s="15">
        <f t="shared" si="10"/>
        <v>17.166666666666668</v>
      </c>
      <c r="K72">
        <v>12</v>
      </c>
      <c r="L72">
        <f t="shared" si="12"/>
        <v>20</v>
      </c>
      <c r="M72">
        <f t="shared" si="13"/>
        <v>11.833333333333334</v>
      </c>
      <c r="N72">
        <f t="shared" si="14"/>
        <v>14.166666666666666</v>
      </c>
      <c r="O72" t="str">
        <f t="shared" si="15"/>
        <v>U</v>
      </c>
    </row>
    <row r="73" spans="1:15">
      <c r="A73" s="14">
        <f t="shared" si="11"/>
        <v>72</v>
      </c>
      <c r="B73" t="s">
        <v>232</v>
      </c>
      <c r="H73" s="1" t="str">
        <f t="shared" si="8"/>
        <v>X</v>
      </c>
      <c r="I73" s="14">
        <f t="shared" si="9"/>
        <v>23</v>
      </c>
      <c r="J73" s="15">
        <f t="shared" si="10"/>
        <v>16.583333333333332</v>
      </c>
      <c r="K73">
        <v>25</v>
      </c>
      <c r="L73">
        <f t="shared" si="12"/>
        <v>2</v>
      </c>
      <c r="M73">
        <f t="shared" si="13"/>
        <v>11.75</v>
      </c>
      <c r="N73">
        <f t="shared" si="14"/>
        <v>13.583333333333334</v>
      </c>
      <c r="O73" t="str">
        <f t="shared" si="15"/>
        <v>C</v>
      </c>
    </row>
    <row r="74" spans="1:15">
      <c r="A74" s="14">
        <f t="shared" si="11"/>
        <v>73</v>
      </c>
      <c r="B74" t="s">
        <v>233</v>
      </c>
      <c r="H74" s="1" t="str">
        <f t="shared" si="8"/>
        <v>T</v>
      </c>
      <c r="I74" s="14">
        <f t="shared" si="9"/>
        <v>19</v>
      </c>
      <c r="J74" s="15">
        <f t="shared" si="10"/>
        <v>16.375</v>
      </c>
      <c r="K74">
        <v>5</v>
      </c>
      <c r="L74">
        <f t="shared" si="12"/>
        <v>12</v>
      </c>
      <c r="M74">
        <f t="shared" si="13"/>
        <v>10.791666666666666</v>
      </c>
      <c r="N74">
        <f t="shared" si="14"/>
        <v>13.916666666666666</v>
      </c>
      <c r="O74" t="str">
        <f t="shared" si="15"/>
        <v>M</v>
      </c>
    </row>
    <row r="75" spans="1:15">
      <c r="A75" s="14">
        <f t="shared" si="11"/>
        <v>74</v>
      </c>
      <c r="B75" t="s">
        <v>234</v>
      </c>
      <c r="H75" s="1" t="str">
        <f t="shared" si="8"/>
        <v>E</v>
      </c>
      <c r="I75" s="14">
        <f t="shared" si="9"/>
        <v>4</v>
      </c>
      <c r="J75" s="15">
        <f t="shared" si="10"/>
        <v>16.375</v>
      </c>
      <c r="K75">
        <v>15</v>
      </c>
      <c r="L75">
        <f t="shared" si="12"/>
        <v>11</v>
      </c>
      <c r="M75">
        <f t="shared" si="13"/>
        <v>10.583333333333334</v>
      </c>
      <c r="N75">
        <f t="shared" si="14"/>
        <v>13.708333333333334</v>
      </c>
      <c r="O75" t="str">
        <f t="shared" si="15"/>
        <v>L</v>
      </c>
    </row>
    <row r="76" spans="1:15">
      <c r="A76" s="14">
        <f t="shared" si="11"/>
        <v>75</v>
      </c>
      <c r="B76" t="s">
        <v>235</v>
      </c>
      <c r="H76" s="1" t="str">
        <f t="shared" si="8"/>
        <v>S</v>
      </c>
      <c r="I76" s="14">
        <f t="shared" si="9"/>
        <v>18</v>
      </c>
      <c r="J76" s="15">
        <f t="shared" si="10"/>
        <v>16.333333333333332</v>
      </c>
      <c r="K76">
        <v>10</v>
      </c>
      <c r="L76">
        <f t="shared" si="12"/>
        <v>18</v>
      </c>
      <c r="M76">
        <f t="shared" si="13"/>
        <v>10.666666666666666</v>
      </c>
      <c r="N76">
        <f t="shared" si="14"/>
        <v>13.833333333333334</v>
      </c>
      <c r="O76" t="str">
        <f t="shared" si="15"/>
        <v>S</v>
      </c>
    </row>
    <row r="77" spans="1:15">
      <c r="A77" s="14">
        <f t="shared" si="11"/>
        <v>76</v>
      </c>
      <c r="B77" t="s">
        <v>236</v>
      </c>
      <c r="H77" s="1" t="str">
        <f t="shared" si="8"/>
        <v>H</v>
      </c>
      <c r="I77" s="14">
        <f t="shared" si="9"/>
        <v>7</v>
      </c>
      <c r="J77" s="15">
        <f t="shared" si="10"/>
        <v>15.75</v>
      </c>
      <c r="K77">
        <v>22</v>
      </c>
      <c r="L77">
        <f t="shared" si="12"/>
        <v>15</v>
      </c>
      <c r="O77" t="str">
        <f>CHAR(L77+65)</f>
        <v>P</v>
      </c>
    </row>
    <row r="78" spans="1:15">
      <c r="A78" s="14">
        <f t="shared" si="11"/>
        <v>77</v>
      </c>
      <c r="B78" t="s">
        <v>237</v>
      </c>
      <c r="H78" s="1" t="str">
        <f t="shared" si="8"/>
        <v>Y</v>
      </c>
      <c r="I78" s="14">
        <f t="shared" si="9"/>
        <v>24</v>
      </c>
      <c r="J78" s="15">
        <f t="shared" si="10"/>
        <v>16.166666666666668</v>
      </c>
      <c r="K78">
        <v>6</v>
      </c>
      <c r="L78">
        <f t="shared" si="12"/>
        <v>8</v>
      </c>
      <c r="O78" t="str">
        <f t="shared" ref="O78:O98" si="16">CHAR(L78+65)</f>
        <v>I</v>
      </c>
    </row>
    <row r="79" spans="1:15">
      <c r="A79" s="14">
        <f t="shared" si="11"/>
        <v>78</v>
      </c>
      <c r="B79" t="s">
        <v>230</v>
      </c>
      <c r="H79" s="1" t="str">
        <f t="shared" si="8"/>
        <v>N</v>
      </c>
      <c r="I79" s="14">
        <f t="shared" si="9"/>
        <v>13</v>
      </c>
      <c r="J79" s="15">
        <f t="shared" si="10"/>
        <v>15.958333333333334</v>
      </c>
      <c r="K79">
        <v>3</v>
      </c>
      <c r="L79">
        <f t="shared" si="12"/>
        <v>16</v>
      </c>
      <c r="O79" t="str">
        <f t="shared" si="16"/>
        <v>Q</v>
      </c>
    </row>
    <row r="80" spans="1:15">
      <c r="A80" s="14">
        <f t="shared" si="11"/>
        <v>79</v>
      </c>
      <c r="B80" t="s">
        <v>228</v>
      </c>
      <c r="H80" s="1" t="str">
        <f t="shared" si="8"/>
        <v>S</v>
      </c>
      <c r="I80" s="14">
        <f t="shared" si="9"/>
        <v>18</v>
      </c>
      <c r="J80" s="15">
        <f t="shared" si="10"/>
        <v>15.625</v>
      </c>
      <c r="K80">
        <v>10</v>
      </c>
      <c r="L80">
        <f t="shared" si="12"/>
        <v>18</v>
      </c>
      <c r="O80" t="str">
        <f t="shared" si="16"/>
        <v>S</v>
      </c>
    </row>
    <row r="81" spans="1:15">
      <c r="A81" s="14">
        <f t="shared" si="11"/>
        <v>80</v>
      </c>
      <c r="B81" t="s">
        <v>227</v>
      </c>
      <c r="H81" s="1" t="str">
        <f t="shared" si="8"/>
        <v>T</v>
      </c>
      <c r="I81" s="14">
        <f t="shared" si="9"/>
        <v>19</v>
      </c>
      <c r="J81" s="15">
        <f t="shared" si="10"/>
        <v>15.041666666666666</v>
      </c>
      <c r="K81">
        <v>25</v>
      </c>
      <c r="L81">
        <f t="shared" si="12"/>
        <v>6</v>
      </c>
      <c r="O81" t="str">
        <f t="shared" si="16"/>
        <v>G</v>
      </c>
    </row>
    <row r="82" spans="1:15">
      <c r="A82" s="14">
        <f t="shared" si="11"/>
        <v>81</v>
      </c>
      <c r="B82" t="s">
        <v>231</v>
      </c>
      <c r="H82" s="1" t="str">
        <f t="shared" si="8"/>
        <v>S</v>
      </c>
      <c r="I82" s="14">
        <f t="shared" si="9"/>
        <v>18</v>
      </c>
      <c r="J82" s="15">
        <f t="shared" si="10"/>
        <v>15.25</v>
      </c>
      <c r="K82">
        <v>23</v>
      </c>
      <c r="L82">
        <f t="shared" si="12"/>
        <v>5</v>
      </c>
      <c r="O82" t="str">
        <f t="shared" si="16"/>
        <v>F</v>
      </c>
    </row>
    <row r="83" spans="1:15">
      <c r="A83" s="14">
        <f t="shared" si="11"/>
        <v>82</v>
      </c>
      <c r="B83" t="s">
        <v>238</v>
      </c>
      <c r="H83" s="1" t="str">
        <f t="shared" si="8"/>
        <v>Y</v>
      </c>
      <c r="I83" s="14">
        <f t="shared" si="9"/>
        <v>24</v>
      </c>
      <c r="J83" s="15">
        <f t="shared" si="10"/>
        <v>15.25</v>
      </c>
      <c r="K83">
        <v>19</v>
      </c>
      <c r="L83">
        <f t="shared" si="12"/>
        <v>21</v>
      </c>
      <c r="O83" t="str">
        <f t="shared" si="16"/>
        <v>V</v>
      </c>
    </row>
    <row r="84" spans="1:15">
      <c r="A84" s="14">
        <f t="shared" si="11"/>
        <v>83</v>
      </c>
      <c r="B84" t="s">
        <v>239</v>
      </c>
      <c r="H84" s="1" t="str">
        <f t="shared" si="8"/>
        <v>R</v>
      </c>
      <c r="I84" s="14">
        <f t="shared" si="9"/>
        <v>17</v>
      </c>
      <c r="J84" s="15">
        <f t="shared" si="10"/>
        <v>14.375</v>
      </c>
      <c r="K84">
        <v>9</v>
      </c>
      <c r="L84">
        <f t="shared" si="12"/>
        <v>18</v>
      </c>
      <c r="O84" t="str">
        <f t="shared" si="16"/>
        <v>S</v>
      </c>
    </row>
    <row r="85" spans="1:15">
      <c r="A85" s="14">
        <f t="shared" si="11"/>
        <v>84</v>
      </c>
      <c r="B85" t="s">
        <v>235</v>
      </c>
      <c r="H85" s="1" t="str">
        <f t="shared" si="8"/>
        <v>S</v>
      </c>
      <c r="I85" s="14">
        <f t="shared" si="9"/>
        <v>18</v>
      </c>
      <c r="J85" s="15">
        <f t="shared" si="10"/>
        <v>13.958333333333334</v>
      </c>
      <c r="K85">
        <v>2</v>
      </c>
      <c r="L85">
        <f t="shared" si="12"/>
        <v>10</v>
      </c>
      <c r="O85" t="str">
        <f t="shared" si="16"/>
        <v>K</v>
      </c>
    </row>
    <row r="86" spans="1:15">
      <c r="A86" s="14">
        <f t="shared" si="11"/>
        <v>85</v>
      </c>
      <c r="B86" t="s">
        <v>240</v>
      </c>
      <c r="H86" s="1" t="str">
        <f t="shared" si="8"/>
        <v>T</v>
      </c>
      <c r="I86" s="14">
        <f t="shared" si="9"/>
        <v>19</v>
      </c>
      <c r="J86" s="15">
        <f t="shared" si="10"/>
        <v>13.458333333333334</v>
      </c>
      <c r="K86">
        <v>3</v>
      </c>
      <c r="L86">
        <f t="shared" si="12"/>
        <v>10</v>
      </c>
      <c r="O86" t="str">
        <f t="shared" si="16"/>
        <v>K</v>
      </c>
    </row>
    <row r="87" spans="1:15">
      <c r="A87" s="14">
        <f t="shared" si="11"/>
        <v>86</v>
      </c>
      <c r="B87" t="s">
        <v>111</v>
      </c>
      <c r="C87" s="14" t="s">
        <v>249</v>
      </c>
      <c r="D87" s="14">
        <v>86</v>
      </c>
      <c r="E87" s="14">
        <f>D159-D87</f>
        <v>72</v>
      </c>
      <c r="H87" s="1" t="str">
        <f t="shared" si="8"/>
        <v>X</v>
      </c>
      <c r="I87" s="14">
        <f t="shared" si="9"/>
        <v>23</v>
      </c>
      <c r="J87" s="15">
        <f t="shared" si="10"/>
        <v>13.416666666666666</v>
      </c>
      <c r="K87">
        <v>8</v>
      </c>
      <c r="L87">
        <f t="shared" si="12"/>
        <v>11</v>
      </c>
      <c r="O87" t="str">
        <f t="shared" si="16"/>
        <v>L</v>
      </c>
    </row>
    <row r="88" spans="1:15">
      <c r="A88" s="14">
        <f t="shared" si="11"/>
        <v>87</v>
      </c>
      <c r="B88" t="s">
        <v>241</v>
      </c>
      <c r="H88" s="1" t="str">
        <f t="shared" si="8"/>
        <v>R</v>
      </c>
      <c r="I88" s="14">
        <f t="shared" si="9"/>
        <v>17</v>
      </c>
      <c r="J88" s="15">
        <f t="shared" si="10"/>
        <v>12.791666666666666</v>
      </c>
      <c r="K88">
        <v>6</v>
      </c>
      <c r="L88">
        <f t="shared" si="12"/>
        <v>15</v>
      </c>
      <c r="O88" t="str">
        <f t="shared" si="16"/>
        <v>P</v>
      </c>
    </row>
    <row r="89" spans="1:15">
      <c r="A89" s="14">
        <f t="shared" si="11"/>
        <v>88</v>
      </c>
      <c r="B89" t="s">
        <v>242</v>
      </c>
      <c r="H89" s="1" t="str">
        <f t="shared" si="8"/>
        <v>O</v>
      </c>
      <c r="I89" s="14">
        <f t="shared" si="9"/>
        <v>14</v>
      </c>
      <c r="J89" s="15">
        <f t="shared" si="10"/>
        <v>12.25</v>
      </c>
      <c r="K89">
        <v>10</v>
      </c>
      <c r="L89">
        <f t="shared" si="12"/>
        <v>22</v>
      </c>
      <c r="O89" s="16" t="str">
        <f t="shared" si="16"/>
        <v>W</v>
      </c>
    </row>
    <row r="90" spans="1:15">
      <c r="A90" s="14">
        <f t="shared" si="11"/>
        <v>89</v>
      </c>
      <c r="B90" t="s">
        <v>251</v>
      </c>
      <c r="H90" s="1" t="str">
        <f t="shared" si="8"/>
        <v>Y</v>
      </c>
      <c r="I90" s="14">
        <f t="shared" si="9"/>
        <v>24</v>
      </c>
      <c r="J90" s="15">
        <f t="shared" si="10"/>
        <v>11.666666666666666</v>
      </c>
      <c r="K90">
        <v>20</v>
      </c>
      <c r="L90">
        <f t="shared" si="12"/>
        <v>22</v>
      </c>
      <c r="O90" s="16" t="str">
        <f t="shared" si="16"/>
        <v>W</v>
      </c>
    </row>
    <row r="91" spans="1:15">
      <c r="A91" s="14">
        <f t="shared" si="11"/>
        <v>90</v>
      </c>
      <c r="B91" t="s">
        <v>252</v>
      </c>
      <c r="H91" s="1" t="str">
        <f t="shared" si="8"/>
        <v>Y</v>
      </c>
      <c r="I91" s="14">
        <f t="shared" si="9"/>
        <v>24</v>
      </c>
      <c r="J91" s="15">
        <f t="shared" si="10"/>
        <v>11.666666666666666</v>
      </c>
      <c r="K91">
        <v>7</v>
      </c>
      <c r="L91">
        <f t="shared" si="12"/>
        <v>9</v>
      </c>
      <c r="O91" t="str">
        <f t="shared" si="16"/>
        <v>J</v>
      </c>
    </row>
    <row r="92" spans="1:15">
      <c r="A92" s="14">
        <f t="shared" si="11"/>
        <v>91</v>
      </c>
      <c r="B92" t="s">
        <v>251</v>
      </c>
      <c r="H92" s="1" t="str">
        <f t="shared" si="8"/>
        <v>Y</v>
      </c>
      <c r="I92" s="14">
        <f t="shared" si="9"/>
        <v>24</v>
      </c>
      <c r="J92" s="15">
        <f t="shared" si="10"/>
        <v>10.958333333333334</v>
      </c>
      <c r="K92">
        <v>20</v>
      </c>
      <c r="L92">
        <f t="shared" si="12"/>
        <v>22</v>
      </c>
      <c r="O92" s="16" t="str">
        <f t="shared" si="16"/>
        <v>W</v>
      </c>
    </row>
    <row r="93" spans="1:15">
      <c r="A93" s="14">
        <f t="shared" si="11"/>
        <v>92</v>
      </c>
      <c r="B93" t="s">
        <v>78</v>
      </c>
      <c r="H93" s="1" t="str">
        <f t="shared" si="8"/>
        <v>E</v>
      </c>
      <c r="I93" s="14">
        <f t="shared" si="9"/>
        <v>4</v>
      </c>
      <c r="J93" s="15">
        <f t="shared" si="10"/>
        <v>10.5</v>
      </c>
      <c r="K93">
        <v>0</v>
      </c>
      <c r="L93">
        <f t="shared" si="12"/>
        <v>22</v>
      </c>
      <c r="O93" s="16" t="str">
        <f t="shared" si="16"/>
        <v>W</v>
      </c>
    </row>
    <row r="94" spans="1:15">
      <c r="A94" s="14">
        <f t="shared" si="11"/>
        <v>93</v>
      </c>
      <c r="B94" t="s">
        <v>175</v>
      </c>
      <c r="H94" s="1" t="str">
        <f t="shared" si="8"/>
        <v>S</v>
      </c>
      <c r="I94" s="14">
        <f t="shared" si="9"/>
        <v>18</v>
      </c>
      <c r="J94" s="15">
        <f t="shared" si="10"/>
        <v>10.5</v>
      </c>
      <c r="K94">
        <v>20</v>
      </c>
      <c r="L94">
        <f t="shared" si="12"/>
        <v>2</v>
      </c>
      <c r="O94" t="str">
        <f t="shared" si="16"/>
        <v>C</v>
      </c>
    </row>
    <row r="95" spans="1:15">
      <c r="A95" s="14">
        <f t="shared" si="11"/>
        <v>94</v>
      </c>
      <c r="B95" t="s">
        <v>39</v>
      </c>
      <c r="H95" s="1" t="str">
        <f t="shared" si="8"/>
        <v>F</v>
      </c>
      <c r="I95" s="14">
        <f t="shared" si="9"/>
        <v>5</v>
      </c>
      <c r="J95" s="15">
        <f t="shared" si="10"/>
        <v>10.458333333333334</v>
      </c>
      <c r="K95">
        <v>4</v>
      </c>
      <c r="L95">
        <f t="shared" si="12"/>
        <v>25</v>
      </c>
      <c r="O95" t="str">
        <f t="shared" si="16"/>
        <v>Z</v>
      </c>
    </row>
    <row r="96" spans="1:15">
      <c r="A96" s="14">
        <f t="shared" si="11"/>
        <v>95</v>
      </c>
      <c r="B96" t="s">
        <v>176</v>
      </c>
      <c r="H96" s="1" t="str">
        <f t="shared" si="8"/>
        <v>E</v>
      </c>
      <c r="I96" s="14">
        <f t="shared" si="9"/>
        <v>4</v>
      </c>
      <c r="J96" s="15">
        <f t="shared" si="10"/>
        <v>11.041666666666666</v>
      </c>
      <c r="K96">
        <v>10</v>
      </c>
      <c r="L96">
        <f t="shared" si="12"/>
        <v>6</v>
      </c>
      <c r="O96" t="str">
        <f t="shared" si="16"/>
        <v>G</v>
      </c>
    </row>
    <row r="97" spans="1:15">
      <c r="A97" s="14">
        <f t="shared" si="11"/>
        <v>96</v>
      </c>
      <c r="B97" t="s">
        <v>177</v>
      </c>
      <c r="H97" s="1" t="str">
        <f t="shared" si="8"/>
        <v>S</v>
      </c>
      <c r="I97" s="14">
        <f t="shared" si="9"/>
        <v>18</v>
      </c>
      <c r="J97" s="15">
        <f t="shared" si="10"/>
        <v>11</v>
      </c>
      <c r="K97">
        <v>2</v>
      </c>
      <c r="L97">
        <f t="shared" si="12"/>
        <v>10</v>
      </c>
      <c r="O97" t="str">
        <f t="shared" si="16"/>
        <v>K</v>
      </c>
    </row>
    <row r="98" spans="1:15">
      <c r="A98" s="14">
        <f t="shared" si="11"/>
        <v>97</v>
      </c>
      <c r="B98" t="s">
        <v>49</v>
      </c>
      <c r="H98" s="1" t="str">
        <f t="shared" si="8"/>
        <v>T</v>
      </c>
      <c r="I98" s="14">
        <f t="shared" si="9"/>
        <v>19</v>
      </c>
      <c r="J98" s="15">
        <f t="shared" si="10"/>
        <v>10.958333333333334</v>
      </c>
      <c r="K98">
        <v>0</v>
      </c>
      <c r="L98">
        <f t="shared" si="12"/>
        <v>7</v>
      </c>
      <c r="O98" t="str">
        <f t="shared" si="16"/>
        <v>H</v>
      </c>
    </row>
    <row r="99" spans="1:15">
      <c r="A99" s="14">
        <f t="shared" si="11"/>
        <v>98</v>
      </c>
      <c r="B99" t="s">
        <v>178</v>
      </c>
      <c r="H99" s="1" t="str">
        <f t="shared" si="8"/>
        <v>D</v>
      </c>
      <c r="I99" s="14">
        <f t="shared" si="9"/>
        <v>3</v>
      </c>
      <c r="J99" s="15">
        <f t="shared" si="10"/>
        <v>10.291666666666666</v>
      </c>
      <c r="K99">
        <v>17</v>
      </c>
      <c r="L99">
        <f t="shared" si="12"/>
        <v>14</v>
      </c>
    </row>
    <row r="100" spans="1:15">
      <c r="A100" s="14">
        <f t="shared" si="11"/>
        <v>99</v>
      </c>
      <c r="B100" t="s">
        <v>78</v>
      </c>
      <c r="H100" s="1" t="str">
        <f t="shared" si="8"/>
        <v>E</v>
      </c>
      <c r="I100" s="14">
        <f t="shared" si="9"/>
        <v>4</v>
      </c>
      <c r="J100" s="15">
        <f t="shared" si="10"/>
        <v>10.708333333333334</v>
      </c>
    </row>
    <row r="101" spans="1:15">
      <c r="A101" s="14">
        <f t="shared" si="11"/>
        <v>100</v>
      </c>
      <c r="B101" t="s">
        <v>179</v>
      </c>
      <c r="H101" s="1" t="str">
        <f t="shared" si="8"/>
        <v>R</v>
      </c>
      <c r="I101" s="14">
        <f t="shared" si="9"/>
        <v>17</v>
      </c>
      <c r="J101" s="15">
        <f t="shared" si="10"/>
        <v>10.791666666666666</v>
      </c>
    </row>
    <row r="102" spans="1:15">
      <c r="A102" s="14">
        <f t="shared" si="11"/>
        <v>101</v>
      </c>
      <c r="B102" t="s">
        <v>180</v>
      </c>
      <c r="H102" s="1" t="str">
        <f t="shared" si="8"/>
        <v>T</v>
      </c>
      <c r="I102" s="14">
        <f t="shared" si="9"/>
        <v>19</v>
      </c>
      <c r="J102" s="15">
        <f t="shared" si="10"/>
        <v>10.25</v>
      </c>
    </row>
    <row r="103" spans="1:15">
      <c r="A103" s="14">
        <f t="shared" si="11"/>
        <v>102</v>
      </c>
      <c r="B103" t="s">
        <v>39</v>
      </c>
      <c r="H103" s="1" t="str">
        <f t="shared" si="8"/>
        <v>F</v>
      </c>
      <c r="I103" s="14">
        <f t="shared" si="9"/>
        <v>5</v>
      </c>
      <c r="J103" s="15">
        <f t="shared" si="10"/>
        <v>9.625</v>
      </c>
    </row>
    <row r="104" spans="1:15">
      <c r="A104" s="14">
        <f t="shared" si="11"/>
        <v>103</v>
      </c>
      <c r="B104" t="s">
        <v>78</v>
      </c>
      <c r="H104" s="1" t="str">
        <f t="shared" si="8"/>
        <v>E</v>
      </c>
      <c r="I104" s="14">
        <f t="shared" si="9"/>
        <v>4</v>
      </c>
      <c r="J104" s="15">
        <f t="shared" si="10"/>
        <v>9.4166666666666661</v>
      </c>
    </row>
    <row r="105" spans="1:15">
      <c r="A105" s="14">
        <f t="shared" si="11"/>
        <v>104</v>
      </c>
      <c r="B105" t="s">
        <v>181</v>
      </c>
      <c r="H105" s="1" t="str">
        <f t="shared" si="8"/>
        <v>Y</v>
      </c>
      <c r="I105" s="14">
        <f t="shared" si="9"/>
        <v>24</v>
      </c>
      <c r="J105" s="15">
        <f t="shared" si="10"/>
        <v>9.4166666666666661</v>
      </c>
    </row>
    <row r="106" spans="1:15">
      <c r="A106" s="14">
        <f t="shared" si="11"/>
        <v>105</v>
      </c>
      <c r="B106" t="s">
        <v>45</v>
      </c>
      <c r="H106" s="1" t="str">
        <f t="shared" si="8"/>
        <v>S</v>
      </c>
      <c r="I106" s="14">
        <f t="shared" si="9"/>
        <v>18</v>
      </c>
      <c r="J106" s="15">
        <f t="shared" si="10"/>
        <v>8.75</v>
      </c>
    </row>
    <row r="107" spans="1:15">
      <c r="A107" s="14">
        <f t="shared" si="11"/>
        <v>106</v>
      </c>
      <c r="B107" t="s">
        <v>182</v>
      </c>
      <c r="H107" s="1" t="str">
        <f t="shared" si="8"/>
        <v>D</v>
      </c>
      <c r="I107" s="14">
        <f t="shared" si="9"/>
        <v>3</v>
      </c>
      <c r="J107" s="15">
        <f t="shared" si="10"/>
        <v>8.125</v>
      </c>
    </row>
    <row r="108" spans="1:15">
      <c r="A108" s="14">
        <f t="shared" si="11"/>
        <v>107</v>
      </c>
      <c r="B108" t="s">
        <v>183</v>
      </c>
      <c r="H108" s="1" t="str">
        <f t="shared" si="8"/>
        <v>H</v>
      </c>
      <c r="I108" s="14">
        <f t="shared" si="9"/>
        <v>7</v>
      </c>
      <c r="J108" s="15">
        <f t="shared" si="10"/>
        <v>8.1666666666666661</v>
      </c>
    </row>
    <row r="109" spans="1:15">
      <c r="A109" s="14">
        <f t="shared" si="11"/>
        <v>108</v>
      </c>
      <c r="B109" t="s">
        <v>184</v>
      </c>
      <c r="H109" s="1" t="str">
        <f t="shared" si="8"/>
        <v>G</v>
      </c>
      <c r="I109" s="14">
        <f t="shared" si="9"/>
        <v>6</v>
      </c>
      <c r="J109" s="15">
        <f t="shared" si="10"/>
        <v>8.0416666666666661</v>
      </c>
    </row>
    <row r="110" spans="1:15">
      <c r="A110" s="14">
        <f t="shared" si="11"/>
        <v>109</v>
      </c>
      <c r="B110" t="s">
        <v>185</v>
      </c>
      <c r="H110" s="1" t="str">
        <f t="shared" si="8"/>
        <v>S</v>
      </c>
      <c r="I110" s="14">
        <f t="shared" si="9"/>
        <v>18</v>
      </c>
      <c r="J110" s="15">
        <f t="shared" si="10"/>
        <v>7.916666666666667</v>
      </c>
    </row>
    <row r="111" spans="1:15">
      <c r="A111" s="14">
        <f t="shared" si="11"/>
        <v>110</v>
      </c>
      <c r="B111" t="s">
        <v>133</v>
      </c>
      <c r="H111" s="1" t="str">
        <f t="shared" si="8"/>
        <v>I</v>
      </c>
      <c r="I111" s="14">
        <f t="shared" si="9"/>
        <v>8</v>
      </c>
      <c r="J111" s="15">
        <f t="shared" si="10"/>
        <v>7.291666666666667</v>
      </c>
    </row>
    <row r="112" spans="1:15">
      <c r="A112" s="14">
        <f t="shared" si="11"/>
        <v>111</v>
      </c>
      <c r="B112" t="s">
        <v>186</v>
      </c>
      <c r="H112" s="1" t="str">
        <f t="shared" si="8"/>
        <v>E</v>
      </c>
      <c r="I112" s="14">
        <f t="shared" si="9"/>
        <v>4</v>
      </c>
      <c r="J112" s="15">
        <f t="shared" si="10"/>
        <v>7.5</v>
      </c>
    </row>
    <row r="113" spans="1:10">
      <c r="A113" s="14">
        <f t="shared" si="11"/>
        <v>112</v>
      </c>
      <c r="B113" t="s">
        <v>131</v>
      </c>
      <c r="H113" s="1" t="str">
        <f t="shared" si="8"/>
        <v>A</v>
      </c>
      <c r="I113" s="14">
        <f t="shared" si="9"/>
        <v>0</v>
      </c>
      <c r="J113" s="15">
        <f t="shared" si="10"/>
        <v>7.5</v>
      </c>
    </row>
    <row r="114" spans="1:10">
      <c r="A114" s="14">
        <f t="shared" si="11"/>
        <v>113</v>
      </c>
      <c r="B114" t="s">
        <v>187</v>
      </c>
      <c r="H114" s="1" t="str">
        <f t="shared" si="8"/>
        <v>Y</v>
      </c>
      <c r="I114" s="14">
        <f t="shared" si="9"/>
        <v>24</v>
      </c>
      <c r="J114" s="15">
        <f t="shared" si="10"/>
        <v>8.2916666666666661</v>
      </c>
    </row>
    <row r="115" spans="1:10">
      <c r="A115" s="14">
        <f t="shared" si="11"/>
        <v>114</v>
      </c>
      <c r="B115" t="s">
        <v>188</v>
      </c>
      <c r="H115" s="1" t="str">
        <f t="shared" si="8"/>
        <v>H</v>
      </c>
      <c r="I115" s="14">
        <f t="shared" si="9"/>
        <v>7</v>
      </c>
      <c r="J115" s="15">
        <f t="shared" si="10"/>
        <v>8</v>
      </c>
    </row>
    <row r="116" spans="1:10">
      <c r="A116" s="14">
        <f t="shared" si="11"/>
        <v>115</v>
      </c>
      <c r="B116" t="s">
        <v>189</v>
      </c>
      <c r="H116" s="1" t="str">
        <f t="shared" si="8"/>
        <v>N</v>
      </c>
      <c r="I116" s="14">
        <f t="shared" si="9"/>
        <v>13</v>
      </c>
      <c r="J116" s="15">
        <f t="shared" si="10"/>
        <v>7.958333333333333</v>
      </c>
    </row>
    <row r="117" spans="1:10">
      <c r="A117" s="14">
        <f t="shared" si="11"/>
        <v>116</v>
      </c>
      <c r="B117" t="s">
        <v>78</v>
      </c>
      <c r="H117" s="1" t="str">
        <f t="shared" si="8"/>
        <v>E</v>
      </c>
      <c r="I117" s="14">
        <f t="shared" si="9"/>
        <v>4</v>
      </c>
      <c r="J117" s="15">
        <f t="shared" si="10"/>
        <v>7.916666666666667</v>
      </c>
    </row>
    <row r="118" spans="1:10">
      <c r="A118" s="14">
        <f t="shared" si="11"/>
        <v>117</v>
      </c>
      <c r="B118" t="s">
        <v>190</v>
      </c>
      <c r="H118" s="1" t="str">
        <f t="shared" si="8"/>
        <v>R</v>
      </c>
      <c r="I118" s="14">
        <f t="shared" si="9"/>
        <v>17</v>
      </c>
      <c r="J118" s="15">
        <f t="shared" si="10"/>
        <v>7.916666666666667</v>
      </c>
    </row>
    <row r="119" spans="1:10">
      <c r="A119" s="14">
        <f t="shared" si="11"/>
        <v>118</v>
      </c>
      <c r="B119" t="s">
        <v>191</v>
      </c>
      <c r="H119" s="1" t="str">
        <f t="shared" si="8"/>
        <v>T</v>
      </c>
      <c r="I119" s="14">
        <f t="shared" si="9"/>
        <v>19</v>
      </c>
      <c r="J119" s="15">
        <f t="shared" si="10"/>
        <v>7.916666666666667</v>
      </c>
    </row>
    <row r="120" spans="1:10">
      <c r="A120" s="14">
        <f t="shared" si="11"/>
        <v>119</v>
      </c>
      <c r="B120" t="s">
        <v>192</v>
      </c>
      <c r="H120" s="1" t="str">
        <f t="shared" si="8"/>
        <v>D</v>
      </c>
      <c r="I120" s="14">
        <f t="shared" si="9"/>
        <v>3</v>
      </c>
      <c r="J120" s="15">
        <f t="shared" si="10"/>
        <v>7.25</v>
      </c>
    </row>
    <row r="121" spans="1:10">
      <c r="A121" s="14">
        <f t="shared" si="11"/>
        <v>120</v>
      </c>
      <c r="B121" t="s">
        <v>193</v>
      </c>
      <c r="H121" s="1" t="str">
        <f t="shared" si="8"/>
        <v>R</v>
      </c>
      <c r="I121" s="14">
        <f t="shared" si="9"/>
        <v>17</v>
      </c>
      <c r="J121" s="15">
        <f t="shared" si="10"/>
        <v>7.291666666666667</v>
      </c>
    </row>
    <row r="122" spans="1:10">
      <c r="A122" s="14">
        <f t="shared" si="11"/>
        <v>121</v>
      </c>
      <c r="B122" t="s">
        <v>77</v>
      </c>
      <c r="H122" s="1" t="str">
        <f t="shared" si="8"/>
        <v>D</v>
      </c>
      <c r="I122" s="14">
        <f t="shared" si="9"/>
        <v>3</v>
      </c>
      <c r="J122" s="15">
        <f t="shared" si="10"/>
        <v>6.75</v>
      </c>
    </row>
    <row r="123" spans="1:10">
      <c r="A123" s="14">
        <f t="shared" si="11"/>
        <v>122</v>
      </c>
      <c r="B123" t="s">
        <v>194</v>
      </c>
      <c r="H123" s="1" t="str">
        <f t="shared" si="8"/>
        <v>N</v>
      </c>
      <c r="I123" s="14">
        <f t="shared" si="9"/>
        <v>13</v>
      </c>
      <c r="J123" s="15">
        <f t="shared" si="10"/>
        <v>7.208333333333333</v>
      </c>
    </row>
    <row r="124" spans="1:10">
      <c r="A124" s="14">
        <f t="shared" si="11"/>
        <v>123</v>
      </c>
      <c r="B124" t="s">
        <v>195</v>
      </c>
      <c r="H124" s="1" t="str">
        <f t="shared" si="8"/>
        <v>G</v>
      </c>
      <c r="I124" s="14">
        <f t="shared" si="9"/>
        <v>6</v>
      </c>
      <c r="J124" s="15">
        <f t="shared" si="10"/>
        <v>7.375</v>
      </c>
    </row>
    <row r="125" spans="1:10">
      <c r="A125" s="14">
        <f t="shared" si="11"/>
        <v>124</v>
      </c>
      <c r="B125" t="s">
        <v>78</v>
      </c>
      <c r="H125" s="1" t="str">
        <f t="shared" si="8"/>
        <v>E</v>
      </c>
      <c r="I125" s="14">
        <f t="shared" si="9"/>
        <v>4</v>
      </c>
      <c r="J125" s="15">
        <f t="shared" si="10"/>
        <v>7.916666666666667</v>
      </c>
    </row>
    <row r="126" spans="1:10">
      <c r="A126" s="14">
        <f t="shared" si="11"/>
        <v>125</v>
      </c>
      <c r="B126" t="s">
        <v>196</v>
      </c>
      <c r="H126" s="1" t="str">
        <f t="shared" si="8"/>
        <v>E</v>
      </c>
      <c r="I126" s="14">
        <f t="shared" si="9"/>
        <v>4</v>
      </c>
      <c r="J126" s="15">
        <f t="shared" si="10"/>
        <v>8.75</v>
      </c>
    </row>
    <row r="127" spans="1:10">
      <c r="A127" s="14">
        <f t="shared" si="11"/>
        <v>126</v>
      </c>
      <c r="B127" t="s">
        <v>131</v>
      </c>
      <c r="H127" s="1" t="str">
        <f t="shared" si="8"/>
        <v>A</v>
      </c>
      <c r="I127" s="14">
        <f t="shared" si="9"/>
        <v>0</v>
      </c>
      <c r="J127" s="15">
        <f t="shared" si="10"/>
        <v>9.3333333333333339</v>
      </c>
    </row>
    <row r="128" spans="1:10">
      <c r="A128" s="14">
        <f t="shared" si="11"/>
        <v>127</v>
      </c>
      <c r="B128" t="s">
        <v>197</v>
      </c>
      <c r="H128" s="1" t="str">
        <f t="shared" si="8"/>
        <v>E</v>
      </c>
      <c r="I128" s="14">
        <f t="shared" si="9"/>
        <v>4</v>
      </c>
      <c r="J128" s="15">
        <f t="shared" si="10"/>
        <v>9.5416666666666661</v>
      </c>
    </row>
    <row r="129" spans="1:10">
      <c r="A129" s="14">
        <f t="shared" si="11"/>
        <v>128</v>
      </c>
      <c r="B129" t="s">
        <v>133</v>
      </c>
      <c r="H129" s="1" t="str">
        <f t="shared" si="8"/>
        <v>I</v>
      </c>
      <c r="I129" s="14">
        <f t="shared" si="9"/>
        <v>8</v>
      </c>
      <c r="J129" s="15">
        <f t="shared" si="10"/>
        <v>9.5416666666666661</v>
      </c>
    </row>
    <row r="130" spans="1:10">
      <c r="A130" s="14">
        <f t="shared" si="11"/>
        <v>129</v>
      </c>
      <c r="B130" t="s">
        <v>198</v>
      </c>
      <c r="H130" s="1" t="str">
        <f t="shared" si="8"/>
        <v>D</v>
      </c>
      <c r="I130" s="14">
        <f t="shared" si="9"/>
        <v>3</v>
      </c>
      <c r="J130" s="15">
        <f t="shared" si="10"/>
        <v>9.7083333333333339</v>
      </c>
    </row>
    <row r="131" spans="1:10">
      <c r="A131" s="14">
        <f t="shared" si="11"/>
        <v>130</v>
      </c>
      <c r="B131" t="s">
        <v>78</v>
      </c>
      <c r="H131" s="1" t="str">
        <f t="shared" ref="H131:H165" si="17">MID(B131,LEN(B131),1)</f>
        <v>E</v>
      </c>
      <c r="I131" s="14">
        <f t="shared" ref="I131:I164" si="18">CODE(H131)-65</f>
        <v>4</v>
      </c>
      <c r="J131" s="15">
        <f t="shared" ref="J131:J141" si="19">AVERAGE(I131:I154)</f>
        <v>10.125</v>
      </c>
    </row>
    <row r="132" spans="1:10">
      <c r="A132" s="14">
        <f t="shared" ref="A132:A165" si="20">1+A131</f>
        <v>131</v>
      </c>
      <c r="B132" t="s">
        <v>199</v>
      </c>
      <c r="H132" s="1" t="str">
        <f t="shared" si="17"/>
        <v>E</v>
      </c>
      <c r="I132" s="14">
        <f t="shared" si="18"/>
        <v>4</v>
      </c>
      <c r="J132" s="15">
        <f t="shared" si="19"/>
        <v>10.083333333333334</v>
      </c>
    </row>
    <row r="133" spans="1:10">
      <c r="A133" s="14">
        <f t="shared" si="20"/>
        <v>132</v>
      </c>
      <c r="B133" t="s">
        <v>77</v>
      </c>
      <c r="H133" s="1" t="str">
        <f t="shared" si="17"/>
        <v>D</v>
      </c>
      <c r="I133" s="14">
        <f t="shared" si="18"/>
        <v>3</v>
      </c>
      <c r="J133" s="15">
        <f t="shared" si="19"/>
        <v>10.416666666666666</v>
      </c>
    </row>
    <row r="134" spans="1:10">
      <c r="A134" s="14">
        <f t="shared" si="20"/>
        <v>133</v>
      </c>
      <c r="B134" t="s">
        <v>200</v>
      </c>
      <c r="H134" s="1" t="str">
        <f t="shared" si="17"/>
        <v>D</v>
      </c>
      <c r="I134" s="14">
        <f t="shared" si="18"/>
        <v>3</v>
      </c>
      <c r="J134" s="15">
        <f t="shared" si="19"/>
        <v>10.458333333333334</v>
      </c>
    </row>
    <row r="135" spans="1:10">
      <c r="A135" s="14">
        <f t="shared" si="20"/>
        <v>134</v>
      </c>
      <c r="B135" t="s">
        <v>189</v>
      </c>
      <c r="H135" s="1" t="str">
        <f t="shared" si="17"/>
        <v>N</v>
      </c>
      <c r="I135" s="14">
        <f t="shared" si="18"/>
        <v>13</v>
      </c>
      <c r="J135" s="15">
        <f t="shared" si="19"/>
        <v>11.125</v>
      </c>
    </row>
    <row r="136" spans="1:10">
      <c r="A136" s="14">
        <f t="shared" si="20"/>
        <v>135</v>
      </c>
      <c r="B136" t="s">
        <v>78</v>
      </c>
      <c r="H136" s="1" t="str">
        <f t="shared" si="17"/>
        <v>E</v>
      </c>
      <c r="I136" s="14">
        <f t="shared" si="18"/>
        <v>4</v>
      </c>
      <c r="J136" s="15">
        <f t="shared" si="19"/>
        <v>11.541666666666666</v>
      </c>
    </row>
    <row r="137" spans="1:10">
      <c r="A137" s="14">
        <f t="shared" si="20"/>
        <v>136</v>
      </c>
      <c r="B137" t="s">
        <v>201</v>
      </c>
      <c r="H137" s="1" t="str">
        <f t="shared" si="17"/>
        <v>T</v>
      </c>
      <c r="I137" s="14">
        <f t="shared" si="18"/>
        <v>19</v>
      </c>
      <c r="J137" s="15">
        <f t="shared" si="19"/>
        <v>11.916666666666666</v>
      </c>
    </row>
    <row r="138" spans="1:10">
      <c r="A138" s="14">
        <f t="shared" si="20"/>
        <v>137</v>
      </c>
      <c r="B138" t="s">
        <v>202</v>
      </c>
      <c r="H138" s="1" t="str">
        <f t="shared" si="17"/>
        <v>R</v>
      </c>
      <c r="I138" s="14">
        <f t="shared" si="18"/>
        <v>17</v>
      </c>
      <c r="J138" s="15">
        <f t="shared" si="19"/>
        <v>11.958333333333334</v>
      </c>
    </row>
    <row r="139" spans="1:10">
      <c r="A139" s="14">
        <f t="shared" si="20"/>
        <v>138</v>
      </c>
      <c r="B139" t="s">
        <v>203</v>
      </c>
      <c r="H139" s="1" t="str">
        <f t="shared" si="17"/>
        <v>G</v>
      </c>
      <c r="I139" s="14">
        <f t="shared" si="18"/>
        <v>6</v>
      </c>
      <c r="J139" s="15">
        <f t="shared" si="19"/>
        <v>11.416666666666666</v>
      </c>
    </row>
    <row r="140" spans="1:10">
      <c r="A140" s="14">
        <f t="shared" si="20"/>
        <v>139</v>
      </c>
      <c r="B140" t="s">
        <v>204</v>
      </c>
      <c r="H140" s="1" t="str">
        <f t="shared" si="17"/>
        <v>M</v>
      </c>
      <c r="I140" s="14">
        <f t="shared" si="18"/>
        <v>12</v>
      </c>
      <c r="J140" s="15">
        <f t="shared" si="19"/>
        <v>11.416666666666666</v>
      </c>
    </row>
    <row r="141" spans="1:10">
      <c r="A141" s="14">
        <f t="shared" si="20"/>
        <v>140</v>
      </c>
      <c r="B141" t="s">
        <v>78</v>
      </c>
      <c r="H141" s="1" t="str">
        <f t="shared" si="17"/>
        <v>E</v>
      </c>
      <c r="I141" s="14">
        <f t="shared" si="18"/>
        <v>4</v>
      </c>
      <c r="J141" s="15">
        <f t="shared" si="19"/>
        <v>11.583333333333334</v>
      </c>
    </row>
    <row r="142" spans="1:10">
      <c r="A142" s="14">
        <f t="shared" si="20"/>
        <v>141</v>
      </c>
      <c r="B142" t="s">
        <v>205</v>
      </c>
      <c r="H142" s="1" t="str">
        <f t="shared" si="17"/>
        <v>R</v>
      </c>
      <c r="I142" s="14">
        <f t="shared" si="18"/>
        <v>17</v>
      </c>
    </row>
    <row r="143" spans="1:10">
      <c r="A143" s="14">
        <f t="shared" si="20"/>
        <v>142</v>
      </c>
      <c r="B143" t="s">
        <v>206</v>
      </c>
      <c r="H143" s="1" t="str">
        <f t="shared" si="17"/>
        <v>D</v>
      </c>
      <c r="I143" s="14">
        <f t="shared" si="18"/>
        <v>3</v>
      </c>
    </row>
    <row r="144" spans="1:10">
      <c r="A144" s="14">
        <f t="shared" si="20"/>
        <v>143</v>
      </c>
      <c r="B144" t="s">
        <v>78</v>
      </c>
      <c r="H144" s="1" t="str">
        <f t="shared" si="17"/>
        <v>E</v>
      </c>
      <c r="I144" s="14">
        <f t="shared" si="18"/>
        <v>4</v>
      </c>
    </row>
    <row r="145" spans="1:9">
      <c r="A145" s="14">
        <f t="shared" si="20"/>
        <v>144</v>
      </c>
      <c r="B145" t="s">
        <v>207</v>
      </c>
      <c r="H145" s="1" t="str">
        <f t="shared" si="17"/>
        <v>E</v>
      </c>
      <c r="I145" s="14">
        <f t="shared" si="18"/>
        <v>4</v>
      </c>
    </row>
    <row r="146" spans="1:9">
      <c r="A146" s="14">
        <f t="shared" si="20"/>
        <v>145</v>
      </c>
      <c r="B146" t="s">
        <v>313</v>
      </c>
      <c r="H146" s="1" t="str">
        <f t="shared" si="17"/>
        <v>O</v>
      </c>
      <c r="I146" s="14">
        <f t="shared" si="18"/>
        <v>14</v>
      </c>
    </row>
    <row r="147" spans="1:9">
      <c r="A147" s="14">
        <f t="shared" si="20"/>
        <v>146</v>
      </c>
      <c r="B147" t="s">
        <v>208</v>
      </c>
      <c r="H147" s="1" t="str">
        <f t="shared" si="17"/>
        <v>R</v>
      </c>
      <c r="I147" s="14">
        <f t="shared" si="18"/>
        <v>17</v>
      </c>
    </row>
    <row r="148" spans="1:9">
      <c r="A148" s="14">
        <f t="shared" si="20"/>
        <v>147</v>
      </c>
      <c r="B148" t="s">
        <v>209</v>
      </c>
      <c r="H148" s="1" t="str">
        <f t="shared" si="17"/>
        <v>T</v>
      </c>
      <c r="I148" s="14">
        <f t="shared" si="18"/>
        <v>19</v>
      </c>
    </row>
    <row r="149" spans="1:9">
      <c r="A149" s="14">
        <f t="shared" si="20"/>
        <v>148</v>
      </c>
      <c r="B149" t="s">
        <v>114</v>
      </c>
      <c r="H149" s="1" t="str">
        <f t="shared" si="17"/>
        <v>Y</v>
      </c>
      <c r="I149" s="14">
        <f t="shared" si="18"/>
        <v>24</v>
      </c>
    </row>
    <row r="150" spans="1:9">
      <c r="A150" s="14">
        <f t="shared" si="20"/>
        <v>149</v>
      </c>
      <c r="B150" t="s">
        <v>115</v>
      </c>
      <c r="H150" s="1" t="str">
        <f t="shared" si="17"/>
        <v>S</v>
      </c>
      <c r="I150" s="14">
        <f t="shared" si="18"/>
        <v>18</v>
      </c>
    </row>
    <row r="151" spans="1:9">
      <c r="A151" s="14">
        <f t="shared" si="20"/>
        <v>150</v>
      </c>
      <c r="B151" t="s">
        <v>39</v>
      </c>
      <c r="H151" s="1" t="str">
        <f t="shared" si="17"/>
        <v>F</v>
      </c>
      <c r="I151" s="14">
        <f t="shared" si="18"/>
        <v>5</v>
      </c>
    </row>
    <row r="152" spans="1:9">
      <c r="A152" s="14">
        <f t="shared" si="20"/>
        <v>151</v>
      </c>
      <c r="B152" t="s">
        <v>78</v>
      </c>
      <c r="H152" s="1" t="str">
        <f t="shared" si="17"/>
        <v>E</v>
      </c>
      <c r="I152" s="14">
        <f t="shared" si="18"/>
        <v>4</v>
      </c>
    </row>
    <row r="153" spans="1:9">
      <c r="A153" s="14">
        <f t="shared" si="20"/>
        <v>152</v>
      </c>
      <c r="B153" t="s">
        <v>116</v>
      </c>
      <c r="H153" s="1" t="str">
        <f t="shared" si="17"/>
        <v>M</v>
      </c>
      <c r="I153" s="14">
        <f t="shared" si="18"/>
        <v>12</v>
      </c>
    </row>
    <row r="154" spans="1:9">
      <c r="A154" s="14">
        <f t="shared" si="20"/>
        <v>153</v>
      </c>
      <c r="B154" t="s">
        <v>117</v>
      </c>
      <c r="H154" s="1" t="str">
        <f t="shared" si="17"/>
        <v>N</v>
      </c>
      <c r="I154" s="14">
        <f t="shared" si="18"/>
        <v>13</v>
      </c>
    </row>
    <row r="155" spans="1:9">
      <c r="A155" s="14">
        <f t="shared" si="20"/>
        <v>154</v>
      </c>
      <c r="B155" t="s">
        <v>118</v>
      </c>
      <c r="H155" s="1" t="str">
        <f t="shared" si="17"/>
        <v>D</v>
      </c>
      <c r="I155" s="14">
        <f t="shared" si="18"/>
        <v>3</v>
      </c>
    </row>
    <row r="156" spans="1:9">
      <c r="A156" s="14">
        <f t="shared" si="20"/>
        <v>155</v>
      </c>
      <c r="B156" t="s">
        <v>204</v>
      </c>
      <c r="H156" s="1" t="str">
        <f t="shared" si="17"/>
        <v>M</v>
      </c>
      <c r="I156" s="14">
        <f t="shared" si="18"/>
        <v>12</v>
      </c>
    </row>
    <row r="157" spans="1:9">
      <c r="A157" s="14">
        <f t="shared" si="20"/>
        <v>156</v>
      </c>
      <c r="B157" t="s">
        <v>78</v>
      </c>
      <c r="H157" s="1" t="str">
        <f t="shared" si="17"/>
        <v>E</v>
      </c>
      <c r="I157" s="14">
        <f t="shared" si="18"/>
        <v>4</v>
      </c>
    </row>
    <row r="158" spans="1:9">
      <c r="A158" s="14">
        <f t="shared" si="20"/>
        <v>157</v>
      </c>
      <c r="B158" t="s">
        <v>119</v>
      </c>
      <c r="H158" s="1" t="str">
        <f t="shared" si="17"/>
        <v>T</v>
      </c>
      <c r="I158" s="14">
        <f t="shared" si="18"/>
        <v>19</v>
      </c>
    </row>
    <row r="159" spans="1:9">
      <c r="A159" s="14">
        <f t="shared" si="20"/>
        <v>158</v>
      </c>
      <c r="B159" t="s">
        <v>111</v>
      </c>
      <c r="C159" s="14" t="s">
        <v>250</v>
      </c>
      <c r="D159" s="14">
        <v>158</v>
      </c>
      <c r="H159" s="1" t="str">
        <f t="shared" si="17"/>
        <v>X</v>
      </c>
      <c r="I159" s="14">
        <f t="shared" si="18"/>
        <v>23</v>
      </c>
    </row>
    <row r="160" spans="1:9">
      <c r="A160" s="14">
        <f t="shared" si="20"/>
        <v>159</v>
      </c>
      <c r="B160" t="s">
        <v>120</v>
      </c>
      <c r="H160" s="1" t="str">
        <f t="shared" si="17"/>
        <v>N</v>
      </c>
      <c r="I160" s="14">
        <f t="shared" si="18"/>
        <v>13</v>
      </c>
    </row>
    <row r="161" spans="1:9">
      <c r="A161" s="14">
        <f t="shared" si="20"/>
        <v>160</v>
      </c>
      <c r="B161" t="s">
        <v>121</v>
      </c>
      <c r="H161" s="1" t="str">
        <f t="shared" si="17"/>
        <v>U</v>
      </c>
      <c r="I161" s="14">
        <f t="shared" si="18"/>
        <v>20</v>
      </c>
    </row>
    <row r="162" spans="1:9">
      <c r="A162" s="14">
        <f t="shared" si="20"/>
        <v>161</v>
      </c>
      <c r="B162" t="s">
        <v>13</v>
      </c>
      <c r="H162" s="1" t="str">
        <f t="shared" si="17"/>
        <v>E</v>
      </c>
      <c r="I162" s="14">
        <f t="shared" si="18"/>
        <v>4</v>
      </c>
    </row>
    <row r="163" spans="1:9">
      <c r="A163" s="14">
        <f t="shared" si="20"/>
        <v>162</v>
      </c>
      <c r="B163" t="s">
        <v>14</v>
      </c>
      <c r="H163" s="1" t="str">
        <f t="shared" si="17"/>
        <v>G</v>
      </c>
      <c r="I163" s="14">
        <f t="shared" si="18"/>
        <v>6</v>
      </c>
    </row>
    <row r="164" spans="1:9">
      <c r="A164" s="14">
        <f t="shared" si="20"/>
        <v>163</v>
      </c>
      <c r="B164" t="s">
        <v>15</v>
      </c>
      <c r="H164" s="1" t="str">
        <f t="shared" si="17"/>
        <v>Q</v>
      </c>
      <c r="I164" s="14">
        <f t="shared" si="18"/>
        <v>16</v>
      </c>
    </row>
    <row r="165" spans="1:9">
      <c r="A165" s="14">
        <f t="shared" si="20"/>
        <v>164</v>
      </c>
      <c r="B165" t="s">
        <v>294</v>
      </c>
      <c r="C165" s="14" t="s">
        <v>16</v>
      </c>
      <c r="E165" s="14">
        <v>164</v>
      </c>
      <c r="H165" s="1" t="str">
        <f t="shared" si="17"/>
        <v>?</v>
      </c>
    </row>
  </sheetData>
  <phoneticPr fontId="2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D173"/>
  <sheetViews>
    <sheetView topLeftCell="Y1" workbookViewId="0">
      <selection activeCell="AD11" sqref="AD11"/>
    </sheetView>
  </sheetViews>
  <sheetFormatPr baseColWidth="10" defaultRowHeight="13"/>
  <cols>
    <col min="1" max="1" width="10.7109375" style="14"/>
    <col min="2" max="2" width="15.42578125" customWidth="1"/>
    <col min="3" max="7" width="10.7109375" style="14" hidden="1" customWidth="1"/>
    <col min="8" max="8" width="10.7109375" style="1"/>
    <col min="9" max="15" width="10.7109375" style="14"/>
  </cols>
  <sheetData>
    <row r="1" spans="1:30">
      <c r="A1" s="14" t="s">
        <v>18</v>
      </c>
      <c r="B1" t="s">
        <v>24</v>
      </c>
      <c r="C1" s="14" t="s">
        <v>17</v>
      </c>
      <c r="D1" s="14" t="s">
        <v>19</v>
      </c>
      <c r="E1" s="14" t="s">
        <v>20</v>
      </c>
      <c r="F1" s="14" t="s">
        <v>21</v>
      </c>
      <c r="G1" s="14" t="s">
        <v>22</v>
      </c>
      <c r="H1" s="1" t="s">
        <v>23</v>
      </c>
      <c r="I1" s="14" t="s">
        <v>299</v>
      </c>
      <c r="J1" s="14" t="s">
        <v>306</v>
      </c>
      <c r="K1" s="14" t="s">
        <v>307</v>
      </c>
      <c r="L1" s="14" t="s">
        <v>310</v>
      </c>
      <c r="M1" s="14" t="s">
        <v>308</v>
      </c>
      <c r="N1" s="14" t="s">
        <v>309</v>
      </c>
      <c r="O1" s="14" t="s">
        <v>3</v>
      </c>
      <c r="P1" s="14" t="s">
        <v>302</v>
      </c>
      <c r="Q1" s="14" t="s">
        <v>303</v>
      </c>
      <c r="R1" s="14" t="s">
        <v>305</v>
      </c>
      <c r="S1" s="14" t="s">
        <v>304</v>
      </c>
    </row>
    <row r="2" spans="1:30" ht="17">
      <c r="A2" s="18">
        <f>1</f>
        <v>1</v>
      </c>
      <c r="B2" s="19" t="s">
        <v>74</v>
      </c>
      <c r="C2" s="18"/>
      <c r="D2" s="18"/>
      <c r="E2" s="18"/>
      <c r="F2" s="18"/>
      <c r="G2" s="18"/>
      <c r="H2" s="20" t="str">
        <f>MID(B2,LEN(B2),1)</f>
        <v>N</v>
      </c>
      <c r="I2" s="18">
        <f>CODE(H2)-65</f>
        <v>13</v>
      </c>
      <c r="J2" s="18">
        <v>13</v>
      </c>
      <c r="K2" s="18">
        <v>4</v>
      </c>
      <c r="L2" s="18">
        <f>AVERAGE(I2:I25)</f>
        <v>10.708333333333334</v>
      </c>
      <c r="M2" s="21">
        <f>AVERAGE(J2:J25)</f>
        <v>12.958333333333334</v>
      </c>
      <c r="N2" s="21">
        <f>AVERAGE(K2:K25)</f>
        <v>10.25</v>
      </c>
      <c r="O2" s="21"/>
      <c r="P2">
        <v>14</v>
      </c>
      <c r="Q2">
        <f>MOD(P2-I2,26)</f>
        <v>1</v>
      </c>
      <c r="R2">
        <f>AVERAGE(P2:P25)</f>
        <v>11.291666666666666</v>
      </c>
      <c r="S2">
        <f>AVERAGE(Q2:Q25)</f>
        <v>13.583333333333334</v>
      </c>
      <c r="T2" t="str">
        <f>CHAR(Q2+65)</f>
        <v>B</v>
      </c>
      <c r="U2">
        <f>MOD(P2-I3,26)</f>
        <v>10</v>
      </c>
      <c r="V2" s="23"/>
      <c r="W2" t="str">
        <f>CHAR(U2+65)</f>
        <v>K</v>
      </c>
      <c r="X2" t="str">
        <f>W2</f>
        <v>K</v>
      </c>
    </row>
    <row r="3" spans="1:30">
      <c r="A3" s="18">
        <f>1+A2</f>
        <v>2</v>
      </c>
      <c r="B3" s="22" t="s">
        <v>75</v>
      </c>
      <c r="C3" s="18"/>
      <c r="D3" s="18"/>
      <c r="E3" s="18"/>
      <c r="F3" s="18"/>
      <c r="G3" s="18"/>
      <c r="H3" s="20" t="str">
        <f t="shared" ref="H3:H66" si="0">MID(B3,LEN(B3),1)</f>
        <v>E</v>
      </c>
      <c r="I3" s="18">
        <f t="shared" ref="I3:I66" si="1">CODE(H3)-65</f>
        <v>4</v>
      </c>
      <c r="J3" s="18">
        <v>6</v>
      </c>
      <c r="K3" s="18">
        <v>3</v>
      </c>
      <c r="L3" s="18">
        <f t="shared" ref="L3:L66" si="2">AVERAGE(I3:I26)</f>
        <v>10.25</v>
      </c>
      <c r="M3" s="21">
        <f t="shared" ref="M3:M34" si="3">AVERAGE(J3:J26)</f>
        <v>13.208333333333334</v>
      </c>
      <c r="N3" s="21">
        <f t="shared" ref="N3:N34" si="4">AVERAGE(K3:K26)</f>
        <v>10.25</v>
      </c>
      <c r="O3" s="21"/>
      <c r="P3">
        <v>1</v>
      </c>
      <c r="Q3">
        <f t="shared" ref="Q3:Q66" si="5">MOD(P3-I3,26)</f>
        <v>23</v>
      </c>
      <c r="R3">
        <f t="shared" ref="R3:S18" si="6">AVERAGE(P3:P26)</f>
        <v>11.583333333333334</v>
      </c>
      <c r="S3">
        <f t="shared" si="6"/>
        <v>14.333333333333334</v>
      </c>
      <c r="T3" t="str">
        <f t="shared" ref="T3:T66" si="7">CHAR(Q3+65)</f>
        <v>X</v>
      </c>
      <c r="U3">
        <f t="shared" ref="U3:U66" si="8">MOD(P3-I4,26)</f>
        <v>21</v>
      </c>
      <c r="V3" s="23"/>
      <c r="W3" t="str">
        <f t="shared" ref="W3:W66" si="9">CHAR(U3+65)</f>
        <v>V</v>
      </c>
      <c r="X3" t="str">
        <f>X2&amp;W3</f>
        <v>KV</v>
      </c>
    </row>
    <row r="4" spans="1:30">
      <c r="A4" s="18">
        <f t="shared" ref="A4:A67" si="10">1+A3</f>
        <v>3</v>
      </c>
      <c r="B4" s="22" t="s">
        <v>76</v>
      </c>
      <c r="C4" s="18"/>
      <c r="D4" s="18"/>
      <c r="E4" s="18"/>
      <c r="F4" s="18"/>
      <c r="G4" s="18"/>
      <c r="H4" s="20" t="str">
        <f t="shared" si="0"/>
        <v>G</v>
      </c>
      <c r="I4" s="18">
        <f t="shared" si="1"/>
        <v>6</v>
      </c>
      <c r="J4" s="18">
        <v>4</v>
      </c>
      <c r="K4" s="18">
        <v>4</v>
      </c>
      <c r="L4" s="18">
        <f t="shared" si="2"/>
        <v>10.208333333333334</v>
      </c>
      <c r="M4" s="21">
        <f t="shared" si="3"/>
        <v>13.125</v>
      </c>
      <c r="N4" s="21">
        <f t="shared" si="4"/>
        <v>11.083333333333334</v>
      </c>
      <c r="O4" s="21"/>
      <c r="P4">
        <v>10</v>
      </c>
      <c r="Q4">
        <f t="shared" si="5"/>
        <v>4</v>
      </c>
      <c r="R4">
        <f t="shared" si="6"/>
        <v>12.208333333333334</v>
      </c>
      <c r="S4">
        <f t="shared" si="6"/>
        <v>13.916666666666666</v>
      </c>
      <c r="T4" t="str">
        <f t="shared" si="7"/>
        <v>E</v>
      </c>
      <c r="U4">
        <f t="shared" si="8"/>
        <v>7</v>
      </c>
      <c r="V4" s="23"/>
      <c r="W4" t="str">
        <f t="shared" si="9"/>
        <v>H</v>
      </c>
      <c r="X4" t="str">
        <f t="shared" ref="X4:X67" si="11">X3&amp;W4</f>
        <v>KVH</v>
      </c>
    </row>
    <row r="5" spans="1:30">
      <c r="A5" s="18">
        <f t="shared" si="10"/>
        <v>4</v>
      </c>
      <c r="B5" s="22" t="s">
        <v>77</v>
      </c>
      <c r="C5" s="18"/>
      <c r="D5" s="18"/>
      <c r="E5" s="18"/>
      <c r="F5" s="18"/>
      <c r="G5" s="18"/>
      <c r="H5" s="20" t="str">
        <f t="shared" si="0"/>
        <v>D</v>
      </c>
      <c r="I5" s="18">
        <f t="shared" si="1"/>
        <v>3</v>
      </c>
      <c r="J5" s="18">
        <v>5</v>
      </c>
      <c r="K5" s="18">
        <v>19</v>
      </c>
      <c r="L5" s="18">
        <f t="shared" si="2"/>
        <v>10.916666666666666</v>
      </c>
      <c r="M5" s="21">
        <f t="shared" si="3"/>
        <v>13.541666666666666</v>
      </c>
      <c r="N5" s="21">
        <f t="shared" si="4"/>
        <v>11.666666666666666</v>
      </c>
      <c r="O5" s="21"/>
      <c r="P5">
        <v>17</v>
      </c>
      <c r="Q5">
        <f t="shared" si="5"/>
        <v>14</v>
      </c>
      <c r="R5">
        <f t="shared" si="6"/>
        <v>12.458333333333334</v>
      </c>
      <c r="S5">
        <f t="shared" si="6"/>
        <v>14.541666666666666</v>
      </c>
      <c r="T5" t="str">
        <f t="shared" si="7"/>
        <v>O</v>
      </c>
      <c r="U5">
        <f t="shared" si="8"/>
        <v>13</v>
      </c>
      <c r="V5" s="23"/>
      <c r="W5" t="str">
        <f t="shared" si="9"/>
        <v>N</v>
      </c>
      <c r="X5" t="str">
        <f t="shared" si="11"/>
        <v>KVHN</v>
      </c>
    </row>
    <row r="6" spans="1:30">
      <c r="A6" s="18">
        <f t="shared" si="10"/>
        <v>5</v>
      </c>
      <c r="B6" s="22" t="s">
        <v>78</v>
      </c>
      <c r="C6" s="18"/>
      <c r="D6" s="18"/>
      <c r="E6" s="18"/>
      <c r="F6" s="18"/>
      <c r="G6" s="18"/>
      <c r="H6" s="20" t="str">
        <f t="shared" si="0"/>
        <v>E</v>
      </c>
      <c r="I6" s="18">
        <f t="shared" si="1"/>
        <v>4</v>
      </c>
      <c r="J6" s="18">
        <v>18</v>
      </c>
      <c r="K6" s="18">
        <v>4</v>
      </c>
      <c r="L6" s="18">
        <f t="shared" si="2"/>
        <v>10.958333333333334</v>
      </c>
      <c r="M6" s="21">
        <f t="shared" si="3"/>
        <v>13.5</v>
      </c>
      <c r="N6" s="21">
        <f t="shared" si="4"/>
        <v>11.666666666666666</v>
      </c>
      <c r="O6" s="21"/>
      <c r="P6">
        <v>20</v>
      </c>
      <c r="Q6">
        <f t="shared" si="5"/>
        <v>16</v>
      </c>
      <c r="R6">
        <f t="shared" si="6"/>
        <v>12.375</v>
      </c>
      <c r="S6">
        <f t="shared" si="6"/>
        <v>14.416666666666666</v>
      </c>
      <c r="T6" t="str">
        <f t="shared" si="7"/>
        <v>Q</v>
      </c>
      <c r="U6">
        <f t="shared" si="8"/>
        <v>16</v>
      </c>
      <c r="V6" s="18"/>
      <c r="W6" t="str">
        <f t="shared" si="9"/>
        <v>Q</v>
      </c>
      <c r="X6" t="str">
        <f t="shared" si="11"/>
        <v>KVHNQ</v>
      </c>
    </row>
    <row r="7" spans="1:30">
      <c r="A7" s="18">
        <f t="shared" si="10"/>
        <v>6</v>
      </c>
      <c r="B7" s="22" t="s">
        <v>38</v>
      </c>
      <c r="C7" s="18"/>
      <c r="D7" s="18"/>
      <c r="E7" s="18"/>
      <c r="F7" s="18"/>
      <c r="G7" s="18"/>
      <c r="H7" s="20" t="str">
        <f t="shared" si="0"/>
        <v>E</v>
      </c>
      <c r="I7" s="18">
        <f t="shared" si="1"/>
        <v>4</v>
      </c>
      <c r="J7" s="18">
        <v>4</v>
      </c>
      <c r="K7" s="18">
        <v>5</v>
      </c>
      <c r="L7" s="18">
        <f t="shared" si="2"/>
        <v>11.333333333333334</v>
      </c>
      <c r="M7" s="21">
        <f t="shared" si="3"/>
        <v>13.291666666666666</v>
      </c>
      <c r="N7" s="21">
        <f t="shared" si="4"/>
        <v>12.5</v>
      </c>
      <c r="O7" s="21"/>
      <c r="P7">
        <v>14</v>
      </c>
      <c r="Q7">
        <f t="shared" si="5"/>
        <v>10</v>
      </c>
      <c r="R7">
        <f t="shared" si="6"/>
        <v>12.25</v>
      </c>
      <c r="S7">
        <f t="shared" si="6"/>
        <v>13.916666666666666</v>
      </c>
      <c r="T7" t="str">
        <f t="shared" si="7"/>
        <v>K</v>
      </c>
      <c r="U7">
        <f t="shared" si="8"/>
        <v>9</v>
      </c>
      <c r="V7" s="18"/>
      <c r="W7" t="str">
        <f t="shared" si="9"/>
        <v>J</v>
      </c>
      <c r="X7" t="str">
        <f t="shared" si="11"/>
        <v>KVHNQJ</v>
      </c>
    </row>
    <row r="8" spans="1:30">
      <c r="A8" s="18">
        <f t="shared" si="10"/>
        <v>7</v>
      </c>
      <c r="B8" s="22" t="s">
        <v>39</v>
      </c>
      <c r="C8" s="18"/>
      <c r="D8" s="18"/>
      <c r="E8" s="18"/>
      <c r="F8" s="18"/>
      <c r="G8" s="18"/>
      <c r="H8" s="20" t="str">
        <f t="shared" si="0"/>
        <v>F</v>
      </c>
      <c r="I8" s="18">
        <f t="shared" si="1"/>
        <v>5</v>
      </c>
      <c r="J8" s="18">
        <v>13</v>
      </c>
      <c r="K8" s="18">
        <v>19</v>
      </c>
      <c r="L8" s="18">
        <f t="shared" si="2"/>
        <v>11.916666666666666</v>
      </c>
      <c r="M8" s="21">
        <f t="shared" si="3"/>
        <v>14.041666666666666</v>
      </c>
      <c r="N8" s="21">
        <f t="shared" si="4"/>
        <v>13.041666666666666</v>
      </c>
      <c r="O8" s="21"/>
      <c r="P8">
        <v>23</v>
      </c>
      <c r="Q8">
        <f t="shared" si="5"/>
        <v>18</v>
      </c>
      <c r="R8">
        <f t="shared" si="6"/>
        <v>12.208333333333334</v>
      </c>
      <c r="S8">
        <f t="shared" si="6"/>
        <v>14.375</v>
      </c>
      <c r="T8" t="str">
        <f t="shared" si="7"/>
        <v>S</v>
      </c>
      <c r="U8">
        <f t="shared" si="8"/>
        <v>4</v>
      </c>
      <c r="V8" s="18"/>
      <c r="W8" t="str">
        <f t="shared" si="9"/>
        <v>E</v>
      </c>
      <c r="X8" t="str">
        <f t="shared" si="11"/>
        <v>KVHNQJE</v>
      </c>
    </row>
    <row r="9" spans="1:30">
      <c r="A9" s="18">
        <f t="shared" si="10"/>
        <v>8</v>
      </c>
      <c r="B9" s="22" t="s">
        <v>40</v>
      </c>
      <c r="C9" s="18"/>
      <c r="D9" s="18"/>
      <c r="E9" s="18"/>
      <c r="F9" s="18"/>
      <c r="G9" s="18"/>
      <c r="H9" s="20" t="str">
        <f t="shared" si="0"/>
        <v>T</v>
      </c>
      <c r="I9" s="18">
        <f t="shared" si="1"/>
        <v>19</v>
      </c>
      <c r="J9" s="18">
        <v>18</v>
      </c>
      <c r="K9" s="18">
        <v>24</v>
      </c>
      <c r="L9" s="18">
        <f t="shared" si="2"/>
        <v>11.833333333333334</v>
      </c>
      <c r="M9" s="21">
        <f t="shared" si="3"/>
        <v>14.25</v>
      </c>
      <c r="N9" s="21">
        <f t="shared" si="4"/>
        <v>13</v>
      </c>
      <c r="O9" s="21"/>
      <c r="P9">
        <v>14</v>
      </c>
      <c r="Q9">
        <f t="shared" si="5"/>
        <v>21</v>
      </c>
      <c r="R9">
        <f t="shared" si="6"/>
        <v>11.5</v>
      </c>
      <c r="S9">
        <f t="shared" si="6"/>
        <v>13.75</v>
      </c>
      <c r="T9" t="str">
        <f t="shared" si="7"/>
        <v>V</v>
      </c>
      <c r="U9">
        <f t="shared" si="8"/>
        <v>22</v>
      </c>
      <c r="V9" s="18"/>
      <c r="W9" t="str">
        <f t="shared" si="9"/>
        <v>W</v>
      </c>
      <c r="X9" t="str">
        <f t="shared" si="11"/>
        <v>KVHNQJEW</v>
      </c>
      <c r="AD9">
        <f>100-14</f>
        <v>86</v>
      </c>
    </row>
    <row r="10" spans="1:30">
      <c r="A10" s="18">
        <f t="shared" si="10"/>
        <v>9</v>
      </c>
      <c r="B10" s="22" t="s">
        <v>41</v>
      </c>
      <c r="C10" s="18"/>
      <c r="D10" s="18"/>
      <c r="E10" s="18"/>
      <c r="F10" s="18"/>
      <c r="G10" s="18"/>
      <c r="H10" s="20" t="str">
        <f t="shared" si="0"/>
        <v>S</v>
      </c>
      <c r="I10" s="18">
        <f t="shared" si="1"/>
        <v>18</v>
      </c>
      <c r="J10" s="18">
        <v>4</v>
      </c>
      <c r="K10" s="18">
        <v>18</v>
      </c>
      <c r="L10" s="18">
        <f t="shared" si="2"/>
        <v>11.166666666666666</v>
      </c>
      <c r="M10" s="21">
        <f t="shared" si="3"/>
        <v>14.291666666666666</v>
      </c>
      <c r="N10" s="21">
        <f t="shared" si="4"/>
        <v>12.166666666666666</v>
      </c>
      <c r="O10" s="21"/>
      <c r="P10">
        <v>6</v>
      </c>
      <c r="Q10">
        <f t="shared" si="5"/>
        <v>14</v>
      </c>
      <c r="R10">
        <f t="shared" si="6"/>
        <v>11.333333333333334</v>
      </c>
      <c r="S10">
        <f t="shared" si="6"/>
        <v>13.166666666666666</v>
      </c>
      <c r="T10" t="str">
        <f t="shared" si="7"/>
        <v>O</v>
      </c>
      <c r="U10">
        <f t="shared" si="8"/>
        <v>2</v>
      </c>
      <c r="V10" s="18"/>
      <c r="W10" t="str">
        <f t="shared" si="9"/>
        <v>C</v>
      </c>
      <c r="X10" t="str">
        <f t="shared" si="11"/>
        <v>KVHNQJEWC</v>
      </c>
      <c r="AD10">
        <f>86/3</f>
        <v>28.666666666666668</v>
      </c>
    </row>
    <row r="11" spans="1:30">
      <c r="A11" s="18">
        <f t="shared" si="10"/>
        <v>10</v>
      </c>
      <c r="B11" s="22" t="s">
        <v>78</v>
      </c>
      <c r="C11" s="18"/>
      <c r="D11" s="18"/>
      <c r="E11" s="18"/>
      <c r="F11" s="18"/>
      <c r="G11" s="18"/>
      <c r="H11" s="20" t="str">
        <f t="shared" si="0"/>
        <v>E</v>
      </c>
      <c r="I11" s="18">
        <f t="shared" si="1"/>
        <v>4</v>
      </c>
      <c r="J11" s="18">
        <v>19</v>
      </c>
      <c r="K11" s="18">
        <v>4</v>
      </c>
      <c r="L11" s="18">
        <f t="shared" si="2"/>
        <v>10.541666666666666</v>
      </c>
      <c r="M11" s="21">
        <f t="shared" si="3"/>
        <v>15.083333333333334</v>
      </c>
      <c r="N11" s="21">
        <f t="shared" si="4"/>
        <v>12.416666666666666</v>
      </c>
      <c r="O11" s="21"/>
      <c r="P11">
        <v>7</v>
      </c>
      <c r="Q11">
        <f t="shared" si="5"/>
        <v>3</v>
      </c>
      <c r="R11">
        <f t="shared" si="6"/>
        <v>11.833333333333334</v>
      </c>
      <c r="S11">
        <f t="shared" si="6"/>
        <v>13.208333333333334</v>
      </c>
      <c r="T11" t="str">
        <f t="shared" si="7"/>
        <v>D</v>
      </c>
      <c r="U11">
        <f t="shared" si="8"/>
        <v>3</v>
      </c>
      <c r="V11" s="18"/>
      <c r="W11" t="str">
        <f t="shared" si="9"/>
        <v>D</v>
      </c>
      <c r="X11" t="str">
        <f t="shared" si="11"/>
        <v>KVHNQJEWCD</v>
      </c>
    </row>
    <row r="12" spans="1:30">
      <c r="A12" s="18">
        <f t="shared" si="10"/>
        <v>11</v>
      </c>
      <c r="B12" s="22" t="s">
        <v>42</v>
      </c>
      <c r="C12" s="18"/>
      <c r="D12" s="18"/>
      <c r="E12" s="18"/>
      <c r="F12" s="18"/>
      <c r="G12" s="18"/>
      <c r="H12" s="20" t="str">
        <f t="shared" si="0"/>
        <v>E</v>
      </c>
      <c r="I12" s="18">
        <f t="shared" si="1"/>
        <v>4</v>
      </c>
      <c r="J12" s="18">
        <v>24</v>
      </c>
      <c r="K12" s="18">
        <v>3</v>
      </c>
      <c r="L12" s="18">
        <f t="shared" si="2"/>
        <v>10.5</v>
      </c>
      <c r="M12" s="21">
        <f t="shared" si="3"/>
        <v>15.083333333333334</v>
      </c>
      <c r="N12" s="21">
        <f t="shared" si="4"/>
        <v>13</v>
      </c>
      <c r="O12" s="21"/>
      <c r="P12">
        <v>20</v>
      </c>
      <c r="Q12">
        <f t="shared" si="5"/>
        <v>16</v>
      </c>
      <c r="R12">
        <f t="shared" si="6"/>
        <v>12.291666666666666</v>
      </c>
      <c r="S12">
        <f t="shared" si="6"/>
        <v>13.708333333333334</v>
      </c>
      <c r="T12" t="str">
        <f t="shared" si="7"/>
        <v>Q</v>
      </c>
      <c r="U12">
        <f t="shared" si="8"/>
        <v>15</v>
      </c>
      <c r="V12" s="18"/>
      <c r="W12" t="str">
        <f t="shared" si="9"/>
        <v>P</v>
      </c>
      <c r="X12" t="str">
        <f t="shared" si="11"/>
        <v>KVHNQJEWCDP</v>
      </c>
    </row>
    <row r="13" spans="1:30">
      <c r="A13" s="18">
        <f t="shared" si="10"/>
        <v>12</v>
      </c>
      <c r="B13" s="22" t="s">
        <v>39</v>
      </c>
      <c r="C13" s="18"/>
      <c r="D13" s="18"/>
      <c r="E13" s="18"/>
      <c r="F13" s="18"/>
      <c r="G13" s="18"/>
      <c r="H13" s="20" t="str">
        <f t="shared" si="0"/>
        <v>F</v>
      </c>
      <c r="I13" s="18">
        <f t="shared" si="1"/>
        <v>5</v>
      </c>
      <c r="J13" s="18">
        <v>4</v>
      </c>
      <c r="K13" s="18">
        <v>18</v>
      </c>
      <c r="L13" s="18">
        <f t="shared" si="2"/>
        <v>10.916666666666666</v>
      </c>
      <c r="M13" s="21">
        <f t="shared" si="3"/>
        <v>15.083333333333334</v>
      </c>
      <c r="N13" s="21">
        <f t="shared" si="4"/>
        <v>13.416666666666666</v>
      </c>
      <c r="O13" s="21"/>
      <c r="P13">
        <v>11</v>
      </c>
      <c r="Q13">
        <f t="shared" si="5"/>
        <v>6</v>
      </c>
      <c r="R13">
        <f t="shared" si="6"/>
        <v>12.041666666666666</v>
      </c>
      <c r="S13">
        <f t="shared" si="6"/>
        <v>13.041666666666666</v>
      </c>
      <c r="T13" t="str">
        <f t="shared" si="7"/>
        <v>G</v>
      </c>
      <c r="U13">
        <f t="shared" si="8"/>
        <v>24</v>
      </c>
      <c r="V13" s="18"/>
      <c r="W13" t="str">
        <f t="shared" si="9"/>
        <v>Y</v>
      </c>
      <c r="X13" t="str">
        <f t="shared" si="11"/>
        <v>KVHNQJEWCDPY</v>
      </c>
    </row>
    <row r="14" spans="1:30">
      <c r="A14" s="18">
        <f t="shared" si="10"/>
        <v>13</v>
      </c>
      <c r="B14" s="43" t="s">
        <v>43</v>
      </c>
      <c r="C14" s="18"/>
      <c r="D14" s="18"/>
      <c r="E14" s="18"/>
      <c r="F14" s="18"/>
      <c r="G14" s="18"/>
      <c r="H14" s="20" t="str">
        <f t="shared" si="0"/>
        <v>N</v>
      </c>
      <c r="I14" s="18">
        <f t="shared" si="1"/>
        <v>13</v>
      </c>
      <c r="J14" s="18">
        <v>2</v>
      </c>
      <c r="K14" s="18">
        <v>3</v>
      </c>
      <c r="L14" s="18">
        <f t="shared" si="2"/>
        <v>11.25</v>
      </c>
      <c r="M14" s="21">
        <f t="shared" si="3"/>
        <v>15.666666666666666</v>
      </c>
      <c r="N14" s="21">
        <f t="shared" si="4"/>
        <v>13.625</v>
      </c>
      <c r="O14" s="21"/>
      <c r="P14">
        <v>1</v>
      </c>
      <c r="Q14">
        <f t="shared" si="5"/>
        <v>14</v>
      </c>
      <c r="R14">
        <f t="shared" si="6"/>
        <v>12.375</v>
      </c>
      <c r="S14">
        <f t="shared" si="6"/>
        <v>13.041666666666666</v>
      </c>
      <c r="T14" t="str">
        <f t="shared" si="7"/>
        <v>O</v>
      </c>
      <c r="U14">
        <f t="shared" si="8"/>
        <v>8</v>
      </c>
      <c r="V14" s="18"/>
      <c r="W14" t="str">
        <f t="shared" si="9"/>
        <v>I</v>
      </c>
      <c r="X14" t="str">
        <f t="shared" si="11"/>
        <v>KVHNQJEWCDPYI</v>
      </c>
    </row>
    <row r="15" spans="1:30" ht="17">
      <c r="A15" s="23">
        <f t="shared" si="10"/>
        <v>14</v>
      </c>
      <c r="B15" s="24" t="s">
        <v>44</v>
      </c>
      <c r="C15" s="23"/>
      <c r="D15" s="23"/>
      <c r="E15" s="23"/>
      <c r="F15" s="23"/>
      <c r="G15" s="23"/>
      <c r="H15" s="25" t="str">
        <f t="shared" si="0"/>
        <v>T</v>
      </c>
      <c r="I15" s="23">
        <f t="shared" si="1"/>
        <v>19</v>
      </c>
      <c r="J15" s="23">
        <v>23</v>
      </c>
      <c r="K15" s="23">
        <v>4</v>
      </c>
      <c r="L15" s="23">
        <f t="shared" si="2"/>
        <v>11.25</v>
      </c>
      <c r="M15" s="26">
        <f t="shared" si="3"/>
        <v>16.375</v>
      </c>
      <c r="N15" s="26">
        <f t="shared" si="4"/>
        <v>13.666666666666666</v>
      </c>
      <c r="O15">
        <v>0</v>
      </c>
      <c r="P15">
        <v>18</v>
      </c>
      <c r="Q15">
        <f t="shared" si="5"/>
        <v>25</v>
      </c>
      <c r="R15">
        <f t="shared" si="6"/>
        <v>13.25</v>
      </c>
      <c r="S15">
        <f t="shared" si="6"/>
        <v>12.833333333333334</v>
      </c>
      <c r="T15" t="str">
        <f t="shared" si="7"/>
        <v>Z</v>
      </c>
      <c r="U15">
        <f t="shared" si="8"/>
        <v>0</v>
      </c>
      <c r="V15" s="18"/>
      <c r="W15" t="str">
        <f t="shared" si="9"/>
        <v>A</v>
      </c>
      <c r="X15" t="str">
        <f t="shared" si="11"/>
        <v>KVHNQJEWCDPYIA</v>
      </c>
    </row>
    <row r="16" spans="1:30">
      <c r="A16" s="23">
        <f t="shared" si="10"/>
        <v>15</v>
      </c>
      <c r="B16" s="27" t="s">
        <v>45</v>
      </c>
      <c r="C16" s="23"/>
      <c r="D16" s="23"/>
      <c r="E16" s="23"/>
      <c r="F16" s="23"/>
      <c r="G16" s="23"/>
      <c r="H16" s="25" t="str">
        <f t="shared" si="0"/>
        <v>S</v>
      </c>
      <c r="I16" s="23">
        <f t="shared" si="1"/>
        <v>18</v>
      </c>
      <c r="J16" s="23">
        <v>13</v>
      </c>
      <c r="K16" s="23">
        <v>18</v>
      </c>
      <c r="L16" s="23">
        <f t="shared" si="2"/>
        <v>11</v>
      </c>
      <c r="M16" s="26">
        <f t="shared" si="3"/>
        <v>16.166666666666668</v>
      </c>
      <c r="N16" s="26">
        <f t="shared" si="4"/>
        <v>13.791666666666666</v>
      </c>
      <c r="O16">
        <v>1</v>
      </c>
      <c r="P16">
        <v>14</v>
      </c>
      <c r="Q16">
        <f t="shared" si="5"/>
        <v>22</v>
      </c>
      <c r="R16">
        <f t="shared" si="6"/>
        <v>13.291666666666666</v>
      </c>
      <c r="S16">
        <f t="shared" si="6"/>
        <v>12.041666666666666</v>
      </c>
      <c r="T16" t="str">
        <f t="shared" si="7"/>
        <v>W</v>
      </c>
      <c r="U16">
        <f t="shared" si="8"/>
        <v>16</v>
      </c>
      <c r="V16" s="18"/>
      <c r="W16" t="str">
        <f t="shared" si="9"/>
        <v>Q</v>
      </c>
      <c r="X16" t="str">
        <f t="shared" si="11"/>
        <v>KVHNQJEWCDPYIAQ</v>
      </c>
    </row>
    <row r="17" spans="1:24">
      <c r="A17" s="23">
        <f t="shared" si="10"/>
        <v>16</v>
      </c>
      <c r="B17" s="27" t="s">
        <v>46</v>
      </c>
      <c r="C17" s="23"/>
      <c r="D17" s="23"/>
      <c r="E17" s="23"/>
      <c r="F17" s="23"/>
      <c r="G17" s="23"/>
      <c r="H17" s="25" t="str">
        <f t="shared" si="0"/>
        <v>Y</v>
      </c>
      <c r="I17" s="23">
        <f t="shared" si="1"/>
        <v>24</v>
      </c>
      <c r="J17" s="23">
        <v>3</v>
      </c>
      <c r="K17" s="23">
        <v>3</v>
      </c>
      <c r="L17" s="23">
        <f t="shared" si="2"/>
        <v>11.208333333333334</v>
      </c>
      <c r="M17" s="26">
        <f t="shared" si="3"/>
        <v>16.625</v>
      </c>
      <c r="N17" s="26">
        <f t="shared" si="4"/>
        <v>13.583333333333334</v>
      </c>
      <c r="O17">
        <v>0</v>
      </c>
      <c r="P17">
        <v>11</v>
      </c>
      <c r="Q17">
        <f t="shared" si="5"/>
        <v>13</v>
      </c>
      <c r="R17">
        <f t="shared" si="6"/>
        <v>13.375</v>
      </c>
      <c r="S17">
        <f t="shared" si="6"/>
        <v>11.916666666666666</v>
      </c>
      <c r="T17" t="str">
        <f t="shared" si="7"/>
        <v>N</v>
      </c>
      <c r="U17">
        <f t="shared" si="8"/>
        <v>7</v>
      </c>
      <c r="V17" s="18"/>
      <c r="W17" t="str">
        <f t="shared" si="9"/>
        <v>H</v>
      </c>
      <c r="X17" t="str">
        <f t="shared" si="11"/>
        <v>KVHNQJEWCDPYIAQH</v>
      </c>
    </row>
    <row r="18" spans="1:24">
      <c r="A18" s="23">
        <f t="shared" si="10"/>
        <v>17</v>
      </c>
      <c r="B18" s="27" t="s">
        <v>47</v>
      </c>
      <c r="C18" s="23"/>
      <c r="D18" s="23"/>
      <c r="E18" s="23"/>
      <c r="F18" s="23"/>
      <c r="G18" s="23"/>
      <c r="H18" s="25" t="str">
        <f t="shared" si="0"/>
        <v>E</v>
      </c>
      <c r="I18" s="23">
        <f t="shared" si="1"/>
        <v>4</v>
      </c>
      <c r="J18" s="23">
        <v>3</v>
      </c>
      <c r="K18" s="23">
        <v>3</v>
      </c>
      <c r="L18" s="23">
        <f t="shared" si="2"/>
        <v>10.958333333333334</v>
      </c>
      <c r="M18" s="26">
        <f t="shared" si="3"/>
        <v>17.25</v>
      </c>
      <c r="N18" s="26">
        <f t="shared" si="4"/>
        <v>14.25</v>
      </c>
      <c r="O18">
        <v>0</v>
      </c>
      <c r="P18">
        <v>8</v>
      </c>
      <c r="Q18">
        <f t="shared" si="5"/>
        <v>4</v>
      </c>
      <c r="R18">
        <f t="shared" si="6"/>
        <v>13.666666666666666</v>
      </c>
      <c r="S18">
        <f t="shared" si="6"/>
        <v>11.375</v>
      </c>
      <c r="T18" t="str">
        <f t="shared" si="7"/>
        <v>E</v>
      </c>
      <c r="U18">
        <f t="shared" si="8"/>
        <v>16</v>
      </c>
      <c r="V18" s="18"/>
      <c r="W18" t="str">
        <f t="shared" si="9"/>
        <v>Q</v>
      </c>
      <c r="X18" t="str">
        <f t="shared" si="11"/>
        <v>KVHNQJEWCDPYIAQHQ</v>
      </c>
    </row>
    <row r="19" spans="1:24">
      <c r="A19" s="23">
        <f t="shared" si="10"/>
        <v>18</v>
      </c>
      <c r="B19" s="27" t="s">
        <v>48</v>
      </c>
      <c r="C19" s="23"/>
      <c r="D19" s="23"/>
      <c r="E19" s="23"/>
      <c r="F19" s="23"/>
      <c r="G19" s="23"/>
      <c r="H19" s="25" t="str">
        <f t="shared" si="0"/>
        <v>S</v>
      </c>
      <c r="I19" s="23">
        <f t="shared" si="1"/>
        <v>18</v>
      </c>
      <c r="J19" s="23">
        <v>14</v>
      </c>
      <c r="K19" s="23">
        <v>13</v>
      </c>
      <c r="L19" s="23">
        <f t="shared" si="2"/>
        <v>11.791666666666666</v>
      </c>
      <c r="M19" s="26">
        <f t="shared" si="3"/>
        <v>17.875</v>
      </c>
      <c r="N19" s="26">
        <f t="shared" si="4"/>
        <v>15.125</v>
      </c>
      <c r="O19">
        <v>1</v>
      </c>
      <c r="P19">
        <v>5</v>
      </c>
      <c r="Q19">
        <f t="shared" si="5"/>
        <v>13</v>
      </c>
      <c r="R19">
        <f t="shared" ref="R19:S34" si="12">AVERAGE(P19:P42)</f>
        <v>13.708333333333334</v>
      </c>
      <c r="S19">
        <f t="shared" si="12"/>
        <v>11.666666666666666</v>
      </c>
      <c r="T19" t="str">
        <f t="shared" si="7"/>
        <v>N</v>
      </c>
      <c r="U19">
        <f t="shared" si="8"/>
        <v>12</v>
      </c>
      <c r="V19" s="18"/>
      <c r="W19" t="str">
        <f t="shared" si="9"/>
        <v>M</v>
      </c>
      <c r="X19" t="str">
        <f t="shared" si="11"/>
        <v>KVHNQJEWCDPYIAQHQM</v>
      </c>
    </row>
    <row r="20" spans="1:24">
      <c r="A20" s="23">
        <f t="shared" si="10"/>
        <v>19</v>
      </c>
      <c r="B20" s="27" t="s">
        <v>49</v>
      </c>
      <c r="C20" s="23"/>
      <c r="D20" s="23"/>
      <c r="E20" s="23"/>
      <c r="F20" s="23"/>
      <c r="G20" s="23"/>
      <c r="H20" s="25" t="str">
        <f t="shared" si="0"/>
        <v>T</v>
      </c>
      <c r="I20" s="23">
        <f t="shared" si="1"/>
        <v>19</v>
      </c>
      <c r="J20" s="23">
        <v>13</v>
      </c>
      <c r="K20" s="23">
        <v>13</v>
      </c>
      <c r="L20" s="23">
        <f t="shared" si="2"/>
        <v>11.958333333333334</v>
      </c>
      <c r="M20" s="26">
        <f t="shared" si="3"/>
        <v>18</v>
      </c>
      <c r="N20" s="26">
        <f t="shared" si="4"/>
        <v>15.333333333333334</v>
      </c>
      <c r="O20">
        <v>0</v>
      </c>
      <c r="P20">
        <v>1</v>
      </c>
      <c r="Q20">
        <f t="shared" si="5"/>
        <v>8</v>
      </c>
      <c r="R20">
        <f t="shared" si="12"/>
        <v>14.166666666666666</v>
      </c>
      <c r="S20">
        <f t="shared" si="12"/>
        <v>11.958333333333334</v>
      </c>
      <c r="T20" t="str">
        <f t="shared" si="7"/>
        <v>I</v>
      </c>
      <c r="U20">
        <f t="shared" si="8"/>
        <v>23</v>
      </c>
      <c r="V20" s="18"/>
      <c r="W20" t="str">
        <f t="shared" si="9"/>
        <v>X</v>
      </c>
      <c r="X20" t="str">
        <f t="shared" si="11"/>
        <v>KVHNQJEWCDPYIAQHQMX</v>
      </c>
    </row>
    <row r="21" spans="1:24">
      <c r="A21" s="23">
        <f t="shared" si="10"/>
        <v>20</v>
      </c>
      <c r="B21" s="27" t="s">
        <v>243</v>
      </c>
      <c r="C21" s="23" t="s">
        <v>244</v>
      </c>
      <c r="D21" s="23"/>
      <c r="E21" s="23"/>
      <c r="F21" s="23">
        <v>20</v>
      </c>
      <c r="G21" s="23">
        <f>F45-F21</f>
        <v>24</v>
      </c>
      <c r="H21" s="25" t="str">
        <f t="shared" si="0"/>
        <v>E</v>
      </c>
      <c r="I21" s="23">
        <f t="shared" si="1"/>
        <v>4</v>
      </c>
      <c r="J21" s="23">
        <v>23</v>
      </c>
      <c r="K21" s="23">
        <v>18</v>
      </c>
      <c r="L21" s="23">
        <f t="shared" si="2"/>
        <v>11.958333333333334</v>
      </c>
      <c r="M21" s="26">
        <f t="shared" si="3"/>
        <v>18.25</v>
      </c>
      <c r="N21" s="26">
        <f t="shared" si="4"/>
        <v>15.75</v>
      </c>
      <c r="O21">
        <v>0</v>
      </c>
      <c r="P21">
        <v>1</v>
      </c>
      <c r="Q21">
        <f t="shared" si="5"/>
        <v>23</v>
      </c>
      <c r="R21">
        <f t="shared" si="12"/>
        <v>14.875</v>
      </c>
      <c r="S21">
        <f t="shared" si="12"/>
        <v>12.666666666666666</v>
      </c>
      <c r="T21" t="str">
        <f t="shared" si="7"/>
        <v>X</v>
      </c>
      <c r="U21">
        <f t="shared" si="8"/>
        <v>3</v>
      </c>
      <c r="V21" s="18"/>
      <c r="W21" t="str">
        <f t="shared" si="9"/>
        <v>D</v>
      </c>
      <c r="X21" t="str">
        <f t="shared" si="11"/>
        <v>KVHNQJEWCDPYIAQHQMXD</v>
      </c>
    </row>
    <row r="22" spans="1:24">
      <c r="A22" s="23">
        <f t="shared" si="10"/>
        <v>21</v>
      </c>
      <c r="B22" s="27" t="s">
        <v>50</v>
      </c>
      <c r="C22" s="23"/>
      <c r="D22" s="23"/>
      <c r="E22" s="23"/>
      <c r="F22" s="23"/>
      <c r="G22" s="23"/>
      <c r="H22" s="25" t="str">
        <f t="shared" si="0"/>
        <v>Y</v>
      </c>
      <c r="I22" s="23">
        <f t="shared" si="1"/>
        <v>24</v>
      </c>
      <c r="J22" s="23">
        <v>24</v>
      </c>
      <c r="K22" s="23">
        <v>22</v>
      </c>
      <c r="L22" s="23">
        <f t="shared" si="2"/>
        <v>12.541666666666666</v>
      </c>
      <c r="M22" s="26">
        <f t="shared" si="3"/>
        <v>18</v>
      </c>
      <c r="N22" s="26">
        <f t="shared" si="4"/>
        <v>15.583333333333334</v>
      </c>
      <c r="O22">
        <v>1</v>
      </c>
      <c r="P22">
        <v>22</v>
      </c>
      <c r="Q22">
        <f t="shared" si="5"/>
        <v>24</v>
      </c>
      <c r="R22">
        <f t="shared" si="12"/>
        <v>15.583333333333334</v>
      </c>
      <c r="S22">
        <f t="shared" si="12"/>
        <v>11.708333333333334</v>
      </c>
      <c r="T22" t="str">
        <f t="shared" si="7"/>
        <v>Y</v>
      </c>
      <c r="U22">
        <f t="shared" si="8"/>
        <v>19</v>
      </c>
      <c r="V22" s="18"/>
      <c r="W22" t="str">
        <f t="shared" si="9"/>
        <v>T</v>
      </c>
      <c r="X22" t="str">
        <f t="shared" si="11"/>
        <v>KVHNQJEWCDPYIAQHQMXDT</v>
      </c>
    </row>
    <row r="23" spans="1:24">
      <c r="A23" s="23">
        <f t="shared" si="10"/>
        <v>22</v>
      </c>
      <c r="B23" s="27" t="s">
        <v>51</v>
      </c>
      <c r="C23" s="23"/>
      <c r="D23" s="23"/>
      <c r="E23" s="23"/>
      <c r="F23" s="23"/>
      <c r="G23" s="23"/>
      <c r="H23" s="25" t="str">
        <f t="shared" si="0"/>
        <v>D</v>
      </c>
      <c r="I23" s="23">
        <f t="shared" si="1"/>
        <v>3</v>
      </c>
      <c r="J23" s="23">
        <v>19</v>
      </c>
      <c r="K23" s="23">
        <v>18</v>
      </c>
      <c r="L23" s="23">
        <f t="shared" si="2"/>
        <v>12.541666666666666</v>
      </c>
      <c r="M23" s="26">
        <f t="shared" si="3"/>
        <v>18</v>
      </c>
      <c r="N23" s="26">
        <f t="shared" si="4"/>
        <v>15.666666666666666</v>
      </c>
      <c r="O23">
        <v>0</v>
      </c>
      <c r="P23">
        <v>5</v>
      </c>
      <c r="Q23">
        <f t="shared" si="5"/>
        <v>2</v>
      </c>
      <c r="R23">
        <f t="shared" si="12"/>
        <v>14.833333333333334</v>
      </c>
      <c r="S23">
        <f t="shared" si="12"/>
        <v>10.958333333333334</v>
      </c>
      <c r="T23" t="str">
        <f t="shared" si="7"/>
        <v>C</v>
      </c>
      <c r="U23">
        <f t="shared" si="8"/>
        <v>1</v>
      </c>
      <c r="V23" s="18" t="s">
        <v>36</v>
      </c>
      <c r="W23" t="str">
        <f t="shared" si="9"/>
        <v>B</v>
      </c>
      <c r="X23" t="str">
        <f t="shared" si="11"/>
        <v>KVHNQJEWCDPYIAQHQMXDTB</v>
      </c>
    </row>
    <row r="24" spans="1:24">
      <c r="A24" s="23">
        <f t="shared" si="10"/>
        <v>23</v>
      </c>
      <c r="B24" s="27" t="s">
        <v>78</v>
      </c>
      <c r="C24" s="23"/>
      <c r="D24" s="23"/>
      <c r="E24" s="23"/>
      <c r="F24" s="23"/>
      <c r="G24" s="23"/>
      <c r="H24" s="25" t="str">
        <f t="shared" si="0"/>
        <v>E</v>
      </c>
      <c r="I24" s="23">
        <f t="shared" si="1"/>
        <v>4</v>
      </c>
      <c r="J24" s="23">
        <v>24</v>
      </c>
      <c r="K24" s="23">
        <v>3</v>
      </c>
      <c r="L24" s="23">
        <f t="shared" si="2"/>
        <v>12.541666666666666</v>
      </c>
      <c r="M24" s="26">
        <f t="shared" si="3"/>
        <v>18.208333333333332</v>
      </c>
      <c r="N24" s="26">
        <f t="shared" si="4"/>
        <v>15.083333333333334</v>
      </c>
      <c r="O24">
        <v>0</v>
      </c>
      <c r="P24">
        <v>11</v>
      </c>
      <c r="Q24">
        <f t="shared" si="5"/>
        <v>7</v>
      </c>
      <c r="R24">
        <f t="shared" si="12"/>
        <v>15.041666666666666</v>
      </c>
      <c r="S24">
        <f t="shared" si="12"/>
        <v>11.166666666666666</v>
      </c>
      <c r="T24" t="str">
        <f t="shared" si="7"/>
        <v>H</v>
      </c>
      <c r="U24">
        <f t="shared" si="8"/>
        <v>19</v>
      </c>
      <c r="V24" s="18" t="s">
        <v>158</v>
      </c>
      <c r="W24" t="str">
        <f t="shared" si="9"/>
        <v>T</v>
      </c>
      <c r="X24" t="str">
        <f t="shared" si="11"/>
        <v>KVHNQJEWCDPYIAQHQMXDTBT</v>
      </c>
    </row>
    <row r="25" spans="1:24">
      <c r="A25" s="23">
        <f t="shared" si="10"/>
        <v>24</v>
      </c>
      <c r="B25" s="27" t="s">
        <v>52</v>
      </c>
      <c r="C25" s="23"/>
      <c r="D25" s="23"/>
      <c r="E25" s="23"/>
      <c r="F25" s="23"/>
      <c r="G25" s="23"/>
      <c r="H25" s="25" t="str">
        <f t="shared" si="0"/>
        <v>S</v>
      </c>
      <c r="I25" s="23">
        <f t="shared" si="1"/>
        <v>18</v>
      </c>
      <c r="J25" s="23">
        <v>18</v>
      </c>
      <c r="K25" s="23">
        <v>3</v>
      </c>
      <c r="L25" s="23">
        <f t="shared" si="2"/>
        <v>13.125</v>
      </c>
      <c r="M25" s="26">
        <f t="shared" si="3"/>
        <v>17.958333333333332</v>
      </c>
      <c r="N25" s="26">
        <f t="shared" si="4"/>
        <v>15.166666666666666</v>
      </c>
      <c r="O25">
        <v>1</v>
      </c>
      <c r="P25">
        <v>17</v>
      </c>
      <c r="Q25">
        <f t="shared" si="5"/>
        <v>25</v>
      </c>
      <c r="R25">
        <f t="shared" si="12"/>
        <v>15.625</v>
      </c>
      <c r="S25">
        <f t="shared" si="12"/>
        <v>11.166666666666666</v>
      </c>
      <c r="T25" t="str">
        <f t="shared" si="7"/>
        <v>Z</v>
      </c>
      <c r="U25">
        <f t="shared" si="8"/>
        <v>15</v>
      </c>
      <c r="V25" s="18" t="s">
        <v>159</v>
      </c>
      <c r="W25" t="str">
        <f t="shared" si="9"/>
        <v>P</v>
      </c>
      <c r="X25" t="str">
        <f t="shared" si="11"/>
        <v>KVHNQJEWCDPYIAQHQMXDTBTP</v>
      </c>
    </row>
    <row r="26" spans="1:24">
      <c r="A26" s="23">
        <f t="shared" si="10"/>
        <v>25</v>
      </c>
      <c r="B26" s="27" t="s">
        <v>53</v>
      </c>
      <c r="C26" s="23"/>
      <c r="D26" s="23"/>
      <c r="E26" s="23"/>
      <c r="F26" s="23"/>
      <c r="G26" s="23"/>
      <c r="H26" s="25" t="str">
        <f t="shared" si="0"/>
        <v>C</v>
      </c>
      <c r="I26" s="23">
        <f t="shared" si="1"/>
        <v>2</v>
      </c>
      <c r="J26" s="23">
        <v>19</v>
      </c>
      <c r="K26" s="23">
        <v>4</v>
      </c>
      <c r="L26" s="23">
        <f t="shared" si="2"/>
        <v>12.5</v>
      </c>
      <c r="M26" s="26">
        <f t="shared" si="3"/>
        <v>17.375</v>
      </c>
      <c r="N26" s="26">
        <f t="shared" si="4"/>
        <v>15.791666666666666</v>
      </c>
      <c r="O26">
        <v>0</v>
      </c>
      <c r="P26">
        <v>21</v>
      </c>
      <c r="Q26">
        <f t="shared" si="5"/>
        <v>19</v>
      </c>
      <c r="R26">
        <f t="shared" si="12"/>
        <v>15.958333333333334</v>
      </c>
      <c r="S26">
        <f t="shared" si="12"/>
        <v>11.041666666666666</v>
      </c>
      <c r="T26" t="str">
        <f t="shared" si="7"/>
        <v>T</v>
      </c>
      <c r="U26">
        <f t="shared" si="8"/>
        <v>18</v>
      </c>
      <c r="V26" s="18" t="s">
        <v>33</v>
      </c>
      <c r="W26" t="str">
        <f t="shared" si="9"/>
        <v>S</v>
      </c>
      <c r="X26" t="str">
        <f t="shared" si="11"/>
        <v>KVHNQJEWCDPYIAQHQMXDTBTPS</v>
      </c>
    </row>
    <row r="27" spans="1:24">
      <c r="A27" s="23">
        <f t="shared" si="10"/>
        <v>26</v>
      </c>
      <c r="B27" s="27" t="s">
        <v>54</v>
      </c>
      <c r="C27" s="23"/>
      <c r="D27" s="23"/>
      <c r="E27" s="23"/>
      <c r="F27" s="23"/>
      <c r="G27" s="23"/>
      <c r="H27" s="25" t="str">
        <f t="shared" si="0"/>
        <v>D</v>
      </c>
      <c r="I27" s="23">
        <f t="shared" si="1"/>
        <v>3</v>
      </c>
      <c r="J27" s="23">
        <v>4</v>
      </c>
      <c r="K27" s="23">
        <v>23</v>
      </c>
      <c r="L27" s="23">
        <f t="shared" si="2"/>
        <v>13.208333333333334</v>
      </c>
      <c r="M27" s="26">
        <f t="shared" si="3"/>
        <v>17.375</v>
      </c>
      <c r="N27" s="26">
        <f t="shared" si="4"/>
        <v>15.75</v>
      </c>
      <c r="O27">
        <v>0</v>
      </c>
      <c r="P27">
        <v>16</v>
      </c>
      <c r="Q27">
        <f t="shared" si="5"/>
        <v>13</v>
      </c>
      <c r="R27">
        <f t="shared" si="12"/>
        <v>16</v>
      </c>
      <c r="S27">
        <f t="shared" si="12"/>
        <v>10.375</v>
      </c>
      <c r="T27" t="str">
        <f t="shared" si="7"/>
        <v>N</v>
      </c>
      <c r="U27">
        <f t="shared" si="8"/>
        <v>19</v>
      </c>
      <c r="V27" s="18" t="s">
        <v>160</v>
      </c>
      <c r="W27" t="str">
        <f t="shared" si="9"/>
        <v>T</v>
      </c>
      <c r="X27" t="str">
        <f t="shared" si="11"/>
        <v>KVHNQJEWCDPYIAQHQMXDTBTPST</v>
      </c>
    </row>
    <row r="28" spans="1:24">
      <c r="A28" s="23">
        <f t="shared" si="10"/>
        <v>27</v>
      </c>
      <c r="B28" s="27" t="s">
        <v>111</v>
      </c>
      <c r="C28" s="23" t="s">
        <v>250</v>
      </c>
      <c r="D28" s="23">
        <v>22</v>
      </c>
      <c r="E28" s="23">
        <f>D40-D28</f>
        <v>17</v>
      </c>
      <c r="F28" s="23"/>
      <c r="G28" s="23"/>
      <c r="H28" s="25" t="str">
        <f t="shared" si="0"/>
        <v>X</v>
      </c>
      <c r="I28" s="23">
        <f t="shared" si="1"/>
        <v>23</v>
      </c>
      <c r="J28" s="23">
        <v>14</v>
      </c>
      <c r="K28" s="23">
        <v>18</v>
      </c>
      <c r="L28" s="23">
        <f t="shared" si="2"/>
        <v>13.25</v>
      </c>
      <c r="M28" s="26">
        <f t="shared" si="3"/>
        <v>17.375</v>
      </c>
      <c r="N28" s="26">
        <f t="shared" si="4"/>
        <v>15.5</v>
      </c>
      <c r="O28">
        <v>1</v>
      </c>
      <c r="P28">
        <v>16</v>
      </c>
      <c r="Q28">
        <f t="shared" si="5"/>
        <v>19</v>
      </c>
      <c r="R28">
        <f t="shared" si="12"/>
        <v>15.333333333333334</v>
      </c>
      <c r="S28">
        <f t="shared" si="12"/>
        <v>10.75</v>
      </c>
      <c r="T28" s="17" t="str">
        <f t="shared" si="7"/>
        <v>T</v>
      </c>
      <c r="U28">
        <f t="shared" si="8"/>
        <v>12</v>
      </c>
      <c r="V28" s="18" t="s">
        <v>161</v>
      </c>
      <c r="W28" t="str">
        <f t="shared" si="9"/>
        <v>M</v>
      </c>
      <c r="X28" t="str">
        <f t="shared" si="11"/>
        <v>KVHNQJEWCDPYIAQHQMXDTBTPSTM</v>
      </c>
    </row>
    <row r="29" spans="1:24">
      <c r="A29" s="23">
        <f t="shared" si="10"/>
        <v>28</v>
      </c>
      <c r="B29" s="27" t="s">
        <v>78</v>
      </c>
      <c r="C29" s="23"/>
      <c r="D29" s="23"/>
      <c r="E29" s="23"/>
      <c r="F29" s="23"/>
      <c r="G29" s="23"/>
      <c r="H29" s="25" t="str">
        <f t="shared" si="0"/>
        <v>E</v>
      </c>
      <c r="I29" s="23">
        <f t="shared" si="1"/>
        <v>4</v>
      </c>
      <c r="J29" s="23">
        <v>4</v>
      </c>
      <c r="K29" s="23">
        <v>19</v>
      </c>
      <c r="L29" s="23">
        <f t="shared" si="2"/>
        <v>12.458333333333334</v>
      </c>
      <c r="M29" s="26">
        <f t="shared" si="3"/>
        <v>17.583333333333332</v>
      </c>
      <c r="N29" s="26">
        <f t="shared" si="4"/>
        <v>14.958333333333334</v>
      </c>
      <c r="O29">
        <v>0</v>
      </c>
      <c r="P29">
        <v>15</v>
      </c>
      <c r="Q29">
        <f t="shared" si="5"/>
        <v>11</v>
      </c>
      <c r="R29">
        <f t="shared" si="12"/>
        <v>15.458333333333334</v>
      </c>
      <c r="S29">
        <f t="shared" si="12"/>
        <v>10.583333333333334</v>
      </c>
      <c r="T29" s="17" t="str">
        <f t="shared" si="7"/>
        <v>L</v>
      </c>
      <c r="U29">
        <f t="shared" si="8"/>
        <v>2</v>
      </c>
      <c r="V29" s="18" t="s">
        <v>37</v>
      </c>
      <c r="W29" t="str">
        <f t="shared" si="9"/>
        <v>C</v>
      </c>
      <c r="X29" t="str">
        <f t="shared" si="11"/>
        <v>KVHNQJEWCDPYIAQHQMXDTBTPSTMC</v>
      </c>
    </row>
    <row r="30" spans="1:24">
      <c r="A30" s="23">
        <f t="shared" si="10"/>
        <v>29</v>
      </c>
      <c r="B30" s="27" t="s">
        <v>55</v>
      </c>
      <c r="C30" s="23"/>
      <c r="D30" s="23"/>
      <c r="E30" s="23"/>
      <c r="F30" s="23"/>
      <c r="G30" s="23"/>
      <c r="H30" s="25" t="str">
        <f t="shared" si="0"/>
        <v>N</v>
      </c>
      <c r="I30" s="23">
        <f t="shared" si="1"/>
        <v>13</v>
      </c>
      <c r="J30" s="23">
        <v>13</v>
      </c>
      <c r="K30" s="23">
        <v>24</v>
      </c>
      <c r="L30" s="23">
        <f t="shared" si="2"/>
        <v>13.25</v>
      </c>
      <c r="M30" s="26">
        <f t="shared" si="3"/>
        <v>17.583333333333332</v>
      </c>
      <c r="N30" s="26">
        <f t="shared" si="4"/>
        <v>15.166666666666666</v>
      </c>
      <c r="O30">
        <v>0</v>
      </c>
      <c r="P30">
        <v>17</v>
      </c>
      <c r="Q30">
        <f t="shared" si="5"/>
        <v>4</v>
      </c>
      <c r="R30">
        <f t="shared" si="12"/>
        <v>15.208333333333334</v>
      </c>
      <c r="S30">
        <f t="shared" si="12"/>
        <v>10.625</v>
      </c>
      <c r="T30" s="17" t="str">
        <f t="shared" si="7"/>
        <v>E</v>
      </c>
      <c r="U30">
        <f t="shared" si="8"/>
        <v>25</v>
      </c>
      <c r="V30" s="18" t="s">
        <v>33</v>
      </c>
      <c r="W30" t="str">
        <f t="shared" si="9"/>
        <v>Z</v>
      </c>
      <c r="X30" t="str">
        <f t="shared" si="11"/>
        <v>KVHNQJEWCDPYIAQHQMXDTBTPSTMCZ</v>
      </c>
    </row>
    <row r="31" spans="1:24">
      <c r="A31" s="23">
        <f t="shared" si="10"/>
        <v>30</v>
      </c>
      <c r="B31" s="27" t="s">
        <v>45</v>
      </c>
      <c r="C31" s="23"/>
      <c r="D31" s="23"/>
      <c r="E31" s="23"/>
      <c r="F31" s="23"/>
      <c r="G31" s="23"/>
      <c r="H31" s="25" t="str">
        <f t="shared" si="0"/>
        <v>S</v>
      </c>
      <c r="I31" s="23">
        <f t="shared" si="1"/>
        <v>18</v>
      </c>
      <c r="J31" s="23">
        <v>22</v>
      </c>
      <c r="K31" s="23">
        <v>18</v>
      </c>
      <c r="L31" s="23">
        <f t="shared" si="2"/>
        <v>13.291666666666666</v>
      </c>
      <c r="M31" s="26">
        <f t="shared" si="3"/>
        <v>17.791666666666668</v>
      </c>
      <c r="N31" s="26">
        <f t="shared" si="4"/>
        <v>14.291666666666666</v>
      </c>
      <c r="O31">
        <v>1</v>
      </c>
      <c r="P31">
        <v>13</v>
      </c>
      <c r="Q31">
        <f t="shared" si="5"/>
        <v>21</v>
      </c>
      <c r="R31">
        <f t="shared" si="12"/>
        <v>14.916666666666666</v>
      </c>
      <c r="S31">
        <f t="shared" si="12"/>
        <v>11.375</v>
      </c>
      <c r="T31" t="str">
        <f t="shared" si="7"/>
        <v>V</v>
      </c>
      <c r="U31">
        <f t="shared" si="8"/>
        <v>10</v>
      </c>
      <c r="V31" s="18" t="s">
        <v>162</v>
      </c>
      <c r="W31" t="str">
        <f t="shared" si="9"/>
        <v>K</v>
      </c>
      <c r="X31" t="str">
        <f t="shared" si="11"/>
        <v>KVHNQJEWCDPYIAQHQMXDTBTPSTMCZK</v>
      </c>
    </row>
    <row r="32" spans="1:24">
      <c r="A32" s="23">
        <f t="shared" si="10"/>
        <v>31</v>
      </c>
      <c r="B32" s="27" t="s">
        <v>56</v>
      </c>
      <c r="C32" s="23"/>
      <c r="D32" s="23"/>
      <c r="E32" s="23"/>
      <c r="F32" s="23"/>
      <c r="G32" s="23"/>
      <c r="H32" s="25" t="str">
        <f t="shared" si="0"/>
        <v>D</v>
      </c>
      <c r="I32" s="23">
        <f t="shared" si="1"/>
        <v>3</v>
      </c>
      <c r="J32" s="23">
        <v>18</v>
      </c>
      <c r="K32" s="23">
        <v>18</v>
      </c>
      <c r="L32" s="23">
        <f t="shared" si="2"/>
        <v>13.291666666666666</v>
      </c>
      <c r="M32" s="26">
        <f t="shared" si="3"/>
        <v>17.166666666666668</v>
      </c>
      <c r="N32" s="26">
        <f t="shared" si="4"/>
        <v>13.791666666666666</v>
      </c>
      <c r="O32">
        <v>0</v>
      </c>
      <c r="P32">
        <v>6</v>
      </c>
      <c r="Q32">
        <f t="shared" si="5"/>
        <v>3</v>
      </c>
      <c r="R32">
        <f t="shared" si="12"/>
        <v>14.833333333333334</v>
      </c>
      <c r="S32">
        <f t="shared" si="12"/>
        <v>11.291666666666666</v>
      </c>
      <c r="T32" t="str">
        <f t="shared" si="7"/>
        <v>D</v>
      </c>
      <c r="U32">
        <f t="shared" si="8"/>
        <v>3</v>
      </c>
      <c r="V32" s="18" t="s">
        <v>36</v>
      </c>
      <c r="W32" t="str">
        <f t="shared" si="9"/>
        <v>D</v>
      </c>
      <c r="X32" t="str">
        <f t="shared" si="11"/>
        <v>KVHNQJEWCDPYIAQHQMXDTBTPSTMCZKD</v>
      </c>
    </row>
    <row r="33" spans="1:24">
      <c r="A33" s="23">
        <f t="shared" si="10"/>
        <v>32</v>
      </c>
      <c r="B33" s="27" t="s">
        <v>77</v>
      </c>
      <c r="C33" s="23"/>
      <c r="D33" s="23"/>
      <c r="E33" s="23"/>
      <c r="F33" s="23"/>
      <c r="G33" s="23"/>
      <c r="H33" s="25" t="str">
        <f t="shared" si="0"/>
        <v>D</v>
      </c>
      <c r="I33" s="23">
        <f t="shared" si="1"/>
        <v>3</v>
      </c>
      <c r="J33" s="23">
        <v>19</v>
      </c>
      <c r="K33" s="23">
        <v>4</v>
      </c>
      <c r="L33" s="23">
        <f t="shared" si="2"/>
        <v>13.333333333333334</v>
      </c>
      <c r="M33" s="26">
        <f t="shared" si="3"/>
        <v>17.166666666666668</v>
      </c>
      <c r="N33" s="26">
        <f t="shared" si="4"/>
        <v>13.375</v>
      </c>
      <c r="O33">
        <v>0</v>
      </c>
      <c r="P33">
        <v>10</v>
      </c>
      <c r="Q33">
        <f t="shared" si="5"/>
        <v>7</v>
      </c>
      <c r="R33">
        <f t="shared" si="12"/>
        <v>15.416666666666666</v>
      </c>
      <c r="S33">
        <f t="shared" si="12"/>
        <v>11.833333333333334</v>
      </c>
      <c r="T33" t="str">
        <f t="shared" si="7"/>
        <v>H</v>
      </c>
      <c r="U33">
        <f t="shared" si="8"/>
        <v>7</v>
      </c>
      <c r="V33" s="18" t="s">
        <v>158</v>
      </c>
      <c r="W33" t="str">
        <f t="shared" si="9"/>
        <v>H</v>
      </c>
      <c r="X33" t="str">
        <f t="shared" si="11"/>
        <v>KVHNQJEWCDPYIAQHQMXDTBTPSTMCZKDH</v>
      </c>
    </row>
    <row r="34" spans="1:24">
      <c r="A34" s="23">
        <f t="shared" si="10"/>
        <v>33</v>
      </c>
      <c r="B34" s="27" t="s">
        <v>311</v>
      </c>
      <c r="C34" s="23"/>
      <c r="D34" s="23"/>
      <c r="E34" s="23"/>
      <c r="F34" s="23"/>
      <c r="G34" s="23"/>
      <c r="H34" s="25" t="str">
        <f t="shared" si="0"/>
        <v>D</v>
      </c>
      <c r="I34" s="23">
        <f t="shared" si="1"/>
        <v>3</v>
      </c>
      <c r="J34" s="23">
        <v>23</v>
      </c>
      <c r="K34" s="23">
        <v>24</v>
      </c>
      <c r="L34" s="23">
        <f t="shared" si="2"/>
        <v>14</v>
      </c>
      <c r="M34" s="26">
        <f t="shared" si="3"/>
        <v>16.541666666666668</v>
      </c>
      <c r="N34" s="26">
        <f t="shared" si="4"/>
        <v>13.208333333333334</v>
      </c>
      <c r="O34">
        <v>1</v>
      </c>
      <c r="P34">
        <v>18</v>
      </c>
      <c r="Q34">
        <f t="shared" si="5"/>
        <v>15</v>
      </c>
      <c r="R34">
        <f t="shared" si="12"/>
        <v>15.125</v>
      </c>
      <c r="S34">
        <f t="shared" si="12"/>
        <v>11.958333333333334</v>
      </c>
      <c r="T34" t="str">
        <f t="shared" si="7"/>
        <v>P</v>
      </c>
      <c r="U34">
        <f t="shared" si="8"/>
        <v>15</v>
      </c>
      <c r="V34" s="18" t="s">
        <v>159</v>
      </c>
      <c r="W34" t="str">
        <f t="shared" si="9"/>
        <v>P</v>
      </c>
      <c r="X34" t="str">
        <f t="shared" si="11"/>
        <v>KVHNQJEWCDPYIAQHQMXDTBTPSTMCZKDHP</v>
      </c>
    </row>
    <row r="35" spans="1:24">
      <c r="A35" s="23">
        <f t="shared" si="10"/>
        <v>34</v>
      </c>
      <c r="B35" s="42" t="s">
        <v>312</v>
      </c>
      <c r="C35" s="23"/>
      <c r="D35" s="23"/>
      <c r="E35" s="23"/>
      <c r="F35" s="23"/>
      <c r="G35" s="23"/>
      <c r="H35" s="25" t="str">
        <f t="shared" si="0"/>
        <v>D</v>
      </c>
      <c r="I35" s="23">
        <f t="shared" si="1"/>
        <v>3</v>
      </c>
      <c r="J35" s="23">
        <v>19</v>
      </c>
      <c r="K35" s="23">
        <v>18</v>
      </c>
      <c r="L35" s="23">
        <f t="shared" si="2"/>
        <v>14.416666666666666</v>
      </c>
      <c r="M35" s="26">
        <f t="shared" ref="M35:M60" si="13">AVERAGE(J35:J58)</f>
        <v>16.583333333333332</v>
      </c>
      <c r="N35" s="26">
        <f t="shared" ref="N35:N60" si="14">AVERAGE(K35:K58)</f>
        <v>12.5</v>
      </c>
      <c r="O35">
        <v>0</v>
      </c>
      <c r="P35">
        <v>18</v>
      </c>
      <c r="Q35">
        <f t="shared" si="5"/>
        <v>15</v>
      </c>
      <c r="R35">
        <f t="shared" ref="R35:S50" si="15">AVERAGE(P35:P58)</f>
        <v>14.708333333333334</v>
      </c>
      <c r="S35">
        <f t="shared" si="15"/>
        <v>12.208333333333334</v>
      </c>
      <c r="T35" t="str">
        <f t="shared" si="7"/>
        <v>P</v>
      </c>
      <c r="U35">
        <f t="shared" si="8"/>
        <v>4</v>
      </c>
      <c r="V35" s="18" t="s">
        <v>33</v>
      </c>
      <c r="W35" t="str">
        <f t="shared" si="9"/>
        <v>E</v>
      </c>
      <c r="X35" t="str">
        <f t="shared" si="11"/>
        <v>KVHNQJEWCDPYIAQHQMXDTBTPSTMCZKDHPE</v>
      </c>
    </row>
    <row r="36" spans="1:24">
      <c r="A36" s="23">
        <f t="shared" si="10"/>
        <v>35</v>
      </c>
      <c r="B36" s="27" t="s">
        <v>313</v>
      </c>
      <c r="C36" s="23"/>
      <c r="D36" s="23"/>
      <c r="E36" s="23"/>
      <c r="F36" s="23"/>
      <c r="G36" s="23"/>
      <c r="H36" s="25" t="str">
        <f t="shared" si="0"/>
        <v>O</v>
      </c>
      <c r="I36" s="23">
        <f t="shared" si="1"/>
        <v>14</v>
      </c>
      <c r="J36" s="23">
        <v>24</v>
      </c>
      <c r="K36" s="23">
        <v>13</v>
      </c>
      <c r="L36" s="23">
        <f t="shared" si="2"/>
        <v>15.291666666666666</v>
      </c>
      <c r="M36" s="26">
        <f t="shared" si="13"/>
        <v>16.333333333333332</v>
      </c>
      <c r="N36" s="26">
        <f t="shared" si="14"/>
        <v>11.916666666666666</v>
      </c>
      <c r="O36">
        <v>0</v>
      </c>
      <c r="P36">
        <v>14</v>
      </c>
      <c r="Q36">
        <f t="shared" si="5"/>
        <v>0</v>
      </c>
      <c r="R36">
        <f t="shared" si="15"/>
        <v>13.958333333333334</v>
      </c>
      <c r="S36">
        <f t="shared" si="15"/>
        <v>11.666666666666666</v>
      </c>
      <c r="T36" t="str">
        <f t="shared" si="7"/>
        <v>A</v>
      </c>
      <c r="U36">
        <f t="shared" si="8"/>
        <v>1</v>
      </c>
      <c r="V36" s="18"/>
      <c r="W36" t="str">
        <f t="shared" si="9"/>
        <v>B</v>
      </c>
      <c r="X36" t="str">
        <f t="shared" si="11"/>
        <v>KVHNQJEWCDPYIAQHQMXDTBTPSTMCZKDHPEB</v>
      </c>
    </row>
    <row r="37" spans="1:24">
      <c r="A37" s="23">
        <f t="shared" si="10"/>
        <v>36</v>
      </c>
      <c r="B37" s="27" t="s">
        <v>314</v>
      </c>
      <c r="C37" s="23"/>
      <c r="D37" s="23"/>
      <c r="E37" s="23"/>
      <c r="F37" s="23"/>
      <c r="G37" s="23"/>
      <c r="H37" s="25" t="str">
        <f t="shared" si="0"/>
        <v>N</v>
      </c>
      <c r="I37" s="23">
        <f t="shared" si="1"/>
        <v>13</v>
      </c>
      <c r="J37" s="23">
        <v>18</v>
      </c>
      <c r="K37" s="23">
        <v>23</v>
      </c>
      <c r="L37" s="23">
        <f t="shared" si="2"/>
        <v>15.625</v>
      </c>
      <c r="M37" s="26">
        <f t="shared" si="13"/>
        <v>16.041666666666668</v>
      </c>
      <c r="N37" s="26">
        <f t="shared" si="14"/>
        <v>12.166666666666666</v>
      </c>
      <c r="O37">
        <v>1</v>
      </c>
      <c r="P37">
        <v>19</v>
      </c>
      <c r="Q37">
        <f t="shared" si="5"/>
        <v>6</v>
      </c>
      <c r="R37">
        <f t="shared" si="15"/>
        <v>14.291666666666666</v>
      </c>
      <c r="S37">
        <f t="shared" si="15"/>
        <v>11.666666666666666</v>
      </c>
      <c r="T37" t="str">
        <f t="shared" si="7"/>
        <v>G</v>
      </c>
      <c r="U37">
        <f t="shared" si="8"/>
        <v>6</v>
      </c>
      <c r="V37" s="23"/>
      <c r="W37" t="str">
        <f t="shared" si="9"/>
        <v>G</v>
      </c>
      <c r="X37" t="str">
        <f t="shared" si="11"/>
        <v>KVHNQJEWCDPYIAQHQMXDTBTPSTMCZKDHPEBG</v>
      </c>
    </row>
    <row r="38" spans="1:24">
      <c r="A38" s="23">
        <f t="shared" si="10"/>
        <v>37</v>
      </c>
      <c r="B38" s="27" t="s">
        <v>315</v>
      </c>
      <c r="C38" s="23"/>
      <c r="D38" s="23"/>
      <c r="E38" s="23"/>
      <c r="F38" s="23"/>
      <c r="G38" s="23"/>
      <c r="H38" s="25" t="str">
        <f t="shared" si="0"/>
        <v>N</v>
      </c>
      <c r="I38" s="23">
        <f t="shared" si="1"/>
        <v>13</v>
      </c>
      <c r="J38" s="23">
        <v>19</v>
      </c>
      <c r="K38" s="23">
        <v>4</v>
      </c>
      <c r="L38" s="23">
        <f t="shared" si="2"/>
        <v>15.833333333333334</v>
      </c>
      <c r="M38" s="26">
        <f t="shared" si="13"/>
        <v>15.416666666666666</v>
      </c>
      <c r="N38" s="26">
        <f t="shared" si="14"/>
        <v>11.916666666666666</v>
      </c>
      <c r="O38">
        <v>0</v>
      </c>
      <c r="P38">
        <v>22</v>
      </c>
      <c r="Q38">
        <f t="shared" si="5"/>
        <v>9</v>
      </c>
      <c r="R38">
        <f t="shared" si="15"/>
        <v>13.833333333333334</v>
      </c>
      <c r="S38">
        <f t="shared" si="15"/>
        <v>12.083333333333334</v>
      </c>
      <c r="T38" t="str">
        <f t="shared" si="7"/>
        <v>J</v>
      </c>
      <c r="U38">
        <f t="shared" si="8"/>
        <v>9</v>
      </c>
      <c r="V38" s="23"/>
      <c r="W38" t="str">
        <f t="shared" si="9"/>
        <v>J</v>
      </c>
      <c r="X38" t="str">
        <f t="shared" si="11"/>
        <v>KVHNQJEWCDPYIAQHQMXDTBTPSTMCZKDHPEBGJ</v>
      </c>
    </row>
    <row r="39" spans="1:24">
      <c r="A39" s="23">
        <f t="shared" si="10"/>
        <v>38</v>
      </c>
      <c r="B39" s="27" t="s">
        <v>316</v>
      </c>
      <c r="C39" s="23"/>
      <c r="D39" s="23"/>
      <c r="E39" s="23"/>
      <c r="F39" s="23"/>
      <c r="G39" s="23"/>
      <c r="H39" s="25" t="str">
        <f t="shared" si="0"/>
        <v>N</v>
      </c>
      <c r="I39" s="23">
        <f t="shared" si="1"/>
        <v>13</v>
      </c>
      <c r="J39" s="23">
        <v>18</v>
      </c>
      <c r="K39" s="23">
        <v>7</v>
      </c>
      <c r="L39" s="23">
        <f t="shared" si="2"/>
        <v>16.041666666666668</v>
      </c>
      <c r="M39" s="26">
        <f t="shared" si="13"/>
        <v>14.75</v>
      </c>
      <c r="N39" s="26">
        <f t="shared" si="14"/>
        <v>12.291666666666666</v>
      </c>
      <c r="O39">
        <v>0</v>
      </c>
      <c r="P39">
        <v>19</v>
      </c>
      <c r="Q39">
        <f t="shared" si="5"/>
        <v>6</v>
      </c>
      <c r="R39">
        <f t="shared" si="15"/>
        <v>13.458333333333334</v>
      </c>
      <c r="S39">
        <f t="shared" si="15"/>
        <v>12.583333333333334</v>
      </c>
      <c r="T39" t="str">
        <f t="shared" si="7"/>
        <v>G</v>
      </c>
      <c r="U39">
        <f t="shared" si="8"/>
        <v>22</v>
      </c>
      <c r="V39" s="23"/>
      <c r="W39" t="str">
        <f t="shared" si="9"/>
        <v>W</v>
      </c>
      <c r="X39" t="str">
        <f t="shared" si="11"/>
        <v>KVHNQJEWCDPYIAQHQMXDTBTPSTMCZKDHPEBGJW</v>
      </c>
    </row>
    <row r="40" spans="1:24">
      <c r="A40" s="23">
        <f t="shared" si="10"/>
        <v>39</v>
      </c>
      <c r="B40" s="27" t="s">
        <v>111</v>
      </c>
      <c r="C40" s="23" t="s">
        <v>247</v>
      </c>
      <c r="D40" s="23">
        <v>39</v>
      </c>
      <c r="E40" s="23">
        <f>D53-D40</f>
        <v>13</v>
      </c>
      <c r="F40" s="23"/>
      <c r="G40" s="23"/>
      <c r="H40" s="25" t="str">
        <f t="shared" si="0"/>
        <v>X</v>
      </c>
      <c r="I40" s="23">
        <f t="shared" si="1"/>
        <v>23</v>
      </c>
      <c r="J40" s="23">
        <v>24</v>
      </c>
      <c r="K40" s="23">
        <v>13</v>
      </c>
      <c r="L40" s="23">
        <f t="shared" si="2"/>
        <v>16.25</v>
      </c>
      <c r="M40" s="26">
        <f t="shared" si="13"/>
        <v>14.25</v>
      </c>
      <c r="N40" s="26">
        <f t="shared" si="14"/>
        <v>12.166666666666666</v>
      </c>
      <c r="O40">
        <v>1</v>
      </c>
      <c r="P40">
        <v>16</v>
      </c>
      <c r="Q40">
        <f t="shared" si="5"/>
        <v>19</v>
      </c>
      <c r="R40">
        <f t="shared" si="15"/>
        <v>12.875</v>
      </c>
      <c r="S40">
        <f t="shared" si="15"/>
        <v>12.875</v>
      </c>
      <c r="T40" t="str">
        <f t="shared" si="7"/>
        <v>T</v>
      </c>
      <c r="U40">
        <f t="shared" si="8"/>
        <v>24</v>
      </c>
      <c r="V40" s="23"/>
      <c r="W40" t="str">
        <f t="shared" si="9"/>
        <v>Y</v>
      </c>
      <c r="X40" t="str">
        <f t="shared" si="11"/>
        <v>KVHNQJEWCDPYIAQHQMXDTBTPSTMCZKDHPEBGJWY</v>
      </c>
    </row>
    <row r="41" spans="1:24">
      <c r="A41" s="23">
        <f t="shared" si="10"/>
        <v>40</v>
      </c>
      <c r="B41" s="27" t="s">
        <v>317</v>
      </c>
      <c r="C41" s="23"/>
      <c r="D41" s="23"/>
      <c r="E41" s="23"/>
      <c r="F41" s="23"/>
      <c r="G41" s="23"/>
      <c r="H41" s="25" t="str">
        <f t="shared" si="0"/>
        <v>S</v>
      </c>
      <c r="I41" s="23">
        <f t="shared" si="1"/>
        <v>18</v>
      </c>
      <c r="J41" s="23">
        <v>18</v>
      </c>
      <c r="K41" s="23">
        <v>19</v>
      </c>
      <c r="L41" s="23">
        <f t="shared" si="2"/>
        <v>16.083333333333332</v>
      </c>
      <c r="M41" s="26">
        <f t="shared" si="13"/>
        <v>13.416666666666666</v>
      </c>
      <c r="N41" s="26">
        <f t="shared" si="14"/>
        <v>11.625</v>
      </c>
      <c r="O41">
        <v>0</v>
      </c>
      <c r="P41">
        <v>18</v>
      </c>
      <c r="Q41">
        <f t="shared" si="5"/>
        <v>0</v>
      </c>
      <c r="R41">
        <f t="shared" si="15"/>
        <v>12.25</v>
      </c>
      <c r="S41">
        <f t="shared" si="15"/>
        <v>12.416666666666666</v>
      </c>
      <c r="T41" t="str">
        <f t="shared" si="7"/>
        <v>A</v>
      </c>
      <c r="U41">
        <f t="shared" si="8"/>
        <v>20</v>
      </c>
      <c r="V41" s="23"/>
      <c r="W41" t="str">
        <f t="shared" si="9"/>
        <v>U</v>
      </c>
      <c r="X41" t="str">
        <f t="shared" si="11"/>
        <v>KVHNQJEWCDPYIAQHQMXDTBTPSTMCZKDHPEBGJWYU</v>
      </c>
    </row>
    <row r="42" spans="1:24">
      <c r="A42" s="23">
        <f t="shared" si="10"/>
        <v>41</v>
      </c>
      <c r="B42" s="27" t="s">
        <v>318</v>
      </c>
      <c r="C42" s="23"/>
      <c r="D42" s="23"/>
      <c r="E42" s="23"/>
      <c r="F42" s="23"/>
      <c r="G42" s="23"/>
      <c r="H42" s="25" t="str">
        <f t="shared" si="0"/>
        <v>Y</v>
      </c>
      <c r="I42" s="23">
        <f t="shared" si="1"/>
        <v>24</v>
      </c>
      <c r="J42" s="23">
        <v>18</v>
      </c>
      <c r="K42" s="23">
        <v>24</v>
      </c>
      <c r="L42" s="23">
        <f t="shared" si="2"/>
        <v>15.5</v>
      </c>
      <c r="M42" s="26">
        <f t="shared" si="13"/>
        <v>12.833333333333334</v>
      </c>
      <c r="N42" s="26">
        <f t="shared" si="14"/>
        <v>11.166666666666666</v>
      </c>
      <c r="O42">
        <v>0</v>
      </c>
      <c r="P42">
        <v>9</v>
      </c>
      <c r="Q42">
        <f t="shared" si="5"/>
        <v>11</v>
      </c>
      <c r="R42">
        <f t="shared" si="15"/>
        <v>12.041666666666666</v>
      </c>
      <c r="S42">
        <f t="shared" si="15"/>
        <v>12.791666666666666</v>
      </c>
      <c r="T42" t="str">
        <f t="shared" si="7"/>
        <v>L</v>
      </c>
      <c r="U42">
        <f t="shared" si="8"/>
        <v>13</v>
      </c>
      <c r="V42" s="23"/>
      <c r="W42" t="str">
        <f t="shared" si="9"/>
        <v>N</v>
      </c>
      <c r="X42" t="str">
        <f t="shared" si="11"/>
        <v>KVHNQJEWCDPYIAQHQMXDTBTPSTMCZKDHPEBGJWYUN</v>
      </c>
    </row>
    <row r="43" spans="1:24">
      <c r="A43" s="23">
        <f t="shared" si="10"/>
        <v>42</v>
      </c>
      <c r="B43" s="27" t="s">
        <v>319</v>
      </c>
      <c r="C43" s="23"/>
      <c r="D43" s="23"/>
      <c r="E43" s="23"/>
      <c r="F43" s="23"/>
      <c r="G43" s="23"/>
      <c r="H43" s="25" t="str">
        <f t="shared" si="0"/>
        <v>W</v>
      </c>
      <c r="I43" s="23">
        <f t="shared" si="1"/>
        <v>22</v>
      </c>
      <c r="J43" s="23">
        <v>17</v>
      </c>
      <c r="K43" s="23">
        <v>18</v>
      </c>
      <c r="L43" s="23">
        <f t="shared" si="2"/>
        <v>15.458333333333334</v>
      </c>
      <c r="M43" s="26">
        <f t="shared" si="13"/>
        <v>12.208333333333334</v>
      </c>
      <c r="N43" s="26">
        <f t="shared" si="14"/>
        <v>10.333333333333334</v>
      </c>
      <c r="O43">
        <v>1</v>
      </c>
      <c r="P43">
        <v>16</v>
      </c>
      <c r="Q43">
        <f t="shared" si="5"/>
        <v>20</v>
      </c>
      <c r="R43">
        <f t="shared" si="15"/>
        <v>12.666666666666666</v>
      </c>
      <c r="S43">
        <f t="shared" si="15"/>
        <v>12.375</v>
      </c>
      <c r="T43" t="str">
        <f t="shared" si="7"/>
        <v>U</v>
      </c>
      <c r="U43">
        <f t="shared" si="8"/>
        <v>23</v>
      </c>
      <c r="V43" s="23"/>
      <c r="W43" t="str">
        <f t="shared" si="9"/>
        <v>X</v>
      </c>
      <c r="X43" t="str">
        <f t="shared" si="11"/>
        <v>KVHNQJEWCDPYIAQHQMXDTBTPSTMCZKDHPEBGJWYUNX</v>
      </c>
    </row>
    <row r="44" spans="1:24">
      <c r="A44" s="23">
        <f t="shared" si="10"/>
        <v>43</v>
      </c>
      <c r="B44" s="27" t="s">
        <v>320</v>
      </c>
      <c r="C44" s="23"/>
      <c r="D44" s="23"/>
      <c r="E44" s="23"/>
      <c r="F44" s="23"/>
      <c r="G44" s="23"/>
      <c r="H44" s="25" t="str">
        <f t="shared" si="0"/>
        <v>T</v>
      </c>
      <c r="I44" s="23">
        <f t="shared" si="1"/>
        <v>19</v>
      </c>
      <c r="J44" s="23">
        <v>19</v>
      </c>
      <c r="K44" s="23">
        <v>23</v>
      </c>
      <c r="L44" s="23">
        <f t="shared" si="2"/>
        <v>15.541666666666666</v>
      </c>
      <c r="M44" s="26">
        <f t="shared" si="13"/>
        <v>11.666666666666666</v>
      </c>
      <c r="N44" s="26">
        <f t="shared" si="14"/>
        <v>9.7083333333333339</v>
      </c>
      <c r="O44">
        <v>0</v>
      </c>
      <c r="P44">
        <v>18</v>
      </c>
      <c r="Q44">
        <f t="shared" si="5"/>
        <v>25</v>
      </c>
      <c r="R44">
        <f t="shared" si="15"/>
        <v>12.625</v>
      </c>
      <c r="S44">
        <f t="shared" si="15"/>
        <v>12.25</v>
      </c>
      <c r="T44" t="str">
        <f t="shared" si="7"/>
        <v>Z</v>
      </c>
      <c r="U44">
        <f t="shared" si="8"/>
        <v>0</v>
      </c>
      <c r="V44" s="23"/>
      <c r="W44" t="str">
        <f t="shared" si="9"/>
        <v>A</v>
      </c>
      <c r="X44" t="str">
        <f t="shared" si="11"/>
        <v>KVHNQJEWCDPYIAQHQMXDTBTPSTMCZKDHPEBGJWYUNXA</v>
      </c>
    </row>
    <row r="45" spans="1:24">
      <c r="A45" s="23">
        <f t="shared" si="10"/>
        <v>44</v>
      </c>
      <c r="B45" s="27" t="s">
        <v>301</v>
      </c>
      <c r="C45" s="23" t="s">
        <v>300</v>
      </c>
      <c r="D45" s="23"/>
      <c r="E45" s="23"/>
      <c r="F45" s="23">
        <f>44</f>
        <v>44</v>
      </c>
      <c r="G45" s="23">
        <f>F58-F45</f>
        <v>13</v>
      </c>
      <c r="H45" s="25" t="str">
        <f t="shared" si="0"/>
        <v>S</v>
      </c>
      <c r="I45" s="23">
        <f t="shared" si="1"/>
        <v>18</v>
      </c>
      <c r="J45" s="23">
        <v>17</v>
      </c>
      <c r="K45" s="23">
        <v>14</v>
      </c>
      <c r="L45" s="23">
        <f t="shared" si="2"/>
        <v>15.541666666666666</v>
      </c>
      <c r="M45" s="26">
        <f t="shared" si="13"/>
        <v>11</v>
      </c>
      <c r="N45" s="26">
        <f t="shared" si="14"/>
        <v>9.2916666666666661</v>
      </c>
      <c r="O45">
        <v>0</v>
      </c>
      <c r="P45">
        <v>18</v>
      </c>
      <c r="Q45">
        <f t="shared" si="5"/>
        <v>0</v>
      </c>
      <c r="R45">
        <f t="shared" si="15"/>
        <v>12.75</v>
      </c>
      <c r="S45">
        <f t="shared" si="15"/>
        <v>11.291666666666666</v>
      </c>
      <c r="T45" t="str">
        <f t="shared" si="7"/>
        <v>A</v>
      </c>
      <c r="U45">
        <f t="shared" si="8"/>
        <v>20</v>
      </c>
      <c r="V45" s="23"/>
      <c r="W45" t="str">
        <f t="shared" si="9"/>
        <v>U</v>
      </c>
      <c r="X45" t="str">
        <f t="shared" si="11"/>
        <v>KVHNQJEWCDPYIAQHQMXDTBTPSTMCZKDHPEBGJWYUNXAU</v>
      </c>
    </row>
    <row r="46" spans="1:24">
      <c r="A46" s="23">
        <f t="shared" si="10"/>
        <v>45</v>
      </c>
      <c r="B46" s="27" t="s">
        <v>50</v>
      </c>
      <c r="C46" s="23"/>
      <c r="D46" s="23"/>
      <c r="E46" s="23"/>
      <c r="F46" s="23"/>
      <c r="G46" s="23"/>
      <c r="H46" s="25" t="str">
        <f t="shared" si="0"/>
        <v>Y</v>
      </c>
      <c r="I46" s="23">
        <f t="shared" si="1"/>
        <v>24</v>
      </c>
      <c r="J46" s="23">
        <v>24</v>
      </c>
      <c r="K46" s="23">
        <v>24</v>
      </c>
      <c r="L46" s="23">
        <f t="shared" si="2"/>
        <v>15.541666666666666</v>
      </c>
      <c r="M46" s="26">
        <f t="shared" si="13"/>
        <v>10.458333333333334</v>
      </c>
      <c r="N46" s="26">
        <f t="shared" si="14"/>
        <v>9.5</v>
      </c>
      <c r="O46">
        <v>1</v>
      </c>
      <c r="P46">
        <v>4</v>
      </c>
      <c r="Q46">
        <f t="shared" si="5"/>
        <v>6</v>
      </c>
      <c r="R46">
        <f t="shared" si="15"/>
        <v>12.791666666666666</v>
      </c>
      <c r="S46">
        <f t="shared" si="15"/>
        <v>11.333333333333334</v>
      </c>
      <c r="T46" t="str">
        <f t="shared" si="7"/>
        <v>G</v>
      </c>
      <c r="U46">
        <f t="shared" si="8"/>
        <v>1</v>
      </c>
      <c r="V46" s="23"/>
      <c r="W46" t="str">
        <f t="shared" si="9"/>
        <v>B</v>
      </c>
      <c r="X46" t="str">
        <f t="shared" si="11"/>
        <v>KVHNQJEWCDPYIAQHQMXDTBTPSTMCZKDHPEBGJWYUNXAUB</v>
      </c>
    </row>
    <row r="47" spans="1:24">
      <c r="A47" s="23">
        <f t="shared" si="10"/>
        <v>46</v>
      </c>
      <c r="B47" s="27" t="s">
        <v>321</v>
      </c>
      <c r="C47" s="23"/>
      <c r="D47" s="23"/>
      <c r="E47" s="23"/>
      <c r="F47" s="23"/>
      <c r="G47" s="23"/>
      <c r="H47" s="25" t="str">
        <f t="shared" si="0"/>
        <v>D</v>
      </c>
      <c r="I47" s="23">
        <f t="shared" si="1"/>
        <v>3</v>
      </c>
      <c r="J47" s="23">
        <v>24</v>
      </c>
      <c r="K47" s="23">
        <v>4</v>
      </c>
      <c r="L47" s="23">
        <f t="shared" si="2"/>
        <v>15.541666666666666</v>
      </c>
      <c r="M47" s="26">
        <f t="shared" si="13"/>
        <v>10.166666666666666</v>
      </c>
      <c r="N47" s="26">
        <f t="shared" si="14"/>
        <v>8.75</v>
      </c>
      <c r="O47">
        <v>0</v>
      </c>
      <c r="P47">
        <v>10</v>
      </c>
      <c r="Q47">
        <f t="shared" si="5"/>
        <v>7</v>
      </c>
      <c r="R47">
        <f t="shared" si="15"/>
        <v>13.416666666666666</v>
      </c>
      <c r="S47">
        <f t="shared" si="15"/>
        <v>11.958333333333334</v>
      </c>
      <c r="T47" t="str">
        <f t="shared" si="7"/>
        <v>H</v>
      </c>
      <c r="U47">
        <f t="shared" si="8"/>
        <v>18</v>
      </c>
      <c r="V47" s="23"/>
      <c r="W47" t="str">
        <f t="shared" si="9"/>
        <v>S</v>
      </c>
      <c r="X47" t="str">
        <f t="shared" si="11"/>
        <v>KVHNQJEWCDPYIAQHQMXDTBTPSTMCZKDHPEBGJWYUNXAUBS</v>
      </c>
    </row>
    <row r="48" spans="1:24">
      <c r="A48" s="23">
        <f t="shared" si="10"/>
        <v>47</v>
      </c>
      <c r="B48" s="27" t="s">
        <v>322</v>
      </c>
      <c r="C48" s="23"/>
      <c r="D48" s="23"/>
      <c r="E48" s="23"/>
      <c r="F48" s="23"/>
      <c r="G48" s="23"/>
      <c r="H48" s="25" t="str">
        <f t="shared" si="0"/>
        <v>S</v>
      </c>
      <c r="I48" s="23">
        <f t="shared" si="1"/>
        <v>18</v>
      </c>
      <c r="J48" s="23">
        <v>18</v>
      </c>
      <c r="K48" s="23">
        <v>5</v>
      </c>
      <c r="L48" s="23">
        <f t="shared" si="2"/>
        <v>15.958333333333334</v>
      </c>
      <c r="M48" s="26">
        <f t="shared" si="13"/>
        <v>9.6666666666666661</v>
      </c>
      <c r="N48" s="26">
        <f t="shared" si="14"/>
        <v>8.75</v>
      </c>
      <c r="O48">
        <v>0</v>
      </c>
      <c r="P48">
        <v>25</v>
      </c>
      <c r="Q48">
        <f t="shared" si="5"/>
        <v>7</v>
      </c>
      <c r="R48">
        <f t="shared" si="15"/>
        <v>13.5</v>
      </c>
      <c r="S48">
        <f t="shared" si="15"/>
        <v>12.708333333333334</v>
      </c>
      <c r="T48" t="str">
        <f t="shared" si="7"/>
        <v>H</v>
      </c>
      <c r="U48">
        <f t="shared" si="8"/>
        <v>22</v>
      </c>
      <c r="V48" s="23"/>
      <c r="W48" t="str">
        <f t="shared" si="9"/>
        <v>W</v>
      </c>
      <c r="X48" t="str">
        <f t="shared" si="11"/>
        <v>KVHNQJEWCDPYIAQHQMXDTBTPSTMCZKDHPEBGJWYUNXAUBSW</v>
      </c>
    </row>
    <row r="49" spans="1:24">
      <c r="A49" s="23">
        <f t="shared" si="10"/>
        <v>48</v>
      </c>
      <c r="B49" s="27" t="s">
        <v>145</v>
      </c>
      <c r="C49" s="23"/>
      <c r="D49" s="23"/>
      <c r="E49" s="23"/>
      <c r="F49" s="23"/>
      <c r="G49" s="23"/>
      <c r="H49" s="25" t="str">
        <f t="shared" si="0"/>
        <v>D</v>
      </c>
      <c r="I49" s="23">
        <f t="shared" si="1"/>
        <v>3</v>
      </c>
      <c r="J49" s="23">
        <v>4</v>
      </c>
      <c r="K49" s="23">
        <v>18</v>
      </c>
      <c r="L49" s="23">
        <f t="shared" si="2"/>
        <v>15.958333333333334</v>
      </c>
      <c r="M49" s="26">
        <f t="shared" si="13"/>
        <v>9.625</v>
      </c>
      <c r="N49" s="26">
        <f t="shared" si="14"/>
        <v>8.6666666666666661</v>
      </c>
      <c r="O49">
        <v>1</v>
      </c>
      <c r="P49">
        <v>25</v>
      </c>
      <c r="Q49">
        <f t="shared" si="5"/>
        <v>22</v>
      </c>
      <c r="R49">
        <f t="shared" si="15"/>
        <v>13.5</v>
      </c>
      <c r="S49">
        <f t="shared" si="15"/>
        <v>12.708333333333334</v>
      </c>
      <c r="T49" t="str">
        <f t="shared" si="7"/>
        <v>W</v>
      </c>
      <c r="U49">
        <f t="shared" si="8"/>
        <v>6</v>
      </c>
      <c r="V49" s="23"/>
      <c r="W49" t="str">
        <f t="shared" si="9"/>
        <v>G</v>
      </c>
      <c r="X49" t="str">
        <f t="shared" si="11"/>
        <v>KVHNQJEWCDPYIAQHQMXDTBTPSTMCZKDHPEBGJWYUNXAUBSWG</v>
      </c>
    </row>
    <row r="50" spans="1:24">
      <c r="A50" s="23">
        <f t="shared" si="10"/>
        <v>49</v>
      </c>
      <c r="B50" s="27" t="s">
        <v>146</v>
      </c>
      <c r="C50" s="23"/>
      <c r="D50" s="23"/>
      <c r="E50" s="23"/>
      <c r="F50" s="23"/>
      <c r="G50" s="23"/>
      <c r="H50" s="25" t="str">
        <f t="shared" si="0"/>
        <v>T</v>
      </c>
      <c r="I50" s="23">
        <f t="shared" si="1"/>
        <v>19</v>
      </c>
      <c r="J50" s="23">
        <v>19</v>
      </c>
      <c r="K50" s="23">
        <v>3</v>
      </c>
      <c r="L50" s="23">
        <f t="shared" si="2"/>
        <v>16.791666666666668</v>
      </c>
      <c r="M50" s="26">
        <f t="shared" si="13"/>
        <v>9.625</v>
      </c>
      <c r="N50" s="26">
        <f t="shared" si="14"/>
        <v>8.0833333333333339</v>
      </c>
      <c r="O50">
        <v>0</v>
      </c>
      <c r="P50">
        <v>22</v>
      </c>
      <c r="Q50">
        <f t="shared" si="5"/>
        <v>3</v>
      </c>
      <c r="R50">
        <f t="shared" si="15"/>
        <v>12.666666666666666</v>
      </c>
      <c r="S50">
        <f t="shared" si="15"/>
        <v>12.125</v>
      </c>
      <c r="T50" t="str">
        <f t="shared" si="7"/>
        <v>D</v>
      </c>
      <c r="U50">
        <f t="shared" si="8"/>
        <v>18</v>
      </c>
      <c r="V50" s="23"/>
      <c r="W50" t="str">
        <f t="shared" si="9"/>
        <v>S</v>
      </c>
      <c r="X50" t="str">
        <f t="shared" si="11"/>
        <v>KVHNQJEWCDPYIAQHQMXDTBTPSTMCZKDHPEBGJWYUNXAUBSWGS</v>
      </c>
    </row>
    <row r="51" spans="1:24">
      <c r="A51" s="23">
        <f t="shared" si="10"/>
        <v>50</v>
      </c>
      <c r="B51" s="27" t="s">
        <v>147</v>
      </c>
      <c r="C51" s="23"/>
      <c r="D51" s="23"/>
      <c r="E51" s="23"/>
      <c r="F51" s="23"/>
      <c r="G51" s="23"/>
      <c r="H51" s="25" t="str">
        <f t="shared" si="0"/>
        <v>E</v>
      </c>
      <c r="I51" s="23">
        <f t="shared" si="1"/>
        <v>4</v>
      </c>
      <c r="J51" s="23">
        <v>4</v>
      </c>
      <c r="K51" s="23">
        <v>17</v>
      </c>
      <c r="L51" s="23">
        <f t="shared" si="2"/>
        <v>16.791666666666668</v>
      </c>
      <c r="M51" s="26">
        <f t="shared" si="13"/>
        <v>9.4166666666666661</v>
      </c>
      <c r="N51" s="26">
        <f t="shared" si="14"/>
        <v>8.6666666666666661</v>
      </c>
      <c r="O51">
        <v>0</v>
      </c>
      <c r="P51">
        <v>0</v>
      </c>
      <c r="Q51">
        <f t="shared" si="5"/>
        <v>22</v>
      </c>
      <c r="R51">
        <f t="shared" ref="R51:S66" si="16">AVERAGE(P51:P74)</f>
        <v>12.375</v>
      </c>
      <c r="S51">
        <f t="shared" si="16"/>
        <v>12.916666666666666</v>
      </c>
      <c r="T51" s="16" t="str">
        <f t="shared" si="7"/>
        <v>W</v>
      </c>
      <c r="U51">
        <f t="shared" si="8"/>
        <v>22</v>
      </c>
      <c r="V51" s="23"/>
      <c r="W51" s="16" t="str">
        <f t="shared" si="9"/>
        <v>W</v>
      </c>
      <c r="X51" t="str">
        <f t="shared" si="11"/>
        <v>KVHNQJEWCDPYIAQHQMXDTBTPSTMCZKDHPEBGJWYUNXAUBSWGSW</v>
      </c>
    </row>
    <row r="52" spans="1:24">
      <c r="A52" s="23">
        <f t="shared" si="10"/>
        <v>51</v>
      </c>
      <c r="B52" s="27" t="s">
        <v>148</v>
      </c>
      <c r="C52" s="23"/>
      <c r="D52" s="23"/>
      <c r="E52" s="23"/>
      <c r="F52" s="23"/>
      <c r="G52" s="23"/>
      <c r="H52" s="25" t="str">
        <f t="shared" si="0"/>
        <v>E</v>
      </c>
      <c r="I52" s="23">
        <f t="shared" si="1"/>
        <v>4</v>
      </c>
      <c r="J52" s="23">
        <v>19</v>
      </c>
      <c r="K52" s="23">
        <v>5</v>
      </c>
      <c r="L52" s="23">
        <f t="shared" si="2"/>
        <v>16.791666666666668</v>
      </c>
      <c r="M52" s="26">
        <f t="shared" si="13"/>
        <v>10.041666666666666</v>
      </c>
      <c r="N52" s="26">
        <f t="shared" si="14"/>
        <v>8.9583333333333339</v>
      </c>
      <c r="O52">
        <v>1</v>
      </c>
      <c r="P52">
        <v>19</v>
      </c>
      <c r="Q52">
        <f t="shared" si="5"/>
        <v>15</v>
      </c>
      <c r="R52">
        <f t="shared" si="16"/>
        <v>12.791666666666666</v>
      </c>
      <c r="S52">
        <f t="shared" si="16"/>
        <v>12.25</v>
      </c>
      <c r="T52" s="16" t="str">
        <f t="shared" si="7"/>
        <v>P</v>
      </c>
      <c r="U52">
        <f t="shared" si="8"/>
        <v>22</v>
      </c>
      <c r="V52" s="23"/>
      <c r="W52" s="16" t="str">
        <f t="shared" si="9"/>
        <v>W</v>
      </c>
      <c r="X52" t="str">
        <f t="shared" si="11"/>
        <v>KVHNQJEWCDPYIAQHQMXDTBTPSTMCZKDHPEBGJWYUNXAUBSWGSWW</v>
      </c>
    </row>
    <row r="53" spans="1:24">
      <c r="A53" s="23">
        <f t="shared" si="10"/>
        <v>52</v>
      </c>
      <c r="B53" s="27" t="s">
        <v>111</v>
      </c>
      <c r="C53" s="23" t="s">
        <v>248</v>
      </c>
      <c r="D53" s="23">
        <v>52</v>
      </c>
      <c r="E53" s="23">
        <f>D66-D53</f>
        <v>13</v>
      </c>
      <c r="F53" s="23"/>
      <c r="G53" s="23"/>
      <c r="H53" s="25" t="str">
        <f t="shared" si="0"/>
        <v>X</v>
      </c>
      <c r="I53" s="23">
        <f t="shared" si="1"/>
        <v>23</v>
      </c>
      <c r="J53" s="23">
        <v>4</v>
      </c>
      <c r="K53" s="23">
        <v>24</v>
      </c>
      <c r="L53" s="23">
        <f t="shared" si="2"/>
        <v>17.375</v>
      </c>
      <c r="M53" s="26">
        <f t="shared" si="13"/>
        <v>10</v>
      </c>
      <c r="N53" s="26">
        <f t="shared" si="14"/>
        <v>8.9583333333333339</v>
      </c>
      <c r="O53">
        <v>0</v>
      </c>
      <c r="P53">
        <v>9</v>
      </c>
      <c r="Q53">
        <f t="shared" si="5"/>
        <v>12</v>
      </c>
      <c r="R53">
        <f t="shared" si="16"/>
        <v>12.916666666666666</v>
      </c>
      <c r="S53">
        <f t="shared" si="16"/>
        <v>11.791666666666666</v>
      </c>
      <c r="T53" t="str">
        <f t="shared" si="7"/>
        <v>M</v>
      </c>
      <c r="U53">
        <f t="shared" si="8"/>
        <v>21</v>
      </c>
      <c r="V53" s="23"/>
      <c r="W53" t="str">
        <f t="shared" si="9"/>
        <v>V</v>
      </c>
      <c r="X53" t="str">
        <f t="shared" si="11"/>
        <v>KVHNQJEWCDPYIAQHQMXDTBTPSTMCZKDHPEBGJWYUNXAUBSWGSWWV</v>
      </c>
    </row>
    <row r="54" spans="1:24">
      <c r="A54" s="23">
        <f t="shared" si="10"/>
        <v>53</v>
      </c>
      <c r="B54" s="27" t="s">
        <v>149</v>
      </c>
      <c r="C54" s="23"/>
      <c r="D54" s="23"/>
      <c r="E54" s="23"/>
      <c r="F54" s="23"/>
      <c r="G54" s="23"/>
      <c r="H54" s="25" t="str">
        <f t="shared" si="0"/>
        <v>O</v>
      </c>
      <c r="I54" s="23">
        <f t="shared" si="1"/>
        <v>14</v>
      </c>
      <c r="J54" s="23">
        <v>18</v>
      </c>
      <c r="K54" s="23">
        <v>3</v>
      </c>
      <c r="L54" s="23">
        <f t="shared" si="2"/>
        <v>16.708333333333332</v>
      </c>
      <c r="M54" s="26">
        <f t="shared" si="13"/>
        <v>10</v>
      </c>
      <c r="N54" s="26">
        <f t="shared" si="14"/>
        <v>8.4583333333333339</v>
      </c>
      <c r="O54">
        <v>0</v>
      </c>
      <c r="P54">
        <v>10</v>
      </c>
      <c r="Q54">
        <f t="shared" si="5"/>
        <v>22</v>
      </c>
      <c r="R54">
        <f t="shared" si="16"/>
        <v>12.791666666666666</v>
      </c>
      <c r="S54">
        <f t="shared" si="16"/>
        <v>12.333333333333334</v>
      </c>
      <c r="T54" t="str">
        <f t="shared" si="7"/>
        <v>W</v>
      </c>
      <c r="U54">
        <f t="shared" si="8"/>
        <v>18</v>
      </c>
      <c r="V54" s="23"/>
      <c r="W54" t="str">
        <f t="shared" si="9"/>
        <v>S</v>
      </c>
      <c r="X54" t="str">
        <f t="shared" si="11"/>
        <v>KVHNQJEWCDPYIAQHQMXDTBTPSTMCZKDHPEBGJWYUNXAUBSWGSWWVS</v>
      </c>
    </row>
    <row r="55" spans="1:24">
      <c r="A55" s="23">
        <f t="shared" si="10"/>
        <v>54</v>
      </c>
      <c r="B55" s="27" t="s">
        <v>150</v>
      </c>
      <c r="C55" s="23"/>
      <c r="D55" s="23"/>
      <c r="E55" s="23"/>
      <c r="F55" s="23"/>
      <c r="G55" s="23"/>
      <c r="H55" s="25" t="str">
        <f t="shared" si="0"/>
        <v>S</v>
      </c>
      <c r="I55" s="23">
        <f t="shared" si="1"/>
        <v>18</v>
      </c>
      <c r="J55" s="23">
        <v>7</v>
      </c>
      <c r="K55" s="23">
        <v>6</v>
      </c>
      <c r="L55" s="23">
        <f t="shared" si="2"/>
        <v>17.125</v>
      </c>
      <c r="M55" s="26">
        <f t="shared" si="13"/>
        <v>9.7916666666666661</v>
      </c>
      <c r="N55" s="26">
        <f t="shared" si="14"/>
        <v>8.4583333333333339</v>
      </c>
      <c r="O55">
        <v>1</v>
      </c>
      <c r="P55">
        <v>11</v>
      </c>
      <c r="Q55">
        <f t="shared" si="5"/>
        <v>19</v>
      </c>
      <c r="R55">
        <f t="shared" si="16"/>
        <v>12.5</v>
      </c>
      <c r="S55">
        <f t="shared" si="16"/>
        <v>11.625</v>
      </c>
      <c r="T55" t="str">
        <f t="shared" si="7"/>
        <v>T</v>
      </c>
      <c r="U55">
        <f t="shared" si="8"/>
        <v>7</v>
      </c>
      <c r="V55" s="23"/>
      <c r="W55" t="str">
        <f t="shared" si="9"/>
        <v>H</v>
      </c>
      <c r="X55" t="str">
        <f t="shared" si="11"/>
        <v>KVHNQJEWCDPYIAQHQMXDTBTPSTMCZKDHPEBGJWYUNXAUBSWGSWWVSH</v>
      </c>
    </row>
    <row r="56" spans="1:24">
      <c r="A56" s="23">
        <f t="shared" si="10"/>
        <v>55</v>
      </c>
      <c r="B56" s="27" t="s">
        <v>78</v>
      </c>
      <c r="C56" s="23"/>
      <c r="D56" s="23"/>
      <c r="E56" s="23"/>
      <c r="F56" s="23"/>
      <c r="G56" s="23"/>
      <c r="H56" s="25" t="str">
        <f t="shared" si="0"/>
        <v>E</v>
      </c>
      <c r="I56" s="23">
        <f t="shared" si="1"/>
        <v>4</v>
      </c>
      <c r="J56" s="23">
        <v>18</v>
      </c>
      <c r="K56" s="23">
        <v>8</v>
      </c>
      <c r="L56" s="23">
        <f t="shared" si="2"/>
        <v>16.916666666666668</v>
      </c>
      <c r="M56" s="26">
        <f t="shared" si="13"/>
        <v>10</v>
      </c>
      <c r="N56" s="26">
        <f t="shared" si="14"/>
        <v>8.375</v>
      </c>
      <c r="O56">
        <v>0</v>
      </c>
      <c r="P56">
        <v>20</v>
      </c>
      <c r="Q56">
        <f t="shared" si="5"/>
        <v>16</v>
      </c>
      <c r="R56">
        <f t="shared" si="16"/>
        <v>12.458333333333334</v>
      </c>
      <c r="S56">
        <f t="shared" si="16"/>
        <v>11.791666666666666</v>
      </c>
      <c r="T56" t="str">
        <f t="shared" si="7"/>
        <v>Q</v>
      </c>
      <c r="U56">
        <f t="shared" si="8"/>
        <v>1</v>
      </c>
      <c r="V56" s="23"/>
      <c r="W56" t="str">
        <f t="shared" si="9"/>
        <v>B</v>
      </c>
      <c r="X56" t="str">
        <f t="shared" si="11"/>
        <v>KVHNQJEWCDPYIAQHQMXDTBTPSTMCZKDHPEBGJWYUNXAUBSWGSWWVSHB</v>
      </c>
    </row>
    <row r="57" spans="1:24">
      <c r="A57" s="23">
        <f t="shared" si="10"/>
        <v>56</v>
      </c>
      <c r="B57" s="27" t="s">
        <v>151</v>
      </c>
      <c r="C57" s="23"/>
      <c r="D57" s="23"/>
      <c r="E57" s="23"/>
      <c r="F57" s="23"/>
      <c r="G57" s="23"/>
      <c r="H57" s="25" t="str">
        <f t="shared" si="0"/>
        <v>T</v>
      </c>
      <c r="I57" s="23">
        <f t="shared" si="1"/>
        <v>19</v>
      </c>
      <c r="J57" s="23">
        <v>4</v>
      </c>
      <c r="K57" s="23">
        <v>0</v>
      </c>
      <c r="L57" s="23">
        <f t="shared" si="2"/>
        <v>17.5</v>
      </c>
      <c r="M57" s="26">
        <f t="shared" si="13"/>
        <v>10.041666666666666</v>
      </c>
      <c r="N57" s="26">
        <f t="shared" si="14"/>
        <v>9</v>
      </c>
      <c r="O57">
        <v>0</v>
      </c>
      <c r="P57">
        <v>3</v>
      </c>
      <c r="Q57">
        <f t="shared" si="5"/>
        <v>10</v>
      </c>
      <c r="R57">
        <f t="shared" si="16"/>
        <v>12.666666666666666</v>
      </c>
      <c r="S57">
        <f t="shared" si="16"/>
        <v>11.416666666666666</v>
      </c>
      <c r="T57" t="str">
        <f t="shared" si="7"/>
        <v>K</v>
      </c>
      <c r="U57">
        <f t="shared" si="8"/>
        <v>16</v>
      </c>
      <c r="V57" s="23"/>
      <c r="W57" t="str">
        <f t="shared" si="9"/>
        <v>Q</v>
      </c>
      <c r="X57" t="str">
        <f t="shared" si="11"/>
        <v>KVHNQJEWCDPYIAQHQMXDTBTPSTMCZKDHPEBGJWYUNXAUBSWGSWWVSHBQ</v>
      </c>
    </row>
    <row r="58" spans="1:24">
      <c r="A58" s="23">
        <f t="shared" si="10"/>
        <v>57</v>
      </c>
      <c r="B58" s="27" t="s">
        <v>246</v>
      </c>
      <c r="C58" s="23" t="s">
        <v>245</v>
      </c>
      <c r="D58" s="23"/>
      <c r="E58" s="23"/>
      <c r="F58" s="23">
        <v>57</v>
      </c>
      <c r="G58" s="23">
        <f>E165-F58</f>
        <v>107</v>
      </c>
      <c r="H58" s="25" t="str">
        <f t="shared" si="0"/>
        <v>N</v>
      </c>
      <c r="I58" s="23">
        <f t="shared" si="1"/>
        <v>13</v>
      </c>
      <c r="J58" s="23">
        <v>24</v>
      </c>
      <c r="K58" s="23">
        <v>7</v>
      </c>
      <c r="L58" s="23">
        <f t="shared" si="2"/>
        <v>17.5</v>
      </c>
      <c r="M58" s="26">
        <f t="shared" si="13"/>
        <v>10.416666666666666</v>
      </c>
      <c r="N58" s="26">
        <f t="shared" si="14"/>
        <v>9.8333333333333339</v>
      </c>
      <c r="O58">
        <v>1</v>
      </c>
      <c r="P58">
        <v>8</v>
      </c>
      <c r="Q58">
        <f t="shared" si="5"/>
        <v>21</v>
      </c>
      <c r="R58">
        <f t="shared" si="16"/>
        <v>13.5</v>
      </c>
      <c r="S58">
        <f t="shared" si="16"/>
        <v>11.166666666666666</v>
      </c>
      <c r="T58" t="str">
        <f t="shared" si="7"/>
        <v>V</v>
      </c>
      <c r="U58">
        <f t="shared" si="8"/>
        <v>10</v>
      </c>
      <c r="V58" s="23"/>
      <c r="W58" t="str">
        <f t="shared" si="9"/>
        <v>K</v>
      </c>
      <c r="X58" t="str">
        <f t="shared" si="11"/>
        <v>KVHNQJEWCDPYIAQHQMXDTBTPSTMCZKDHPEBGJWYUNXAUBSWGSWWVSHBQK</v>
      </c>
    </row>
    <row r="59" spans="1:24">
      <c r="A59" s="23">
        <f t="shared" si="10"/>
        <v>58</v>
      </c>
      <c r="B59" s="27" t="s">
        <v>152</v>
      </c>
      <c r="C59" s="23"/>
      <c r="D59" s="23"/>
      <c r="E59" s="23"/>
      <c r="F59" s="23"/>
      <c r="G59" s="23"/>
      <c r="H59" s="25" t="str">
        <f t="shared" si="0"/>
        <v>Y</v>
      </c>
      <c r="I59" s="23">
        <f t="shared" si="1"/>
        <v>24</v>
      </c>
      <c r="J59" s="23">
        <v>13</v>
      </c>
      <c r="K59" s="23">
        <v>4</v>
      </c>
      <c r="L59" s="23">
        <f t="shared" si="2"/>
        <v>17.708333333333332</v>
      </c>
      <c r="M59" s="26">
        <f t="shared" si="13"/>
        <v>9.5833333333333339</v>
      </c>
      <c r="N59" s="26">
        <f t="shared" si="14"/>
        <v>9.7916666666666661</v>
      </c>
      <c r="O59">
        <v>0</v>
      </c>
      <c r="P59">
        <v>0</v>
      </c>
      <c r="Q59">
        <f t="shared" si="5"/>
        <v>2</v>
      </c>
      <c r="R59">
        <f t="shared" si="16"/>
        <v>13.958333333333334</v>
      </c>
      <c r="S59">
        <f t="shared" si="16"/>
        <v>10.333333333333334</v>
      </c>
      <c r="T59" t="str">
        <f t="shared" si="7"/>
        <v>C</v>
      </c>
      <c r="U59">
        <f t="shared" si="8"/>
        <v>4</v>
      </c>
      <c r="V59" s="23"/>
      <c r="W59" t="str">
        <f t="shared" si="9"/>
        <v>E</v>
      </c>
      <c r="X59" t="str">
        <f t="shared" si="11"/>
        <v>KVHNQJEWCDPYIAQHQMXDTBTPSTMCZKDHPEBGJWYUNXAUBSWGSWWVSHBQKE</v>
      </c>
    </row>
    <row r="60" spans="1:24">
      <c r="A60" s="23">
        <f t="shared" si="10"/>
        <v>59</v>
      </c>
      <c r="B60" s="27" t="s">
        <v>153</v>
      </c>
      <c r="C60" s="23"/>
      <c r="D60" s="23"/>
      <c r="E60" s="23"/>
      <c r="F60" s="23"/>
      <c r="G60" s="23"/>
      <c r="H60" s="25" t="str">
        <f t="shared" si="0"/>
        <v>W</v>
      </c>
      <c r="I60" s="23">
        <f t="shared" si="1"/>
        <v>22</v>
      </c>
      <c r="J60" s="23">
        <v>17</v>
      </c>
      <c r="K60" s="23">
        <v>19</v>
      </c>
      <c r="L60" s="23">
        <f t="shared" si="2"/>
        <v>17.708333333333332</v>
      </c>
      <c r="M60" s="26">
        <f t="shared" si="13"/>
        <v>9.7083333333333339</v>
      </c>
      <c r="N60" s="26">
        <f t="shared" si="14"/>
        <v>10.043478260869565</v>
      </c>
      <c r="O60">
        <v>0</v>
      </c>
      <c r="P60">
        <v>22</v>
      </c>
      <c r="Q60">
        <f t="shared" si="5"/>
        <v>0</v>
      </c>
      <c r="R60">
        <f t="shared" si="16"/>
        <v>14.333333333333334</v>
      </c>
      <c r="S60">
        <f t="shared" si="16"/>
        <v>10.708333333333334</v>
      </c>
      <c r="T60" t="str">
        <f t="shared" si="7"/>
        <v>A</v>
      </c>
      <c r="U60">
        <f t="shared" si="8"/>
        <v>4</v>
      </c>
      <c r="V60" s="23"/>
      <c r="W60" t="str">
        <f t="shared" si="9"/>
        <v>E</v>
      </c>
      <c r="X60" t="str">
        <f t="shared" si="11"/>
        <v>KVHNQJEWCDPYIAQHQMXDTBTPSTMCZKDHPEBGJWYUNXAUBSWGSWWVSHBQKEE</v>
      </c>
    </row>
    <row r="61" spans="1:24">
      <c r="A61" s="23">
        <f t="shared" si="10"/>
        <v>60</v>
      </c>
      <c r="B61" s="27" t="s">
        <v>154</v>
      </c>
      <c r="C61" s="23"/>
      <c r="D61" s="23"/>
      <c r="E61" s="23"/>
      <c r="F61" s="23"/>
      <c r="G61" s="23"/>
      <c r="H61" s="25" t="str">
        <f t="shared" si="0"/>
        <v>S</v>
      </c>
      <c r="I61" s="23">
        <f t="shared" si="1"/>
        <v>18</v>
      </c>
      <c r="J61" s="23">
        <v>3</v>
      </c>
      <c r="K61" s="23">
        <v>17</v>
      </c>
      <c r="L61" s="23">
        <f t="shared" si="2"/>
        <v>17.5</v>
      </c>
      <c r="M61" s="26"/>
      <c r="N61" s="26"/>
      <c r="O61">
        <v>1</v>
      </c>
      <c r="P61">
        <v>8</v>
      </c>
      <c r="Q61">
        <f t="shared" si="5"/>
        <v>16</v>
      </c>
      <c r="R61">
        <f t="shared" si="16"/>
        <v>13.5</v>
      </c>
      <c r="S61">
        <f t="shared" si="16"/>
        <v>11.166666666666666</v>
      </c>
      <c r="T61" t="str">
        <f t="shared" si="7"/>
        <v>Q</v>
      </c>
      <c r="U61">
        <f t="shared" si="8"/>
        <v>16</v>
      </c>
      <c r="V61" s="23"/>
      <c r="W61" t="str">
        <f t="shared" si="9"/>
        <v>Q</v>
      </c>
      <c r="X61" t="str">
        <f t="shared" si="11"/>
        <v>KVHNQJEWCDPYIAQHQMXDTBTPSTMCZKDHPEBGJWYUNXAUBSWGSWWVSHBQKEEQ</v>
      </c>
    </row>
    <row r="62" spans="1:24">
      <c r="A62" s="23">
        <f t="shared" si="10"/>
        <v>61</v>
      </c>
      <c r="B62" s="27" t="s">
        <v>45</v>
      </c>
      <c r="C62" s="23"/>
      <c r="D62" s="23"/>
      <c r="E62" s="23"/>
      <c r="F62" s="23"/>
      <c r="G62" s="23"/>
      <c r="H62" s="25" t="str">
        <f t="shared" si="0"/>
        <v>S</v>
      </c>
      <c r="I62" s="23">
        <f t="shared" si="1"/>
        <v>18</v>
      </c>
      <c r="J62" s="23">
        <v>3</v>
      </c>
      <c r="K62" s="23">
        <v>13</v>
      </c>
      <c r="L62" s="23">
        <f t="shared" si="2"/>
        <v>17.5</v>
      </c>
      <c r="M62" s="26"/>
      <c r="N62" s="26"/>
      <c r="O62">
        <v>0</v>
      </c>
      <c r="P62">
        <v>13</v>
      </c>
      <c r="Q62">
        <f t="shared" si="5"/>
        <v>21</v>
      </c>
      <c r="R62">
        <f t="shared" si="16"/>
        <v>13.291666666666666</v>
      </c>
      <c r="S62">
        <f t="shared" si="16"/>
        <v>10.958333333333334</v>
      </c>
      <c r="T62" t="str">
        <f t="shared" si="7"/>
        <v>V</v>
      </c>
      <c r="U62">
        <f t="shared" si="8"/>
        <v>21</v>
      </c>
      <c r="V62" s="23"/>
      <c r="W62" t="str">
        <f t="shared" si="9"/>
        <v>V</v>
      </c>
      <c r="X62" t="str">
        <f t="shared" si="11"/>
        <v>KVHNQJEWCDPYIAQHQMXDTBTPSTMCZKDHPEBGJWYUNXAUBSWGSWWVSHBQKEEQV</v>
      </c>
    </row>
    <row r="63" spans="1:24">
      <c r="A63" s="23">
        <f t="shared" si="10"/>
        <v>62</v>
      </c>
      <c r="B63" s="27" t="s">
        <v>155</v>
      </c>
      <c r="C63" s="23"/>
      <c r="D63" s="23"/>
      <c r="E63" s="23"/>
      <c r="F63" s="23"/>
      <c r="G63" s="23"/>
      <c r="H63" s="25" t="str">
        <f t="shared" si="0"/>
        <v>S</v>
      </c>
      <c r="I63" s="23">
        <f t="shared" si="1"/>
        <v>18</v>
      </c>
      <c r="J63" s="23">
        <v>6</v>
      </c>
      <c r="K63" s="23">
        <v>4</v>
      </c>
      <c r="L63" s="23">
        <f t="shared" si="2"/>
        <v>17.541666666666668</v>
      </c>
      <c r="M63" s="26"/>
      <c r="N63" s="26"/>
      <c r="O63">
        <v>0</v>
      </c>
      <c r="P63">
        <v>5</v>
      </c>
      <c r="Q63">
        <f t="shared" si="5"/>
        <v>13</v>
      </c>
      <c r="R63">
        <f t="shared" si="16"/>
        <v>13.083333333333334</v>
      </c>
      <c r="S63">
        <f t="shared" si="16"/>
        <v>10.708333333333334</v>
      </c>
      <c r="T63" t="str">
        <f t="shared" si="7"/>
        <v>N</v>
      </c>
      <c r="U63">
        <f t="shared" si="8"/>
        <v>12</v>
      </c>
      <c r="V63" s="23"/>
      <c r="W63" t="str">
        <f t="shared" si="9"/>
        <v>M</v>
      </c>
      <c r="X63" t="str">
        <f t="shared" si="11"/>
        <v>KVHNQJEWCDPYIAQHQMXDTBTPSTMCZKDHPEBGJWYUNXAUBSWGSWWVSHBQKEEQVM</v>
      </c>
    </row>
    <row r="64" spans="1:24">
      <c r="A64" s="23">
        <f t="shared" si="10"/>
        <v>63</v>
      </c>
      <c r="B64" s="27" t="s">
        <v>156</v>
      </c>
      <c r="C64" s="23"/>
      <c r="D64" s="23"/>
      <c r="E64" s="23"/>
      <c r="F64" s="23"/>
      <c r="G64" s="23"/>
      <c r="H64" s="25" t="str">
        <f t="shared" si="0"/>
        <v>T</v>
      </c>
      <c r="I64" s="23">
        <f t="shared" si="1"/>
        <v>19</v>
      </c>
      <c r="J64" s="23">
        <v>4</v>
      </c>
      <c r="K64" s="23">
        <v>0</v>
      </c>
      <c r="L64" s="23">
        <f t="shared" si="2"/>
        <v>17.75</v>
      </c>
      <c r="M64" s="26"/>
      <c r="N64" s="26"/>
      <c r="O64">
        <v>1</v>
      </c>
      <c r="P64">
        <v>1</v>
      </c>
      <c r="Q64">
        <f t="shared" si="5"/>
        <v>8</v>
      </c>
      <c r="R64">
        <f t="shared" si="16"/>
        <v>13.125</v>
      </c>
      <c r="S64">
        <f t="shared" si="16"/>
        <v>10.541666666666666</v>
      </c>
      <c r="T64" t="str">
        <f t="shared" si="7"/>
        <v>I</v>
      </c>
      <c r="U64">
        <f t="shared" si="8"/>
        <v>23</v>
      </c>
      <c r="V64" s="23"/>
      <c r="W64" t="str">
        <f t="shared" si="9"/>
        <v>X</v>
      </c>
      <c r="X64" t="str">
        <f t="shared" si="11"/>
        <v>KVHNQJEWCDPYIAQHQMXDTBTPSTMCZKDHPEBGJWYUNXAUBSWGSWWVSHBQKEEQVMX</v>
      </c>
    </row>
    <row r="65" spans="1:24">
      <c r="A65" s="23">
        <f t="shared" si="10"/>
        <v>64</v>
      </c>
      <c r="B65" s="27" t="s">
        <v>157</v>
      </c>
      <c r="C65" s="23"/>
      <c r="D65" s="23"/>
      <c r="E65" s="23"/>
      <c r="F65" s="23"/>
      <c r="G65" s="23"/>
      <c r="H65" s="25" t="str">
        <f t="shared" si="0"/>
        <v>E</v>
      </c>
      <c r="I65" s="23">
        <f t="shared" si="1"/>
        <v>4</v>
      </c>
      <c r="J65" s="23">
        <v>4</v>
      </c>
      <c r="K65" s="23">
        <v>8</v>
      </c>
      <c r="L65" s="23">
        <f t="shared" si="2"/>
        <v>17.666666666666668</v>
      </c>
      <c r="M65" s="26"/>
      <c r="N65" s="26"/>
      <c r="O65">
        <v>0</v>
      </c>
      <c r="P65">
        <v>13</v>
      </c>
      <c r="Q65">
        <f t="shared" si="5"/>
        <v>9</v>
      </c>
      <c r="R65">
        <f t="shared" si="16"/>
        <v>13.5</v>
      </c>
      <c r="S65">
        <f t="shared" si="16"/>
        <v>11</v>
      </c>
      <c r="T65" t="str">
        <f t="shared" si="7"/>
        <v>J</v>
      </c>
      <c r="U65">
        <f t="shared" si="8"/>
        <v>16</v>
      </c>
      <c r="V65" s="23" t="s">
        <v>35</v>
      </c>
      <c r="W65" t="str">
        <f t="shared" si="9"/>
        <v>Q</v>
      </c>
      <c r="X65" t="str">
        <f t="shared" si="11"/>
        <v>KVHNQJEWCDPYIAQHQMXDTBTPSTMCZKDHPEBGJWYUNXAUBSWGSWWVSHBQKEEQVMXQ</v>
      </c>
    </row>
    <row r="66" spans="1:24">
      <c r="A66" s="23">
        <f t="shared" si="10"/>
        <v>65</v>
      </c>
      <c r="B66" s="27" t="s">
        <v>111</v>
      </c>
      <c r="C66" s="23" t="s">
        <v>247</v>
      </c>
      <c r="D66" s="23">
        <v>65</v>
      </c>
      <c r="E66" s="23"/>
      <c r="F66" s="23"/>
      <c r="G66" s="23"/>
      <c r="H66" s="25" t="str">
        <f t="shared" si="0"/>
        <v>X</v>
      </c>
      <c r="I66" s="23">
        <f t="shared" si="1"/>
        <v>23</v>
      </c>
      <c r="J66" s="23">
        <v>3</v>
      </c>
      <c r="K66" s="23">
        <v>4</v>
      </c>
      <c r="L66" s="23">
        <f t="shared" si="2"/>
        <v>18.083333333333332</v>
      </c>
      <c r="M66" s="26"/>
      <c r="N66" s="26"/>
      <c r="O66">
        <v>0</v>
      </c>
      <c r="P66">
        <v>24</v>
      </c>
      <c r="Q66">
        <f t="shared" si="5"/>
        <v>1</v>
      </c>
      <c r="R66">
        <f t="shared" si="16"/>
        <v>13.791666666666666</v>
      </c>
      <c r="S66">
        <f t="shared" si="16"/>
        <v>10.875</v>
      </c>
      <c r="T66" t="str">
        <f t="shared" si="7"/>
        <v>B</v>
      </c>
      <c r="U66">
        <f t="shared" si="8"/>
        <v>0</v>
      </c>
      <c r="V66" s="23" t="s">
        <v>36</v>
      </c>
      <c r="W66" t="str">
        <f t="shared" si="9"/>
        <v>A</v>
      </c>
      <c r="X66" t="str">
        <f t="shared" si="11"/>
        <v>KVHNQJEWCDPYIAQHQMXDTBTPSTMCZKDHPEBGJWYUNXAUBSWGSWWVSHBQKEEQVMXQA</v>
      </c>
    </row>
    <row r="67" spans="1:24">
      <c r="A67" s="23">
        <f t="shared" si="10"/>
        <v>66</v>
      </c>
      <c r="B67" s="27" t="s">
        <v>226</v>
      </c>
      <c r="C67" s="23"/>
      <c r="D67" s="23"/>
      <c r="E67" s="23"/>
      <c r="F67" s="23"/>
      <c r="G67" s="23"/>
      <c r="H67" s="25" t="str">
        <f t="shared" ref="H67:H130" si="17">MID(B67,LEN(B67),1)</f>
        <v>Y</v>
      </c>
      <c r="I67" s="23">
        <f t="shared" ref="I67:I130" si="18">CODE(H67)-65</f>
        <v>24</v>
      </c>
      <c r="J67" s="23">
        <v>4</v>
      </c>
      <c r="K67" s="23">
        <v>3</v>
      </c>
      <c r="L67" s="23">
        <f t="shared" ref="L67:L130" si="19">AVERAGE(I67:I90)</f>
        <v>18.125</v>
      </c>
      <c r="M67" s="26"/>
      <c r="N67" s="26"/>
      <c r="O67">
        <v>1</v>
      </c>
      <c r="P67">
        <v>15</v>
      </c>
      <c r="Q67">
        <f t="shared" ref="Q67:Q98" si="20">MOD(P67-I67,26)</f>
        <v>17</v>
      </c>
      <c r="R67">
        <f t="shared" ref="R67:R75" si="21">AVERAGE(P67:P90)</f>
        <v>13.083333333333334</v>
      </c>
      <c r="S67">
        <f t="shared" ref="S67:S75" si="22">AVERAGE(Q67:Q90)</f>
        <v>11.208333333333334</v>
      </c>
      <c r="T67" t="str">
        <f t="shared" ref="T67:T75" si="23">CHAR(Q67+65)</f>
        <v>R</v>
      </c>
      <c r="U67">
        <f t="shared" ref="U67:U97" si="24">MOD(P67-I68,26)</f>
        <v>22</v>
      </c>
      <c r="V67" s="23" t="s">
        <v>37</v>
      </c>
      <c r="W67" t="str">
        <f t="shared" ref="W67:W97" si="25">CHAR(U67+65)</f>
        <v>W</v>
      </c>
      <c r="X67" t="str">
        <f t="shared" si="11"/>
        <v>KVHNQJEWCDPYIAQHQMXDTBTPSTMCZKDHPEBGJWYUNXAUBSWGSWWVSHBQKEEQVMXQAW</v>
      </c>
    </row>
    <row r="68" spans="1:24">
      <c r="A68" s="23">
        <f t="shared" ref="A68:A131" si="26">1+A67</f>
        <v>67</v>
      </c>
      <c r="B68" s="27" t="s">
        <v>227</v>
      </c>
      <c r="C68" s="23"/>
      <c r="D68" s="23"/>
      <c r="E68" s="23"/>
      <c r="F68" s="23"/>
      <c r="G68" s="23"/>
      <c r="H68" s="25" t="str">
        <f t="shared" si="17"/>
        <v>T</v>
      </c>
      <c r="I68" s="23">
        <f t="shared" si="18"/>
        <v>19</v>
      </c>
      <c r="J68" s="23">
        <v>3</v>
      </c>
      <c r="K68" s="23">
        <v>13</v>
      </c>
      <c r="L68" s="23">
        <f t="shared" si="19"/>
        <v>18.125</v>
      </c>
      <c r="M68" s="26"/>
      <c r="N68" s="26"/>
      <c r="O68">
        <v>0</v>
      </c>
      <c r="P68">
        <v>21</v>
      </c>
      <c r="Q68">
        <f t="shared" si="20"/>
        <v>2</v>
      </c>
      <c r="R68">
        <f t="shared" si="21"/>
        <v>13.291666666666666</v>
      </c>
      <c r="S68">
        <f t="shared" si="22"/>
        <v>11.416666666666666</v>
      </c>
      <c r="T68" t="str">
        <f t="shared" si="23"/>
        <v>C</v>
      </c>
      <c r="U68">
        <f t="shared" si="24"/>
        <v>3</v>
      </c>
      <c r="V68" s="14" t="s">
        <v>163</v>
      </c>
      <c r="W68" t="str">
        <f t="shared" si="25"/>
        <v>D</v>
      </c>
      <c r="X68" t="str">
        <f t="shared" ref="X68:X97" si="27">X67&amp;W68</f>
        <v>KVHNQJEWCDPYIAQHQMXDTBTPSTMCZKDHPEBGJWYUNXAUBSWGSWWVSHBQKEEQVMXQAWD</v>
      </c>
    </row>
    <row r="69" spans="1:24">
      <c r="A69" s="23">
        <f t="shared" si="26"/>
        <v>68</v>
      </c>
      <c r="B69" s="27" t="s">
        <v>228</v>
      </c>
      <c r="C69" s="23"/>
      <c r="D69" s="23"/>
      <c r="E69" s="23"/>
      <c r="F69" s="23"/>
      <c r="G69" s="23"/>
      <c r="H69" s="25" t="str">
        <f t="shared" si="17"/>
        <v>S</v>
      </c>
      <c r="I69" s="23">
        <f t="shared" si="18"/>
        <v>18</v>
      </c>
      <c r="J69" s="23">
        <v>4</v>
      </c>
      <c r="K69" s="23">
        <v>19</v>
      </c>
      <c r="L69" s="23">
        <f t="shared" si="19"/>
        <v>18.333333333333332</v>
      </c>
      <c r="M69" s="26"/>
      <c r="N69" s="26"/>
      <c r="O69">
        <v>0</v>
      </c>
      <c r="P69">
        <v>19</v>
      </c>
      <c r="Q69">
        <f t="shared" si="20"/>
        <v>1</v>
      </c>
      <c r="R69">
        <f t="shared" si="21"/>
        <v>12.416666666666666</v>
      </c>
      <c r="S69">
        <f t="shared" si="22"/>
        <v>11.416666666666666</v>
      </c>
      <c r="T69" t="str">
        <f t="shared" si="23"/>
        <v>B</v>
      </c>
      <c r="U69">
        <f t="shared" si="24"/>
        <v>21</v>
      </c>
      <c r="V69" s="14" t="s">
        <v>164</v>
      </c>
      <c r="W69" t="str">
        <f t="shared" si="25"/>
        <v>V</v>
      </c>
      <c r="X69" t="str">
        <f t="shared" si="27"/>
        <v>KVHNQJEWCDPYIAQHQMXDTBTPSTMCZKDHPEBGJWYUNXAUBSWGSWWVSHBQKEEQVMXQAWDV</v>
      </c>
    </row>
    <row r="70" spans="1:24">
      <c r="A70" s="23">
        <f t="shared" si="26"/>
        <v>69</v>
      </c>
      <c r="B70" s="27" t="s">
        <v>229</v>
      </c>
      <c r="C70" s="23"/>
      <c r="D70" s="23"/>
      <c r="E70" s="23"/>
      <c r="F70" s="23"/>
      <c r="G70" s="23"/>
      <c r="H70" s="25" t="str">
        <f t="shared" si="17"/>
        <v>Y</v>
      </c>
      <c r="I70" s="23">
        <f t="shared" si="18"/>
        <v>24</v>
      </c>
      <c r="J70" s="23">
        <v>17</v>
      </c>
      <c r="K70" s="23">
        <v>6</v>
      </c>
      <c r="L70" s="23">
        <f t="shared" si="19"/>
        <v>17.75</v>
      </c>
      <c r="M70" s="26"/>
      <c r="N70" s="26"/>
      <c r="O70">
        <v>1</v>
      </c>
      <c r="P70">
        <v>19</v>
      </c>
      <c r="Q70">
        <f t="shared" si="20"/>
        <v>21</v>
      </c>
      <c r="R70">
        <f t="shared" si="21"/>
        <v>12.458333333333334</v>
      </c>
      <c r="S70">
        <f t="shared" si="22"/>
        <v>12.041666666666666</v>
      </c>
      <c r="T70" t="str">
        <f t="shared" si="23"/>
        <v>V</v>
      </c>
      <c r="U70">
        <f t="shared" si="24"/>
        <v>6</v>
      </c>
      <c r="V70" s="14" t="s">
        <v>160</v>
      </c>
      <c r="W70" t="str">
        <f t="shared" si="25"/>
        <v>G</v>
      </c>
      <c r="X70" t="str">
        <f t="shared" si="27"/>
        <v>KVHNQJEWCDPYIAQHQMXDTBTPSTMCZKDHPEBGJWYUNXAUBSWGSWWVSHBQKEEQVMXQAWDVG</v>
      </c>
    </row>
    <row r="71" spans="1:24">
      <c r="A71" s="23">
        <f t="shared" si="26"/>
        <v>70</v>
      </c>
      <c r="B71" s="27" t="s">
        <v>230</v>
      </c>
      <c r="C71" s="23"/>
      <c r="D71" s="23"/>
      <c r="E71" s="23"/>
      <c r="F71" s="23"/>
      <c r="G71" s="23"/>
      <c r="H71" s="25" t="str">
        <f t="shared" si="17"/>
        <v>N</v>
      </c>
      <c r="I71" s="23">
        <f t="shared" si="18"/>
        <v>13</v>
      </c>
      <c r="J71" s="23">
        <v>12</v>
      </c>
      <c r="K71" s="23">
        <v>4</v>
      </c>
      <c r="L71" s="23">
        <f t="shared" si="19"/>
        <v>17.5</v>
      </c>
      <c r="M71" s="26"/>
      <c r="N71" s="26"/>
      <c r="O71">
        <v>0</v>
      </c>
      <c r="P71">
        <v>12</v>
      </c>
      <c r="Q71">
        <f t="shared" si="20"/>
        <v>25</v>
      </c>
      <c r="R71">
        <f t="shared" si="21"/>
        <v>11.833333333333334</v>
      </c>
      <c r="S71">
        <f t="shared" si="22"/>
        <v>11.666666666666666</v>
      </c>
      <c r="T71" t="str">
        <f t="shared" si="23"/>
        <v>Z</v>
      </c>
      <c r="U71">
        <f t="shared" si="24"/>
        <v>20</v>
      </c>
      <c r="V71" s="14" t="s">
        <v>165</v>
      </c>
      <c r="W71" t="str">
        <f t="shared" si="25"/>
        <v>U</v>
      </c>
      <c r="X71" t="str">
        <f t="shared" si="27"/>
        <v>KVHNQJEWCDPYIAQHQMXDTBTPSTMCZKDHPEBGJWYUNXAUBSWGSWWVSHBQKEEQVMXQAWDVGU</v>
      </c>
    </row>
    <row r="72" spans="1:24">
      <c r="A72" s="23">
        <f t="shared" si="26"/>
        <v>71</v>
      </c>
      <c r="B72" s="27" t="s">
        <v>231</v>
      </c>
      <c r="C72" s="23"/>
      <c r="D72" s="23"/>
      <c r="E72" s="23"/>
      <c r="F72" s="23"/>
      <c r="G72" s="23"/>
      <c r="H72" s="25" t="str">
        <f t="shared" si="17"/>
        <v>S</v>
      </c>
      <c r="I72" s="23">
        <f t="shared" si="18"/>
        <v>18</v>
      </c>
      <c r="J72" s="23">
        <v>17</v>
      </c>
      <c r="K72" s="23">
        <v>3</v>
      </c>
      <c r="L72" s="23">
        <f t="shared" si="19"/>
        <v>17.166666666666668</v>
      </c>
      <c r="M72" s="26"/>
      <c r="N72" s="26"/>
      <c r="O72">
        <v>0</v>
      </c>
      <c r="P72">
        <v>25</v>
      </c>
      <c r="Q72">
        <f t="shared" si="20"/>
        <v>7</v>
      </c>
      <c r="R72">
        <f t="shared" si="21"/>
        <v>11.75</v>
      </c>
      <c r="S72">
        <f t="shared" si="22"/>
        <v>10.833333333333334</v>
      </c>
      <c r="T72" t="str">
        <f t="shared" si="23"/>
        <v>H</v>
      </c>
      <c r="U72">
        <f t="shared" si="24"/>
        <v>2</v>
      </c>
      <c r="V72" s="14" t="s">
        <v>163</v>
      </c>
      <c r="W72" t="str">
        <f t="shared" si="25"/>
        <v>C</v>
      </c>
      <c r="X72" t="str">
        <f t="shared" si="27"/>
        <v>KVHNQJEWCDPYIAQHQMXDTBTPSTMCZKDHPEBGJWYUNXAUBSWGSWWVSHBQKEEQVMXQAWDVGUC</v>
      </c>
    </row>
    <row r="73" spans="1:24">
      <c r="A73" s="23">
        <f t="shared" si="26"/>
        <v>72</v>
      </c>
      <c r="B73" s="27" t="s">
        <v>232</v>
      </c>
      <c r="C73" s="23"/>
      <c r="D73" s="23"/>
      <c r="E73" s="23"/>
      <c r="F73" s="23"/>
      <c r="G73" s="23"/>
      <c r="H73" s="25" t="str">
        <f t="shared" si="17"/>
        <v>X</v>
      </c>
      <c r="I73" s="23">
        <f t="shared" si="18"/>
        <v>23</v>
      </c>
      <c r="J73" s="23">
        <v>4</v>
      </c>
      <c r="K73" s="23">
        <v>4</v>
      </c>
      <c r="L73" s="23">
        <f t="shared" si="19"/>
        <v>16.583333333333332</v>
      </c>
      <c r="M73" s="26"/>
      <c r="N73" s="26"/>
      <c r="O73">
        <v>1</v>
      </c>
      <c r="P73">
        <v>5</v>
      </c>
      <c r="Q73">
        <f t="shared" si="20"/>
        <v>8</v>
      </c>
      <c r="R73">
        <f t="shared" si="21"/>
        <v>10.791666666666666</v>
      </c>
      <c r="S73">
        <f t="shared" si="22"/>
        <v>11.541666666666666</v>
      </c>
      <c r="T73" t="str">
        <f t="shared" si="23"/>
        <v>I</v>
      </c>
      <c r="U73">
        <f t="shared" si="24"/>
        <v>12</v>
      </c>
      <c r="V73" s="14" t="s">
        <v>161</v>
      </c>
      <c r="W73" t="str">
        <f t="shared" si="25"/>
        <v>M</v>
      </c>
      <c r="X73" t="str">
        <f t="shared" si="27"/>
        <v>KVHNQJEWCDPYIAQHQMXDTBTPSTMCZKDHPEBGJWYUNXAUBSWGSWWVSHBQKEEQVMXQAWDVGUCM</v>
      </c>
    </row>
    <row r="74" spans="1:24">
      <c r="A74" s="23">
        <f t="shared" si="26"/>
        <v>73</v>
      </c>
      <c r="B74" s="27" t="s">
        <v>233</v>
      </c>
      <c r="C74" s="23"/>
      <c r="D74" s="23"/>
      <c r="E74" s="23"/>
      <c r="F74" s="23"/>
      <c r="G74" s="23"/>
      <c r="H74" s="25" t="str">
        <f t="shared" si="17"/>
        <v>T</v>
      </c>
      <c r="I74" s="23">
        <f t="shared" si="18"/>
        <v>19</v>
      </c>
      <c r="J74" s="23">
        <v>14</v>
      </c>
      <c r="K74" s="23">
        <v>17</v>
      </c>
      <c r="L74" s="23">
        <f t="shared" si="19"/>
        <v>16.375</v>
      </c>
      <c r="M74" s="26"/>
      <c r="N74" s="26"/>
      <c r="O74">
        <v>0</v>
      </c>
      <c r="P74">
        <v>15</v>
      </c>
      <c r="Q74">
        <f t="shared" si="20"/>
        <v>22</v>
      </c>
      <c r="R74">
        <f t="shared" si="21"/>
        <v>10.583333333333334</v>
      </c>
      <c r="S74">
        <f t="shared" si="22"/>
        <v>11.541666666666666</v>
      </c>
      <c r="T74" t="str">
        <f t="shared" si="23"/>
        <v>W</v>
      </c>
      <c r="U74">
        <f t="shared" si="24"/>
        <v>11</v>
      </c>
      <c r="V74" s="14" t="s">
        <v>165</v>
      </c>
      <c r="W74" t="str">
        <f t="shared" si="25"/>
        <v>L</v>
      </c>
      <c r="X74" t="str">
        <f t="shared" si="27"/>
        <v>KVHNQJEWCDPYIAQHQMXDTBTPSTMCZKDHPEBGJWYUNXAUBSWGSWWVSHBQKEEQVMXQAWDVGUCML</v>
      </c>
    </row>
    <row r="75" spans="1:24">
      <c r="A75" s="23">
        <f t="shared" si="26"/>
        <v>74</v>
      </c>
      <c r="B75" s="27" t="s">
        <v>234</v>
      </c>
      <c r="C75" s="23"/>
      <c r="D75" s="23"/>
      <c r="E75" s="23"/>
      <c r="F75" s="23"/>
      <c r="G75" s="23"/>
      <c r="H75" s="25" t="str">
        <f t="shared" si="17"/>
        <v>E</v>
      </c>
      <c r="I75" s="23">
        <f t="shared" si="18"/>
        <v>4</v>
      </c>
      <c r="J75" s="23">
        <v>19</v>
      </c>
      <c r="K75" s="23">
        <v>24</v>
      </c>
      <c r="L75" s="23">
        <f t="shared" si="19"/>
        <v>16.375</v>
      </c>
      <c r="M75" s="26"/>
      <c r="N75" s="26"/>
      <c r="O75">
        <v>0</v>
      </c>
      <c r="P75">
        <v>10</v>
      </c>
      <c r="Q75">
        <f t="shared" si="20"/>
        <v>6</v>
      </c>
      <c r="R75">
        <f t="shared" si="21"/>
        <v>10.666666666666666</v>
      </c>
      <c r="S75">
        <f t="shared" si="22"/>
        <v>11.625</v>
      </c>
      <c r="T75" t="str">
        <f t="shared" si="23"/>
        <v>G</v>
      </c>
      <c r="U75">
        <f t="shared" si="24"/>
        <v>18</v>
      </c>
      <c r="V75" s="14" t="s">
        <v>166</v>
      </c>
      <c r="W75" t="str">
        <f t="shared" si="25"/>
        <v>S</v>
      </c>
      <c r="X75" t="str">
        <f t="shared" si="27"/>
        <v>KVHNQJEWCDPYIAQHQMXDTBTPSTMCZKDHPEBGJWYUNXAUBSWGSWWVSHBQKEEQVMXQAWDVGUCMLS</v>
      </c>
    </row>
    <row r="76" spans="1:24">
      <c r="A76" s="23">
        <f t="shared" si="26"/>
        <v>75</v>
      </c>
      <c r="B76" s="27" t="s">
        <v>235</v>
      </c>
      <c r="C76" s="23"/>
      <c r="D76" s="23"/>
      <c r="E76" s="23"/>
      <c r="F76" s="23"/>
      <c r="G76" s="23"/>
      <c r="H76" s="25" t="str">
        <f t="shared" si="17"/>
        <v>S</v>
      </c>
      <c r="I76" s="23">
        <f t="shared" si="18"/>
        <v>18</v>
      </c>
      <c r="J76" s="23">
        <v>18</v>
      </c>
      <c r="K76" s="23">
        <v>5</v>
      </c>
      <c r="L76" s="23">
        <f t="shared" si="19"/>
        <v>16.333333333333332</v>
      </c>
      <c r="M76" s="26"/>
      <c r="N76" s="26"/>
      <c r="O76">
        <v>1</v>
      </c>
      <c r="P76">
        <v>22</v>
      </c>
      <c r="Q76">
        <f t="shared" si="20"/>
        <v>4</v>
      </c>
      <c r="T76" t="str">
        <f>CHAR(Q76+65)</f>
        <v>E</v>
      </c>
      <c r="U76">
        <f t="shared" si="24"/>
        <v>15</v>
      </c>
      <c r="V76" s="14"/>
      <c r="W76" t="str">
        <f t="shared" si="25"/>
        <v>P</v>
      </c>
      <c r="X76" t="str">
        <f t="shared" si="27"/>
        <v>KVHNQJEWCDPYIAQHQMXDTBTPSTMCZKDHPEBGJWYUNXAUBSWGSWWVSHBQKEEQVMXQAWDVGUCMLSP</v>
      </c>
    </row>
    <row r="77" spans="1:24">
      <c r="A77" s="23">
        <f t="shared" si="26"/>
        <v>76</v>
      </c>
      <c r="B77" s="27" t="s">
        <v>236</v>
      </c>
      <c r="C77" s="23"/>
      <c r="D77" s="23"/>
      <c r="E77" s="23"/>
      <c r="F77" s="23"/>
      <c r="G77" s="23"/>
      <c r="H77" s="25" t="str">
        <f t="shared" si="17"/>
        <v>H</v>
      </c>
      <c r="I77" s="23">
        <f t="shared" si="18"/>
        <v>7</v>
      </c>
      <c r="J77" s="23">
        <v>4</v>
      </c>
      <c r="K77" s="23">
        <v>12</v>
      </c>
      <c r="L77" s="23">
        <f t="shared" si="19"/>
        <v>15.75</v>
      </c>
      <c r="M77" s="26"/>
      <c r="N77" s="26"/>
      <c r="O77">
        <v>0</v>
      </c>
      <c r="P77">
        <v>6</v>
      </c>
      <c r="Q77">
        <f t="shared" si="20"/>
        <v>25</v>
      </c>
      <c r="T77" t="str">
        <f t="shared" ref="T77:T97" si="28">CHAR(Q77+65)</f>
        <v>Z</v>
      </c>
      <c r="U77">
        <f t="shared" si="24"/>
        <v>8</v>
      </c>
      <c r="V77" s="14"/>
      <c r="W77" t="str">
        <f t="shared" si="25"/>
        <v>I</v>
      </c>
      <c r="X77" t="str">
        <f t="shared" si="27"/>
        <v>KVHNQJEWCDPYIAQHQMXDTBTPSTMCZKDHPEBGJWYUNXAUBSWGSWWVSHBQKEEQVMXQAWDVGUCMLSPI</v>
      </c>
    </row>
    <row r="78" spans="1:24">
      <c r="A78" s="23">
        <f t="shared" si="26"/>
        <v>77</v>
      </c>
      <c r="B78" s="27" t="s">
        <v>237</v>
      </c>
      <c r="C78" s="23"/>
      <c r="D78" s="23"/>
      <c r="E78" s="23"/>
      <c r="F78" s="23"/>
      <c r="G78" s="23"/>
      <c r="H78" s="25" t="str">
        <f t="shared" si="17"/>
        <v>Y</v>
      </c>
      <c r="I78" s="23">
        <f t="shared" si="18"/>
        <v>24</v>
      </c>
      <c r="J78" s="23">
        <v>13</v>
      </c>
      <c r="K78" s="23">
        <v>3</v>
      </c>
      <c r="L78" s="23">
        <f t="shared" si="19"/>
        <v>16.166666666666668</v>
      </c>
      <c r="M78" s="26"/>
      <c r="N78" s="26"/>
      <c r="O78">
        <v>0</v>
      </c>
      <c r="P78">
        <v>3</v>
      </c>
      <c r="Q78">
        <f t="shared" si="20"/>
        <v>5</v>
      </c>
      <c r="T78" t="str">
        <f t="shared" si="28"/>
        <v>F</v>
      </c>
      <c r="U78">
        <f t="shared" si="24"/>
        <v>16</v>
      </c>
      <c r="V78" s="14"/>
      <c r="W78" t="str">
        <f t="shared" si="25"/>
        <v>Q</v>
      </c>
      <c r="X78" t="str">
        <f t="shared" si="27"/>
        <v>KVHNQJEWCDPYIAQHQMXDTBTPSTMCZKDHPEBGJWYUNXAUBSWGSWWVSHBQKEEQVMXQAWDVGUCMLSPIQ</v>
      </c>
    </row>
    <row r="79" spans="1:24">
      <c r="A79" s="23">
        <f t="shared" si="26"/>
        <v>78</v>
      </c>
      <c r="B79" s="27" t="s">
        <v>230</v>
      </c>
      <c r="C79" s="23"/>
      <c r="D79" s="23"/>
      <c r="E79" s="23"/>
      <c r="F79" s="23"/>
      <c r="G79" s="23"/>
      <c r="H79" s="25" t="str">
        <f t="shared" si="17"/>
        <v>N</v>
      </c>
      <c r="I79" s="23">
        <f t="shared" si="18"/>
        <v>13</v>
      </c>
      <c r="J79" s="23">
        <v>12</v>
      </c>
      <c r="K79" s="23">
        <v>4</v>
      </c>
      <c r="L79" s="23">
        <f t="shared" si="19"/>
        <v>15.958333333333334</v>
      </c>
      <c r="M79" s="26"/>
      <c r="N79" s="26"/>
      <c r="O79">
        <v>1</v>
      </c>
      <c r="P79">
        <v>10</v>
      </c>
      <c r="Q79">
        <f t="shared" si="20"/>
        <v>23</v>
      </c>
      <c r="T79" t="str">
        <f t="shared" si="28"/>
        <v>X</v>
      </c>
      <c r="U79">
        <f t="shared" si="24"/>
        <v>18</v>
      </c>
      <c r="V79" s="14"/>
      <c r="W79" t="str">
        <f t="shared" si="25"/>
        <v>S</v>
      </c>
      <c r="X79" t="str">
        <f t="shared" si="27"/>
        <v>KVHNQJEWCDPYIAQHQMXDTBTPSTMCZKDHPEBGJWYUNXAUBSWGSWWVSHBQKEEQVMXQAWDVGUCMLSPIQS</v>
      </c>
    </row>
    <row r="80" spans="1:24">
      <c r="A80" s="23">
        <f t="shared" si="26"/>
        <v>79</v>
      </c>
      <c r="B80" s="27" t="s">
        <v>228</v>
      </c>
      <c r="C80" s="23"/>
      <c r="D80" s="23"/>
      <c r="E80" s="23"/>
      <c r="F80" s="23"/>
      <c r="G80" s="23"/>
      <c r="H80" s="25" t="str">
        <f t="shared" si="17"/>
        <v>S</v>
      </c>
      <c r="I80" s="23">
        <f t="shared" si="18"/>
        <v>18</v>
      </c>
      <c r="J80" s="23">
        <v>19</v>
      </c>
      <c r="K80" s="23">
        <v>23</v>
      </c>
      <c r="L80" s="23">
        <f t="shared" si="19"/>
        <v>15.625</v>
      </c>
      <c r="M80" s="26"/>
      <c r="N80" s="26"/>
      <c r="O80">
        <v>0</v>
      </c>
      <c r="P80">
        <v>25</v>
      </c>
      <c r="Q80">
        <f t="shared" si="20"/>
        <v>7</v>
      </c>
      <c r="T80" t="str">
        <f t="shared" si="28"/>
        <v>H</v>
      </c>
      <c r="U80">
        <f t="shared" si="24"/>
        <v>6</v>
      </c>
      <c r="V80" s="14"/>
      <c r="W80" t="str">
        <f t="shared" si="25"/>
        <v>G</v>
      </c>
      <c r="X80" t="str">
        <f t="shared" si="27"/>
        <v>KVHNQJEWCDPYIAQHQMXDTBTPSTMCZKDHPEBGJWYUNXAUBSWGSWWVSHBQKEEQVMXQAWDVGUCMLSPIQSG</v>
      </c>
    </row>
    <row r="81" spans="1:24">
      <c r="A81" s="23">
        <f t="shared" si="26"/>
        <v>80</v>
      </c>
      <c r="B81" s="27" t="s">
        <v>227</v>
      </c>
      <c r="C81" s="23"/>
      <c r="D81" s="23"/>
      <c r="E81" s="23"/>
      <c r="F81" s="23"/>
      <c r="G81" s="23"/>
      <c r="H81" s="25" t="str">
        <f t="shared" si="17"/>
        <v>T</v>
      </c>
      <c r="I81" s="23">
        <f t="shared" si="18"/>
        <v>19</v>
      </c>
      <c r="J81" s="23">
        <v>13</v>
      </c>
      <c r="K81" s="23">
        <v>20</v>
      </c>
      <c r="L81" s="23">
        <f t="shared" si="19"/>
        <v>15.041666666666666</v>
      </c>
      <c r="M81" s="26"/>
      <c r="N81" s="26"/>
      <c r="O81">
        <v>0</v>
      </c>
      <c r="P81">
        <v>23</v>
      </c>
      <c r="Q81">
        <f t="shared" si="20"/>
        <v>4</v>
      </c>
      <c r="T81" t="str">
        <f t="shared" si="28"/>
        <v>E</v>
      </c>
      <c r="U81">
        <f t="shared" si="24"/>
        <v>5</v>
      </c>
      <c r="V81" s="14"/>
      <c r="W81" t="str">
        <f t="shared" si="25"/>
        <v>F</v>
      </c>
      <c r="X81" t="str">
        <f t="shared" si="27"/>
        <v>KVHNQJEWCDPYIAQHQMXDTBTPSTMCZKDHPEBGJWYUNXAUBSWGSWWVSHBQKEEQVMXQAWDVGUCMLSPIQSGF</v>
      </c>
    </row>
    <row r="82" spans="1:24">
      <c r="A82" s="23">
        <f t="shared" si="26"/>
        <v>81</v>
      </c>
      <c r="B82" s="27" t="s">
        <v>231</v>
      </c>
      <c r="C82" s="23"/>
      <c r="D82" s="23"/>
      <c r="E82" s="23"/>
      <c r="F82" s="23"/>
      <c r="G82" s="23"/>
      <c r="H82" s="25" t="str">
        <f t="shared" si="17"/>
        <v>S</v>
      </c>
      <c r="I82" s="23">
        <f t="shared" si="18"/>
        <v>18</v>
      </c>
      <c r="J82" s="23">
        <v>4</v>
      </c>
      <c r="K82" s="23">
        <v>6</v>
      </c>
      <c r="L82" s="23">
        <f t="shared" si="19"/>
        <v>15.25</v>
      </c>
      <c r="M82" s="26"/>
      <c r="N82" s="26"/>
      <c r="O82">
        <v>1</v>
      </c>
      <c r="P82">
        <v>19</v>
      </c>
      <c r="Q82">
        <f t="shared" si="20"/>
        <v>1</v>
      </c>
      <c r="T82" t="str">
        <f t="shared" si="28"/>
        <v>B</v>
      </c>
      <c r="U82">
        <f t="shared" si="24"/>
        <v>21</v>
      </c>
      <c r="V82" s="14"/>
      <c r="W82" t="str">
        <f t="shared" si="25"/>
        <v>V</v>
      </c>
      <c r="X82" t="str">
        <f t="shared" si="27"/>
        <v>KVHNQJEWCDPYIAQHQMXDTBTPSTMCZKDHPEBGJWYUNXAUBSWGSWWVSHBQKEEQVMXQAWDVGUCMLSPIQSGFV</v>
      </c>
    </row>
    <row r="83" spans="1:24">
      <c r="A83" s="23">
        <f t="shared" si="26"/>
        <v>82</v>
      </c>
      <c r="B83" s="27" t="s">
        <v>238</v>
      </c>
      <c r="C83" s="23"/>
      <c r="D83" s="23"/>
      <c r="E83" s="23"/>
      <c r="F83" s="23"/>
      <c r="G83" s="23"/>
      <c r="H83" s="25" t="str">
        <f t="shared" si="17"/>
        <v>Y</v>
      </c>
      <c r="I83" s="23">
        <f t="shared" si="18"/>
        <v>24</v>
      </c>
      <c r="J83" s="23">
        <v>16</v>
      </c>
      <c r="K83" s="23"/>
      <c r="L83" s="23">
        <f t="shared" si="19"/>
        <v>15.25</v>
      </c>
      <c r="M83" s="26"/>
      <c r="N83" s="26"/>
      <c r="O83">
        <v>0</v>
      </c>
      <c r="P83">
        <v>9</v>
      </c>
      <c r="Q83">
        <f t="shared" si="20"/>
        <v>11</v>
      </c>
      <c r="T83" t="str">
        <f t="shared" si="28"/>
        <v>L</v>
      </c>
      <c r="U83">
        <f t="shared" si="24"/>
        <v>18</v>
      </c>
      <c r="V83" s="14"/>
      <c r="W83" t="str">
        <f t="shared" si="25"/>
        <v>S</v>
      </c>
      <c r="X83" t="str">
        <f t="shared" si="27"/>
        <v>KVHNQJEWCDPYIAQHQMXDTBTPSTMCZKDHPEBGJWYUNXAUBSWGSWWVSHBQKEEQVMXQAWDVGUCMLSPIQSGFVS</v>
      </c>
    </row>
    <row r="84" spans="1:24">
      <c r="A84" s="23">
        <f t="shared" si="26"/>
        <v>83</v>
      </c>
      <c r="B84" s="27" t="s">
        <v>239</v>
      </c>
      <c r="C84" s="23"/>
      <c r="D84" s="23"/>
      <c r="E84" s="23"/>
      <c r="F84" s="23"/>
      <c r="G84" s="23"/>
      <c r="H84" s="25" t="str">
        <f t="shared" si="17"/>
        <v>R</v>
      </c>
      <c r="I84" s="23">
        <f t="shared" si="18"/>
        <v>17</v>
      </c>
      <c r="J84" s="23"/>
      <c r="K84" s="23"/>
      <c r="L84" s="23">
        <f t="shared" si="19"/>
        <v>14.375</v>
      </c>
      <c r="M84" s="26"/>
      <c r="N84" s="26"/>
      <c r="O84">
        <v>0</v>
      </c>
      <c r="P84">
        <v>2</v>
      </c>
      <c r="Q84">
        <f t="shared" si="20"/>
        <v>11</v>
      </c>
      <c r="T84" t="str">
        <f t="shared" si="28"/>
        <v>L</v>
      </c>
      <c r="U84">
        <f t="shared" si="24"/>
        <v>10</v>
      </c>
      <c r="V84" s="14"/>
      <c r="W84" t="str">
        <f t="shared" si="25"/>
        <v>K</v>
      </c>
      <c r="X84" t="str">
        <f t="shared" si="27"/>
        <v>KVHNQJEWCDPYIAQHQMXDTBTPSTMCZKDHPEBGJWYUNXAUBSWGSWWVSHBQKEEQVMXQAWDVGUCMLSPIQSGFVSK</v>
      </c>
    </row>
    <row r="85" spans="1:24">
      <c r="A85" s="23">
        <f t="shared" si="26"/>
        <v>84</v>
      </c>
      <c r="B85" s="27" t="s">
        <v>235</v>
      </c>
      <c r="C85" s="23"/>
      <c r="D85" s="23"/>
      <c r="E85" s="23"/>
      <c r="F85" s="23"/>
      <c r="G85" s="23"/>
      <c r="H85" s="25" t="str">
        <f t="shared" si="17"/>
        <v>S</v>
      </c>
      <c r="I85" s="23">
        <f t="shared" si="18"/>
        <v>18</v>
      </c>
      <c r="J85" s="23"/>
      <c r="K85" s="23"/>
      <c r="L85" s="23">
        <f t="shared" si="19"/>
        <v>13.958333333333334</v>
      </c>
      <c r="M85" s="26"/>
      <c r="N85" s="26"/>
      <c r="O85">
        <v>1</v>
      </c>
      <c r="P85">
        <v>3</v>
      </c>
      <c r="Q85">
        <f t="shared" si="20"/>
        <v>11</v>
      </c>
      <c r="T85" t="str">
        <f t="shared" si="28"/>
        <v>L</v>
      </c>
      <c r="U85">
        <f t="shared" si="24"/>
        <v>10</v>
      </c>
      <c r="V85" s="14"/>
      <c r="W85" t="str">
        <f t="shared" si="25"/>
        <v>K</v>
      </c>
      <c r="X85" t="str">
        <f t="shared" si="27"/>
        <v>KVHNQJEWCDPYIAQHQMXDTBTPSTMCZKDHPEBGJWYUNXAUBSWGSWWVSHBQKEEQVMXQAWDVGUCMLSPIQSGFVSKK</v>
      </c>
    </row>
    <row r="86" spans="1:24">
      <c r="A86" s="23">
        <f t="shared" si="26"/>
        <v>85</v>
      </c>
      <c r="B86" s="27" t="s">
        <v>240</v>
      </c>
      <c r="C86" s="23"/>
      <c r="D86" s="23"/>
      <c r="E86" s="23"/>
      <c r="F86" s="23"/>
      <c r="G86" s="23"/>
      <c r="H86" s="25" t="str">
        <f t="shared" si="17"/>
        <v>T</v>
      </c>
      <c r="I86" s="23">
        <f t="shared" si="18"/>
        <v>19</v>
      </c>
      <c r="J86" s="23"/>
      <c r="K86" s="23"/>
      <c r="L86" s="23">
        <f t="shared" si="19"/>
        <v>13.458333333333334</v>
      </c>
      <c r="M86" s="26"/>
      <c r="N86" s="26"/>
      <c r="O86">
        <v>0</v>
      </c>
      <c r="P86">
        <v>8</v>
      </c>
      <c r="Q86">
        <f t="shared" si="20"/>
        <v>15</v>
      </c>
      <c r="T86" t="str">
        <f t="shared" si="28"/>
        <v>P</v>
      </c>
      <c r="U86">
        <f t="shared" si="24"/>
        <v>11</v>
      </c>
      <c r="V86" s="14"/>
      <c r="W86" t="str">
        <f t="shared" si="25"/>
        <v>L</v>
      </c>
      <c r="X86" t="str">
        <f t="shared" si="27"/>
        <v>KVHNQJEWCDPYIAQHQMXDTBTPSTMCZKDHPEBGJWYUNXAUBSWGSWWVSHBQKEEQVMXQAWDVGUCMLSPIQSGFVSKKL</v>
      </c>
    </row>
    <row r="87" spans="1:24">
      <c r="A87" s="23">
        <f t="shared" si="26"/>
        <v>86</v>
      </c>
      <c r="B87" s="27" t="s">
        <v>111</v>
      </c>
      <c r="C87" s="23" t="s">
        <v>249</v>
      </c>
      <c r="D87" s="23">
        <v>86</v>
      </c>
      <c r="E87" s="23">
        <f>D159-D87</f>
        <v>72</v>
      </c>
      <c r="F87" s="23"/>
      <c r="G87" s="23"/>
      <c r="H87" s="25" t="str">
        <f t="shared" si="17"/>
        <v>X</v>
      </c>
      <c r="I87" s="23">
        <f t="shared" si="18"/>
        <v>23</v>
      </c>
      <c r="J87" s="23"/>
      <c r="K87" s="23"/>
      <c r="L87" s="23">
        <f t="shared" si="19"/>
        <v>13.416666666666666</v>
      </c>
      <c r="M87" s="26"/>
      <c r="N87" s="26"/>
      <c r="O87">
        <v>0</v>
      </c>
      <c r="P87">
        <v>6</v>
      </c>
      <c r="Q87">
        <f t="shared" si="20"/>
        <v>9</v>
      </c>
      <c r="T87" t="str">
        <f t="shared" si="28"/>
        <v>J</v>
      </c>
      <c r="U87">
        <f t="shared" si="24"/>
        <v>15</v>
      </c>
      <c r="V87" s="14"/>
      <c r="W87" t="str">
        <f t="shared" si="25"/>
        <v>P</v>
      </c>
      <c r="X87" t="str">
        <f t="shared" si="27"/>
        <v>KVHNQJEWCDPYIAQHQMXDTBTPSTMCZKDHPEBGJWYUNXAUBSWGSWWVSHBQKEEQVMXQAWDVGUCMLSPIQSGFVSKKLP</v>
      </c>
    </row>
    <row r="88" spans="1:24">
      <c r="A88" s="23">
        <f t="shared" si="26"/>
        <v>87</v>
      </c>
      <c r="B88" s="27" t="s">
        <v>241</v>
      </c>
      <c r="C88" s="23"/>
      <c r="D88" s="23"/>
      <c r="E88" s="23"/>
      <c r="F88" s="23"/>
      <c r="G88" s="23"/>
      <c r="H88" s="25" t="str">
        <f t="shared" si="17"/>
        <v>R</v>
      </c>
      <c r="I88" s="23">
        <f t="shared" si="18"/>
        <v>17</v>
      </c>
      <c r="J88" s="23"/>
      <c r="K88" s="23"/>
      <c r="L88" s="23">
        <f t="shared" si="19"/>
        <v>12.791666666666666</v>
      </c>
      <c r="M88" s="26"/>
      <c r="N88" s="26"/>
      <c r="O88">
        <v>1</v>
      </c>
      <c r="P88">
        <v>10</v>
      </c>
      <c r="Q88">
        <f t="shared" si="20"/>
        <v>19</v>
      </c>
      <c r="T88" s="16" t="str">
        <f t="shared" si="28"/>
        <v>T</v>
      </c>
      <c r="U88">
        <f t="shared" si="24"/>
        <v>22</v>
      </c>
      <c r="V88" s="14"/>
      <c r="W88" s="16" t="str">
        <f t="shared" si="25"/>
        <v>W</v>
      </c>
      <c r="X88" t="str">
        <f t="shared" si="27"/>
        <v>KVHNQJEWCDPYIAQHQMXDTBTPSTMCZKDHPEBGJWYUNXAUBSWGSWWVSHBQKEEQVMXQAWDVGUCMLSPIQSGFVSKKLPW</v>
      </c>
    </row>
    <row r="89" spans="1:24">
      <c r="A89" s="23">
        <f t="shared" si="26"/>
        <v>88</v>
      </c>
      <c r="B89" s="27" t="s">
        <v>242</v>
      </c>
      <c r="C89" s="23"/>
      <c r="D89" s="23"/>
      <c r="E89" s="23"/>
      <c r="F89" s="23"/>
      <c r="G89" s="23"/>
      <c r="H89" s="25" t="str">
        <f t="shared" si="17"/>
        <v>O</v>
      </c>
      <c r="I89" s="23">
        <f t="shared" si="18"/>
        <v>14</v>
      </c>
      <c r="J89" s="23"/>
      <c r="K89" s="23"/>
      <c r="L89" s="23">
        <f t="shared" si="19"/>
        <v>12.25</v>
      </c>
      <c r="M89" s="26"/>
      <c r="N89" s="26"/>
      <c r="O89">
        <v>0</v>
      </c>
      <c r="P89">
        <v>20</v>
      </c>
      <c r="Q89">
        <f t="shared" si="20"/>
        <v>6</v>
      </c>
      <c r="T89" s="16" t="str">
        <f t="shared" si="28"/>
        <v>G</v>
      </c>
      <c r="U89">
        <f t="shared" si="24"/>
        <v>22</v>
      </c>
      <c r="V89" s="14"/>
      <c r="W89" s="16" t="str">
        <f t="shared" si="25"/>
        <v>W</v>
      </c>
      <c r="X89" t="str">
        <f t="shared" si="27"/>
        <v>KVHNQJEWCDPYIAQHQMXDTBTPSTMCZKDHPEBGJWYUNXAUBSWGSWWVSHBQKEEQVMXQAWDVGUCMLSPIQSGFVSKKLPWW</v>
      </c>
    </row>
    <row r="90" spans="1:24">
      <c r="A90" s="18">
        <f t="shared" si="26"/>
        <v>89</v>
      </c>
      <c r="B90" s="22" t="s">
        <v>251</v>
      </c>
      <c r="C90" s="18"/>
      <c r="D90" s="18"/>
      <c r="E90" s="18"/>
      <c r="F90" s="18"/>
      <c r="G90" s="18"/>
      <c r="H90" s="20" t="str">
        <f t="shared" si="17"/>
        <v>Y</v>
      </c>
      <c r="I90" s="18">
        <f t="shared" si="18"/>
        <v>24</v>
      </c>
      <c r="J90" s="18"/>
      <c r="K90" s="18"/>
      <c r="L90" s="18">
        <f t="shared" si="19"/>
        <v>11.666666666666666</v>
      </c>
      <c r="M90" s="21"/>
      <c r="N90" s="21"/>
      <c r="O90">
        <v>0</v>
      </c>
      <c r="P90">
        <v>7</v>
      </c>
      <c r="Q90">
        <f t="shared" si="20"/>
        <v>9</v>
      </c>
      <c r="T90" t="str">
        <f t="shared" si="28"/>
        <v>J</v>
      </c>
      <c r="U90">
        <f t="shared" si="24"/>
        <v>9</v>
      </c>
      <c r="V90" s="14"/>
      <c r="W90" t="str">
        <f t="shared" si="25"/>
        <v>J</v>
      </c>
      <c r="X90" t="str">
        <f t="shared" si="27"/>
        <v>KVHNQJEWCDPYIAQHQMXDTBTPSTMCZKDHPEBGJWYUNXAUBSWGSWWVSHBQKEEQVMXQAWDVGUCMLSPIQSGFVSKKLPWWJ</v>
      </c>
    </row>
    <row r="91" spans="1:24">
      <c r="A91" s="18">
        <f t="shared" si="26"/>
        <v>90</v>
      </c>
      <c r="B91" s="43" t="s">
        <v>252</v>
      </c>
      <c r="C91" s="18"/>
      <c r="D91" s="18"/>
      <c r="E91" s="18"/>
      <c r="F91" s="18"/>
      <c r="G91" s="18"/>
      <c r="H91" s="20" t="str">
        <f t="shared" si="17"/>
        <v>Y</v>
      </c>
      <c r="I91" s="18">
        <f t="shared" si="18"/>
        <v>24</v>
      </c>
      <c r="J91" s="18"/>
      <c r="K91" s="18"/>
      <c r="L91" s="18">
        <f t="shared" si="19"/>
        <v>11.666666666666666</v>
      </c>
      <c r="M91" s="21"/>
      <c r="N91" s="21"/>
      <c r="O91">
        <v>1</v>
      </c>
      <c r="P91">
        <v>20</v>
      </c>
      <c r="Q91">
        <f t="shared" si="20"/>
        <v>22</v>
      </c>
      <c r="T91" s="16" t="str">
        <f t="shared" si="28"/>
        <v>W</v>
      </c>
      <c r="U91">
        <f t="shared" si="24"/>
        <v>22</v>
      </c>
      <c r="V91" s="14"/>
      <c r="W91" s="16" t="str">
        <f t="shared" si="25"/>
        <v>W</v>
      </c>
      <c r="X91" t="str">
        <f t="shared" si="27"/>
        <v>KVHNQJEWCDPYIAQHQMXDTBTPSTMCZKDHPEBGJWYUNXAUBSWGSWWVSHBQKEEQVMXQAWDVGUCMLSPIQSGFVSKKLPWWJW</v>
      </c>
    </row>
    <row r="92" spans="1:24">
      <c r="A92" s="18">
        <f t="shared" si="26"/>
        <v>91</v>
      </c>
      <c r="B92" s="22" t="s">
        <v>251</v>
      </c>
      <c r="C92" s="18"/>
      <c r="D92" s="18"/>
      <c r="E92" s="18"/>
      <c r="F92" s="18"/>
      <c r="G92" s="18"/>
      <c r="H92" s="20" t="str">
        <f t="shared" si="17"/>
        <v>Y</v>
      </c>
      <c r="I92" s="18">
        <f t="shared" si="18"/>
        <v>24</v>
      </c>
      <c r="J92" s="18"/>
      <c r="K92" s="18"/>
      <c r="L92" s="18">
        <f t="shared" si="19"/>
        <v>10.958333333333334</v>
      </c>
      <c r="M92" s="21"/>
      <c r="N92" s="21"/>
      <c r="O92">
        <v>0</v>
      </c>
      <c r="P92">
        <v>0</v>
      </c>
      <c r="Q92">
        <f t="shared" si="20"/>
        <v>2</v>
      </c>
      <c r="T92" s="16" t="str">
        <f t="shared" si="28"/>
        <v>C</v>
      </c>
      <c r="U92">
        <f t="shared" si="24"/>
        <v>22</v>
      </c>
      <c r="V92" s="14"/>
      <c r="W92" s="16" t="str">
        <f t="shared" si="25"/>
        <v>W</v>
      </c>
      <c r="X92" t="str">
        <f t="shared" si="27"/>
        <v>KVHNQJEWCDPYIAQHQMXDTBTPSTMCZKDHPEBGJWYUNXAUBSWGSWWVSHBQKEEQVMXQAWDVGUCMLSPIQSGFVSKKLPWWJWW</v>
      </c>
    </row>
    <row r="93" spans="1:24">
      <c r="A93" s="18">
        <f t="shared" si="26"/>
        <v>92</v>
      </c>
      <c r="B93" s="22" t="s">
        <v>78</v>
      </c>
      <c r="C93" s="18"/>
      <c r="D93" s="18"/>
      <c r="E93" s="18"/>
      <c r="F93" s="18"/>
      <c r="G93" s="18"/>
      <c r="H93" s="20" t="str">
        <f t="shared" si="17"/>
        <v>E</v>
      </c>
      <c r="I93" s="18">
        <f t="shared" si="18"/>
        <v>4</v>
      </c>
      <c r="J93" s="18"/>
      <c r="K93" s="18"/>
      <c r="L93" s="18">
        <f t="shared" si="19"/>
        <v>10.5</v>
      </c>
      <c r="M93" s="21"/>
      <c r="N93" s="21"/>
      <c r="O93">
        <v>0</v>
      </c>
      <c r="P93">
        <v>20</v>
      </c>
      <c r="Q93">
        <f t="shared" si="20"/>
        <v>16</v>
      </c>
      <c r="T93" t="str">
        <f t="shared" si="28"/>
        <v>Q</v>
      </c>
      <c r="U93">
        <f t="shared" si="24"/>
        <v>2</v>
      </c>
      <c r="V93" s="14"/>
      <c r="W93" t="str">
        <f t="shared" si="25"/>
        <v>C</v>
      </c>
      <c r="X93" t="str">
        <f t="shared" si="27"/>
        <v>KVHNQJEWCDPYIAQHQMXDTBTPSTMCZKDHPEBGJWYUNXAUBSWGSWWVSHBQKEEQVMXQAWDVGUCMLSPIQSGFVSKKLPWWJWWC</v>
      </c>
    </row>
    <row r="94" spans="1:24">
      <c r="A94" s="18">
        <f t="shared" si="26"/>
        <v>93</v>
      </c>
      <c r="B94" s="22" t="s">
        <v>175</v>
      </c>
      <c r="C94" s="18"/>
      <c r="D94" s="18"/>
      <c r="E94" s="18"/>
      <c r="F94" s="18"/>
      <c r="G94" s="18"/>
      <c r="H94" s="20" t="str">
        <f t="shared" si="17"/>
        <v>S</v>
      </c>
      <c r="I94" s="18">
        <f t="shared" si="18"/>
        <v>18</v>
      </c>
      <c r="J94" s="18"/>
      <c r="K94" s="18"/>
      <c r="L94" s="18">
        <f t="shared" si="19"/>
        <v>10.5</v>
      </c>
      <c r="M94" s="21"/>
      <c r="N94" s="21"/>
      <c r="O94">
        <v>1</v>
      </c>
      <c r="P94">
        <v>4</v>
      </c>
      <c r="Q94">
        <f t="shared" si="20"/>
        <v>12</v>
      </c>
      <c r="T94" t="str">
        <f t="shared" si="28"/>
        <v>M</v>
      </c>
      <c r="U94">
        <f t="shared" si="24"/>
        <v>25</v>
      </c>
      <c r="V94" s="14"/>
      <c r="W94" t="str">
        <f t="shared" si="25"/>
        <v>Z</v>
      </c>
      <c r="X94" t="str">
        <f t="shared" si="27"/>
        <v>KVHNQJEWCDPYIAQHQMXDTBTPSTMCZKDHPEBGJWYUNXAUBSWGSWWVSHBQKEEQVMXQAWDVGUCMLSPIQSGFVSKKLPWWJWWCZ</v>
      </c>
    </row>
    <row r="95" spans="1:24">
      <c r="A95" s="18">
        <f t="shared" si="26"/>
        <v>94</v>
      </c>
      <c r="B95" s="22" t="s">
        <v>39</v>
      </c>
      <c r="C95" s="18"/>
      <c r="D95" s="18"/>
      <c r="E95" s="18"/>
      <c r="F95" s="18"/>
      <c r="G95" s="18"/>
      <c r="H95" s="20" t="str">
        <f t="shared" si="17"/>
        <v>F</v>
      </c>
      <c r="I95" s="18">
        <f t="shared" si="18"/>
        <v>5</v>
      </c>
      <c r="J95" s="18"/>
      <c r="K95" s="18"/>
      <c r="L95" s="18">
        <f t="shared" si="19"/>
        <v>10.458333333333334</v>
      </c>
      <c r="M95" s="21"/>
      <c r="N95" s="21"/>
      <c r="O95">
        <v>0</v>
      </c>
      <c r="P95">
        <v>10</v>
      </c>
      <c r="Q95">
        <f t="shared" si="20"/>
        <v>5</v>
      </c>
      <c r="T95" t="str">
        <f t="shared" si="28"/>
        <v>F</v>
      </c>
      <c r="U95">
        <f t="shared" si="24"/>
        <v>6</v>
      </c>
      <c r="V95" s="14"/>
      <c r="W95" t="str">
        <f t="shared" si="25"/>
        <v>G</v>
      </c>
      <c r="X95" t="str">
        <f t="shared" si="27"/>
        <v>KVHNQJEWCDPYIAQHQMXDTBTPSTMCZKDHPEBGJWYUNXAUBSWGSWWVSHBQKEEQVMXQAWDVGUCMLSPIQSGFVSKKLPWWJWWCZG</v>
      </c>
    </row>
    <row r="96" spans="1:24">
      <c r="A96" s="18">
        <f t="shared" si="26"/>
        <v>95</v>
      </c>
      <c r="B96" s="22" t="s">
        <v>176</v>
      </c>
      <c r="C96" s="18"/>
      <c r="D96" s="18"/>
      <c r="E96" s="18"/>
      <c r="F96" s="18"/>
      <c r="G96" s="18"/>
      <c r="H96" s="20" t="str">
        <f t="shared" si="17"/>
        <v>E</v>
      </c>
      <c r="I96" s="18">
        <f t="shared" si="18"/>
        <v>4</v>
      </c>
      <c r="J96" s="18"/>
      <c r="K96" s="18"/>
      <c r="L96" s="18">
        <f t="shared" si="19"/>
        <v>11.041666666666666</v>
      </c>
      <c r="M96" s="21"/>
      <c r="N96" s="21"/>
      <c r="O96">
        <v>0</v>
      </c>
      <c r="P96">
        <v>2</v>
      </c>
      <c r="Q96">
        <f t="shared" si="20"/>
        <v>24</v>
      </c>
      <c r="T96" t="str">
        <f t="shared" si="28"/>
        <v>Y</v>
      </c>
      <c r="U96">
        <f t="shared" si="24"/>
        <v>10</v>
      </c>
      <c r="V96" s="14"/>
      <c r="W96" t="str">
        <f t="shared" si="25"/>
        <v>K</v>
      </c>
      <c r="X96" t="str">
        <f t="shared" si="27"/>
        <v>KVHNQJEWCDPYIAQHQMXDTBTPSTMCZKDHPEBGJWYUNXAUBSWGSWWVSHBQKEEQVMXQAWDVGUCMLSPIQSGFVSKKLPWWJWWCZGK</v>
      </c>
    </row>
    <row r="97" spans="1:24">
      <c r="A97" s="18">
        <f t="shared" si="26"/>
        <v>96</v>
      </c>
      <c r="B97" s="22" t="s">
        <v>177</v>
      </c>
      <c r="C97" s="18"/>
      <c r="D97" s="18"/>
      <c r="E97" s="18"/>
      <c r="F97" s="18"/>
      <c r="G97" s="18"/>
      <c r="H97" s="20" t="str">
        <f t="shared" si="17"/>
        <v>S</v>
      </c>
      <c r="I97" s="18">
        <f t="shared" si="18"/>
        <v>18</v>
      </c>
      <c r="J97" s="18"/>
      <c r="K97" s="18"/>
      <c r="L97" s="18">
        <f t="shared" si="19"/>
        <v>11</v>
      </c>
      <c r="M97" s="21"/>
      <c r="N97" s="21"/>
      <c r="O97">
        <v>1</v>
      </c>
      <c r="P97">
        <v>0</v>
      </c>
      <c r="Q97">
        <f t="shared" si="20"/>
        <v>8</v>
      </c>
      <c r="T97" t="str">
        <f t="shared" si="28"/>
        <v>I</v>
      </c>
      <c r="U97">
        <f t="shared" si="24"/>
        <v>7</v>
      </c>
      <c r="V97" s="14"/>
      <c r="W97" t="str">
        <f t="shared" si="25"/>
        <v>H</v>
      </c>
      <c r="X97" t="str">
        <f t="shared" si="27"/>
        <v>KVHNQJEWCDPYIAQHQMXDTBTPSTMCZKDHPEBGJWYUNXAUBSWGSWWVSHBQKEEQVMXQAWDVGUCMLSPIQSGFVSKKLPWWJWWCZGKH</v>
      </c>
    </row>
    <row r="98" spans="1:24">
      <c r="A98" s="18">
        <f t="shared" si="26"/>
        <v>97</v>
      </c>
      <c r="B98" s="22" t="s">
        <v>49</v>
      </c>
      <c r="C98" s="18"/>
      <c r="D98" s="18"/>
      <c r="E98" s="18"/>
      <c r="F98" s="18"/>
      <c r="G98" s="18"/>
      <c r="H98" s="20" t="str">
        <f t="shared" si="17"/>
        <v>T</v>
      </c>
      <c r="I98" s="18">
        <f t="shared" si="18"/>
        <v>19</v>
      </c>
      <c r="J98" s="18"/>
      <c r="K98" s="18"/>
      <c r="L98" s="18">
        <f t="shared" si="19"/>
        <v>10.958333333333334</v>
      </c>
      <c r="M98" s="21"/>
      <c r="N98" s="21"/>
      <c r="O98">
        <v>0</v>
      </c>
      <c r="P98">
        <v>17</v>
      </c>
      <c r="Q98">
        <f t="shared" si="20"/>
        <v>24</v>
      </c>
      <c r="V98" s="14"/>
    </row>
    <row r="99" spans="1:24">
      <c r="A99" s="18">
        <f t="shared" si="26"/>
        <v>98</v>
      </c>
      <c r="B99" s="22" t="s">
        <v>178</v>
      </c>
      <c r="C99" s="18"/>
      <c r="D99" s="18"/>
      <c r="E99" s="18"/>
      <c r="F99" s="18"/>
      <c r="G99" s="18"/>
      <c r="H99" s="20" t="str">
        <f t="shared" si="17"/>
        <v>D</v>
      </c>
      <c r="I99" s="18">
        <f t="shared" si="18"/>
        <v>3</v>
      </c>
      <c r="J99" s="18"/>
      <c r="K99" s="18"/>
      <c r="L99" s="18">
        <f t="shared" si="19"/>
        <v>10.291666666666666</v>
      </c>
      <c r="M99" s="21"/>
      <c r="N99" s="21"/>
      <c r="O99">
        <v>0</v>
      </c>
    </row>
    <row r="100" spans="1:24">
      <c r="A100" s="18">
        <f t="shared" si="26"/>
        <v>99</v>
      </c>
      <c r="B100" s="22" t="s">
        <v>78</v>
      </c>
      <c r="C100" s="18"/>
      <c r="D100" s="18"/>
      <c r="E100" s="18"/>
      <c r="F100" s="18"/>
      <c r="G100" s="18"/>
      <c r="H100" s="20" t="str">
        <f t="shared" si="17"/>
        <v>E</v>
      </c>
      <c r="I100" s="18">
        <f t="shared" si="18"/>
        <v>4</v>
      </c>
      <c r="J100" s="18"/>
      <c r="K100" s="18"/>
      <c r="L100" s="18">
        <f t="shared" si="19"/>
        <v>10.708333333333334</v>
      </c>
      <c r="M100" s="21"/>
      <c r="N100" s="21"/>
      <c r="O100">
        <v>1</v>
      </c>
    </row>
    <row r="101" spans="1:24">
      <c r="A101" s="18">
        <f t="shared" si="26"/>
        <v>100</v>
      </c>
      <c r="B101" s="22" t="s">
        <v>179</v>
      </c>
      <c r="C101" s="18"/>
      <c r="D101" s="18"/>
      <c r="E101" s="18"/>
      <c r="F101" s="18"/>
      <c r="G101" s="18"/>
      <c r="H101" s="20" t="str">
        <f t="shared" si="17"/>
        <v>R</v>
      </c>
      <c r="I101" s="18">
        <f t="shared" si="18"/>
        <v>17</v>
      </c>
      <c r="J101" s="18"/>
      <c r="K101" s="18"/>
      <c r="L101" s="18">
        <f t="shared" si="19"/>
        <v>10.791666666666666</v>
      </c>
      <c r="M101" s="21"/>
      <c r="N101" s="21"/>
      <c r="O101">
        <v>0</v>
      </c>
    </row>
    <row r="102" spans="1:24">
      <c r="A102" s="18">
        <f t="shared" si="26"/>
        <v>101</v>
      </c>
      <c r="B102" s="22" t="s">
        <v>180</v>
      </c>
      <c r="C102" s="18"/>
      <c r="D102" s="18"/>
      <c r="E102" s="18"/>
      <c r="F102" s="18"/>
      <c r="G102" s="18"/>
      <c r="H102" s="20" t="str">
        <f t="shared" si="17"/>
        <v>T</v>
      </c>
      <c r="I102" s="18">
        <f t="shared" si="18"/>
        <v>19</v>
      </c>
      <c r="J102" s="18"/>
      <c r="K102" s="18"/>
      <c r="L102" s="18">
        <f t="shared" si="19"/>
        <v>10.25</v>
      </c>
      <c r="M102" s="21"/>
      <c r="N102" s="21"/>
      <c r="O102">
        <v>0</v>
      </c>
    </row>
    <row r="103" spans="1:24">
      <c r="A103" s="18">
        <f t="shared" si="26"/>
        <v>102</v>
      </c>
      <c r="B103" s="22" t="s">
        <v>39</v>
      </c>
      <c r="C103" s="18"/>
      <c r="D103" s="18"/>
      <c r="E103" s="18"/>
      <c r="F103" s="18"/>
      <c r="G103" s="18"/>
      <c r="H103" s="20" t="str">
        <f t="shared" si="17"/>
        <v>F</v>
      </c>
      <c r="I103" s="18">
        <f t="shared" si="18"/>
        <v>5</v>
      </c>
      <c r="J103" s="18"/>
      <c r="K103" s="18"/>
      <c r="L103" s="18">
        <f t="shared" si="19"/>
        <v>9.625</v>
      </c>
      <c r="M103" s="21"/>
      <c r="N103" s="21"/>
      <c r="O103">
        <v>1</v>
      </c>
    </row>
    <row r="104" spans="1:24">
      <c r="A104" s="18">
        <f t="shared" si="26"/>
        <v>103</v>
      </c>
      <c r="B104" s="22" t="s">
        <v>78</v>
      </c>
      <c r="C104" s="18"/>
      <c r="D104" s="18"/>
      <c r="E104" s="18"/>
      <c r="F104" s="18"/>
      <c r="G104" s="18"/>
      <c r="H104" s="20" t="str">
        <f t="shared" si="17"/>
        <v>E</v>
      </c>
      <c r="I104" s="18">
        <f t="shared" si="18"/>
        <v>4</v>
      </c>
      <c r="J104" s="18"/>
      <c r="K104" s="18"/>
      <c r="L104" s="18">
        <f t="shared" si="19"/>
        <v>9.4166666666666661</v>
      </c>
      <c r="M104" s="21"/>
      <c r="N104" s="21"/>
      <c r="O104">
        <v>0</v>
      </c>
    </row>
    <row r="105" spans="1:24">
      <c r="A105" s="18">
        <f t="shared" si="26"/>
        <v>104</v>
      </c>
      <c r="B105" s="22" t="s">
        <v>181</v>
      </c>
      <c r="C105" s="18"/>
      <c r="D105" s="18"/>
      <c r="E105" s="18"/>
      <c r="F105" s="18"/>
      <c r="G105" s="18"/>
      <c r="H105" s="20" t="str">
        <f t="shared" si="17"/>
        <v>Y</v>
      </c>
      <c r="I105" s="18">
        <f t="shared" si="18"/>
        <v>24</v>
      </c>
      <c r="J105" s="18"/>
      <c r="K105" s="18"/>
      <c r="L105" s="18">
        <f t="shared" si="19"/>
        <v>9.4166666666666661</v>
      </c>
      <c r="M105" s="21"/>
      <c r="N105" s="21"/>
      <c r="O105">
        <v>0</v>
      </c>
    </row>
    <row r="106" spans="1:24">
      <c r="A106" s="18">
        <f t="shared" si="26"/>
        <v>105</v>
      </c>
      <c r="B106" s="22" t="s">
        <v>45</v>
      </c>
      <c r="C106" s="18"/>
      <c r="D106" s="18"/>
      <c r="E106" s="18"/>
      <c r="F106" s="18"/>
      <c r="G106" s="18"/>
      <c r="H106" s="20" t="str">
        <f t="shared" si="17"/>
        <v>S</v>
      </c>
      <c r="I106" s="18">
        <f t="shared" si="18"/>
        <v>18</v>
      </c>
      <c r="J106" s="18"/>
      <c r="K106" s="18"/>
      <c r="L106" s="18">
        <f t="shared" si="19"/>
        <v>8.75</v>
      </c>
      <c r="M106" s="21"/>
      <c r="N106" s="21"/>
      <c r="O106">
        <v>1</v>
      </c>
    </row>
    <row r="107" spans="1:24">
      <c r="A107" s="18">
        <f t="shared" si="26"/>
        <v>106</v>
      </c>
      <c r="B107" s="22" t="s">
        <v>182</v>
      </c>
      <c r="C107" s="18"/>
      <c r="D107" s="18"/>
      <c r="E107" s="18"/>
      <c r="F107" s="18"/>
      <c r="G107" s="18"/>
      <c r="H107" s="20" t="str">
        <f t="shared" si="17"/>
        <v>D</v>
      </c>
      <c r="I107" s="18">
        <f t="shared" si="18"/>
        <v>3</v>
      </c>
      <c r="J107" s="18"/>
      <c r="K107" s="18"/>
      <c r="L107" s="18">
        <f t="shared" si="19"/>
        <v>8.125</v>
      </c>
      <c r="M107" s="21"/>
      <c r="N107" s="21"/>
      <c r="O107">
        <v>0</v>
      </c>
    </row>
    <row r="108" spans="1:24">
      <c r="A108" s="18">
        <f t="shared" si="26"/>
        <v>107</v>
      </c>
      <c r="B108" s="22" t="s">
        <v>183</v>
      </c>
      <c r="C108" s="18"/>
      <c r="D108" s="18"/>
      <c r="E108" s="18"/>
      <c r="F108" s="18"/>
      <c r="G108" s="18"/>
      <c r="H108" s="20" t="str">
        <f t="shared" si="17"/>
        <v>H</v>
      </c>
      <c r="I108" s="18">
        <f t="shared" si="18"/>
        <v>7</v>
      </c>
      <c r="J108" s="18"/>
      <c r="K108" s="18"/>
      <c r="L108" s="18">
        <f t="shared" si="19"/>
        <v>8.1666666666666661</v>
      </c>
      <c r="M108" s="21"/>
      <c r="N108" s="21"/>
      <c r="O108">
        <v>0</v>
      </c>
    </row>
    <row r="109" spans="1:24">
      <c r="A109" s="18">
        <f t="shared" si="26"/>
        <v>108</v>
      </c>
      <c r="B109" s="22" t="s">
        <v>184</v>
      </c>
      <c r="C109" s="18"/>
      <c r="D109" s="18"/>
      <c r="E109" s="18"/>
      <c r="F109" s="18"/>
      <c r="G109" s="18"/>
      <c r="H109" s="20" t="str">
        <f t="shared" si="17"/>
        <v>G</v>
      </c>
      <c r="I109" s="18">
        <f t="shared" si="18"/>
        <v>6</v>
      </c>
      <c r="J109" s="18"/>
      <c r="K109" s="18"/>
      <c r="L109" s="18">
        <f t="shared" si="19"/>
        <v>8.0416666666666661</v>
      </c>
      <c r="M109" s="21"/>
      <c r="N109" s="21"/>
      <c r="O109">
        <v>1</v>
      </c>
    </row>
    <row r="110" spans="1:24">
      <c r="A110" s="18">
        <f t="shared" si="26"/>
        <v>109</v>
      </c>
      <c r="B110" s="22" t="s">
        <v>185</v>
      </c>
      <c r="C110" s="18"/>
      <c r="D110" s="18"/>
      <c r="E110" s="18"/>
      <c r="F110" s="18"/>
      <c r="G110" s="18"/>
      <c r="H110" s="20" t="str">
        <f t="shared" si="17"/>
        <v>S</v>
      </c>
      <c r="I110" s="18">
        <f t="shared" si="18"/>
        <v>18</v>
      </c>
      <c r="J110" s="18"/>
      <c r="K110" s="18"/>
      <c r="L110" s="18">
        <f t="shared" si="19"/>
        <v>7.916666666666667</v>
      </c>
      <c r="M110" s="21"/>
      <c r="N110" s="21"/>
      <c r="O110">
        <v>0</v>
      </c>
    </row>
    <row r="111" spans="1:24">
      <c r="A111" s="18">
        <f t="shared" si="26"/>
        <v>110</v>
      </c>
      <c r="B111" s="22" t="s">
        <v>133</v>
      </c>
      <c r="C111" s="18"/>
      <c r="D111" s="18"/>
      <c r="E111" s="18"/>
      <c r="F111" s="18"/>
      <c r="G111" s="18"/>
      <c r="H111" s="20" t="str">
        <f t="shared" si="17"/>
        <v>I</v>
      </c>
      <c r="I111" s="18">
        <f t="shared" si="18"/>
        <v>8</v>
      </c>
      <c r="J111" s="18"/>
      <c r="K111" s="18"/>
      <c r="L111" s="18">
        <f t="shared" si="19"/>
        <v>7.291666666666667</v>
      </c>
      <c r="M111" s="21"/>
      <c r="N111" s="21"/>
      <c r="O111">
        <v>0</v>
      </c>
    </row>
    <row r="112" spans="1:24">
      <c r="A112" s="18">
        <f t="shared" si="26"/>
        <v>111</v>
      </c>
      <c r="B112" s="22" t="s">
        <v>186</v>
      </c>
      <c r="C112" s="18"/>
      <c r="D112" s="18"/>
      <c r="E112" s="18"/>
      <c r="F112" s="18"/>
      <c r="G112" s="18"/>
      <c r="H112" s="20" t="str">
        <f t="shared" si="17"/>
        <v>E</v>
      </c>
      <c r="I112" s="18">
        <f t="shared" si="18"/>
        <v>4</v>
      </c>
      <c r="J112" s="18"/>
      <c r="K112" s="18"/>
      <c r="L112" s="18">
        <f t="shared" si="19"/>
        <v>7.5</v>
      </c>
      <c r="M112" s="21"/>
      <c r="N112" s="21"/>
      <c r="O112">
        <v>1</v>
      </c>
    </row>
    <row r="113" spans="1:15">
      <c r="A113" s="18">
        <f t="shared" si="26"/>
        <v>112</v>
      </c>
      <c r="B113" s="22" t="s">
        <v>131</v>
      </c>
      <c r="C113" s="18"/>
      <c r="D113" s="18"/>
      <c r="E113" s="18"/>
      <c r="F113" s="18"/>
      <c r="G113" s="18"/>
      <c r="H113" s="20" t="str">
        <f t="shared" si="17"/>
        <v>A</v>
      </c>
      <c r="I113" s="18">
        <f t="shared" si="18"/>
        <v>0</v>
      </c>
      <c r="J113" s="18"/>
      <c r="K113" s="18"/>
      <c r="L113" s="18">
        <f t="shared" si="19"/>
        <v>7.5</v>
      </c>
      <c r="M113" s="21"/>
      <c r="N113" s="21"/>
      <c r="O113">
        <v>0</v>
      </c>
    </row>
    <row r="114" spans="1:15">
      <c r="A114" s="18">
        <f t="shared" si="26"/>
        <v>113</v>
      </c>
      <c r="B114" s="22" t="s">
        <v>187</v>
      </c>
      <c r="C114" s="18"/>
      <c r="D114" s="18"/>
      <c r="E114" s="18"/>
      <c r="F114" s="18"/>
      <c r="G114" s="18"/>
      <c r="H114" s="20" t="str">
        <f t="shared" si="17"/>
        <v>Y</v>
      </c>
      <c r="I114" s="18">
        <f t="shared" si="18"/>
        <v>24</v>
      </c>
      <c r="J114" s="18"/>
      <c r="K114" s="18"/>
      <c r="L114" s="18">
        <f t="shared" si="19"/>
        <v>8.2916666666666661</v>
      </c>
      <c r="M114" s="21"/>
      <c r="N114" s="21"/>
      <c r="O114">
        <v>0</v>
      </c>
    </row>
    <row r="115" spans="1:15">
      <c r="A115" s="18">
        <f t="shared" si="26"/>
        <v>114</v>
      </c>
      <c r="B115" s="22" t="s">
        <v>188</v>
      </c>
      <c r="C115" s="18"/>
      <c r="D115" s="18"/>
      <c r="E115" s="18"/>
      <c r="F115" s="18"/>
      <c r="G115" s="18"/>
      <c r="H115" s="20" t="str">
        <f t="shared" si="17"/>
        <v>H</v>
      </c>
      <c r="I115" s="18">
        <f t="shared" si="18"/>
        <v>7</v>
      </c>
      <c r="J115" s="18"/>
      <c r="K115" s="18"/>
      <c r="L115" s="18">
        <f t="shared" si="19"/>
        <v>8</v>
      </c>
      <c r="M115" s="21"/>
      <c r="N115" s="21"/>
      <c r="O115">
        <v>1</v>
      </c>
    </row>
    <row r="116" spans="1:15">
      <c r="A116" s="18">
        <f t="shared" si="26"/>
        <v>115</v>
      </c>
      <c r="B116" s="22" t="s">
        <v>189</v>
      </c>
      <c r="C116" s="18"/>
      <c r="D116" s="18"/>
      <c r="E116" s="18"/>
      <c r="F116" s="18"/>
      <c r="G116" s="18"/>
      <c r="H116" s="20" t="str">
        <f t="shared" si="17"/>
        <v>N</v>
      </c>
      <c r="I116" s="18">
        <f t="shared" si="18"/>
        <v>13</v>
      </c>
      <c r="J116" s="18"/>
      <c r="K116" s="18"/>
      <c r="L116" s="18">
        <f t="shared" si="19"/>
        <v>7.958333333333333</v>
      </c>
      <c r="M116" s="21"/>
      <c r="N116" s="21"/>
      <c r="O116">
        <v>0</v>
      </c>
    </row>
    <row r="117" spans="1:15">
      <c r="A117" s="18">
        <f t="shared" si="26"/>
        <v>116</v>
      </c>
      <c r="B117" s="22" t="s">
        <v>78</v>
      </c>
      <c r="C117" s="18"/>
      <c r="D117" s="18"/>
      <c r="E117" s="18"/>
      <c r="F117" s="18"/>
      <c r="G117" s="18"/>
      <c r="H117" s="20" t="str">
        <f t="shared" si="17"/>
        <v>E</v>
      </c>
      <c r="I117" s="18">
        <f t="shared" si="18"/>
        <v>4</v>
      </c>
      <c r="J117" s="18"/>
      <c r="K117" s="18"/>
      <c r="L117" s="18">
        <f t="shared" si="19"/>
        <v>7.916666666666667</v>
      </c>
      <c r="M117" s="21"/>
      <c r="N117" s="21"/>
      <c r="O117">
        <v>0</v>
      </c>
    </row>
    <row r="118" spans="1:15">
      <c r="A118" s="18">
        <f t="shared" si="26"/>
        <v>117</v>
      </c>
      <c r="B118" s="22" t="s">
        <v>190</v>
      </c>
      <c r="C118" s="18"/>
      <c r="D118" s="18"/>
      <c r="E118" s="18"/>
      <c r="F118" s="18"/>
      <c r="G118" s="18"/>
      <c r="H118" s="20" t="str">
        <f t="shared" si="17"/>
        <v>R</v>
      </c>
      <c r="I118" s="18">
        <f t="shared" si="18"/>
        <v>17</v>
      </c>
      <c r="J118" s="18"/>
      <c r="K118" s="18"/>
      <c r="L118" s="18">
        <f t="shared" si="19"/>
        <v>7.916666666666667</v>
      </c>
      <c r="M118" s="21"/>
      <c r="N118" s="21"/>
      <c r="O118">
        <v>1</v>
      </c>
    </row>
    <row r="119" spans="1:15">
      <c r="A119" s="18">
        <f t="shared" si="26"/>
        <v>118</v>
      </c>
      <c r="B119" s="22" t="s">
        <v>191</v>
      </c>
      <c r="C119" s="18"/>
      <c r="D119" s="18"/>
      <c r="E119" s="18"/>
      <c r="F119" s="18"/>
      <c r="G119" s="18"/>
      <c r="H119" s="20" t="str">
        <f t="shared" si="17"/>
        <v>T</v>
      </c>
      <c r="I119" s="18">
        <f t="shared" si="18"/>
        <v>19</v>
      </c>
      <c r="J119" s="18"/>
      <c r="K119" s="18"/>
      <c r="L119" s="18">
        <f t="shared" si="19"/>
        <v>7.916666666666667</v>
      </c>
      <c r="M119" s="21"/>
      <c r="N119" s="21"/>
      <c r="O119">
        <v>0</v>
      </c>
    </row>
    <row r="120" spans="1:15">
      <c r="A120" s="18">
        <f t="shared" si="26"/>
        <v>119</v>
      </c>
      <c r="B120" s="22" t="s">
        <v>192</v>
      </c>
      <c r="C120" s="18"/>
      <c r="D120" s="18"/>
      <c r="E120" s="18"/>
      <c r="F120" s="18"/>
      <c r="G120" s="18"/>
      <c r="H120" s="20" t="str">
        <f t="shared" si="17"/>
        <v>D</v>
      </c>
      <c r="I120" s="18">
        <f t="shared" si="18"/>
        <v>3</v>
      </c>
      <c r="J120" s="18"/>
      <c r="K120" s="18"/>
      <c r="L120" s="18">
        <f t="shared" si="19"/>
        <v>7.25</v>
      </c>
      <c r="M120" s="21"/>
      <c r="N120" s="21"/>
      <c r="O120">
        <v>0</v>
      </c>
    </row>
    <row r="121" spans="1:15">
      <c r="A121" s="18">
        <f t="shared" si="26"/>
        <v>120</v>
      </c>
      <c r="B121" s="22" t="s">
        <v>193</v>
      </c>
      <c r="C121" s="18"/>
      <c r="D121" s="18"/>
      <c r="E121" s="18"/>
      <c r="F121" s="18"/>
      <c r="G121" s="18"/>
      <c r="H121" s="20" t="str">
        <f t="shared" si="17"/>
        <v>R</v>
      </c>
      <c r="I121" s="18">
        <f t="shared" si="18"/>
        <v>17</v>
      </c>
      <c r="J121" s="18"/>
      <c r="K121" s="18"/>
      <c r="L121" s="18">
        <f t="shared" si="19"/>
        <v>7.291666666666667</v>
      </c>
      <c r="M121" s="21"/>
      <c r="N121" s="21"/>
      <c r="O121">
        <v>1</v>
      </c>
    </row>
    <row r="122" spans="1:15">
      <c r="A122" s="18">
        <f t="shared" si="26"/>
        <v>121</v>
      </c>
      <c r="B122" s="22" t="s">
        <v>77</v>
      </c>
      <c r="C122" s="18"/>
      <c r="D122" s="18"/>
      <c r="E122" s="18"/>
      <c r="F122" s="18"/>
      <c r="G122" s="18"/>
      <c r="H122" s="20" t="str">
        <f t="shared" si="17"/>
        <v>D</v>
      </c>
      <c r="I122" s="18">
        <f t="shared" si="18"/>
        <v>3</v>
      </c>
      <c r="J122" s="18"/>
      <c r="K122" s="18"/>
      <c r="L122" s="18">
        <f t="shared" si="19"/>
        <v>6.75</v>
      </c>
      <c r="M122" s="21"/>
      <c r="N122" s="21"/>
      <c r="O122">
        <v>0</v>
      </c>
    </row>
    <row r="123" spans="1:15">
      <c r="A123" s="18">
        <f t="shared" si="26"/>
        <v>122</v>
      </c>
      <c r="B123" s="22" t="s">
        <v>194</v>
      </c>
      <c r="C123" s="18"/>
      <c r="D123" s="18"/>
      <c r="E123" s="18"/>
      <c r="F123" s="18"/>
      <c r="G123" s="18"/>
      <c r="H123" s="20" t="str">
        <f t="shared" si="17"/>
        <v>N</v>
      </c>
      <c r="I123" s="18">
        <f t="shared" si="18"/>
        <v>13</v>
      </c>
      <c r="J123" s="18"/>
      <c r="K123" s="18"/>
      <c r="L123" s="18">
        <f t="shared" si="19"/>
        <v>7.208333333333333</v>
      </c>
      <c r="M123" s="21"/>
      <c r="N123" s="21"/>
      <c r="O123">
        <v>0</v>
      </c>
    </row>
    <row r="124" spans="1:15">
      <c r="A124" s="18">
        <f t="shared" si="26"/>
        <v>123</v>
      </c>
      <c r="B124" s="22" t="s">
        <v>195</v>
      </c>
      <c r="C124" s="18"/>
      <c r="D124" s="18"/>
      <c r="E124" s="18"/>
      <c r="F124" s="18"/>
      <c r="G124" s="18"/>
      <c r="H124" s="20" t="str">
        <f t="shared" si="17"/>
        <v>G</v>
      </c>
      <c r="I124" s="18">
        <f t="shared" si="18"/>
        <v>6</v>
      </c>
      <c r="J124" s="18"/>
      <c r="K124" s="18"/>
      <c r="L124" s="18">
        <f t="shared" si="19"/>
        <v>7.375</v>
      </c>
      <c r="M124" s="21"/>
      <c r="N124" s="21"/>
      <c r="O124">
        <v>1</v>
      </c>
    </row>
    <row r="125" spans="1:15">
      <c r="A125" s="18">
        <f t="shared" si="26"/>
        <v>124</v>
      </c>
      <c r="B125" s="22" t="s">
        <v>78</v>
      </c>
      <c r="C125" s="18"/>
      <c r="D125" s="18"/>
      <c r="E125" s="18"/>
      <c r="F125" s="18"/>
      <c r="G125" s="18"/>
      <c r="H125" s="20" t="str">
        <f t="shared" si="17"/>
        <v>E</v>
      </c>
      <c r="I125" s="18">
        <f t="shared" si="18"/>
        <v>4</v>
      </c>
      <c r="J125" s="18"/>
      <c r="K125" s="18"/>
      <c r="L125" s="18">
        <f t="shared" si="19"/>
        <v>7.916666666666667</v>
      </c>
      <c r="M125" s="21"/>
      <c r="N125" s="21"/>
      <c r="O125">
        <v>0</v>
      </c>
    </row>
    <row r="126" spans="1:15">
      <c r="A126" s="18">
        <f t="shared" si="26"/>
        <v>125</v>
      </c>
      <c r="B126" s="22" t="s">
        <v>196</v>
      </c>
      <c r="C126" s="18"/>
      <c r="D126" s="18"/>
      <c r="E126" s="18"/>
      <c r="F126" s="18"/>
      <c r="G126" s="18"/>
      <c r="H126" s="20" t="str">
        <f t="shared" si="17"/>
        <v>E</v>
      </c>
      <c r="I126" s="18">
        <f t="shared" si="18"/>
        <v>4</v>
      </c>
      <c r="J126" s="18"/>
      <c r="K126" s="18"/>
      <c r="L126" s="18">
        <f t="shared" si="19"/>
        <v>8.75</v>
      </c>
      <c r="M126" s="21"/>
      <c r="N126" s="21"/>
      <c r="O126">
        <v>0</v>
      </c>
    </row>
    <row r="127" spans="1:15">
      <c r="A127" s="18">
        <f t="shared" si="26"/>
        <v>126</v>
      </c>
      <c r="B127" s="22" t="s">
        <v>131</v>
      </c>
      <c r="C127" s="18"/>
      <c r="D127" s="18"/>
      <c r="E127" s="18"/>
      <c r="F127" s="18"/>
      <c r="G127" s="18"/>
      <c r="H127" s="20" t="str">
        <f t="shared" si="17"/>
        <v>A</v>
      </c>
      <c r="I127" s="18">
        <f t="shared" si="18"/>
        <v>0</v>
      </c>
      <c r="J127" s="18"/>
      <c r="K127" s="18"/>
      <c r="L127" s="18">
        <f t="shared" si="19"/>
        <v>9.3333333333333339</v>
      </c>
      <c r="M127" s="21"/>
      <c r="N127" s="21"/>
      <c r="O127">
        <v>1</v>
      </c>
    </row>
    <row r="128" spans="1:15">
      <c r="A128" s="18">
        <f t="shared" si="26"/>
        <v>127</v>
      </c>
      <c r="B128" s="22" t="s">
        <v>197</v>
      </c>
      <c r="C128" s="18"/>
      <c r="D128" s="18"/>
      <c r="E128" s="18"/>
      <c r="F128" s="18"/>
      <c r="G128" s="18"/>
      <c r="H128" s="20" t="str">
        <f t="shared" si="17"/>
        <v>E</v>
      </c>
      <c r="I128" s="18">
        <f t="shared" si="18"/>
        <v>4</v>
      </c>
      <c r="J128" s="18"/>
      <c r="K128" s="18"/>
      <c r="L128" s="18">
        <f t="shared" si="19"/>
        <v>9.5416666666666661</v>
      </c>
      <c r="M128" s="21"/>
      <c r="N128" s="21"/>
      <c r="O128">
        <v>0</v>
      </c>
    </row>
    <row r="129" spans="1:15">
      <c r="A129" s="18">
        <f t="shared" si="26"/>
        <v>128</v>
      </c>
      <c r="B129" s="22" t="s">
        <v>133</v>
      </c>
      <c r="C129" s="18"/>
      <c r="D129" s="18"/>
      <c r="E129" s="18"/>
      <c r="F129" s="18"/>
      <c r="G129" s="18"/>
      <c r="H129" s="20" t="str">
        <f t="shared" si="17"/>
        <v>I</v>
      </c>
      <c r="I129" s="18">
        <f t="shared" si="18"/>
        <v>8</v>
      </c>
      <c r="J129" s="18"/>
      <c r="K129" s="18"/>
      <c r="L129" s="18">
        <f t="shared" si="19"/>
        <v>9.5416666666666661</v>
      </c>
      <c r="M129" s="21"/>
      <c r="N129" s="21"/>
      <c r="O129">
        <v>0</v>
      </c>
    </row>
    <row r="130" spans="1:15">
      <c r="A130" s="18">
        <f t="shared" si="26"/>
        <v>129</v>
      </c>
      <c r="B130" s="22" t="s">
        <v>198</v>
      </c>
      <c r="C130" s="18"/>
      <c r="D130" s="18"/>
      <c r="E130" s="18"/>
      <c r="F130" s="18"/>
      <c r="G130" s="18"/>
      <c r="H130" s="20" t="str">
        <f t="shared" si="17"/>
        <v>D</v>
      </c>
      <c r="I130" s="18">
        <f t="shared" si="18"/>
        <v>3</v>
      </c>
      <c r="J130" s="18"/>
      <c r="K130" s="18"/>
      <c r="L130" s="18">
        <f t="shared" si="19"/>
        <v>9.7083333333333339</v>
      </c>
      <c r="M130" s="21"/>
      <c r="N130" s="21"/>
      <c r="O130">
        <v>1</v>
      </c>
    </row>
    <row r="131" spans="1:15">
      <c r="A131" s="18">
        <f t="shared" si="26"/>
        <v>130</v>
      </c>
      <c r="B131" s="22" t="s">
        <v>78</v>
      </c>
      <c r="C131" s="18"/>
      <c r="D131" s="18"/>
      <c r="E131" s="18"/>
      <c r="F131" s="18"/>
      <c r="G131" s="18"/>
      <c r="H131" s="20" t="str">
        <f t="shared" ref="H131:H165" si="29">MID(B131,LEN(B131),1)</f>
        <v>E</v>
      </c>
      <c r="I131" s="18">
        <f t="shared" ref="I131:I164" si="30">CODE(H131)-65</f>
        <v>4</v>
      </c>
      <c r="J131" s="18"/>
      <c r="K131" s="18"/>
      <c r="L131" s="18">
        <f t="shared" ref="L131:L141" si="31">AVERAGE(I131:I154)</f>
        <v>10.125</v>
      </c>
      <c r="M131" s="21"/>
      <c r="N131" s="21"/>
      <c r="O131">
        <v>0</v>
      </c>
    </row>
    <row r="132" spans="1:15">
      <c r="A132" s="18">
        <f t="shared" ref="A132:A165" si="32">1+A131</f>
        <v>131</v>
      </c>
      <c r="B132" s="22" t="s">
        <v>199</v>
      </c>
      <c r="C132" s="18"/>
      <c r="D132" s="18"/>
      <c r="E132" s="18"/>
      <c r="F132" s="18"/>
      <c r="G132" s="18"/>
      <c r="H132" s="20" t="str">
        <f t="shared" si="29"/>
        <v>E</v>
      </c>
      <c r="I132" s="18">
        <f t="shared" si="30"/>
        <v>4</v>
      </c>
      <c r="J132" s="18"/>
      <c r="K132" s="18"/>
      <c r="L132" s="18">
        <f t="shared" si="31"/>
        <v>10.083333333333334</v>
      </c>
      <c r="M132" s="21"/>
      <c r="N132" s="21"/>
      <c r="O132">
        <v>0</v>
      </c>
    </row>
    <row r="133" spans="1:15">
      <c r="A133" s="18">
        <f t="shared" si="32"/>
        <v>132</v>
      </c>
      <c r="B133" s="22" t="s">
        <v>77</v>
      </c>
      <c r="C133" s="18"/>
      <c r="D133" s="18"/>
      <c r="E133" s="18"/>
      <c r="F133" s="18"/>
      <c r="G133" s="18"/>
      <c r="H133" s="20" t="str">
        <f t="shared" si="29"/>
        <v>D</v>
      </c>
      <c r="I133" s="18">
        <f t="shared" si="30"/>
        <v>3</v>
      </c>
      <c r="J133" s="18"/>
      <c r="K133" s="18"/>
      <c r="L133" s="18">
        <f t="shared" si="31"/>
        <v>10.416666666666666</v>
      </c>
      <c r="M133" s="21"/>
      <c r="N133" s="21"/>
      <c r="O133">
        <v>1</v>
      </c>
    </row>
    <row r="134" spans="1:15">
      <c r="A134" s="18">
        <f t="shared" si="32"/>
        <v>133</v>
      </c>
      <c r="B134" s="22" t="s">
        <v>200</v>
      </c>
      <c r="C134" s="18"/>
      <c r="D134" s="18"/>
      <c r="E134" s="18"/>
      <c r="F134" s="18"/>
      <c r="G134" s="18"/>
      <c r="H134" s="20" t="str">
        <f t="shared" si="29"/>
        <v>D</v>
      </c>
      <c r="I134" s="18">
        <f t="shared" si="30"/>
        <v>3</v>
      </c>
      <c r="J134" s="18"/>
      <c r="K134" s="18"/>
      <c r="L134" s="18">
        <f t="shared" si="31"/>
        <v>10.458333333333334</v>
      </c>
      <c r="M134" s="21"/>
      <c r="N134" s="21"/>
      <c r="O134">
        <v>0</v>
      </c>
    </row>
    <row r="135" spans="1:15">
      <c r="A135" s="18">
        <f t="shared" si="32"/>
        <v>134</v>
      </c>
      <c r="B135" s="22" t="s">
        <v>189</v>
      </c>
      <c r="C135" s="18"/>
      <c r="D135" s="18"/>
      <c r="E135" s="18"/>
      <c r="F135" s="18"/>
      <c r="G135" s="18"/>
      <c r="H135" s="20" t="str">
        <f t="shared" si="29"/>
        <v>N</v>
      </c>
      <c r="I135" s="18">
        <f t="shared" si="30"/>
        <v>13</v>
      </c>
      <c r="J135" s="18"/>
      <c r="K135" s="18"/>
      <c r="L135" s="18">
        <f t="shared" si="31"/>
        <v>11.125</v>
      </c>
      <c r="M135" s="21"/>
      <c r="N135" s="21"/>
      <c r="O135">
        <v>0</v>
      </c>
    </row>
    <row r="136" spans="1:15">
      <c r="A136" s="18">
        <f t="shared" si="32"/>
        <v>135</v>
      </c>
      <c r="B136" s="22" t="s">
        <v>78</v>
      </c>
      <c r="C136" s="18"/>
      <c r="D136" s="18"/>
      <c r="E136" s="18"/>
      <c r="F136" s="18"/>
      <c r="G136" s="18"/>
      <c r="H136" s="20" t="str">
        <f t="shared" si="29"/>
        <v>E</v>
      </c>
      <c r="I136" s="18">
        <f t="shared" si="30"/>
        <v>4</v>
      </c>
      <c r="J136" s="18"/>
      <c r="K136" s="18"/>
      <c r="L136" s="18">
        <f t="shared" si="31"/>
        <v>11.541666666666666</v>
      </c>
      <c r="M136" s="21"/>
      <c r="N136" s="21"/>
      <c r="O136">
        <v>1</v>
      </c>
    </row>
    <row r="137" spans="1:15">
      <c r="A137" s="18">
        <f t="shared" si="32"/>
        <v>136</v>
      </c>
      <c r="B137" s="22" t="s">
        <v>201</v>
      </c>
      <c r="C137" s="18"/>
      <c r="D137" s="18"/>
      <c r="E137" s="18"/>
      <c r="F137" s="18"/>
      <c r="G137" s="18"/>
      <c r="H137" s="20" t="str">
        <f t="shared" si="29"/>
        <v>T</v>
      </c>
      <c r="I137" s="18">
        <f t="shared" si="30"/>
        <v>19</v>
      </c>
      <c r="J137" s="18"/>
      <c r="K137" s="18"/>
      <c r="L137" s="18">
        <f t="shared" si="31"/>
        <v>11.916666666666666</v>
      </c>
      <c r="M137" s="21"/>
      <c r="N137" s="21"/>
      <c r="O137">
        <v>0</v>
      </c>
    </row>
    <row r="138" spans="1:15">
      <c r="A138" s="18">
        <f t="shared" si="32"/>
        <v>137</v>
      </c>
      <c r="B138" s="22" t="s">
        <v>202</v>
      </c>
      <c r="C138" s="18"/>
      <c r="D138" s="18"/>
      <c r="E138" s="18"/>
      <c r="F138" s="18"/>
      <c r="G138" s="18"/>
      <c r="H138" s="20" t="str">
        <f t="shared" si="29"/>
        <v>R</v>
      </c>
      <c r="I138" s="18">
        <f t="shared" si="30"/>
        <v>17</v>
      </c>
      <c r="J138" s="18"/>
      <c r="K138" s="18"/>
      <c r="L138" s="18">
        <f t="shared" si="31"/>
        <v>11.958333333333334</v>
      </c>
      <c r="M138" s="21"/>
      <c r="N138" s="21"/>
      <c r="O138">
        <v>0</v>
      </c>
    </row>
    <row r="139" spans="1:15">
      <c r="A139" s="18">
        <f t="shared" si="32"/>
        <v>138</v>
      </c>
      <c r="B139" s="22" t="s">
        <v>203</v>
      </c>
      <c r="C139" s="18"/>
      <c r="D139" s="18"/>
      <c r="E139" s="18"/>
      <c r="F139" s="18"/>
      <c r="G139" s="18"/>
      <c r="H139" s="20" t="str">
        <f t="shared" si="29"/>
        <v>G</v>
      </c>
      <c r="I139" s="18">
        <f t="shared" si="30"/>
        <v>6</v>
      </c>
      <c r="J139" s="18"/>
      <c r="K139" s="18"/>
      <c r="L139" s="18">
        <f t="shared" si="31"/>
        <v>11.416666666666666</v>
      </c>
      <c r="M139" s="21"/>
      <c r="N139" s="21"/>
      <c r="O139">
        <v>1</v>
      </c>
    </row>
    <row r="140" spans="1:15">
      <c r="A140" s="18">
        <f t="shared" si="32"/>
        <v>139</v>
      </c>
      <c r="B140" s="22" t="s">
        <v>204</v>
      </c>
      <c r="C140" s="18"/>
      <c r="D140" s="18"/>
      <c r="E140" s="18"/>
      <c r="F140" s="18"/>
      <c r="G140" s="18"/>
      <c r="H140" s="20" t="str">
        <f t="shared" si="29"/>
        <v>M</v>
      </c>
      <c r="I140" s="18">
        <f t="shared" si="30"/>
        <v>12</v>
      </c>
      <c r="J140" s="18"/>
      <c r="K140" s="18"/>
      <c r="L140" s="18">
        <f t="shared" si="31"/>
        <v>11.416666666666666</v>
      </c>
      <c r="M140" s="21"/>
      <c r="N140" s="21"/>
      <c r="O140">
        <v>0</v>
      </c>
    </row>
    <row r="141" spans="1:15">
      <c r="A141" s="18">
        <f t="shared" si="32"/>
        <v>140</v>
      </c>
      <c r="B141" s="22" t="s">
        <v>78</v>
      </c>
      <c r="C141" s="18"/>
      <c r="D141" s="18"/>
      <c r="E141" s="18"/>
      <c r="F141" s="18"/>
      <c r="G141" s="18"/>
      <c r="H141" s="20" t="str">
        <f t="shared" si="29"/>
        <v>E</v>
      </c>
      <c r="I141" s="18">
        <f t="shared" si="30"/>
        <v>4</v>
      </c>
      <c r="J141" s="18"/>
      <c r="K141" s="18"/>
      <c r="L141" s="18">
        <f t="shared" si="31"/>
        <v>11.583333333333334</v>
      </c>
      <c r="M141" s="21"/>
      <c r="N141" s="21"/>
      <c r="O141">
        <v>0</v>
      </c>
    </row>
    <row r="142" spans="1:15">
      <c r="A142" s="18">
        <f t="shared" si="32"/>
        <v>141</v>
      </c>
      <c r="B142" s="22" t="s">
        <v>205</v>
      </c>
      <c r="C142" s="18"/>
      <c r="D142" s="18"/>
      <c r="E142" s="18"/>
      <c r="F142" s="18"/>
      <c r="G142" s="18"/>
      <c r="H142" s="20" t="str">
        <f t="shared" si="29"/>
        <v>R</v>
      </c>
      <c r="I142" s="18">
        <f t="shared" si="30"/>
        <v>17</v>
      </c>
      <c r="J142" s="18"/>
      <c r="K142" s="18"/>
      <c r="L142" s="18"/>
      <c r="M142" s="18"/>
      <c r="N142" s="18"/>
      <c r="O142">
        <v>1</v>
      </c>
    </row>
    <row r="143" spans="1:15">
      <c r="A143" s="18">
        <f t="shared" si="32"/>
        <v>142</v>
      </c>
      <c r="B143" s="22" t="s">
        <v>206</v>
      </c>
      <c r="C143" s="18"/>
      <c r="D143" s="18"/>
      <c r="E143" s="18"/>
      <c r="F143" s="18"/>
      <c r="G143" s="18"/>
      <c r="H143" s="20" t="str">
        <f t="shared" si="29"/>
        <v>D</v>
      </c>
      <c r="I143" s="18">
        <f t="shared" si="30"/>
        <v>3</v>
      </c>
      <c r="J143" s="18"/>
      <c r="K143" s="18"/>
      <c r="L143" s="18"/>
      <c r="M143" s="18"/>
      <c r="N143" s="18"/>
      <c r="O143">
        <v>0</v>
      </c>
    </row>
    <row r="144" spans="1:15">
      <c r="A144" s="18">
        <f t="shared" si="32"/>
        <v>143</v>
      </c>
      <c r="B144" s="22" t="s">
        <v>78</v>
      </c>
      <c r="C144" s="18"/>
      <c r="D144" s="18"/>
      <c r="E144" s="18"/>
      <c r="F144" s="18"/>
      <c r="G144" s="18"/>
      <c r="H144" s="20" t="str">
        <f t="shared" si="29"/>
        <v>E</v>
      </c>
      <c r="I144" s="18">
        <f t="shared" si="30"/>
        <v>4</v>
      </c>
      <c r="J144" s="18"/>
      <c r="K144" s="18"/>
      <c r="L144" s="18"/>
      <c r="M144" s="18"/>
      <c r="N144" s="18"/>
      <c r="O144">
        <v>0</v>
      </c>
    </row>
    <row r="145" spans="1:15">
      <c r="A145" s="18">
        <f t="shared" si="32"/>
        <v>144</v>
      </c>
      <c r="B145" s="22" t="s">
        <v>207</v>
      </c>
      <c r="C145" s="18"/>
      <c r="D145" s="18"/>
      <c r="E145" s="18"/>
      <c r="F145" s="18"/>
      <c r="G145" s="18"/>
      <c r="H145" s="20" t="str">
        <f t="shared" si="29"/>
        <v>E</v>
      </c>
      <c r="I145" s="18">
        <f t="shared" si="30"/>
        <v>4</v>
      </c>
      <c r="J145" s="18"/>
      <c r="K145" s="18"/>
      <c r="L145" s="18"/>
      <c r="M145" s="18"/>
      <c r="N145" s="18"/>
      <c r="O145">
        <v>1</v>
      </c>
    </row>
    <row r="146" spans="1:15">
      <c r="A146" s="18">
        <f t="shared" si="32"/>
        <v>145</v>
      </c>
      <c r="B146" s="22" t="s">
        <v>313</v>
      </c>
      <c r="C146" s="18"/>
      <c r="D146" s="18"/>
      <c r="E146" s="18"/>
      <c r="F146" s="18"/>
      <c r="G146" s="18"/>
      <c r="H146" s="20" t="str">
        <f t="shared" si="29"/>
        <v>O</v>
      </c>
      <c r="I146" s="18">
        <f t="shared" si="30"/>
        <v>14</v>
      </c>
      <c r="J146" s="18"/>
      <c r="K146" s="18"/>
      <c r="L146" s="18"/>
      <c r="M146" s="18"/>
      <c r="N146" s="18"/>
      <c r="O146">
        <v>0</v>
      </c>
    </row>
    <row r="147" spans="1:15">
      <c r="A147" s="18">
        <f t="shared" si="32"/>
        <v>146</v>
      </c>
      <c r="B147" s="22" t="s">
        <v>208</v>
      </c>
      <c r="C147" s="18"/>
      <c r="D147" s="18"/>
      <c r="E147" s="18"/>
      <c r="F147" s="18"/>
      <c r="G147" s="18"/>
      <c r="H147" s="20" t="str">
        <f t="shared" si="29"/>
        <v>R</v>
      </c>
      <c r="I147" s="18">
        <f t="shared" si="30"/>
        <v>17</v>
      </c>
      <c r="J147" s="18"/>
      <c r="K147" s="18"/>
      <c r="L147" s="18"/>
      <c r="M147" s="18"/>
      <c r="N147" s="18"/>
      <c r="O147">
        <v>0</v>
      </c>
    </row>
    <row r="148" spans="1:15">
      <c r="A148" s="18">
        <f t="shared" si="32"/>
        <v>147</v>
      </c>
      <c r="B148" s="22" t="s">
        <v>209</v>
      </c>
      <c r="C148" s="18"/>
      <c r="D148" s="18"/>
      <c r="E148" s="18"/>
      <c r="F148" s="18"/>
      <c r="G148" s="18"/>
      <c r="H148" s="20" t="str">
        <f t="shared" si="29"/>
        <v>T</v>
      </c>
      <c r="I148" s="18">
        <f t="shared" si="30"/>
        <v>19</v>
      </c>
      <c r="J148" s="18"/>
      <c r="K148" s="18"/>
      <c r="L148" s="18"/>
      <c r="M148" s="18"/>
      <c r="N148" s="18"/>
      <c r="O148">
        <v>1</v>
      </c>
    </row>
    <row r="149" spans="1:15">
      <c r="A149" s="18">
        <f t="shared" si="32"/>
        <v>148</v>
      </c>
      <c r="B149" s="22" t="s">
        <v>114</v>
      </c>
      <c r="C149" s="18"/>
      <c r="D149" s="18"/>
      <c r="E149" s="18"/>
      <c r="F149" s="18"/>
      <c r="G149" s="18"/>
      <c r="H149" s="20" t="str">
        <f t="shared" si="29"/>
        <v>Y</v>
      </c>
      <c r="I149" s="18">
        <f t="shared" si="30"/>
        <v>24</v>
      </c>
      <c r="J149" s="18"/>
      <c r="K149" s="18"/>
      <c r="L149" s="18"/>
      <c r="M149" s="18"/>
      <c r="N149" s="18"/>
      <c r="O149">
        <v>0</v>
      </c>
    </row>
    <row r="150" spans="1:15">
      <c r="A150" s="18">
        <f t="shared" si="32"/>
        <v>149</v>
      </c>
      <c r="B150" s="22" t="s">
        <v>115</v>
      </c>
      <c r="C150" s="18"/>
      <c r="D150" s="18"/>
      <c r="E150" s="18"/>
      <c r="F150" s="18"/>
      <c r="G150" s="18"/>
      <c r="H150" s="20" t="str">
        <f t="shared" si="29"/>
        <v>S</v>
      </c>
      <c r="I150" s="18">
        <f t="shared" si="30"/>
        <v>18</v>
      </c>
      <c r="J150" s="18"/>
      <c r="K150" s="18"/>
      <c r="L150" s="18"/>
      <c r="M150" s="18"/>
      <c r="N150" s="18"/>
      <c r="O150">
        <v>0</v>
      </c>
    </row>
    <row r="151" spans="1:15">
      <c r="A151" s="18">
        <f t="shared" si="32"/>
        <v>150</v>
      </c>
      <c r="B151" s="22" t="s">
        <v>39</v>
      </c>
      <c r="C151" s="18"/>
      <c r="D151" s="18"/>
      <c r="E151" s="18"/>
      <c r="F151" s="18"/>
      <c r="G151" s="18"/>
      <c r="H151" s="20" t="str">
        <f t="shared" si="29"/>
        <v>F</v>
      </c>
      <c r="I151" s="18">
        <f t="shared" si="30"/>
        <v>5</v>
      </c>
      <c r="J151" s="18"/>
      <c r="K151" s="18"/>
      <c r="L151" s="18"/>
      <c r="M151" s="18"/>
      <c r="N151" s="18"/>
      <c r="O151">
        <v>1</v>
      </c>
    </row>
    <row r="152" spans="1:15">
      <c r="A152" s="18">
        <f t="shared" si="32"/>
        <v>151</v>
      </c>
      <c r="B152" s="22" t="s">
        <v>78</v>
      </c>
      <c r="C152" s="18"/>
      <c r="D152" s="18"/>
      <c r="E152" s="18"/>
      <c r="F152" s="18"/>
      <c r="G152" s="18"/>
      <c r="H152" s="20" t="str">
        <f t="shared" si="29"/>
        <v>E</v>
      </c>
      <c r="I152" s="18">
        <f t="shared" si="30"/>
        <v>4</v>
      </c>
      <c r="J152" s="18"/>
      <c r="K152" s="18"/>
      <c r="L152" s="18"/>
      <c r="M152" s="18"/>
      <c r="N152" s="18"/>
      <c r="O152">
        <v>0</v>
      </c>
    </row>
    <row r="153" spans="1:15">
      <c r="A153" s="18">
        <f t="shared" si="32"/>
        <v>152</v>
      </c>
      <c r="B153" s="22" t="s">
        <v>116</v>
      </c>
      <c r="C153" s="18"/>
      <c r="D153" s="18"/>
      <c r="E153" s="18"/>
      <c r="F153" s="18"/>
      <c r="G153" s="18"/>
      <c r="H153" s="20" t="str">
        <f t="shared" si="29"/>
        <v>M</v>
      </c>
      <c r="I153" s="18">
        <f t="shared" si="30"/>
        <v>12</v>
      </c>
      <c r="J153" s="18"/>
      <c r="K153" s="18"/>
      <c r="L153" s="18"/>
      <c r="M153" s="18"/>
      <c r="N153" s="18"/>
      <c r="O153">
        <v>0</v>
      </c>
    </row>
    <row r="154" spans="1:15">
      <c r="A154" s="18">
        <f t="shared" si="32"/>
        <v>153</v>
      </c>
      <c r="B154" s="22" t="s">
        <v>117</v>
      </c>
      <c r="C154" s="18"/>
      <c r="D154" s="18"/>
      <c r="E154" s="18"/>
      <c r="F154" s="18"/>
      <c r="G154" s="18"/>
      <c r="H154" s="20" t="str">
        <f t="shared" si="29"/>
        <v>N</v>
      </c>
      <c r="I154" s="18">
        <f t="shared" si="30"/>
        <v>13</v>
      </c>
      <c r="J154" s="18"/>
      <c r="K154" s="18"/>
      <c r="L154" s="18"/>
      <c r="M154" s="18"/>
      <c r="N154" s="18"/>
      <c r="O154">
        <v>1</v>
      </c>
    </row>
    <row r="155" spans="1:15">
      <c r="A155" s="18">
        <f t="shared" si="32"/>
        <v>154</v>
      </c>
      <c r="B155" s="22" t="s">
        <v>118</v>
      </c>
      <c r="C155" s="18"/>
      <c r="D155" s="18"/>
      <c r="E155" s="18"/>
      <c r="F155" s="18"/>
      <c r="G155" s="18"/>
      <c r="H155" s="20" t="str">
        <f t="shared" si="29"/>
        <v>D</v>
      </c>
      <c r="I155" s="18">
        <f t="shared" si="30"/>
        <v>3</v>
      </c>
      <c r="J155" s="18"/>
      <c r="K155" s="18"/>
      <c r="L155" s="18"/>
      <c r="M155" s="18"/>
      <c r="N155" s="18"/>
      <c r="O155">
        <v>0</v>
      </c>
    </row>
    <row r="156" spans="1:15">
      <c r="A156" s="18">
        <f t="shared" si="32"/>
        <v>155</v>
      </c>
      <c r="B156" s="22" t="s">
        <v>204</v>
      </c>
      <c r="C156" s="18"/>
      <c r="D156" s="18"/>
      <c r="E156" s="18"/>
      <c r="F156" s="18"/>
      <c r="G156" s="18"/>
      <c r="H156" s="20" t="str">
        <f t="shared" si="29"/>
        <v>M</v>
      </c>
      <c r="I156" s="18">
        <f t="shared" si="30"/>
        <v>12</v>
      </c>
      <c r="J156" s="18"/>
      <c r="K156" s="18"/>
      <c r="L156" s="18"/>
      <c r="M156" s="18"/>
      <c r="N156" s="18"/>
      <c r="O156">
        <v>0</v>
      </c>
    </row>
    <row r="157" spans="1:15">
      <c r="A157" s="18">
        <f t="shared" si="32"/>
        <v>156</v>
      </c>
      <c r="B157" s="22" t="s">
        <v>78</v>
      </c>
      <c r="C157" s="18"/>
      <c r="D157" s="18"/>
      <c r="E157" s="18"/>
      <c r="F157" s="18"/>
      <c r="G157" s="18"/>
      <c r="H157" s="20" t="str">
        <f t="shared" si="29"/>
        <v>E</v>
      </c>
      <c r="I157" s="18">
        <f t="shared" si="30"/>
        <v>4</v>
      </c>
      <c r="J157" s="18"/>
      <c r="K157" s="18"/>
      <c r="L157" s="18"/>
      <c r="M157" s="18"/>
      <c r="N157" s="18"/>
      <c r="O157">
        <v>1</v>
      </c>
    </row>
    <row r="158" spans="1:15">
      <c r="A158" s="18">
        <f t="shared" si="32"/>
        <v>157</v>
      </c>
      <c r="B158" s="22" t="s">
        <v>119</v>
      </c>
      <c r="C158" s="18"/>
      <c r="D158" s="18"/>
      <c r="E158" s="18"/>
      <c r="F158" s="18"/>
      <c r="G158" s="18"/>
      <c r="H158" s="20" t="str">
        <f t="shared" si="29"/>
        <v>T</v>
      </c>
      <c r="I158" s="18">
        <f t="shared" si="30"/>
        <v>19</v>
      </c>
      <c r="J158" s="18"/>
      <c r="K158" s="18"/>
      <c r="L158" s="18"/>
      <c r="M158" s="18"/>
      <c r="N158" s="18"/>
      <c r="O158">
        <v>0</v>
      </c>
    </row>
    <row r="159" spans="1:15">
      <c r="A159" s="18">
        <f t="shared" si="32"/>
        <v>158</v>
      </c>
      <c r="B159" s="22" t="s">
        <v>111</v>
      </c>
      <c r="C159" s="18" t="s">
        <v>250</v>
      </c>
      <c r="D159" s="18">
        <v>158</v>
      </c>
      <c r="E159" s="18"/>
      <c r="F159" s="18"/>
      <c r="G159" s="18"/>
      <c r="H159" s="20" t="str">
        <f t="shared" si="29"/>
        <v>X</v>
      </c>
      <c r="I159" s="18">
        <f t="shared" si="30"/>
        <v>23</v>
      </c>
      <c r="J159" s="18"/>
      <c r="K159" s="18"/>
      <c r="L159" s="18"/>
      <c r="M159" s="18"/>
      <c r="N159" s="18"/>
      <c r="O159">
        <v>0</v>
      </c>
    </row>
    <row r="160" spans="1:15">
      <c r="A160" s="18">
        <f t="shared" si="32"/>
        <v>159</v>
      </c>
      <c r="B160" s="22" t="s">
        <v>120</v>
      </c>
      <c r="C160" s="18"/>
      <c r="D160" s="18"/>
      <c r="E160" s="18"/>
      <c r="F160" s="18"/>
      <c r="G160" s="18"/>
      <c r="H160" s="20" t="str">
        <f t="shared" si="29"/>
        <v>N</v>
      </c>
      <c r="I160" s="18">
        <f t="shared" si="30"/>
        <v>13</v>
      </c>
      <c r="J160" s="18"/>
      <c r="K160" s="18"/>
      <c r="L160" s="18"/>
      <c r="M160" s="18"/>
      <c r="N160" s="18"/>
      <c r="O160">
        <v>1</v>
      </c>
    </row>
    <row r="161" spans="1:15">
      <c r="A161" s="18">
        <f t="shared" si="32"/>
        <v>160</v>
      </c>
      <c r="B161" s="22" t="s">
        <v>121</v>
      </c>
      <c r="C161" s="18"/>
      <c r="D161" s="18"/>
      <c r="E161" s="18"/>
      <c r="F161" s="18"/>
      <c r="G161" s="18"/>
      <c r="H161" s="20" t="str">
        <f t="shared" si="29"/>
        <v>U</v>
      </c>
      <c r="I161" s="18">
        <f t="shared" si="30"/>
        <v>20</v>
      </c>
      <c r="J161" s="18"/>
      <c r="K161" s="18"/>
      <c r="L161" s="18"/>
      <c r="M161" s="18"/>
      <c r="N161" s="18"/>
      <c r="O161">
        <v>0</v>
      </c>
    </row>
    <row r="162" spans="1:15">
      <c r="A162" s="18">
        <f t="shared" si="32"/>
        <v>161</v>
      </c>
      <c r="B162" s="22" t="s">
        <v>13</v>
      </c>
      <c r="C162" s="18"/>
      <c r="D162" s="18"/>
      <c r="E162" s="18"/>
      <c r="F162" s="18"/>
      <c r="G162" s="18"/>
      <c r="H162" s="20" t="str">
        <f t="shared" si="29"/>
        <v>E</v>
      </c>
      <c r="I162" s="18">
        <f t="shared" si="30"/>
        <v>4</v>
      </c>
      <c r="J162" s="18"/>
      <c r="K162" s="18"/>
      <c r="L162" s="18"/>
      <c r="M162" s="18"/>
      <c r="N162" s="18"/>
      <c r="O162">
        <v>0</v>
      </c>
    </row>
    <row r="163" spans="1:15">
      <c r="A163" s="18">
        <f t="shared" si="32"/>
        <v>162</v>
      </c>
      <c r="B163" s="22" t="s">
        <v>14</v>
      </c>
      <c r="C163" s="18"/>
      <c r="D163" s="18"/>
      <c r="E163" s="18"/>
      <c r="F163" s="18"/>
      <c r="G163" s="18"/>
      <c r="H163" s="20" t="str">
        <f t="shared" si="29"/>
        <v>G</v>
      </c>
      <c r="I163" s="18">
        <f t="shared" si="30"/>
        <v>6</v>
      </c>
      <c r="J163" s="18"/>
      <c r="K163" s="18"/>
      <c r="L163" s="18"/>
      <c r="M163" s="18"/>
      <c r="N163" s="18"/>
      <c r="O163">
        <v>1</v>
      </c>
    </row>
    <row r="164" spans="1:15">
      <c r="A164" s="18">
        <f t="shared" si="32"/>
        <v>163</v>
      </c>
      <c r="B164" s="22" t="s">
        <v>15</v>
      </c>
      <c r="C164" s="18"/>
      <c r="D164" s="18"/>
      <c r="E164" s="18"/>
      <c r="F164" s="18"/>
      <c r="G164" s="18"/>
      <c r="H164" s="20" t="str">
        <f t="shared" si="29"/>
        <v>Q</v>
      </c>
      <c r="I164" s="18">
        <f t="shared" si="30"/>
        <v>16</v>
      </c>
      <c r="J164" s="18"/>
      <c r="K164" s="18"/>
      <c r="L164" s="18"/>
      <c r="M164" s="18"/>
      <c r="N164" s="18"/>
      <c r="O164">
        <v>0</v>
      </c>
    </row>
    <row r="165" spans="1:15">
      <c r="A165" s="18">
        <f t="shared" si="32"/>
        <v>164</v>
      </c>
      <c r="B165" s="22" t="s">
        <v>294</v>
      </c>
      <c r="C165" s="18" t="s">
        <v>16</v>
      </c>
      <c r="D165" s="18"/>
      <c r="E165" s="18">
        <v>164</v>
      </c>
      <c r="F165" s="18"/>
      <c r="G165" s="18"/>
      <c r="H165" s="20" t="str">
        <f t="shared" si="29"/>
        <v>?</v>
      </c>
      <c r="I165" s="18"/>
      <c r="J165" s="18"/>
      <c r="K165" s="18"/>
      <c r="L165" s="18"/>
      <c r="M165" s="18"/>
      <c r="N165" s="18"/>
      <c r="O165" s="18"/>
    </row>
    <row r="166" spans="1:15">
      <c r="I166" s="14">
        <f>AVERAGE(I2:I164)</f>
        <v>12.417177914110429</v>
      </c>
    </row>
    <row r="171" spans="1:15">
      <c r="A171" s="14" t="s">
        <v>223</v>
      </c>
      <c r="B171">
        <f>14-1+1</f>
        <v>14</v>
      </c>
    </row>
    <row r="172" spans="1:15">
      <c r="A172" s="14" t="s">
        <v>224</v>
      </c>
      <c r="B172">
        <f>88-14+1</f>
        <v>75</v>
      </c>
      <c r="H172" s="1">
        <f>B172/2</f>
        <v>37.5</v>
      </c>
    </row>
    <row r="173" spans="1:15">
      <c r="A173" s="14" t="s">
        <v>225</v>
      </c>
      <c r="B173">
        <v>75</v>
      </c>
    </row>
  </sheetData>
  <sheetCalcPr fullCalcOnLoad="1"/>
  <sortState ref="T3:X164">
    <sortCondition ref="X3:X164"/>
    <sortCondition ref="T3:T164"/>
  </sortState>
  <phoneticPr fontId="2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Z100"/>
  <sheetViews>
    <sheetView workbookViewId="0">
      <selection activeCell="AB78" sqref="AB78:AZ78"/>
    </sheetView>
  </sheetViews>
  <sheetFormatPr baseColWidth="10" defaultRowHeight="13"/>
  <cols>
    <col min="2" max="27" width="0" hidden="1" customWidth="1"/>
  </cols>
  <sheetData>
    <row r="1" spans="1:52">
      <c r="A1" t="s">
        <v>143</v>
      </c>
      <c r="B1" t="s">
        <v>144</v>
      </c>
      <c r="C1">
        <v>0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 t="str">
        <f>CHAR(C1+65)</f>
        <v>A</v>
      </c>
      <c r="AC1" t="str">
        <f t="shared" ref="AC1:AZ1" si="0">CHAR(D1+65)</f>
        <v>C</v>
      </c>
      <c r="AD1" t="str">
        <f t="shared" si="0"/>
        <v>D</v>
      </c>
      <c r="AE1" t="str">
        <f t="shared" si="0"/>
        <v>E</v>
      </c>
      <c r="AF1" t="str">
        <f t="shared" si="0"/>
        <v>F</v>
      </c>
      <c r="AG1" t="str">
        <f t="shared" si="0"/>
        <v>G</v>
      </c>
      <c r="AH1" t="str">
        <f t="shared" si="0"/>
        <v>H</v>
      </c>
      <c r="AI1" t="str">
        <f t="shared" si="0"/>
        <v>I</v>
      </c>
      <c r="AJ1" t="str">
        <f t="shared" si="0"/>
        <v>J</v>
      </c>
      <c r="AK1" t="str">
        <f t="shared" si="0"/>
        <v>K</v>
      </c>
      <c r="AL1" t="str">
        <f t="shared" si="0"/>
        <v>L</v>
      </c>
      <c r="AM1" t="str">
        <f t="shared" si="0"/>
        <v>M</v>
      </c>
      <c r="AN1" t="str">
        <f t="shared" si="0"/>
        <v>N</v>
      </c>
      <c r="AO1" t="str">
        <f t="shared" si="0"/>
        <v>O</v>
      </c>
      <c r="AP1" t="str">
        <f t="shared" si="0"/>
        <v>P</v>
      </c>
      <c r="AQ1" t="str">
        <f t="shared" si="0"/>
        <v>Q</v>
      </c>
      <c r="AR1" t="str">
        <f t="shared" si="0"/>
        <v>R</v>
      </c>
      <c r="AS1" t="str">
        <f t="shared" si="0"/>
        <v>S</v>
      </c>
      <c r="AT1" t="str">
        <f t="shared" si="0"/>
        <v>T</v>
      </c>
      <c r="AU1" t="str">
        <f t="shared" si="0"/>
        <v>U</v>
      </c>
      <c r="AV1" t="str">
        <f t="shared" si="0"/>
        <v>V</v>
      </c>
      <c r="AW1" t="str">
        <f t="shared" si="0"/>
        <v>W</v>
      </c>
      <c r="AX1" t="str">
        <f t="shared" si="0"/>
        <v>X</v>
      </c>
      <c r="AY1" t="str">
        <f t="shared" si="0"/>
        <v>Y</v>
      </c>
      <c r="AZ1" t="str">
        <f t="shared" si="0"/>
        <v>Z</v>
      </c>
    </row>
    <row r="2" spans="1:52">
      <c r="A2">
        <f>1</f>
        <v>1</v>
      </c>
      <c r="B2">
        <f>MOD(A2,20)</f>
        <v>1</v>
      </c>
      <c r="C2">
        <f>MOD(B2+C1,26)</f>
        <v>1</v>
      </c>
      <c r="D2">
        <f t="shared" ref="D2:AA2" si="1">MOD(C2+D1,26)</f>
        <v>3</v>
      </c>
      <c r="E2">
        <f t="shared" si="1"/>
        <v>6</v>
      </c>
      <c r="F2">
        <f t="shared" si="1"/>
        <v>10</v>
      </c>
      <c r="G2">
        <f t="shared" si="1"/>
        <v>15</v>
      </c>
      <c r="H2">
        <f t="shared" si="1"/>
        <v>21</v>
      </c>
      <c r="I2">
        <f t="shared" si="1"/>
        <v>2</v>
      </c>
      <c r="J2">
        <f t="shared" si="1"/>
        <v>10</v>
      </c>
      <c r="K2">
        <f t="shared" si="1"/>
        <v>19</v>
      </c>
      <c r="L2">
        <f t="shared" si="1"/>
        <v>3</v>
      </c>
      <c r="M2">
        <f t="shared" si="1"/>
        <v>14</v>
      </c>
      <c r="N2">
        <f t="shared" si="1"/>
        <v>0</v>
      </c>
      <c r="O2">
        <f t="shared" si="1"/>
        <v>13</v>
      </c>
      <c r="P2">
        <f t="shared" si="1"/>
        <v>1</v>
      </c>
      <c r="Q2">
        <f t="shared" si="1"/>
        <v>16</v>
      </c>
      <c r="R2">
        <f t="shared" si="1"/>
        <v>6</v>
      </c>
      <c r="S2">
        <f t="shared" si="1"/>
        <v>23</v>
      </c>
      <c r="T2">
        <f t="shared" si="1"/>
        <v>15</v>
      </c>
      <c r="U2">
        <f t="shared" si="1"/>
        <v>8</v>
      </c>
      <c r="V2">
        <f t="shared" si="1"/>
        <v>2</v>
      </c>
      <c r="W2">
        <f t="shared" si="1"/>
        <v>23</v>
      </c>
      <c r="X2">
        <f t="shared" si="1"/>
        <v>19</v>
      </c>
      <c r="Y2">
        <f t="shared" si="1"/>
        <v>16</v>
      </c>
      <c r="Z2">
        <f t="shared" si="1"/>
        <v>14</v>
      </c>
      <c r="AA2">
        <f t="shared" si="1"/>
        <v>13</v>
      </c>
      <c r="AB2" s="28">
        <f>AVERAGE(C2:C25)</f>
        <v>10.25</v>
      </c>
      <c r="AC2" s="28">
        <f t="shared" ref="AC2:AZ2" si="2">AVERAGE(D2:D25)</f>
        <v>11.833333333333334</v>
      </c>
      <c r="AD2" s="28">
        <f t="shared" si="2"/>
        <v>14.083333333333334</v>
      </c>
      <c r="AE2" s="28">
        <f t="shared" si="2"/>
        <v>12.333333333333334</v>
      </c>
      <c r="AF2" s="28">
        <f t="shared" si="2"/>
        <v>13.25</v>
      </c>
      <c r="AG2" s="28">
        <f t="shared" si="2"/>
        <v>12.875</v>
      </c>
      <c r="AH2" s="28">
        <f t="shared" si="2"/>
        <v>11.833333333333334</v>
      </c>
      <c r="AI2" s="28">
        <f t="shared" si="2"/>
        <v>8.8333333333333339</v>
      </c>
      <c r="AJ2" s="28">
        <f t="shared" si="2"/>
        <v>11.5</v>
      </c>
      <c r="AK2" s="28">
        <f t="shared" si="2"/>
        <v>6.041666666666667</v>
      </c>
      <c r="AL2" s="28">
        <f t="shared" si="2"/>
        <v>7.166666666666667</v>
      </c>
      <c r="AM2" s="28">
        <f t="shared" si="2"/>
        <v>7.125</v>
      </c>
      <c r="AN2" s="28">
        <f t="shared" si="2"/>
        <v>13.75</v>
      </c>
      <c r="AO2" s="28">
        <f t="shared" si="2"/>
        <v>8.7083333333333339</v>
      </c>
      <c r="AP2" s="28">
        <f t="shared" si="2"/>
        <v>12.333333333333334</v>
      </c>
      <c r="AQ2" s="28">
        <f t="shared" si="2"/>
        <v>13.541666666666666</v>
      </c>
      <c r="AR2" s="28">
        <f t="shared" si="2"/>
        <v>10.166666666666666</v>
      </c>
      <c r="AS2" s="28">
        <f t="shared" si="2"/>
        <v>11.625</v>
      </c>
      <c r="AT2" s="28">
        <f t="shared" si="2"/>
        <v>10.166666666666666</v>
      </c>
      <c r="AU2" s="28">
        <f t="shared" si="2"/>
        <v>8.0416666666666661</v>
      </c>
      <c r="AV2" s="28">
        <f t="shared" si="2"/>
        <v>12.083333333333334</v>
      </c>
      <c r="AW2" s="28">
        <f t="shared" si="2"/>
        <v>10.958333333333334</v>
      </c>
      <c r="AX2" s="28">
        <f t="shared" si="2"/>
        <v>7.666666666666667</v>
      </c>
      <c r="AY2" s="28">
        <f t="shared" si="2"/>
        <v>6.125</v>
      </c>
      <c r="AZ2" s="28">
        <f t="shared" si="2"/>
        <v>13</v>
      </c>
    </row>
    <row r="3" spans="1:52">
      <c r="A3">
        <f>1+A2</f>
        <v>2</v>
      </c>
      <c r="B3">
        <f t="shared" ref="B3:B66" si="3">MOD(A3,20)</f>
        <v>2</v>
      </c>
      <c r="C3">
        <f t="shared" ref="C3:C66" si="4">MOD(B3+C2,26)</f>
        <v>3</v>
      </c>
      <c r="D3">
        <f t="shared" ref="D3:D66" si="5">MOD(C3+D2,26)</f>
        <v>6</v>
      </c>
      <c r="E3">
        <f t="shared" ref="E3:E66" si="6">MOD(D3+E2,26)</f>
        <v>12</v>
      </c>
      <c r="F3">
        <f t="shared" ref="F3:F66" si="7">MOD(E3+F2,26)</f>
        <v>22</v>
      </c>
      <c r="G3">
        <f t="shared" ref="G3:G66" si="8">MOD(F3+G2,26)</f>
        <v>11</v>
      </c>
      <c r="H3">
        <f t="shared" ref="H3:H66" si="9">MOD(G3+H2,26)</f>
        <v>6</v>
      </c>
      <c r="I3">
        <f t="shared" ref="I3:I66" si="10">MOD(H3+I2,26)</f>
        <v>8</v>
      </c>
      <c r="J3">
        <f t="shared" ref="J3:J66" si="11">MOD(I3+J2,26)</f>
        <v>18</v>
      </c>
      <c r="K3">
        <f t="shared" ref="K3:K66" si="12">MOD(J3+K2,26)</f>
        <v>11</v>
      </c>
      <c r="L3">
        <f t="shared" ref="L3:L66" si="13">MOD(K3+L2,26)</f>
        <v>14</v>
      </c>
      <c r="M3">
        <f t="shared" ref="M3:M66" si="14">MOD(L3+M2,26)</f>
        <v>2</v>
      </c>
      <c r="N3">
        <f t="shared" ref="N3:N66" si="15">MOD(M3+N2,26)</f>
        <v>2</v>
      </c>
      <c r="O3">
        <f t="shared" ref="O3:O66" si="16">MOD(N3+O2,26)</f>
        <v>15</v>
      </c>
      <c r="P3">
        <f t="shared" ref="P3:P66" si="17">MOD(O3+P2,26)</f>
        <v>16</v>
      </c>
      <c r="Q3">
        <f t="shared" ref="Q3:Q66" si="18">MOD(P3+Q2,26)</f>
        <v>6</v>
      </c>
      <c r="R3">
        <f t="shared" ref="R3:R66" si="19">MOD(Q3+R2,26)</f>
        <v>12</v>
      </c>
      <c r="S3">
        <f t="shared" ref="S3:S66" si="20">MOD(R3+S2,26)</f>
        <v>9</v>
      </c>
      <c r="T3">
        <f t="shared" ref="T3:T66" si="21">MOD(S3+T2,26)</f>
        <v>24</v>
      </c>
      <c r="U3">
        <f t="shared" ref="U3:U66" si="22">MOD(T3+U2,26)</f>
        <v>6</v>
      </c>
      <c r="V3">
        <f t="shared" ref="V3:V66" si="23">MOD(U3+V2,26)</f>
        <v>8</v>
      </c>
      <c r="W3">
        <f t="shared" ref="W3:W66" si="24">MOD(V3+W2,26)</f>
        <v>5</v>
      </c>
      <c r="X3">
        <f t="shared" ref="X3:X66" si="25">MOD(W3+X2,26)</f>
        <v>24</v>
      </c>
      <c r="Y3">
        <f t="shared" ref="Y3:Y66" si="26">MOD(X3+Y2,26)</f>
        <v>14</v>
      </c>
      <c r="Z3">
        <f t="shared" ref="Z3:Z66" si="27">MOD(Y3+Z2,26)</f>
        <v>2</v>
      </c>
      <c r="AA3">
        <f t="shared" ref="AA3:AA66" si="28">MOD(Z3+AA2,26)</f>
        <v>15</v>
      </c>
      <c r="AB3" s="28">
        <f t="shared" ref="AB3:AB66" si="29">AVERAGE(C3:C26)</f>
        <v>11.166666666666666</v>
      </c>
      <c r="AC3" s="28">
        <f t="shared" ref="AC3:AC66" si="30">AVERAGE(D3:D26)</f>
        <v>12.166666666666666</v>
      </c>
      <c r="AD3" s="28">
        <f t="shared" ref="AD3:AD66" si="31">AVERAGE(E3:E26)</f>
        <v>14.333333333333334</v>
      </c>
      <c r="AE3" s="28">
        <f t="shared" ref="AE3:AE66" si="32">AVERAGE(F3:F26)</f>
        <v>12.583333333333334</v>
      </c>
      <c r="AF3" s="28">
        <f t="shared" ref="AF3:AF66" si="33">AVERAGE(G3:G26)</f>
        <v>12.833333333333334</v>
      </c>
      <c r="AG3" s="28">
        <f t="shared" ref="AG3:AG66" si="34">AVERAGE(H3:H26)</f>
        <v>12.708333333333334</v>
      </c>
      <c r="AH3" s="28">
        <f t="shared" ref="AH3:AH66" si="35">AVERAGE(I3:I26)</f>
        <v>12.625</v>
      </c>
      <c r="AI3" s="28">
        <f t="shared" ref="AI3:AI66" si="36">AVERAGE(J3:J26)</f>
        <v>8.4583333333333339</v>
      </c>
      <c r="AJ3" s="28">
        <f t="shared" ref="AJ3:AJ66" si="37">AVERAGE(K3:K26)</f>
        <v>11.291666666666666</v>
      </c>
      <c r="AK3" s="28">
        <f t="shared" ref="AK3:AK66" si="38">AVERAGE(L3:L26)</f>
        <v>6.5</v>
      </c>
      <c r="AL3" s="28">
        <f t="shared" ref="AL3:AL66" si="39">AVERAGE(M3:M26)</f>
        <v>7.166666666666667</v>
      </c>
      <c r="AM3" s="28">
        <f t="shared" ref="AM3:AM66" si="40">AVERAGE(N3:N26)</f>
        <v>7.791666666666667</v>
      </c>
      <c r="AN3" s="28">
        <f t="shared" ref="AN3:AN66" si="41">AVERAGE(O3:O26)</f>
        <v>13.958333333333334</v>
      </c>
      <c r="AO3" s="28">
        <f t="shared" ref="AO3:AO66" si="42">AVERAGE(P3:P26)</f>
        <v>9.6666666666666661</v>
      </c>
      <c r="AP3" s="28">
        <f t="shared" ref="AP3:AP66" si="43">AVERAGE(Q3:Q26)</f>
        <v>12.25</v>
      </c>
      <c r="AQ3" s="28">
        <f t="shared" ref="AQ3:AQ66" si="44">AVERAGE(R3:R26)</f>
        <v>13.875</v>
      </c>
      <c r="AR3" s="28">
        <f t="shared" ref="AR3:AR66" si="45">AVERAGE(S3:S26)</f>
        <v>9.9583333333333339</v>
      </c>
      <c r="AS3" s="28">
        <f t="shared" ref="AS3:AS66" si="46">AVERAGE(T3:T26)</f>
        <v>11.833333333333334</v>
      </c>
      <c r="AT3" s="28">
        <f t="shared" ref="AT3:AT66" si="47">AVERAGE(U3:U26)</f>
        <v>10.083333333333334</v>
      </c>
      <c r="AU3" s="28">
        <f t="shared" ref="AU3:AU66" si="48">AVERAGE(V3:V26)</f>
        <v>8.375</v>
      </c>
      <c r="AV3" s="28">
        <f t="shared" ref="AV3:AV66" si="49">AVERAGE(W3:W26)</f>
        <v>11.791666666666666</v>
      </c>
      <c r="AW3" s="28">
        <f t="shared" ref="AW3:AW66" si="50">AVERAGE(X3:X26)</f>
        <v>10.833333333333334</v>
      </c>
      <c r="AX3" s="28">
        <f t="shared" ref="AX3:AX66" si="51">AVERAGE(Y3:Y26)</f>
        <v>7.666666666666667</v>
      </c>
      <c r="AY3" s="28">
        <f t="shared" ref="AY3:AY66" si="52">AVERAGE(Z3:Z26)</f>
        <v>6.208333333333333</v>
      </c>
      <c r="AZ3" s="28">
        <f t="shared" ref="AZ3:AZ66" si="53">AVERAGE(AA3:AA26)</f>
        <v>12.708333333333334</v>
      </c>
    </row>
    <row r="4" spans="1:52">
      <c r="A4">
        <f t="shared" ref="A4:A67" si="54">1+A3</f>
        <v>3</v>
      </c>
      <c r="B4">
        <f t="shared" si="3"/>
        <v>3</v>
      </c>
      <c r="C4">
        <f t="shared" si="4"/>
        <v>6</v>
      </c>
      <c r="D4">
        <f t="shared" si="5"/>
        <v>12</v>
      </c>
      <c r="E4">
        <f t="shared" si="6"/>
        <v>24</v>
      </c>
      <c r="F4">
        <f t="shared" si="7"/>
        <v>20</v>
      </c>
      <c r="G4">
        <f t="shared" si="8"/>
        <v>5</v>
      </c>
      <c r="H4">
        <f t="shared" si="9"/>
        <v>11</v>
      </c>
      <c r="I4">
        <f t="shared" si="10"/>
        <v>19</v>
      </c>
      <c r="J4">
        <f t="shared" si="11"/>
        <v>11</v>
      </c>
      <c r="K4">
        <f t="shared" si="12"/>
        <v>22</v>
      </c>
      <c r="L4">
        <f t="shared" si="13"/>
        <v>10</v>
      </c>
      <c r="M4">
        <f t="shared" si="14"/>
        <v>12</v>
      </c>
      <c r="N4">
        <f t="shared" si="15"/>
        <v>14</v>
      </c>
      <c r="O4">
        <f t="shared" si="16"/>
        <v>3</v>
      </c>
      <c r="P4">
        <f t="shared" si="17"/>
        <v>19</v>
      </c>
      <c r="Q4">
        <f t="shared" si="18"/>
        <v>25</v>
      </c>
      <c r="R4">
        <f t="shared" si="19"/>
        <v>11</v>
      </c>
      <c r="S4">
        <f t="shared" si="20"/>
        <v>20</v>
      </c>
      <c r="T4">
        <f t="shared" si="21"/>
        <v>18</v>
      </c>
      <c r="U4">
        <f t="shared" si="22"/>
        <v>24</v>
      </c>
      <c r="V4">
        <f t="shared" si="23"/>
        <v>6</v>
      </c>
      <c r="W4">
        <f t="shared" si="24"/>
        <v>11</v>
      </c>
      <c r="X4">
        <f t="shared" si="25"/>
        <v>9</v>
      </c>
      <c r="Y4">
        <f t="shared" si="26"/>
        <v>23</v>
      </c>
      <c r="Z4">
        <f t="shared" si="27"/>
        <v>25</v>
      </c>
      <c r="AA4">
        <f t="shared" si="28"/>
        <v>14</v>
      </c>
      <c r="AB4" s="28">
        <f t="shared" si="29"/>
        <v>11.166666666666666</v>
      </c>
      <c r="AC4" s="28">
        <f t="shared" si="30"/>
        <v>12.5</v>
      </c>
      <c r="AD4" s="28">
        <f t="shared" si="31"/>
        <v>13.833333333333334</v>
      </c>
      <c r="AE4" s="28">
        <f t="shared" si="32"/>
        <v>12.333333333333334</v>
      </c>
      <c r="AF4" s="28">
        <f t="shared" si="33"/>
        <v>13.25</v>
      </c>
      <c r="AG4" s="28">
        <f t="shared" si="34"/>
        <v>12.958333333333334</v>
      </c>
      <c r="AH4" s="28">
        <f t="shared" si="35"/>
        <v>12.583333333333334</v>
      </c>
      <c r="AI4" s="28">
        <f t="shared" si="36"/>
        <v>8.0416666666666661</v>
      </c>
      <c r="AJ4" s="28">
        <f t="shared" si="37"/>
        <v>11.75</v>
      </c>
      <c r="AK4" s="28">
        <f t="shared" si="38"/>
        <v>6.333333333333333</v>
      </c>
      <c r="AL4" s="28">
        <f t="shared" si="39"/>
        <v>8.0833333333333339</v>
      </c>
      <c r="AM4" s="28">
        <f t="shared" si="40"/>
        <v>8.2916666666666661</v>
      </c>
      <c r="AN4" s="28">
        <f t="shared" si="41"/>
        <v>13.583333333333334</v>
      </c>
      <c r="AO4" s="28">
        <f t="shared" si="42"/>
        <v>9.1666666666666661</v>
      </c>
      <c r="AP4" s="28">
        <f t="shared" si="43"/>
        <v>12.75</v>
      </c>
      <c r="AQ4" s="28">
        <f t="shared" si="44"/>
        <v>13.625</v>
      </c>
      <c r="AR4" s="28">
        <f t="shared" si="45"/>
        <v>10.583333333333334</v>
      </c>
      <c r="AS4" s="28">
        <f t="shared" si="46"/>
        <v>11.583333333333334</v>
      </c>
      <c r="AT4" s="28">
        <f t="shared" si="47"/>
        <v>10.833333333333334</v>
      </c>
      <c r="AU4" s="28">
        <f t="shared" si="48"/>
        <v>8.375</v>
      </c>
      <c r="AV4" s="28">
        <f t="shared" si="49"/>
        <v>12.583333333333334</v>
      </c>
      <c r="AW4" s="28">
        <f t="shared" si="50"/>
        <v>10.416666666666666</v>
      </c>
      <c r="AX4" s="28">
        <f t="shared" si="51"/>
        <v>7.25</v>
      </c>
      <c r="AY4" s="28">
        <f t="shared" si="52"/>
        <v>6.958333333333333</v>
      </c>
      <c r="AZ4" s="28">
        <f t="shared" si="53"/>
        <v>12.083333333333334</v>
      </c>
    </row>
    <row r="5" spans="1:52">
      <c r="A5">
        <f t="shared" si="54"/>
        <v>4</v>
      </c>
      <c r="B5">
        <f t="shared" si="3"/>
        <v>4</v>
      </c>
      <c r="C5">
        <f t="shared" si="4"/>
        <v>10</v>
      </c>
      <c r="D5">
        <f t="shared" si="5"/>
        <v>22</v>
      </c>
      <c r="E5">
        <f t="shared" si="6"/>
        <v>20</v>
      </c>
      <c r="F5">
        <f t="shared" si="7"/>
        <v>14</v>
      </c>
      <c r="G5">
        <f t="shared" si="8"/>
        <v>19</v>
      </c>
      <c r="H5">
        <f t="shared" si="9"/>
        <v>4</v>
      </c>
      <c r="I5">
        <f t="shared" si="10"/>
        <v>23</v>
      </c>
      <c r="J5">
        <f t="shared" si="11"/>
        <v>8</v>
      </c>
      <c r="K5">
        <f t="shared" si="12"/>
        <v>4</v>
      </c>
      <c r="L5">
        <f t="shared" si="13"/>
        <v>14</v>
      </c>
      <c r="M5">
        <f t="shared" si="14"/>
        <v>0</v>
      </c>
      <c r="N5">
        <f t="shared" si="15"/>
        <v>14</v>
      </c>
      <c r="O5">
        <f t="shared" si="16"/>
        <v>17</v>
      </c>
      <c r="P5">
        <f t="shared" si="17"/>
        <v>10</v>
      </c>
      <c r="Q5">
        <f t="shared" si="18"/>
        <v>9</v>
      </c>
      <c r="R5">
        <f t="shared" si="19"/>
        <v>20</v>
      </c>
      <c r="S5">
        <f t="shared" si="20"/>
        <v>14</v>
      </c>
      <c r="T5">
        <f t="shared" si="21"/>
        <v>6</v>
      </c>
      <c r="U5">
        <f t="shared" si="22"/>
        <v>4</v>
      </c>
      <c r="V5">
        <f t="shared" si="23"/>
        <v>10</v>
      </c>
      <c r="W5">
        <f t="shared" si="24"/>
        <v>21</v>
      </c>
      <c r="X5">
        <f t="shared" si="25"/>
        <v>4</v>
      </c>
      <c r="Y5">
        <f t="shared" si="26"/>
        <v>1</v>
      </c>
      <c r="Z5">
        <f t="shared" si="27"/>
        <v>0</v>
      </c>
      <c r="AA5">
        <f t="shared" si="28"/>
        <v>14</v>
      </c>
      <c r="AB5" s="28">
        <f t="shared" si="29"/>
        <v>11.333333333333334</v>
      </c>
      <c r="AC5" s="28">
        <f t="shared" si="30"/>
        <v>13</v>
      </c>
      <c r="AD5" s="28">
        <f t="shared" si="31"/>
        <v>13.833333333333334</v>
      </c>
      <c r="AE5" s="28">
        <f t="shared" si="32"/>
        <v>12.083333333333334</v>
      </c>
      <c r="AF5" s="28">
        <f t="shared" si="33"/>
        <v>13.416666666666666</v>
      </c>
      <c r="AG5" s="28">
        <f t="shared" si="34"/>
        <v>13.375</v>
      </c>
      <c r="AH5" s="28">
        <f t="shared" si="35"/>
        <v>11.875</v>
      </c>
      <c r="AI5" s="28">
        <f t="shared" si="36"/>
        <v>8</v>
      </c>
      <c r="AJ5" s="28">
        <f t="shared" si="37"/>
        <v>11.083333333333334</v>
      </c>
      <c r="AK5" s="28">
        <f t="shared" si="38"/>
        <v>6.583333333333333</v>
      </c>
      <c r="AL5" s="28">
        <f t="shared" si="39"/>
        <v>8.1666666666666661</v>
      </c>
      <c r="AM5" s="28">
        <f t="shared" si="40"/>
        <v>7.791666666666667</v>
      </c>
      <c r="AN5" s="28">
        <f t="shared" si="41"/>
        <v>13.791666666666666</v>
      </c>
      <c r="AO5" s="28">
        <f t="shared" si="42"/>
        <v>8.875</v>
      </c>
      <c r="AP5" s="28">
        <f t="shared" si="43"/>
        <v>11.875</v>
      </c>
      <c r="AQ5" s="28">
        <f t="shared" si="44"/>
        <v>13.583333333333334</v>
      </c>
      <c r="AR5" s="28">
        <f t="shared" si="45"/>
        <v>10.083333333333334</v>
      </c>
      <c r="AS5" s="28">
        <f t="shared" si="46"/>
        <v>10.833333333333334</v>
      </c>
      <c r="AT5" s="28">
        <f t="shared" si="47"/>
        <v>10.833333333333334</v>
      </c>
      <c r="AU5" s="28">
        <f t="shared" si="48"/>
        <v>8.375</v>
      </c>
      <c r="AV5" s="28">
        <f t="shared" si="49"/>
        <v>12.291666666666666</v>
      </c>
      <c r="AW5" s="28">
        <f t="shared" si="50"/>
        <v>10.791666666666666</v>
      </c>
      <c r="AX5" s="28">
        <f t="shared" si="51"/>
        <v>7.208333333333333</v>
      </c>
      <c r="AY5" s="28">
        <f t="shared" si="52"/>
        <v>6.583333333333333</v>
      </c>
      <c r="AZ5" s="28">
        <f t="shared" si="53"/>
        <v>12.166666666666666</v>
      </c>
    </row>
    <row r="6" spans="1:52">
      <c r="A6">
        <f t="shared" si="54"/>
        <v>5</v>
      </c>
      <c r="B6">
        <f t="shared" si="3"/>
        <v>5</v>
      </c>
      <c r="C6">
        <f t="shared" si="4"/>
        <v>15</v>
      </c>
      <c r="D6">
        <f t="shared" si="5"/>
        <v>11</v>
      </c>
      <c r="E6">
        <f t="shared" si="6"/>
        <v>5</v>
      </c>
      <c r="F6">
        <f t="shared" si="7"/>
        <v>19</v>
      </c>
      <c r="G6">
        <f t="shared" si="8"/>
        <v>12</v>
      </c>
      <c r="H6">
        <f t="shared" si="9"/>
        <v>16</v>
      </c>
      <c r="I6">
        <f t="shared" si="10"/>
        <v>13</v>
      </c>
      <c r="J6">
        <f t="shared" si="11"/>
        <v>21</v>
      </c>
      <c r="K6">
        <f t="shared" si="12"/>
        <v>25</v>
      </c>
      <c r="L6">
        <f t="shared" si="13"/>
        <v>13</v>
      </c>
      <c r="M6">
        <f t="shared" si="14"/>
        <v>13</v>
      </c>
      <c r="N6">
        <f t="shared" si="15"/>
        <v>1</v>
      </c>
      <c r="O6">
        <f t="shared" si="16"/>
        <v>18</v>
      </c>
      <c r="P6">
        <f t="shared" si="17"/>
        <v>2</v>
      </c>
      <c r="Q6">
        <f t="shared" si="18"/>
        <v>11</v>
      </c>
      <c r="R6">
        <f t="shared" si="19"/>
        <v>5</v>
      </c>
      <c r="S6">
        <f t="shared" si="20"/>
        <v>19</v>
      </c>
      <c r="T6">
        <f t="shared" si="21"/>
        <v>25</v>
      </c>
      <c r="U6">
        <f t="shared" si="22"/>
        <v>3</v>
      </c>
      <c r="V6">
        <f t="shared" si="23"/>
        <v>13</v>
      </c>
      <c r="W6">
        <f t="shared" si="24"/>
        <v>8</v>
      </c>
      <c r="X6">
        <f t="shared" si="25"/>
        <v>12</v>
      </c>
      <c r="Y6">
        <f t="shared" si="26"/>
        <v>13</v>
      </c>
      <c r="Z6">
        <f t="shared" si="27"/>
        <v>13</v>
      </c>
      <c r="AA6">
        <f t="shared" si="28"/>
        <v>1</v>
      </c>
      <c r="AB6" s="28">
        <f t="shared" si="29"/>
        <v>11.666666666666666</v>
      </c>
      <c r="AC6" s="28">
        <f t="shared" si="30"/>
        <v>12.75</v>
      </c>
      <c r="AD6" s="28">
        <f t="shared" si="31"/>
        <v>13.583333333333334</v>
      </c>
      <c r="AE6" s="28">
        <f t="shared" si="32"/>
        <v>11.583333333333334</v>
      </c>
      <c r="AF6" s="28">
        <f t="shared" si="33"/>
        <v>13.083333333333334</v>
      </c>
      <c r="AG6" s="28">
        <f t="shared" si="34"/>
        <v>13.458333333333334</v>
      </c>
      <c r="AH6" s="28">
        <f t="shared" si="35"/>
        <v>11.25</v>
      </c>
      <c r="AI6" s="28">
        <f t="shared" si="36"/>
        <v>8.4166666666666661</v>
      </c>
      <c r="AJ6" s="28">
        <f t="shared" si="37"/>
        <v>11.916666666666666</v>
      </c>
      <c r="AK6" s="28">
        <f t="shared" si="38"/>
        <v>6.583333333333333</v>
      </c>
      <c r="AL6" s="28">
        <f t="shared" si="39"/>
        <v>8.25</v>
      </c>
      <c r="AM6" s="28">
        <f t="shared" si="40"/>
        <v>7.375</v>
      </c>
      <c r="AN6" s="28">
        <f t="shared" si="41"/>
        <v>13.583333333333334</v>
      </c>
      <c r="AO6" s="28">
        <f t="shared" si="42"/>
        <v>9.4583333333333339</v>
      </c>
      <c r="AP6" s="28">
        <f t="shared" si="43"/>
        <v>11.583333333333334</v>
      </c>
      <c r="AQ6" s="28">
        <f t="shared" si="44"/>
        <v>13.25</v>
      </c>
      <c r="AR6" s="28">
        <f t="shared" si="45"/>
        <v>10.333333333333334</v>
      </c>
      <c r="AS6" s="28">
        <f t="shared" si="46"/>
        <v>11.416666666666666</v>
      </c>
      <c r="AT6" s="28">
        <f t="shared" si="47"/>
        <v>11.416666666666666</v>
      </c>
      <c r="AU6" s="28">
        <f t="shared" si="48"/>
        <v>8.9583333333333339</v>
      </c>
      <c r="AV6" s="28">
        <f t="shared" si="49"/>
        <v>11.5</v>
      </c>
      <c r="AW6" s="28">
        <f t="shared" si="50"/>
        <v>11.458333333333334</v>
      </c>
      <c r="AX6" s="28">
        <f t="shared" si="51"/>
        <v>7.833333333333333</v>
      </c>
      <c r="AY6" s="28">
        <f t="shared" si="52"/>
        <v>6.833333333333333</v>
      </c>
      <c r="AZ6" s="28">
        <f t="shared" si="53"/>
        <v>12.5</v>
      </c>
    </row>
    <row r="7" spans="1:52">
      <c r="A7">
        <f t="shared" si="54"/>
        <v>6</v>
      </c>
      <c r="B7">
        <f t="shared" si="3"/>
        <v>6</v>
      </c>
      <c r="C7">
        <f t="shared" si="4"/>
        <v>21</v>
      </c>
      <c r="D7">
        <f t="shared" si="5"/>
        <v>6</v>
      </c>
      <c r="E7">
        <f t="shared" si="6"/>
        <v>11</v>
      </c>
      <c r="F7">
        <f t="shared" si="7"/>
        <v>4</v>
      </c>
      <c r="G7">
        <f t="shared" si="8"/>
        <v>16</v>
      </c>
      <c r="H7">
        <f t="shared" si="9"/>
        <v>6</v>
      </c>
      <c r="I7">
        <f t="shared" si="10"/>
        <v>19</v>
      </c>
      <c r="J7">
        <f t="shared" si="11"/>
        <v>14</v>
      </c>
      <c r="K7">
        <f t="shared" si="12"/>
        <v>13</v>
      </c>
      <c r="L7">
        <f t="shared" si="13"/>
        <v>0</v>
      </c>
      <c r="M7">
        <f t="shared" si="14"/>
        <v>13</v>
      </c>
      <c r="N7">
        <f t="shared" si="15"/>
        <v>14</v>
      </c>
      <c r="O7">
        <f t="shared" si="16"/>
        <v>6</v>
      </c>
      <c r="P7">
        <f t="shared" si="17"/>
        <v>8</v>
      </c>
      <c r="Q7">
        <f t="shared" si="18"/>
        <v>19</v>
      </c>
      <c r="R7">
        <f t="shared" si="19"/>
        <v>24</v>
      </c>
      <c r="S7">
        <f t="shared" si="20"/>
        <v>17</v>
      </c>
      <c r="T7">
        <f t="shared" si="21"/>
        <v>16</v>
      </c>
      <c r="U7">
        <f t="shared" si="22"/>
        <v>19</v>
      </c>
      <c r="V7">
        <f t="shared" si="23"/>
        <v>6</v>
      </c>
      <c r="W7">
        <f t="shared" si="24"/>
        <v>14</v>
      </c>
      <c r="X7">
        <f t="shared" si="25"/>
        <v>0</v>
      </c>
      <c r="Y7">
        <f t="shared" si="26"/>
        <v>13</v>
      </c>
      <c r="Z7">
        <f t="shared" si="27"/>
        <v>0</v>
      </c>
      <c r="AA7">
        <f t="shared" si="28"/>
        <v>1</v>
      </c>
      <c r="AB7" s="28">
        <f t="shared" si="29"/>
        <v>11.083333333333334</v>
      </c>
      <c r="AC7" s="28">
        <f t="shared" si="30"/>
        <v>13</v>
      </c>
      <c r="AD7" s="28">
        <f t="shared" si="31"/>
        <v>13.583333333333334</v>
      </c>
      <c r="AE7" s="28">
        <f t="shared" si="32"/>
        <v>11.083333333333334</v>
      </c>
      <c r="AF7" s="28">
        <f t="shared" si="33"/>
        <v>13.333333333333334</v>
      </c>
      <c r="AG7" s="28">
        <f t="shared" si="34"/>
        <v>13.791666666666666</v>
      </c>
      <c r="AH7" s="28">
        <f t="shared" si="35"/>
        <v>10.958333333333334</v>
      </c>
      <c r="AI7" s="28">
        <f t="shared" si="36"/>
        <v>8.5416666666666661</v>
      </c>
      <c r="AJ7" s="28">
        <f t="shared" si="37"/>
        <v>11.791666666666666</v>
      </c>
      <c r="AK7" s="28">
        <f t="shared" si="38"/>
        <v>6.458333333333333</v>
      </c>
      <c r="AL7" s="28">
        <f t="shared" si="39"/>
        <v>8.2083333333333339</v>
      </c>
      <c r="AM7" s="28">
        <f t="shared" si="40"/>
        <v>8</v>
      </c>
      <c r="AN7" s="28">
        <f t="shared" si="41"/>
        <v>12.916666666666666</v>
      </c>
      <c r="AO7" s="28">
        <f t="shared" si="42"/>
        <v>9.375</v>
      </c>
      <c r="AP7" s="28">
        <f t="shared" si="43"/>
        <v>11.208333333333334</v>
      </c>
      <c r="AQ7" s="28">
        <f t="shared" si="44"/>
        <v>13.625</v>
      </c>
      <c r="AR7" s="28">
        <f t="shared" si="45"/>
        <v>9.875</v>
      </c>
      <c r="AS7" s="28">
        <f t="shared" si="46"/>
        <v>10.458333333333334</v>
      </c>
      <c r="AT7" s="28">
        <f t="shared" si="47"/>
        <v>12.125</v>
      </c>
      <c r="AU7" s="28">
        <f t="shared" si="48"/>
        <v>9.1666666666666661</v>
      </c>
      <c r="AV7" s="28">
        <f t="shared" si="49"/>
        <v>12</v>
      </c>
      <c r="AW7" s="28">
        <f t="shared" si="50"/>
        <v>11.541666666666666</v>
      </c>
      <c r="AX7" s="28">
        <f t="shared" si="51"/>
        <v>7.458333333333333</v>
      </c>
      <c r="AY7" s="28">
        <f t="shared" si="52"/>
        <v>6.708333333333333</v>
      </c>
      <c r="AZ7" s="28">
        <f t="shared" si="53"/>
        <v>12.708333333333334</v>
      </c>
    </row>
    <row r="8" spans="1:52">
      <c r="A8">
        <f t="shared" si="54"/>
        <v>7</v>
      </c>
      <c r="B8">
        <f t="shared" si="3"/>
        <v>7</v>
      </c>
      <c r="C8">
        <f t="shared" si="4"/>
        <v>2</v>
      </c>
      <c r="D8">
        <f t="shared" si="5"/>
        <v>8</v>
      </c>
      <c r="E8">
        <f t="shared" si="6"/>
        <v>19</v>
      </c>
      <c r="F8">
        <f t="shared" si="7"/>
        <v>23</v>
      </c>
      <c r="G8">
        <f t="shared" si="8"/>
        <v>13</v>
      </c>
      <c r="H8">
        <f t="shared" si="9"/>
        <v>19</v>
      </c>
      <c r="I8">
        <f t="shared" si="10"/>
        <v>12</v>
      </c>
      <c r="J8">
        <f t="shared" si="11"/>
        <v>0</v>
      </c>
      <c r="K8">
        <f t="shared" si="12"/>
        <v>13</v>
      </c>
      <c r="L8">
        <f t="shared" si="13"/>
        <v>13</v>
      </c>
      <c r="M8">
        <f t="shared" si="14"/>
        <v>0</v>
      </c>
      <c r="N8">
        <f t="shared" si="15"/>
        <v>14</v>
      </c>
      <c r="O8">
        <f t="shared" si="16"/>
        <v>20</v>
      </c>
      <c r="P8">
        <f t="shared" si="17"/>
        <v>2</v>
      </c>
      <c r="Q8">
        <f t="shared" si="18"/>
        <v>21</v>
      </c>
      <c r="R8">
        <f t="shared" si="19"/>
        <v>19</v>
      </c>
      <c r="S8">
        <f t="shared" si="20"/>
        <v>10</v>
      </c>
      <c r="T8">
        <f t="shared" si="21"/>
        <v>0</v>
      </c>
      <c r="U8">
        <f t="shared" si="22"/>
        <v>19</v>
      </c>
      <c r="V8">
        <f t="shared" si="23"/>
        <v>25</v>
      </c>
      <c r="W8">
        <f t="shared" si="24"/>
        <v>13</v>
      </c>
      <c r="X8">
        <f t="shared" si="25"/>
        <v>13</v>
      </c>
      <c r="Y8">
        <f t="shared" si="26"/>
        <v>0</v>
      </c>
      <c r="Z8">
        <f t="shared" si="27"/>
        <v>0</v>
      </c>
      <c r="AA8">
        <f t="shared" si="28"/>
        <v>1</v>
      </c>
      <c r="AB8" s="28">
        <f t="shared" si="29"/>
        <v>10.666666666666666</v>
      </c>
      <c r="AC8" s="28">
        <f t="shared" si="30"/>
        <v>12.833333333333334</v>
      </c>
      <c r="AD8" s="28">
        <f t="shared" si="31"/>
        <v>13.416666666666666</v>
      </c>
      <c r="AE8" s="28">
        <f t="shared" si="32"/>
        <v>11.5</v>
      </c>
      <c r="AF8" s="28">
        <f t="shared" si="33"/>
        <v>12.916666666666666</v>
      </c>
      <c r="AG8" s="28">
        <f t="shared" si="34"/>
        <v>13.708333333333334</v>
      </c>
      <c r="AH8" s="28">
        <f t="shared" si="35"/>
        <v>10.583333333333334</v>
      </c>
      <c r="AI8" s="28">
        <f t="shared" si="36"/>
        <v>8.2916666666666661</v>
      </c>
      <c r="AJ8" s="28">
        <f t="shared" si="37"/>
        <v>11.416666666666666</v>
      </c>
      <c r="AK8" s="28">
        <f t="shared" si="38"/>
        <v>7.041666666666667</v>
      </c>
      <c r="AL8" s="28">
        <f t="shared" si="39"/>
        <v>7.666666666666667</v>
      </c>
      <c r="AM8" s="28">
        <f t="shared" si="40"/>
        <v>8.0833333333333339</v>
      </c>
      <c r="AN8" s="28">
        <f t="shared" si="41"/>
        <v>13.416666666666666</v>
      </c>
      <c r="AO8" s="28">
        <f t="shared" si="42"/>
        <v>9.7916666666666661</v>
      </c>
      <c r="AP8" s="28">
        <f t="shared" si="43"/>
        <v>11.25</v>
      </c>
      <c r="AQ8" s="28">
        <f t="shared" si="44"/>
        <v>12.958333333333334</v>
      </c>
      <c r="AR8" s="28">
        <f t="shared" si="45"/>
        <v>9.8333333333333339</v>
      </c>
      <c r="AS8" s="28">
        <f t="shared" si="46"/>
        <v>10.541666666666666</v>
      </c>
      <c r="AT8" s="28">
        <f t="shared" si="47"/>
        <v>11.833333333333334</v>
      </c>
      <c r="AU8" s="28">
        <f t="shared" si="48"/>
        <v>9.0833333333333339</v>
      </c>
      <c r="AV8" s="28">
        <f t="shared" si="49"/>
        <v>12.416666666666666</v>
      </c>
      <c r="AW8" s="28">
        <f t="shared" si="50"/>
        <v>12.041666666666666</v>
      </c>
      <c r="AX8" s="28">
        <f t="shared" si="51"/>
        <v>7.583333333333333</v>
      </c>
      <c r="AY8" s="28">
        <f t="shared" si="52"/>
        <v>6.708333333333333</v>
      </c>
      <c r="AZ8" s="28">
        <f t="shared" si="53"/>
        <v>12.916666666666666</v>
      </c>
    </row>
    <row r="9" spans="1:52">
      <c r="A9">
        <f t="shared" si="54"/>
        <v>8</v>
      </c>
      <c r="B9">
        <f t="shared" si="3"/>
        <v>8</v>
      </c>
      <c r="C9">
        <f t="shared" si="4"/>
        <v>10</v>
      </c>
      <c r="D9">
        <f t="shared" si="5"/>
        <v>18</v>
      </c>
      <c r="E9">
        <f t="shared" si="6"/>
        <v>11</v>
      </c>
      <c r="F9">
        <f t="shared" si="7"/>
        <v>8</v>
      </c>
      <c r="G9">
        <f t="shared" si="8"/>
        <v>21</v>
      </c>
      <c r="H9">
        <f t="shared" si="9"/>
        <v>14</v>
      </c>
      <c r="I9">
        <f t="shared" si="10"/>
        <v>0</v>
      </c>
      <c r="J9">
        <f t="shared" si="11"/>
        <v>0</v>
      </c>
      <c r="K9">
        <f t="shared" si="12"/>
        <v>13</v>
      </c>
      <c r="L9">
        <f t="shared" si="13"/>
        <v>0</v>
      </c>
      <c r="M9">
        <f t="shared" si="14"/>
        <v>0</v>
      </c>
      <c r="N9">
        <f t="shared" si="15"/>
        <v>14</v>
      </c>
      <c r="O9">
        <f t="shared" si="16"/>
        <v>8</v>
      </c>
      <c r="P9">
        <f t="shared" si="17"/>
        <v>10</v>
      </c>
      <c r="Q9">
        <f t="shared" si="18"/>
        <v>5</v>
      </c>
      <c r="R9">
        <f t="shared" si="19"/>
        <v>24</v>
      </c>
      <c r="S9">
        <f t="shared" si="20"/>
        <v>8</v>
      </c>
      <c r="T9">
        <f t="shared" si="21"/>
        <v>8</v>
      </c>
      <c r="U9">
        <f t="shared" si="22"/>
        <v>1</v>
      </c>
      <c r="V9">
        <f t="shared" si="23"/>
        <v>0</v>
      </c>
      <c r="W9">
        <f t="shared" si="24"/>
        <v>13</v>
      </c>
      <c r="X9">
        <f t="shared" si="25"/>
        <v>0</v>
      </c>
      <c r="Y9">
        <f t="shared" si="26"/>
        <v>0</v>
      </c>
      <c r="Z9">
        <f t="shared" si="27"/>
        <v>0</v>
      </c>
      <c r="AA9">
        <f t="shared" si="28"/>
        <v>1</v>
      </c>
      <c r="AB9" s="28">
        <f t="shared" si="29"/>
        <v>11.5</v>
      </c>
      <c r="AC9" s="28">
        <f t="shared" si="30"/>
        <v>13.5</v>
      </c>
      <c r="AD9" s="28">
        <f t="shared" si="31"/>
        <v>12.833333333333334</v>
      </c>
      <c r="AE9" s="28">
        <f t="shared" si="32"/>
        <v>11.333333333333334</v>
      </c>
      <c r="AF9" s="28">
        <f t="shared" si="33"/>
        <v>13.416666666666666</v>
      </c>
      <c r="AG9" s="28">
        <f t="shared" si="34"/>
        <v>13.041666666666666</v>
      </c>
      <c r="AH9" s="28">
        <f t="shared" si="35"/>
        <v>10.625</v>
      </c>
      <c r="AI9" s="28">
        <f t="shared" si="36"/>
        <v>9.1666666666666661</v>
      </c>
      <c r="AJ9" s="28">
        <f t="shared" si="37"/>
        <v>11.916666666666666</v>
      </c>
      <c r="AK9" s="28">
        <f t="shared" si="38"/>
        <v>7.041666666666667</v>
      </c>
      <c r="AL9" s="28">
        <f t="shared" si="39"/>
        <v>8.2083333333333339</v>
      </c>
      <c r="AM9" s="28">
        <f t="shared" si="40"/>
        <v>7.625</v>
      </c>
      <c r="AN9" s="28">
        <f t="shared" si="41"/>
        <v>13.458333333333334</v>
      </c>
      <c r="AO9" s="28">
        <f t="shared" si="42"/>
        <v>10.25</v>
      </c>
      <c r="AP9" s="28">
        <f t="shared" si="43"/>
        <v>10.666666666666666</v>
      </c>
      <c r="AQ9" s="28">
        <f t="shared" si="44"/>
        <v>12.791666666666666</v>
      </c>
      <c r="AR9" s="28">
        <f t="shared" si="45"/>
        <v>9.625</v>
      </c>
      <c r="AS9" s="28">
        <f t="shared" si="46"/>
        <v>11.5</v>
      </c>
      <c r="AT9" s="28">
        <f t="shared" si="47"/>
        <v>11.416666666666666</v>
      </c>
      <c r="AU9" s="28">
        <f t="shared" si="48"/>
        <v>8.5833333333333339</v>
      </c>
      <c r="AV9" s="28">
        <f t="shared" si="49"/>
        <v>12.333333333333334</v>
      </c>
      <c r="AW9" s="28">
        <f t="shared" si="50"/>
        <v>12.458333333333334</v>
      </c>
      <c r="AX9" s="28">
        <f t="shared" si="51"/>
        <v>8.125</v>
      </c>
      <c r="AY9" s="28">
        <f t="shared" si="52"/>
        <v>7.25</v>
      </c>
      <c r="AZ9" s="28">
        <f t="shared" si="53"/>
        <v>13.666666666666666</v>
      </c>
    </row>
    <row r="10" spans="1:52">
      <c r="A10">
        <f t="shared" si="54"/>
        <v>9</v>
      </c>
      <c r="B10">
        <f t="shared" si="3"/>
        <v>9</v>
      </c>
      <c r="C10">
        <f t="shared" si="4"/>
        <v>19</v>
      </c>
      <c r="D10">
        <f t="shared" si="5"/>
        <v>11</v>
      </c>
      <c r="E10">
        <f t="shared" si="6"/>
        <v>22</v>
      </c>
      <c r="F10">
        <f t="shared" si="7"/>
        <v>4</v>
      </c>
      <c r="G10">
        <f t="shared" si="8"/>
        <v>25</v>
      </c>
      <c r="H10">
        <f t="shared" si="9"/>
        <v>13</v>
      </c>
      <c r="I10">
        <f t="shared" si="10"/>
        <v>13</v>
      </c>
      <c r="J10">
        <f t="shared" si="11"/>
        <v>13</v>
      </c>
      <c r="K10">
        <f t="shared" si="12"/>
        <v>0</v>
      </c>
      <c r="L10">
        <f t="shared" si="13"/>
        <v>0</v>
      </c>
      <c r="M10">
        <f t="shared" si="14"/>
        <v>0</v>
      </c>
      <c r="N10">
        <f t="shared" si="15"/>
        <v>14</v>
      </c>
      <c r="O10">
        <f t="shared" si="16"/>
        <v>22</v>
      </c>
      <c r="P10">
        <f t="shared" si="17"/>
        <v>6</v>
      </c>
      <c r="Q10">
        <f t="shared" si="18"/>
        <v>11</v>
      </c>
      <c r="R10">
        <f t="shared" si="19"/>
        <v>9</v>
      </c>
      <c r="S10">
        <f t="shared" si="20"/>
        <v>17</v>
      </c>
      <c r="T10">
        <f t="shared" si="21"/>
        <v>25</v>
      </c>
      <c r="U10">
        <f t="shared" si="22"/>
        <v>0</v>
      </c>
      <c r="V10">
        <f t="shared" si="23"/>
        <v>0</v>
      </c>
      <c r="W10">
        <f t="shared" si="24"/>
        <v>13</v>
      </c>
      <c r="X10">
        <f t="shared" si="25"/>
        <v>13</v>
      </c>
      <c r="Y10">
        <f t="shared" si="26"/>
        <v>13</v>
      </c>
      <c r="Z10">
        <f t="shared" si="27"/>
        <v>13</v>
      </c>
      <c r="AA10">
        <f t="shared" si="28"/>
        <v>14</v>
      </c>
      <c r="AB10" s="28">
        <f t="shared" si="29"/>
        <v>11.416666666666666</v>
      </c>
      <c r="AC10" s="28">
        <f t="shared" si="30"/>
        <v>13</v>
      </c>
      <c r="AD10" s="28">
        <f t="shared" si="31"/>
        <v>12.833333333333334</v>
      </c>
      <c r="AE10" s="28">
        <f t="shared" si="32"/>
        <v>11.166666666666666</v>
      </c>
      <c r="AF10" s="28">
        <f t="shared" si="33"/>
        <v>12.666666666666666</v>
      </c>
      <c r="AG10" s="28">
        <f t="shared" si="34"/>
        <v>12.708333333333334</v>
      </c>
      <c r="AH10" s="28">
        <f t="shared" si="35"/>
        <v>11.416666666666666</v>
      </c>
      <c r="AI10" s="28">
        <f t="shared" si="36"/>
        <v>9.75</v>
      </c>
      <c r="AJ10" s="28">
        <f t="shared" si="37"/>
        <v>11.916666666666666</v>
      </c>
      <c r="AK10" s="28">
        <f t="shared" si="38"/>
        <v>7.041666666666667</v>
      </c>
      <c r="AL10" s="28">
        <f t="shared" si="39"/>
        <v>8.75</v>
      </c>
      <c r="AM10" s="28">
        <f t="shared" si="40"/>
        <v>7.708333333333333</v>
      </c>
      <c r="AN10" s="28">
        <f t="shared" si="41"/>
        <v>13.583333333333334</v>
      </c>
      <c r="AO10" s="28">
        <f t="shared" si="42"/>
        <v>10.833333333333334</v>
      </c>
      <c r="AP10" s="28">
        <f t="shared" si="43"/>
        <v>10.666666666666666</v>
      </c>
      <c r="AQ10" s="28">
        <f t="shared" si="44"/>
        <v>12.625</v>
      </c>
      <c r="AR10" s="28">
        <f t="shared" si="45"/>
        <v>10.333333333333334</v>
      </c>
      <c r="AS10" s="28">
        <f t="shared" si="46"/>
        <v>12.083333333333334</v>
      </c>
      <c r="AT10" s="28">
        <f t="shared" si="47"/>
        <v>11.583333333333334</v>
      </c>
      <c r="AU10" s="28">
        <f t="shared" si="48"/>
        <v>9.3333333333333339</v>
      </c>
      <c r="AV10" s="28">
        <f t="shared" si="49"/>
        <v>11.916666666666666</v>
      </c>
      <c r="AW10" s="28">
        <f t="shared" si="50"/>
        <v>12.458333333333334</v>
      </c>
      <c r="AX10" s="28">
        <f t="shared" si="51"/>
        <v>8.6666666666666661</v>
      </c>
      <c r="AY10" s="28">
        <f t="shared" si="52"/>
        <v>7.25</v>
      </c>
      <c r="AZ10" s="28">
        <f t="shared" si="53"/>
        <v>14.416666666666666</v>
      </c>
    </row>
    <row r="11" spans="1:52">
      <c r="A11">
        <f t="shared" si="54"/>
        <v>10</v>
      </c>
      <c r="B11">
        <f t="shared" si="3"/>
        <v>10</v>
      </c>
      <c r="C11">
        <f t="shared" si="4"/>
        <v>3</v>
      </c>
      <c r="D11">
        <f t="shared" si="5"/>
        <v>14</v>
      </c>
      <c r="E11">
        <f t="shared" si="6"/>
        <v>10</v>
      </c>
      <c r="F11">
        <f t="shared" si="7"/>
        <v>14</v>
      </c>
      <c r="G11">
        <f t="shared" si="8"/>
        <v>13</v>
      </c>
      <c r="H11">
        <f t="shared" si="9"/>
        <v>0</v>
      </c>
      <c r="I11">
        <f t="shared" si="10"/>
        <v>13</v>
      </c>
      <c r="J11">
        <f t="shared" si="11"/>
        <v>0</v>
      </c>
      <c r="K11">
        <f t="shared" si="12"/>
        <v>0</v>
      </c>
      <c r="L11">
        <f t="shared" si="13"/>
        <v>0</v>
      </c>
      <c r="M11">
        <f t="shared" si="14"/>
        <v>0</v>
      </c>
      <c r="N11">
        <f t="shared" si="15"/>
        <v>14</v>
      </c>
      <c r="O11">
        <f t="shared" si="16"/>
        <v>10</v>
      </c>
      <c r="P11">
        <f t="shared" si="17"/>
        <v>16</v>
      </c>
      <c r="Q11">
        <f t="shared" si="18"/>
        <v>1</v>
      </c>
      <c r="R11">
        <f t="shared" si="19"/>
        <v>10</v>
      </c>
      <c r="S11">
        <f t="shared" si="20"/>
        <v>1</v>
      </c>
      <c r="T11">
        <f t="shared" si="21"/>
        <v>0</v>
      </c>
      <c r="U11">
        <f t="shared" si="22"/>
        <v>0</v>
      </c>
      <c r="V11">
        <f t="shared" si="23"/>
        <v>0</v>
      </c>
      <c r="W11">
        <f t="shared" si="24"/>
        <v>13</v>
      </c>
      <c r="X11">
        <f t="shared" si="25"/>
        <v>0</v>
      </c>
      <c r="Y11">
        <f t="shared" si="26"/>
        <v>13</v>
      </c>
      <c r="Z11">
        <f t="shared" si="27"/>
        <v>0</v>
      </c>
      <c r="AA11">
        <f t="shared" si="28"/>
        <v>14</v>
      </c>
      <c r="AB11" s="28">
        <f t="shared" si="29"/>
        <v>11.5</v>
      </c>
      <c r="AC11" s="28">
        <f t="shared" si="30"/>
        <v>12.583333333333334</v>
      </c>
      <c r="AD11" s="28">
        <f t="shared" si="31"/>
        <v>12.416666666666666</v>
      </c>
      <c r="AE11" s="28">
        <f t="shared" si="32"/>
        <v>11.666666666666666</v>
      </c>
      <c r="AF11" s="28">
        <f t="shared" si="33"/>
        <v>12.416666666666666</v>
      </c>
      <c r="AG11" s="28">
        <f t="shared" si="34"/>
        <v>13.208333333333334</v>
      </c>
      <c r="AH11" s="28">
        <f t="shared" si="35"/>
        <v>11.625</v>
      </c>
      <c r="AI11" s="28">
        <f t="shared" si="36"/>
        <v>9.4583333333333339</v>
      </c>
      <c r="AJ11" s="28">
        <f t="shared" si="37"/>
        <v>12.708333333333334</v>
      </c>
      <c r="AK11" s="28">
        <f t="shared" si="38"/>
        <v>7.833333333333333</v>
      </c>
      <c r="AL11" s="28">
        <f t="shared" si="39"/>
        <v>9</v>
      </c>
      <c r="AM11" s="28">
        <f t="shared" si="40"/>
        <v>8.0416666666666661</v>
      </c>
      <c r="AN11" s="28">
        <f t="shared" si="41"/>
        <v>12.958333333333334</v>
      </c>
      <c r="AO11" s="28">
        <f t="shared" si="42"/>
        <v>10.791666666666666</v>
      </c>
      <c r="AP11" s="28">
        <f t="shared" si="43"/>
        <v>10.625</v>
      </c>
      <c r="AQ11" s="28">
        <f t="shared" si="44"/>
        <v>12.416666666666666</v>
      </c>
      <c r="AR11" s="28">
        <f t="shared" si="45"/>
        <v>9.75</v>
      </c>
      <c r="AS11" s="28">
        <f t="shared" si="46"/>
        <v>12.083333333333334</v>
      </c>
      <c r="AT11" s="28">
        <f t="shared" si="47"/>
        <v>11.75</v>
      </c>
      <c r="AU11" s="28">
        <f t="shared" si="48"/>
        <v>10.25</v>
      </c>
      <c r="AV11" s="28">
        <f t="shared" si="49"/>
        <v>12.416666666666666</v>
      </c>
      <c r="AW11" s="28">
        <f t="shared" si="50"/>
        <v>12.958333333333334</v>
      </c>
      <c r="AX11" s="28">
        <f t="shared" si="51"/>
        <v>8.625</v>
      </c>
      <c r="AY11" s="28">
        <f t="shared" si="52"/>
        <v>7.208333333333333</v>
      </c>
      <c r="AZ11" s="28">
        <f t="shared" si="53"/>
        <v>14.041666666666666</v>
      </c>
    </row>
    <row r="12" spans="1:52">
      <c r="A12">
        <f t="shared" si="54"/>
        <v>11</v>
      </c>
      <c r="B12">
        <f t="shared" si="3"/>
        <v>11</v>
      </c>
      <c r="C12">
        <f t="shared" si="4"/>
        <v>14</v>
      </c>
      <c r="D12">
        <f t="shared" si="5"/>
        <v>2</v>
      </c>
      <c r="E12">
        <f t="shared" si="6"/>
        <v>12</v>
      </c>
      <c r="F12">
        <f t="shared" si="7"/>
        <v>0</v>
      </c>
      <c r="G12">
        <f t="shared" si="8"/>
        <v>13</v>
      </c>
      <c r="H12">
        <f t="shared" si="9"/>
        <v>13</v>
      </c>
      <c r="I12">
        <f t="shared" si="10"/>
        <v>0</v>
      </c>
      <c r="J12">
        <f t="shared" si="11"/>
        <v>0</v>
      </c>
      <c r="K12">
        <f t="shared" si="12"/>
        <v>0</v>
      </c>
      <c r="L12">
        <f t="shared" si="13"/>
        <v>0</v>
      </c>
      <c r="M12">
        <f t="shared" si="14"/>
        <v>0</v>
      </c>
      <c r="N12">
        <f t="shared" si="15"/>
        <v>14</v>
      </c>
      <c r="O12">
        <f t="shared" si="16"/>
        <v>24</v>
      </c>
      <c r="P12">
        <f t="shared" si="17"/>
        <v>14</v>
      </c>
      <c r="Q12">
        <f t="shared" si="18"/>
        <v>15</v>
      </c>
      <c r="R12">
        <f t="shared" si="19"/>
        <v>25</v>
      </c>
      <c r="S12">
        <f t="shared" si="20"/>
        <v>0</v>
      </c>
      <c r="T12">
        <f t="shared" si="21"/>
        <v>0</v>
      </c>
      <c r="U12">
        <f t="shared" si="22"/>
        <v>0</v>
      </c>
      <c r="V12">
        <f t="shared" si="23"/>
        <v>0</v>
      </c>
      <c r="W12">
        <f t="shared" si="24"/>
        <v>13</v>
      </c>
      <c r="X12">
        <f t="shared" si="25"/>
        <v>13</v>
      </c>
      <c r="Y12">
        <f t="shared" si="26"/>
        <v>0</v>
      </c>
      <c r="Z12">
        <f t="shared" si="27"/>
        <v>0</v>
      </c>
      <c r="AA12">
        <f t="shared" si="28"/>
        <v>14</v>
      </c>
      <c r="AB12" s="28">
        <f t="shared" si="29"/>
        <v>11.75</v>
      </c>
      <c r="AC12" s="28">
        <f t="shared" si="30"/>
        <v>12.416666666666666</v>
      </c>
      <c r="AD12" s="28">
        <f t="shared" si="31"/>
        <v>12.916666666666666</v>
      </c>
      <c r="AE12" s="28">
        <f t="shared" si="32"/>
        <v>11.583333333333334</v>
      </c>
      <c r="AF12" s="28">
        <f t="shared" si="33"/>
        <v>12.083333333333334</v>
      </c>
      <c r="AG12" s="28">
        <f t="shared" si="34"/>
        <v>13.375</v>
      </c>
      <c r="AH12" s="28">
        <f t="shared" si="35"/>
        <v>12</v>
      </c>
      <c r="AI12" s="28">
        <f t="shared" si="36"/>
        <v>9.5416666666666661</v>
      </c>
      <c r="AJ12" s="28">
        <f t="shared" si="37"/>
        <v>13.583333333333334</v>
      </c>
      <c r="AK12" s="28">
        <f t="shared" si="38"/>
        <v>8.4166666666666661</v>
      </c>
      <c r="AL12" s="28">
        <f t="shared" si="39"/>
        <v>9.8333333333333339</v>
      </c>
      <c r="AM12" s="28">
        <f t="shared" si="40"/>
        <v>8.125</v>
      </c>
      <c r="AN12" s="28">
        <f t="shared" si="41"/>
        <v>13.5</v>
      </c>
      <c r="AO12" s="28">
        <f t="shared" si="42"/>
        <v>10.208333333333334</v>
      </c>
      <c r="AP12" s="28">
        <f t="shared" si="43"/>
        <v>11.083333333333334</v>
      </c>
      <c r="AQ12" s="28">
        <f t="shared" si="44"/>
        <v>12.666666666666666</v>
      </c>
      <c r="AR12" s="28">
        <f t="shared" si="45"/>
        <v>10.5</v>
      </c>
      <c r="AS12" s="28">
        <f t="shared" si="46"/>
        <v>12.833333333333334</v>
      </c>
      <c r="AT12" s="28">
        <f t="shared" si="47"/>
        <v>12.666666666666666</v>
      </c>
      <c r="AU12" s="28">
        <f t="shared" si="48"/>
        <v>11</v>
      </c>
      <c r="AV12" s="28">
        <f t="shared" si="49"/>
        <v>12.583333333333334</v>
      </c>
      <c r="AW12" s="28">
        <f t="shared" si="50"/>
        <v>13.625</v>
      </c>
      <c r="AX12" s="28">
        <f t="shared" si="51"/>
        <v>8.1666666666666661</v>
      </c>
      <c r="AY12" s="28">
        <f t="shared" si="52"/>
        <v>7.791666666666667</v>
      </c>
      <c r="AZ12" s="28">
        <f t="shared" si="53"/>
        <v>14.25</v>
      </c>
    </row>
    <row r="13" spans="1:52">
      <c r="A13">
        <f t="shared" si="54"/>
        <v>12</v>
      </c>
      <c r="B13">
        <f t="shared" si="3"/>
        <v>12</v>
      </c>
      <c r="C13">
        <f t="shared" si="4"/>
        <v>0</v>
      </c>
      <c r="D13">
        <f t="shared" si="5"/>
        <v>2</v>
      </c>
      <c r="E13">
        <f t="shared" si="6"/>
        <v>14</v>
      </c>
      <c r="F13">
        <f t="shared" si="7"/>
        <v>14</v>
      </c>
      <c r="G13">
        <f t="shared" si="8"/>
        <v>1</v>
      </c>
      <c r="H13">
        <f t="shared" si="9"/>
        <v>14</v>
      </c>
      <c r="I13">
        <f t="shared" si="10"/>
        <v>14</v>
      </c>
      <c r="J13">
        <f t="shared" si="11"/>
        <v>14</v>
      </c>
      <c r="K13">
        <f t="shared" si="12"/>
        <v>14</v>
      </c>
      <c r="L13">
        <f t="shared" si="13"/>
        <v>14</v>
      </c>
      <c r="M13">
        <f t="shared" si="14"/>
        <v>14</v>
      </c>
      <c r="N13">
        <f t="shared" si="15"/>
        <v>2</v>
      </c>
      <c r="O13">
        <f t="shared" si="16"/>
        <v>0</v>
      </c>
      <c r="P13">
        <f t="shared" si="17"/>
        <v>14</v>
      </c>
      <c r="Q13">
        <f t="shared" si="18"/>
        <v>3</v>
      </c>
      <c r="R13">
        <f t="shared" si="19"/>
        <v>2</v>
      </c>
      <c r="S13">
        <f t="shared" si="20"/>
        <v>2</v>
      </c>
      <c r="T13">
        <f t="shared" si="21"/>
        <v>2</v>
      </c>
      <c r="U13">
        <f t="shared" si="22"/>
        <v>2</v>
      </c>
      <c r="V13">
        <f t="shared" si="23"/>
        <v>2</v>
      </c>
      <c r="W13">
        <f t="shared" si="24"/>
        <v>15</v>
      </c>
      <c r="X13">
        <f t="shared" si="25"/>
        <v>2</v>
      </c>
      <c r="Y13">
        <f t="shared" si="26"/>
        <v>2</v>
      </c>
      <c r="Z13">
        <f t="shared" si="27"/>
        <v>2</v>
      </c>
      <c r="AA13">
        <f t="shared" si="28"/>
        <v>16</v>
      </c>
      <c r="AB13" s="28">
        <f t="shared" si="29"/>
        <v>12.166666666666666</v>
      </c>
      <c r="AC13" s="28">
        <f t="shared" si="30"/>
        <v>12.666666666666666</v>
      </c>
      <c r="AD13" s="28">
        <f t="shared" si="31"/>
        <v>12.583333333333334</v>
      </c>
      <c r="AE13" s="28">
        <f t="shared" si="32"/>
        <v>12.25</v>
      </c>
      <c r="AF13" s="28">
        <f t="shared" si="33"/>
        <v>12.416666666666666</v>
      </c>
      <c r="AG13" s="28">
        <f t="shared" si="34"/>
        <v>13.875</v>
      </c>
      <c r="AH13" s="28">
        <f t="shared" si="35"/>
        <v>12.875</v>
      </c>
      <c r="AI13" s="28">
        <f t="shared" si="36"/>
        <v>10.5</v>
      </c>
      <c r="AJ13" s="28">
        <f t="shared" si="37"/>
        <v>14.333333333333334</v>
      </c>
      <c r="AK13" s="28">
        <f t="shared" si="38"/>
        <v>8.6666666666666661</v>
      </c>
      <c r="AL13" s="28">
        <f t="shared" si="39"/>
        <v>9.8333333333333339</v>
      </c>
      <c r="AM13" s="28">
        <f t="shared" si="40"/>
        <v>8.2083333333333339</v>
      </c>
      <c r="AN13" s="28">
        <f t="shared" si="41"/>
        <v>13.041666666666666</v>
      </c>
      <c r="AO13" s="28">
        <f t="shared" si="42"/>
        <v>10.25</v>
      </c>
      <c r="AP13" s="28">
        <f t="shared" si="43"/>
        <v>10.5</v>
      </c>
      <c r="AQ13" s="28">
        <f t="shared" si="44"/>
        <v>12.333333333333334</v>
      </c>
      <c r="AR13" s="28">
        <f t="shared" si="45"/>
        <v>10.916666666666666</v>
      </c>
      <c r="AS13" s="28">
        <f t="shared" si="46"/>
        <v>12.916666666666666</v>
      </c>
      <c r="AT13" s="28">
        <f t="shared" si="47"/>
        <v>13.666666666666666</v>
      </c>
      <c r="AU13" s="28">
        <f t="shared" si="48"/>
        <v>11.666666666666666</v>
      </c>
      <c r="AV13" s="28">
        <f t="shared" si="49"/>
        <v>12.333333333333334</v>
      </c>
      <c r="AW13" s="28">
        <f t="shared" si="50"/>
        <v>14.041666666666666</v>
      </c>
      <c r="AX13" s="28">
        <f t="shared" si="51"/>
        <v>9.2083333333333339</v>
      </c>
      <c r="AY13" s="28">
        <f t="shared" si="52"/>
        <v>8.3333333333333339</v>
      </c>
      <c r="AZ13" s="28">
        <f t="shared" si="53"/>
        <v>13.916666666666666</v>
      </c>
    </row>
    <row r="14" spans="1:52">
      <c r="A14">
        <f t="shared" si="54"/>
        <v>13</v>
      </c>
      <c r="B14">
        <f t="shared" si="3"/>
        <v>13</v>
      </c>
      <c r="C14">
        <f t="shared" si="4"/>
        <v>13</v>
      </c>
      <c r="D14">
        <f t="shared" si="5"/>
        <v>15</v>
      </c>
      <c r="E14">
        <f t="shared" si="6"/>
        <v>3</v>
      </c>
      <c r="F14">
        <f t="shared" si="7"/>
        <v>17</v>
      </c>
      <c r="G14">
        <f t="shared" si="8"/>
        <v>18</v>
      </c>
      <c r="H14">
        <f t="shared" si="9"/>
        <v>6</v>
      </c>
      <c r="I14">
        <f t="shared" si="10"/>
        <v>20</v>
      </c>
      <c r="J14">
        <f t="shared" si="11"/>
        <v>8</v>
      </c>
      <c r="K14">
        <f t="shared" si="12"/>
        <v>22</v>
      </c>
      <c r="L14">
        <f t="shared" si="13"/>
        <v>10</v>
      </c>
      <c r="M14">
        <f t="shared" si="14"/>
        <v>24</v>
      </c>
      <c r="N14">
        <f t="shared" si="15"/>
        <v>0</v>
      </c>
      <c r="O14">
        <f t="shared" si="16"/>
        <v>0</v>
      </c>
      <c r="P14">
        <f t="shared" si="17"/>
        <v>14</v>
      </c>
      <c r="Q14">
        <f t="shared" si="18"/>
        <v>17</v>
      </c>
      <c r="R14">
        <f t="shared" si="19"/>
        <v>19</v>
      </c>
      <c r="S14">
        <f t="shared" si="20"/>
        <v>21</v>
      </c>
      <c r="T14">
        <f t="shared" si="21"/>
        <v>23</v>
      </c>
      <c r="U14">
        <f t="shared" si="22"/>
        <v>25</v>
      </c>
      <c r="V14">
        <f t="shared" si="23"/>
        <v>1</v>
      </c>
      <c r="W14">
        <f t="shared" si="24"/>
        <v>16</v>
      </c>
      <c r="X14">
        <f t="shared" si="25"/>
        <v>18</v>
      </c>
      <c r="Y14">
        <f t="shared" si="26"/>
        <v>20</v>
      </c>
      <c r="Z14">
        <f t="shared" si="27"/>
        <v>22</v>
      </c>
      <c r="AA14">
        <f t="shared" si="28"/>
        <v>12</v>
      </c>
      <c r="AB14" s="28">
        <f t="shared" si="29"/>
        <v>12.75</v>
      </c>
      <c r="AC14" s="28">
        <f t="shared" si="30"/>
        <v>13.5</v>
      </c>
      <c r="AD14" s="28">
        <f t="shared" si="31"/>
        <v>12</v>
      </c>
      <c r="AE14" s="28">
        <f t="shared" si="32"/>
        <v>12.333333333333334</v>
      </c>
      <c r="AF14" s="28">
        <f t="shared" si="33"/>
        <v>12.833333333333334</v>
      </c>
      <c r="AG14" s="28">
        <f t="shared" si="34"/>
        <v>13.708333333333334</v>
      </c>
      <c r="AH14" s="28">
        <f t="shared" si="35"/>
        <v>12.5</v>
      </c>
      <c r="AI14" s="28">
        <f t="shared" si="36"/>
        <v>10</v>
      </c>
      <c r="AJ14" s="28">
        <f t="shared" si="37"/>
        <v>14.583333333333334</v>
      </c>
      <c r="AK14" s="28">
        <f t="shared" si="38"/>
        <v>8.0833333333333339</v>
      </c>
      <c r="AL14" s="28">
        <f t="shared" si="39"/>
        <v>9.25</v>
      </c>
      <c r="AM14" s="28">
        <f t="shared" si="40"/>
        <v>8.7916666666666661</v>
      </c>
      <c r="AN14" s="28">
        <f t="shared" si="41"/>
        <v>13.166666666666666</v>
      </c>
      <c r="AO14" s="28">
        <f t="shared" si="42"/>
        <v>10.416666666666666</v>
      </c>
      <c r="AP14" s="28">
        <f t="shared" si="43"/>
        <v>11.166666666666666</v>
      </c>
      <c r="AQ14" s="28">
        <f t="shared" si="44"/>
        <v>12.666666666666666</v>
      </c>
      <c r="AR14" s="28">
        <f t="shared" si="45"/>
        <v>11.666666666666666</v>
      </c>
      <c r="AS14" s="28">
        <f t="shared" si="46"/>
        <v>13.75</v>
      </c>
      <c r="AT14" s="28">
        <f t="shared" si="47"/>
        <v>14.416666666666666</v>
      </c>
      <c r="AU14" s="28">
        <f t="shared" si="48"/>
        <v>12</v>
      </c>
      <c r="AV14" s="28">
        <f t="shared" si="49"/>
        <v>12.416666666666666</v>
      </c>
      <c r="AW14" s="28">
        <f t="shared" si="50"/>
        <v>14.541666666666666</v>
      </c>
      <c r="AX14" s="28">
        <f t="shared" si="51"/>
        <v>9.6666666666666661</v>
      </c>
      <c r="AY14" s="28">
        <f t="shared" si="52"/>
        <v>8.25</v>
      </c>
      <c r="AZ14" s="28">
        <f t="shared" si="53"/>
        <v>13.5</v>
      </c>
    </row>
    <row r="15" spans="1:52">
      <c r="A15">
        <f t="shared" si="54"/>
        <v>14</v>
      </c>
      <c r="B15">
        <f t="shared" si="3"/>
        <v>14</v>
      </c>
      <c r="C15">
        <f t="shared" si="4"/>
        <v>1</v>
      </c>
      <c r="D15">
        <f t="shared" si="5"/>
        <v>16</v>
      </c>
      <c r="E15">
        <f t="shared" si="6"/>
        <v>19</v>
      </c>
      <c r="F15">
        <f t="shared" si="7"/>
        <v>10</v>
      </c>
      <c r="G15">
        <f t="shared" si="8"/>
        <v>2</v>
      </c>
      <c r="H15">
        <f t="shared" si="9"/>
        <v>8</v>
      </c>
      <c r="I15">
        <f t="shared" si="10"/>
        <v>2</v>
      </c>
      <c r="J15">
        <f t="shared" si="11"/>
        <v>10</v>
      </c>
      <c r="K15">
        <f t="shared" si="12"/>
        <v>6</v>
      </c>
      <c r="L15">
        <f t="shared" si="13"/>
        <v>16</v>
      </c>
      <c r="M15">
        <f t="shared" si="14"/>
        <v>14</v>
      </c>
      <c r="N15">
        <f t="shared" si="15"/>
        <v>14</v>
      </c>
      <c r="O15">
        <f t="shared" si="16"/>
        <v>14</v>
      </c>
      <c r="P15">
        <f t="shared" si="17"/>
        <v>2</v>
      </c>
      <c r="Q15">
        <f t="shared" si="18"/>
        <v>19</v>
      </c>
      <c r="R15">
        <f t="shared" si="19"/>
        <v>12</v>
      </c>
      <c r="S15">
        <f t="shared" si="20"/>
        <v>7</v>
      </c>
      <c r="T15">
        <f t="shared" si="21"/>
        <v>4</v>
      </c>
      <c r="U15">
        <f t="shared" si="22"/>
        <v>3</v>
      </c>
      <c r="V15">
        <f t="shared" si="23"/>
        <v>4</v>
      </c>
      <c r="W15">
        <f t="shared" si="24"/>
        <v>20</v>
      </c>
      <c r="X15">
        <f t="shared" si="25"/>
        <v>12</v>
      </c>
      <c r="Y15">
        <f t="shared" si="26"/>
        <v>6</v>
      </c>
      <c r="Z15">
        <f t="shared" si="27"/>
        <v>2</v>
      </c>
      <c r="AA15">
        <f t="shared" si="28"/>
        <v>14</v>
      </c>
      <c r="AB15" s="28">
        <f t="shared" si="29"/>
        <v>12.416666666666666</v>
      </c>
      <c r="AC15" s="28">
        <f t="shared" si="30"/>
        <v>12.916666666666666</v>
      </c>
      <c r="AD15" s="28">
        <f t="shared" si="31"/>
        <v>11.916666666666666</v>
      </c>
      <c r="AE15" s="28">
        <f t="shared" si="32"/>
        <v>12.333333333333334</v>
      </c>
      <c r="AF15" s="28">
        <f t="shared" si="33"/>
        <v>12.166666666666666</v>
      </c>
      <c r="AG15" s="28">
        <f t="shared" si="34"/>
        <v>13.958333333333334</v>
      </c>
      <c r="AH15" s="28">
        <f t="shared" si="35"/>
        <v>12.375</v>
      </c>
      <c r="AI15" s="28">
        <f t="shared" si="36"/>
        <v>10.458333333333334</v>
      </c>
      <c r="AJ15" s="28">
        <f t="shared" si="37"/>
        <v>14.208333333333334</v>
      </c>
      <c r="AK15" s="28">
        <f t="shared" si="38"/>
        <v>8.2083333333333339</v>
      </c>
      <c r="AL15" s="28">
        <f t="shared" si="39"/>
        <v>8.7916666666666661</v>
      </c>
      <c r="AM15" s="28">
        <f t="shared" si="40"/>
        <v>8.9166666666666661</v>
      </c>
      <c r="AN15" s="28">
        <f t="shared" si="41"/>
        <v>13.416666666666666</v>
      </c>
      <c r="AO15" s="28">
        <f t="shared" si="42"/>
        <v>10.833333333333334</v>
      </c>
      <c r="AP15" s="28">
        <f t="shared" si="43"/>
        <v>11.166666666666666</v>
      </c>
      <c r="AQ15" s="28">
        <f t="shared" si="44"/>
        <v>11.916666666666666</v>
      </c>
      <c r="AR15" s="28">
        <f t="shared" si="45"/>
        <v>11.666666666666666</v>
      </c>
      <c r="AS15" s="28">
        <f t="shared" si="46"/>
        <v>13.5</v>
      </c>
      <c r="AT15" s="28">
        <f t="shared" si="47"/>
        <v>13.833333333333334</v>
      </c>
      <c r="AU15" s="28">
        <f t="shared" si="48"/>
        <v>12.833333333333334</v>
      </c>
      <c r="AV15" s="28">
        <f t="shared" si="49"/>
        <v>12.25</v>
      </c>
      <c r="AW15" s="28">
        <f t="shared" si="50"/>
        <v>13.791666666666666</v>
      </c>
      <c r="AX15" s="28">
        <f t="shared" si="51"/>
        <v>9.375</v>
      </c>
      <c r="AY15" s="28">
        <f t="shared" si="52"/>
        <v>7.875</v>
      </c>
      <c r="AZ15" s="28">
        <f t="shared" si="53"/>
        <v>13.791666666666666</v>
      </c>
    </row>
    <row r="16" spans="1:52">
      <c r="A16">
        <f t="shared" si="54"/>
        <v>15</v>
      </c>
      <c r="B16">
        <f t="shared" si="3"/>
        <v>15</v>
      </c>
      <c r="C16">
        <f t="shared" si="4"/>
        <v>16</v>
      </c>
      <c r="D16">
        <f t="shared" si="5"/>
        <v>6</v>
      </c>
      <c r="E16">
        <f t="shared" si="6"/>
        <v>25</v>
      </c>
      <c r="F16">
        <f t="shared" si="7"/>
        <v>9</v>
      </c>
      <c r="G16">
        <f t="shared" si="8"/>
        <v>11</v>
      </c>
      <c r="H16">
        <f t="shared" si="9"/>
        <v>19</v>
      </c>
      <c r="I16">
        <f t="shared" si="10"/>
        <v>21</v>
      </c>
      <c r="J16">
        <f t="shared" si="11"/>
        <v>5</v>
      </c>
      <c r="K16">
        <f t="shared" si="12"/>
        <v>11</v>
      </c>
      <c r="L16">
        <f t="shared" si="13"/>
        <v>1</v>
      </c>
      <c r="M16">
        <f t="shared" si="14"/>
        <v>15</v>
      </c>
      <c r="N16">
        <f t="shared" si="15"/>
        <v>3</v>
      </c>
      <c r="O16">
        <f t="shared" si="16"/>
        <v>17</v>
      </c>
      <c r="P16">
        <f t="shared" si="17"/>
        <v>19</v>
      </c>
      <c r="Q16">
        <f t="shared" si="18"/>
        <v>12</v>
      </c>
      <c r="R16">
        <f t="shared" si="19"/>
        <v>24</v>
      </c>
      <c r="S16">
        <f t="shared" si="20"/>
        <v>5</v>
      </c>
      <c r="T16">
        <f t="shared" si="21"/>
        <v>9</v>
      </c>
      <c r="U16">
        <f t="shared" si="22"/>
        <v>12</v>
      </c>
      <c r="V16">
        <f t="shared" si="23"/>
        <v>16</v>
      </c>
      <c r="W16">
        <f t="shared" si="24"/>
        <v>10</v>
      </c>
      <c r="X16">
        <f t="shared" si="25"/>
        <v>22</v>
      </c>
      <c r="Y16">
        <f t="shared" si="26"/>
        <v>2</v>
      </c>
      <c r="Z16">
        <f t="shared" si="27"/>
        <v>4</v>
      </c>
      <c r="AA16">
        <f t="shared" si="28"/>
        <v>18</v>
      </c>
      <c r="AB16" s="28">
        <f t="shared" si="29"/>
        <v>13.333333333333334</v>
      </c>
      <c r="AC16" s="28">
        <f t="shared" si="30"/>
        <v>13.25</v>
      </c>
      <c r="AD16" s="28">
        <f t="shared" si="31"/>
        <v>12.166666666666666</v>
      </c>
      <c r="AE16" s="28">
        <f t="shared" si="32"/>
        <v>12.583333333333334</v>
      </c>
      <c r="AF16" s="28">
        <f t="shared" si="33"/>
        <v>12.833333333333334</v>
      </c>
      <c r="AG16" s="28">
        <f t="shared" si="34"/>
        <v>13.791666666666666</v>
      </c>
      <c r="AH16" s="28">
        <f t="shared" si="35"/>
        <v>13.166666666666666</v>
      </c>
      <c r="AI16" s="28">
        <f t="shared" si="36"/>
        <v>10.625</v>
      </c>
      <c r="AJ16" s="28">
        <f t="shared" si="37"/>
        <v>14</v>
      </c>
      <c r="AK16" s="28">
        <f t="shared" si="38"/>
        <v>8.125</v>
      </c>
      <c r="AL16" s="28">
        <f t="shared" si="39"/>
        <v>8.25</v>
      </c>
      <c r="AM16" s="28">
        <f t="shared" si="40"/>
        <v>8.5</v>
      </c>
      <c r="AN16" s="28">
        <f t="shared" si="41"/>
        <v>13.25</v>
      </c>
      <c r="AO16" s="28">
        <f t="shared" si="42"/>
        <v>11.083333333333334</v>
      </c>
      <c r="AP16" s="28">
        <f t="shared" si="43"/>
        <v>11.416666666666666</v>
      </c>
      <c r="AQ16" s="28">
        <f t="shared" si="44"/>
        <v>11.416666666666666</v>
      </c>
      <c r="AR16" s="28">
        <f t="shared" si="45"/>
        <v>12.25</v>
      </c>
      <c r="AS16" s="28">
        <f t="shared" si="46"/>
        <v>13.833333333333334</v>
      </c>
      <c r="AT16" s="28">
        <f t="shared" si="47"/>
        <v>14.666666666666666</v>
      </c>
      <c r="AU16" s="28">
        <f t="shared" si="48"/>
        <v>13.416666666666666</v>
      </c>
      <c r="AV16" s="28">
        <f t="shared" si="49"/>
        <v>11.583333333333334</v>
      </c>
      <c r="AW16" s="28">
        <f t="shared" si="50"/>
        <v>13.458333333333334</v>
      </c>
      <c r="AX16" s="28">
        <f t="shared" si="51"/>
        <v>9.8333333333333339</v>
      </c>
      <c r="AY16" s="28">
        <f t="shared" si="52"/>
        <v>7.958333333333333</v>
      </c>
      <c r="AZ16" s="28">
        <f t="shared" si="53"/>
        <v>14.166666666666666</v>
      </c>
    </row>
    <row r="17" spans="1:52">
      <c r="A17">
        <f t="shared" si="54"/>
        <v>16</v>
      </c>
      <c r="B17">
        <f t="shared" si="3"/>
        <v>16</v>
      </c>
      <c r="C17">
        <f t="shared" si="4"/>
        <v>6</v>
      </c>
      <c r="D17">
        <f t="shared" si="5"/>
        <v>12</v>
      </c>
      <c r="E17">
        <f t="shared" si="6"/>
        <v>11</v>
      </c>
      <c r="F17">
        <f t="shared" si="7"/>
        <v>20</v>
      </c>
      <c r="G17">
        <f t="shared" si="8"/>
        <v>5</v>
      </c>
      <c r="H17">
        <f t="shared" si="9"/>
        <v>24</v>
      </c>
      <c r="I17">
        <f t="shared" si="10"/>
        <v>19</v>
      </c>
      <c r="J17">
        <f t="shared" si="11"/>
        <v>24</v>
      </c>
      <c r="K17">
        <f t="shared" si="12"/>
        <v>9</v>
      </c>
      <c r="L17">
        <f t="shared" si="13"/>
        <v>10</v>
      </c>
      <c r="M17">
        <f t="shared" si="14"/>
        <v>25</v>
      </c>
      <c r="N17">
        <f t="shared" si="15"/>
        <v>2</v>
      </c>
      <c r="O17">
        <f t="shared" si="16"/>
        <v>19</v>
      </c>
      <c r="P17">
        <f t="shared" si="17"/>
        <v>12</v>
      </c>
      <c r="Q17">
        <f t="shared" si="18"/>
        <v>24</v>
      </c>
      <c r="R17">
        <f t="shared" si="19"/>
        <v>22</v>
      </c>
      <c r="S17">
        <f t="shared" si="20"/>
        <v>1</v>
      </c>
      <c r="T17">
        <f t="shared" si="21"/>
        <v>10</v>
      </c>
      <c r="U17">
        <f t="shared" si="22"/>
        <v>22</v>
      </c>
      <c r="V17">
        <f t="shared" si="23"/>
        <v>12</v>
      </c>
      <c r="W17">
        <f t="shared" si="24"/>
        <v>22</v>
      </c>
      <c r="X17">
        <f t="shared" si="25"/>
        <v>18</v>
      </c>
      <c r="Y17">
        <f t="shared" si="26"/>
        <v>20</v>
      </c>
      <c r="Z17">
        <f t="shared" si="27"/>
        <v>24</v>
      </c>
      <c r="AA17">
        <f t="shared" si="28"/>
        <v>16</v>
      </c>
      <c r="AB17" s="28">
        <f t="shared" si="29"/>
        <v>13.333333333333334</v>
      </c>
      <c r="AC17" s="28">
        <f t="shared" si="30"/>
        <v>13.583333333333334</v>
      </c>
      <c r="AD17" s="28">
        <f t="shared" si="31"/>
        <v>11.666666666666666</v>
      </c>
      <c r="AE17" s="28">
        <f t="shared" si="32"/>
        <v>12.333333333333334</v>
      </c>
      <c r="AF17" s="28">
        <f t="shared" si="33"/>
        <v>13.25</v>
      </c>
      <c r="AG17" s="28">
        <f t="shared" si="34"/>
        <v>14.041666666666666</v>
      </c>
      <c r="AH17" s="28">
        <f t="shared" si="35"/>
        <v>13.125</v>
      </c>
      <c r="AI17" s="28">
        <f t="shared" si="36"/>
        <v>10.75</v>
      </c>
      <c r="AJ17" s="28">
        <f t="shared" si="37"/>
        <v>13.916666666666666</v>
      </c>
      <c r="AK17" s="28">
        <f t="shared" si="38"/>
        <v>9.0416666666666661</v>
      </c>
      <c r="AL17" s="28">
        <f t="shared" si="39"/>
        <v>8.625</v>
      </c>
      <c r="AM17" s="28">
        <f t="shared" si="40"/>
        <v>8.4583333333333339</v>
      </c>
      <c r="AN17" s="28">
        <f t="shared" si="41"/>
        <v>13.041666666666666</v>
      </c>
      <c r="AO17" s="28">
        <f t="shared" si="42"/>
        <v>11.125</v>
      </c>
      <c r="AP17" s="28">
        <f t="shared" si="43"/>
        <v>11.708333333333334</v>
      </c>
      <c r="AQ17" s="28">
        <f t="shared" si="44"/>
        <v>11.208333333333334</v>
      </c>
      <c r="AR17" s="28">
        <f t="shared" si="45"/>
        <v>12.625</v>
      </c>
      <c r="AS17" s="28">
        <f t="shared" si="46"/>
        <v>13.458333333333334</v>
      </c>
      <c r="AT17" s="28">
        <f t="shared" si="47"/>
        <v>15.125</v>
      </c>
      <c r="AU17" s="28">
        <f t="shared" si="48"/>
        <v>13.375</v>
      </c>
      <c r="AV17" s="28">
        <f t="shared" si="49"/>
        <v>11.958333333333334</v>
      </c>
      <c r="AW17" s="28">
        <f t="shared" si="50"/>
        <v>13.5</v>
      </c>
      <c r="AX17" s="28">
        <f t="shared" si="51"/>
        <v>10.333333333333334</v>
      </c>
      <c r="AY17" s="28">
        <f t="shared" si="52"/>
        <v>8.5416666666666661</v>
      </c>
      <c r="AZ17" s="28">
        <f t="shared" si="53"/>
        <v>14.041666666666666</v>
      </c>
    </row>
    <row r="18" spans="1:52">
      <c r="A18">
        <f t="shared" si="54"/>
        <v>17</v>
      </c>
      <c r="B18">
        <f t="shared" si="3"/>
        <v>17</v>
      </c>
      <c r="C18">
        <f t="shared" si="4"/>
        <v>23</v>
      </c>
      <c r="D18">
        <f t="shared" si="5"/>
        <v>9</v>
      </c>
      <c r="E18">
        <f t="shared" si="6"/>
        <v>20</v>
      </c>
      <c r="F18">
        <f t="shared" si="7"/>
        <v>14</v>
      </c>
      <c r="G18">
        <f t="shared" si="8"/>
        <v>19</v>
      </c>
      <c r="H18">
        <f t="shared" si="9"/>
        <v>17</v>
      </c>
      <c r="I18">
        <f t="shared" si="10"/>
        <v>10</v>
      </c>
      <c r="J18">
        <f t="shared" si="11"/>
        <v>8</v>
      </c>
      <c r="K18">
        <f t="shared" si="12"/>
        <v>17</v>
      </c>
      <c r="L18">
        <f t="shared" si="13"/>
        <v>1</v>
      </c>
      <c r="M18">
        <f t="shared" si="14"/>
        <v>0</v>
      </c>
      <c r="N18">
        <f t="shared" si="15"/>
        <v>2</v>
      </c>
      <c r="O18">
        <f t="shared" si="16"/>
        <v>21</v>
      </c>
      <c r="P18">
        <f t="shared" si="17"/>
        <v>7</v>
      </c>
      <c r="Q18">
        <f t="shared" si="18"/>
        <v>5</v>
      </c>
      <c r="R18">
        <f t="shared" si="19"/>
        <v>1</v>
      </c>
      <c r="S18">
        <f t="shared" si="20"/>
        <v>2</v>
      </c>
      <c r="T18">
        <f t="shared" si="21"/>
        <v>12</v>
      </c>
      <c r="U18">
        <f t="shared" si="22"/>
        <v>8</v>
      </c>
      <c r="V18">
        <f t="shared" si="23"/>
        <v>20</v>
      </c>
      <c r="W18">
        <f t="shared" si="24"/>
        <v>16</v>
      </c>
      <c r="X18">
        <f t="shared" si="25"/>
        <v>8</v>
      </c>
      <c r="Y18">
        <f t="shared" si="26"/>
        <v>2</v>
      </c>
      <c r="Z18">
        <f t="shared" si="27"/>
        <v>0</v>
      </c>
      <c r="AA18">
        <f t="shared" si="28"/>
        <v>16</v>
      </c>
      <c r="AB18" s="28">
        <f t="shared" si="29"/>
        <v>13.75</v>
      </c>
      <c r="AC18" s="28">
        <f t="shared" si="30"/>
        <v>13.25</v>
      </c>
      <c r="AD18" s="28">
        <f t="shared" si="31"/>
        <v>11.916666666666666</v>
      </c>
      <c r="AE18" s="28">
        <f t="shared" si="32"/>
        <v>12.333333333333334</v>
      </c>
      <c r="AF18" s="28">
        <f t="shared" si="33"/>
        <v>13.666666666666666</v>
      </c>
      <c r="AG18" s="28">
        <f t="shared" si="34"/>
        <v>13.625</v>
      </c>
      <c r="AH18" s="28">
        <f t="shared" si="35"/>
        <v>12.666666666666666</v>
      </c>
      <c r="AI18" s="28">
        <f t="shared" si="36"/>
        <v>10.416666666666666</v>
      </c>
      <c r="AJ18" s="28">
        <f t="shared" si="37"/>
        <v>14.583333333333334</v>
      </c>
      <c r="AK18" s="28">
        <f t="shared" si="38"/>
        <v>9.5416666666666661</v>
      </c>
      <c r="AL18" s="28">
        <f t="shared" si="39"/>
        <v>8.4166666666666661</v>
      </c>
      <c r="AM18" s="28">
        <f t="shared" si="40"/>
        <v>9.2916666666666661</v>
      </c>
      <c r="AN18" s="28">
        <f t="shared" si="41"/>
        <v>12.583333333333334</v>
      </c>
      <c r="AO18" s="28">
        <f t="shared" si="42"/>
        <v>10.708333333333334</v>
      </c>
      <c r="AP18" s="28">
        <f t="shared" si="43"/>
        <v>11.583333333333334</v>
      </c>
      <c r="AQ18" s="28">
        <f t="shared" si="44"/>
        <v>10.875</v>
      </c>
      <c r="AR18" s="28">
        <f t="shared" si="45"/>
        <v>12.666666666666666</v>
      </c>
      <c r="AS18" s="28">
        <f t="shared" si="46"/>
        <v>13.125</v>
      </c>
      <c r="AT18" s="28">
        <f t="shared" si="47"/>
        <v>15.25</v>
      </c>
      <c r="AU18" s="28">
        <f t="shared" si="48"/>
        <v>13.458333333333334</v>
      </c>
      <c r="AV18" s="28">
        <f t="shared" si="49"/>
        <v>11.333333333333334</v>
      </c>
      <c r="AW18" s="28">
        <f t="shared" si="50"/>
        <v>12.916666666666666</v>
      </c>
      <c r="AX18" s="28">
        <f t="shared" si="51"/>
        <v>10.25</v>
      </c>
      <c r="AY18" s="28">
        <f t="shared" si="52"/>
        <v>7.958333333333333</v>
      </c>
      <c r="AZ18" s="28">
        <f t="shared" si="53"/>
        <v>14.416666666666666</v>
      </c>
    </row>
    <row r="19" spans="1:52">
      <c r="A19">
        <f t="shared" si="54"/>
        <v>18</v>
      </c>
      <c r="B19">
        <f t="shared" si="3"/>
        <v>18</v>
      </c>
      <c r="C19">
        <f t="shared" si="4"/>
        <v>15</v>
      </c>
      <c r="D19">
        <f t="shared" si="5"/>
        <v>24</v>
      </c>
      <c r="E19">
        <f t="shared" si="6"/>
        <v>18</v>
      </c>
      <c r="F19">
        <f t="shared" si="7"/>
        <v>6</v>
      </c>
      <c r="G19">
        <f t="shared" si="8"/>
        <v>25</v>
      </c>
      <c r="H19">
        <f t="shared" si="9"/>
        <v>16</v>
      </c>
      <c r="I19">
        <f t="shared" si="10"/>
        <v>0</v>
      </c>
      <c r="J19">
        <f t="shared" si="11"/>
        <v>8</v>
      </c>
      <c r="K19">
        <f t="shared" si="12"/>
        <v>25</v>
      </c>
      <c r="L19">
        <f t="shared" si="13"/>
        <v>0</v>
      </c>
      <c r="M19">
        <f t="shared" si="14"/>
        <v>0</v>
      </c>
      <c r="N19">
        <f t="shared" si="15"/>
        <v>2</v>
      </c>
      <c r="O19">
        <f t="shared" si="16"/>
        <v>23</v>
      </c>
      <c r="P19">
        <f t="shared" si="17"/>
        <v>4</v>
      </c>
      <c r="Q19">
        <f t="shared" si="18"/>
        <v>9</v>
      </c>
      <c r="R19">
        <f t="shared" si="19"/>
        <v>10</v>
      </c>
      <c r="S19">
        <f t="shared" si="20"/>
        <v>12</v>
      </c>
      <c r="T19">
        <f t="shared" si="21"/>
        <v>24</v>
      </c>
      <c r="U19">
        <f t="shared" si="22"/>
        <v>6</v>
      </c>
      <c r="V19">
        <f t="shared" si="23"/>
        <v>0</v>
      </c>
      <c r="W19">
        <f t="shared" si="24"/>
        <v>16</v>
      </c>
      <c r="X19">
        <f t="shared" si="25"/>
        <v>24</v>
      </c>
      <c r="Y19">
        <f t="shared" si="26"/>
        <v>0</v>
      </c>
      <c r="Z19">
        <f t="shared" si="27"/>
        <v>0</v>
      </c>
      <c r="AA19">
        <f t="shared" si="28"/>
        <v>16</v>
      </c>
      <c r="AB19" s="28">
        <f t="shared" si="29"/>
        <v>13.5</v>
      </c>
      <c r="AC19" s="28">
        <f t="shared" si="30"/>
        <v>13.75</v>
      </c>
      <c r="AD19" s="28">
        <f t="shared" si="31"/>
        <v>11.583333333333334</v>
      </c>
      <c r="AE19" s="28">
        <f t="shared" si="32"/>
        <v>12</v>
      </c>
      <c r="AF19" s="28">
        <f t="shared" si="33"/>
        <v>13.75</v>
      </c>
      <c r="AG19" s="28">
        <f t="shared" si="34"/>
        <v>13.291666666666666</v>
      </c>
      <c r="AH19" s="28">
        <f t="shared" si="35"/>
        <v>12.958333333333334</v>
      </c>
      <c r="AI19" s="28">
        <f t="shared" si="36"/>
        <v>10.375</v>
      </c>
      <c r="AJ19" s="28">
        <f t="shared" si="37"/>
        <v>14.125</v>
      </c>
      <c r="AK19" s="28">
        <f t="shared" si="38"/>
        <v>9.5833333333333339</v>
      </c>
      <c r="AL19" s="28">
        <f t="shared" si="39"/>
        <v>9.3333333333333339</v>
      </c>
      <c r="AM19" s="28">
        <f t="shared" si="40"/>
        <v>9.9583333333333339</v>
      </c>
      <c r="AN19" s="28">
        <f t="shared" si="41"/>
        <v>11.708333333333334</v>
      </c>
      <c r="AO19" s="28">
        <f t="shared" si="42"/>
        <v>10.5</v>
      </c>
      <c r="AP19" s="28">
        <f t="shared" si="43"/>
        <v>12.333333333333334</v>
      </c>
      <c r="AQ19" s="28">
        <f t="shared" si="44"/>
        <v>11.291666666666666</v>
      </c>
      <c r="AR19" s="28">
        <f t="shared" si="45"/>
        <v>13.125</v>
      </c>
      <c r="AS19" s="28">
        <f t="shared" si="46"/>
        <v>13.25</v>
      </c>
      <c r="AT19" s="28">
        <f t="shared" si="47"/>
        <v>15.5</v>
      </c>
      <c r="AU19" s="28">
        <f t="shared" si="48"/>
        <v>12.708333333333334</v>
      </c>
      <c r="AV19" s="28">
        <f t="shared" si="49"/>
        <v>11.041666666666666</v>
      </c>
      <c r="AW19" s="28">
        <f t="shared" si="50"/>
        <v>13.125</v>
      </c>
      <c r="AX19" s="28">
        <f t="shared" si="51"/>
        <v>10.375</v>
      </c>
      <c r="AY19" s="28">
        <f t="shared" si="52"/>
        <v>8.5833333333333339</v>
      </c>
      <c r="AZ19" s="28">
        <f t="shared" si="53"/>
        <v>14.333333333333334</v>
      </c>
    </row>
    <row r="20" spans="1:52">
      <c r="A20">
        <f t="shared" si="54"/>
        <v>19</v>
      </c>
      <c r="B20">
        <f t="shared" si="3"/>
        <v>19</v>
      </c>
      <c r="C20">
        <f t="shared" si="4"/>
        <v>8</v>
      </c>
      <c r="D20">
        <f t="shared" si="5"/>
        <v>6</v>
      </c>
      <c r="E20">
        <f t="shared" si="6"/>
        <v>24</v>
      </c>
      <c r="F20">
        <f t="shared" si="7"/>
        <v>4</v>
      </c>
      <c r="G20">
        <f t="shared" si="8"/>
        <v>3</v>
      </c>
      <c r="H20">
        <f t="shared" si="9"/>
        <v>19</v>
      </c>
      <c r="I20">
        <f t="shared" si="10"/>
        <v>19</v>
      </c>
      <c r="J20">
        <f t="shared" si="11"/>
        <v>1</v>
      </c>
      <c r="K20">
        <f t="shared" si="12"/>
        <v>0</v>
      </c>
      <c r="L20">
        <f t="shared" si="13"/>
        <v>0</v>
      </c>
      <c r="M20">
        <f t="shared" si="14"/>
        <v>0</v>
      </c>
      <c r="N20">
        <f t="shared" si="15"/>
        <v>2</v>
      </c>
      <c r="O20">
        <f t="shared" si="16"/>
        <v>25</v>
      </c>
      <c r="P20">
        <f t="shared" si="17"/>
        <v>3</v>
      </c>
      <c r="Q20">
        <f t="shared" si="18"/>
        <v>12</v>
      </c>
      <c r="R20">
        <f t="shared" si="19"/>
        <v>22</v>
      </c>
      <c r="S20">
        <f t="shared" si="20"/>
        <v>8</v>
      </c>
      <c r="T20">
        <f t="shared" si="21"/>
        <v>6</v>
      </c>
      <c r="U20">
        <f t="shared" si="22"/>
        <v>12</v>
      </c>
      <c r="V20">
        <f t="shared" si="23"/>
        <v>12</v>
      </c>
      <c r="W20">
        <f t="shared" si="24"/>
        <v>2</v>
      </c>
      <c r="X20">
        <f t="shared" si="25"/>
        <v>0</v>
      </c>
      <c r="Y20">
        <f t="shared" si="26"/>
        <v>0</v>
      </c>
      <c r="Z20">
        <f t="shared" si="27"/>
        <v>0</v>
      </c>
      <c r="AA20">
        <f t="shared" si="28"/>
        <v>16</v>
      </c>
      <c r="AB20" s="28">
        <f t="shared" si="29"/>
        <v>13.666666666666666</v>
      </c>
      <c r="AC20" s="28">
        <f t="shared" si="30"/>
        <v>13.333333333333334</v>
      </c>
      <c r="AD20" s="28">
        <f t="shared" si="31"/>
        <v>10.833333333333334</v>
      </c>
      <c r="AE20" s="28">
        <f t="shared" si="32"/>
        <v>12</v>
      </c>
      <c r="AF20" s="28">
        <f t="shared" si="33"/>
        <v>12.75</v>
      </c>
      <c r="AG20" s="28">
        <f t="shared" si="34"/>
        <v>13.041666666666666</v>
      </c>
      <c r="AH20" s="28">
        <f t="shared" si="35"/>
        <v>13</v>
      </c>
      <c r="AI20" s="28">
        <f t="shared" si="36"/>
        <v>10.375</v>
      </c>
      <c r="AJ20" s="28">
        <f t="shared" si="37"/>
        <v>13.666666666666666</v>
      </c>
      <c r="AK20" s="28">
        <f t="shared" si="38"/>
        <v>10.25</v>
      </c>
      <c r="AL20" s="28">
        <f t="shared" si="39"/>
        <v>9.8333333333333339</v>
      </c>
      <c r="AM20" s="28">
        <f t="shared" si="40"/>
        <v>10.041666666666666</v>
      </c>
      <c r="AN20" s="28">
        <f t="shared" si="41"/>
        <v>10.916666666666666</v>
      </c>
      <c r="AO20" s="28">
        <f t="shared" si="42"/>
        <v>10.583333333333334</v>
      </c>
      <c r="AP20" s="28">
        <f t="shared" si="43"/>
        <v>12.083333333333334</v>
      </c>
      <c r="AQ20" s="28">
        <f t="shared" si="44"/>
        <v>11.458333333333334</v>
      </c>
      <c r="AR20" s="28">
        <f t="shared" si="45"/>
        <v>12.666666666666666</v>
      </c>
      <c r="AS20" s="28">
        <f t="shared" si="46"/>
        <v>12.916666666666666</v>
      </c>
      <c r="AT20" s="28">
        <f t="shared" si="47"/>
        <v>15.416666666666666</v>
      </c>
      <c r="AU20" s="28">
        <f t="shared" si="48"/>
        <v>12.958333333333334</v>
      </c>
      <c r="AV20" s="28">
        <f t="shared" si="49"/>
        <v>11</v>
      </c>
      <c r="AW20" s="28">
        <f t="shared" si="50"/>
        <v>12.208333333333334</v>
      </c>
      <c r="AX20" s="28">
        <f t="shared" si="51"/>
        <v>10.666666666666666</v>
      </c>
      <c r="AY20" s="28">
        <f t="shared" si="52"/>
        <v>9.5</v>
      </c>
      <c r="AZ20" s="28">
        <f t="shared" si="53"/>
        <v>14.083333333333334</v>
      </c>
    </row>
    <row r="21" spans="1:52">
      <c r="A21">
        <f t="shared" si="54"/>
        <v>20</v>
      </c>
      <c r="B21">
        <f t="shared" si="3"/>
        <v>0</v>
      </c>
      <c r="C21">
        <f t="shared" si="4"/>
        <v>8</v>
      </c>
      <c r="D21">
        <f t="shared" si="5"/>
        <v>14</v>
      </c>
      <c r="E21">
        <f t="shared" si="6"/>
        <v>12</v>
      </c>
      <c r="F21">
        <f t="shared" si="7"/>
        <v>16</v>
      </c>
      <c r="G21">
        <f t="shared" si="8"/>
        <v>19</v>
      </c>
      <c r="H21">
        <f t="shared" si="9"/>
        <v>12</v>
      </c>
      <c r="I21">
        <f t="shared" si="10"/>
        <v>5</v>
      </c>
      <c r="J21">
        <f t="shared" si="11"/>
        <v>6</v>
      </c>
      <c r="K21">
        <f t="shared" si="12"/>
        <v>6</v>
      </c>
      <c r="L21">
        <f t="shared" si="13"/>
        <v>6</v>
      </c>
      <c r="M21">
        <f t="shared" si="14"/>
        <v>6</v>
      </c>
      <c r="N21">
        <f t="shared" si="15"/>
        <v>8</v>
      </c>
      <c r="O21">
        <f t="shared" si="16"/>
        <v>7</v>
      </c>
      <c r="P21">
        <f t="shared" si="17"/>
        <v>10</v>
      </c>
      <c r="Q21">
        <f t="shared" si="18"/>
        <v>22</v>
      </c>
      <c r="R21">
        <f t="shared" si="19"/>
        <v>18</v>
      </c>
      <c r="S21">
        <f t="shared" si="20"/>
        <v>0</v>
      </c>
      <c r="T21">
        <f t="shared" si="21"/>
        <v>6</v>
      </c>
      <c r="U21">
        <f t="shared" si="22"/>
        <v>18</v>
      </c>
      <c r="V21">
        <f t="shared" si="23"/>
        <v>4</v>
      </c>
      <c r="W21">
        <f t="shared" si="24"/>
        <v>6</v>
      </c>
      <c r="X21">
        <f t="shared" si="25"/>
        <v>6</v>
      </c>
      <c r="Y21">
        <f t="shared" si="26"/>
        <v>6</v>
      </c>
      <c r="Z21">
        <f t="shared" si="27"/>
        <v>6</v>
      </c>
      <c r="AA21">
        <f t="shared" si="28"/>
        <v>22</v>
      </c>
      <c r="AB21" s="28">
        <f t="shared" si="29"/>
        <v>14.25</v>
      </c>
      <c r="AC21" s="28">
        <f t="shared" si="30"/>
        <v>13.5</v>
      </c>
      <c r="AD21" s="28">
        <f t="shared" si="31"/>
        <v>10.25</v>
      </c>
      <c r="AE21" s="28">
        <f t="shared" si="32"/>
        <v>12.5</v>
      </c>
      <c r="AF21" s="28">
        <f t="shared" si="33"/>
        <v>13.333333333333334</v>
      </c>
      <c r="AG21" s="28">
        <f t="shared" si="34"/>
        <v>12.291666666666666</v>
      </c>
      <c r="AH21" s="28">
        <f t="shared" si="35"/>
        <v>12.291666666666666</v>
      </c>
      <c r="AI21" s="28">
        <f t="shared" si="36"/>
        <v>10.75</v>
      </c>
      <c r="AJ21" s="28">
        <f t="shared" si="37"/>
        <v>14.666666666666666</v>
      </c>
      <c r="AK21" s="28">
        <f t="shared" si="38"/>
        <v>10.833333333333334</v>
      </c>
      <c r="AL21" s="28">
        <f t="shared" si="39"/>
        <v>9.8333333333333339</v>
      </c>
      <c r="AM21" s="28">
        <f t="shared" si="40"/>
        <v>10.125</v>
      </c>
      <c r="AN21" s="28">
        <f t="shared" si="41"/>
        <v>10.208333333333334</v>
      </c>
      <c r="AO21" s="28">
        <f t="shared" si="42"/>
        <v>11.041666666666666</v>
      </c>
      <c r="AP21" s="28">
        <f t="shared" si="43"/>
        <v>12.291666666666666</v>
      </c>
      <c r="AQ21" s="28">
        <f t="shared" si="44"/>
        <v>10.75</v>
      </c>
      <c r="AR21" s="28">
        <f t="shared" si="45"/>
        <v>12.583333333333334</v>
      </c>
      <c r="AS21" s="28">
        <f t="shared" si="46"/>
        <v>13.583333333333334</v>
      </c>
      <c r="AT21" s="28">
        <f t="shared" si="47"/>
        <v>14.916666666666666</v>
      </c>
      <c r="AU21" s="28">
        <f t="shared" si="48"/>
        <v>12.708333333333334</v>
      </c>
      <c r="AV21" s="28">
        <f t="shared" si="49"/>
        <v>11.791666666666666</v>
      </c>
      <c r="AW21" s="28">
        <f t="shared" si="50"/>
        <v>13.166666666666666</v>
      </c>
      <c r="AX21" s="28">
        <f t="shared" si="51"/>
        <v>10.833333333333334</v>
      </c>
      <c r="AY21" s="28">
        <f t="shared" si="52"/>
        <v>9.5</v>
      </c>
      <c r="AZ21" s="28">
        <f t="shared" si="53"/>
        <v>13.833333333333334</v>
      </c>
    </row>
    <row r="22" spans="1:52">
      <c r="A22">
        <f t="shared" si="54"/>
        <v>21</v>
      </c>
      <c r="B22">
        <f t="shared" si="3"/>
        <v>1</v>
      </c>
      <c r="C22">
        <f t="shared" si="4"/>
        <v>9</v>
      </c>
      <c r="D22">
        <f t="shared" si="5"/>
        <v>23</v>
      </c>
      <c r="E22">
        <f t="shared" si="6"/>
        <v>9</v>
      </c>
      <c r="F22">
        <f t="shared" si="7"/>
        <v>25</v>
      </c>
      <c r="G22">
        <f t="shared" si="8"/>
        <v>18</v>
      </c>
      <c r="H22">
        <f t="shared" si="9"/>
        <v>4</v>
      </c>
      <c r="I22">
        <f t="shared" si="10"/>
        <v>9</v>
      </c>
      <c r="J22">
        <f t="shared" si="11"/>
        <v>15</v>
      </c>
      <c r="K22">
        <f t="shared" si="12"/>
        <v>21</v>
      </c>
      <c r="L22">
        <f t="shared" si="13"/>
        <v>1</v>
      </c>
      <c r="M22">
        <f t="shared" si="14"/>
        <v>7</v>
      </c>
      <c r="N22">
        <f t="shared" si="15"/>
        <v>15</v>
      </c>
      <c r="O22">
        <f t="shared" si="16"/>
        <v>22</v>
      </c>
      <c r="P22">
        <f t="shared" si="17"/>
        <v>6</v>
      </c>
      <c r="Q22">
        <f t="shared" si="18"/>
        <v>2</v>
      </c>
      <c r="R22">
        <f t="shared" si="19"/>
        <v>20</v>
      </c>
      <c r="S22">
        <f t="shared" si="20"/>
        <v>20</v>
      </c>
      <c r="T22">
        <f t="shared" si="21"/>
        <v>0</v>
      </c>
      <c r="U22">
        <f t="shared" si="22"/>
        <v>18</v>
      </c>
      <c r="V22">
        <f t="shared" si="23"/>
        <v>22</v>
      </c>
      <c r="W22">
        <f t="shared" si="24"/>
        <v>2</v>
      </c>
      <c r="X22">
        <f t="shared" si="25"/>
        <v>8</v>
      </c>
      <c r="Y22">
        <f t="shared" si="26"/>
        <v>14</v>
      </c>
      <c r="Z22">
        <f t="shared" si="27"/>
        <v>20</v>
      </c>
      <c r="AA22">
        <f t="shared" si="28"/>
        <v>16</v>
      </c>
      <c r="AB22" s="28">
        <f t="shared" si="29"/>
        <v>13.916666666666666</v>
      </c>
      <c r="AC22" s="28">
        <f t="shared" si="30"/>
        <v>13.333333333333334</v>
      </c>
      <c r="AD22" s="28">
        <f t="shared" si="31"/>
        <v>10.583333333333334</v>
      </c>
      <c r="AE22" s="28">
        <f t="shared" si="32"/>
        <v>12.25</v>
      </c>
      <c r="AF22" s="28">
        <f t="shared" si="33"/>
        <v>12.583333333333334</v>
      </c>
      <c r="AG22" s="28">
        <f t="shared" si="34"/>
        <v>11.875</v>
      </c>
      <c r="AH22" s="28">
        <f t="shared" si="35"/>
        <v>12.25</v>
      </c>
      <c r="AI22" s="28">
        <f t="shared" si="36"/>
        <v>11.083333333333334</v>
      </c>
      <c r="AJ22" s="28">
        <f t="shared" si="37"/>
        <v>14.916666666666666</v>
      </c>
      <c r="AK22" s="28">
        <f t="shared" si="38"/>
        <v>10.583333333333334</v>
      </c>
      <c r="AL22" s="28">
        <f t="shared" si="39"/>
        <v>9.5833333333333339</v>
      </c>
      <c r="AM22" s="28">
        <f t="shared" si="40"/>
        <v>9.9583333333333339</v>
      </c>
      <c r="AN22" s="28">
        <f t="shared" si="41"/>
        <v>10.416666666666666</v>
      </c>
      <c r="AO22" s="28">
        <f t="shared" si="42"/>
        <v>10.625</v>
      </c>
      <c r="AP22" s="28">
        <f t="shared" si="43"/>
        <v>12.083333333333334</v>
      </c>
      <c r="AQ22" s="28">
        <f t="shared" si="44"/>
        <v>10.916666666666666</v>
      </c>
      <c r="AR22" s="28">
        <f t="shared" si="45"/>
        <v>12.666666666666666</v>
      </c>
      <c r="AS22" s="28">
        <f t="shared" si="46"/>
        <v>14.333333333333334</v>
      </c>
      <c r="AT22" s="28">
        <f t="shared" si="47"/>
        <v>15.166666666666666</v>
      </c>
      <c r="AU22" s="28">
        <f t="shared" si="48"/>
        <v>12.708333333333334</v>
      </c>
      <c r="AV22" s="28">
        <f t="shared" si="49"/>
        <v>12.583333333333334</v>
      </c>
      <c r="AW22" s="28">
        <f t="shared" si="50"/>
        <v>13.833333333333334</v>
      </c>
      <c r="AX22" s="28">
        <f t="shared" si="51"/>
        <v>10.583333333333334</v>
      </c>
      <c r="AY22" s="28">
        <f t="shared" si="52"/>
        <v>9.25</v>
      </c>
      <c r="AZ22" s="28">
        <f t="shared" si="53"/>
        <v>13.333333333333334</v>
      </c>
    </row>
    <row r="23" spans="1:52">
      <c r="A23">
        <f t="shared" si="54"/>
        <v>22</v>
      </c>
      <c r="B23">
        <f t="shared" si="3"/>
        <v>2</v>
      </c>
      <c r="C23">
        <f t="shared" si="4"/>
        <v>11</v>
      </c>
      <c r="D23">
        <f t="shared" si="5"/>
        <v>8</v>
      </c>
      <c r="E23">
        <f t="shared" si="6"/>
        <v>17</v>
      </c>
      <c r="F23">
        <f t="shared" si="7"/>
        <v>16</v>
      </c>
      <c r="G23">
        <f t="shared" si="8"/>
        <v>8</v>
      </c>
      <c r="H23">
        <f t="shared" si="9"/>
        <v>12</v>
      </c>
      <c r="I23">
        <f t="shared" si="10"/>
        <v>21</v>
      </c>
      <c r="J23">
        <f t="shared" si="11"/>
        <v>10</v>
      </c>
      <c r="K23">
        <f t="shared" si="12"/>
        <v>5</v>
      </c>
      <c r="L23">
        <f t="shared" si="13"/>
        <v>6</v>
      </c>
      <c r="M23">
        <f t="shared" si="14"/>
        <v>13</v>
      </c>
      <c r="N23">
        <f t="shared" si="15"/>
        <v>2</v>
      </c>
      <c r="O23">
        <f t="shared" si="16"/>
        <v>24</v>
      </c>
      <c r="P23">
        <f t="shared" si="17"/>
        <v>4</v>
      </c>
      <c r="Q23">
        <f t="shared" si="18"/>
        <v>6</v>
      </c>
      <c r="R23">
        <f t="shared" si="19"/>
        <v>0</v>
      </c>
      <c r="S23">
        <f t="shared" si="20"/>
        <v>20</v>
      </c>
      <c r="T23">
        <f t="shared" si="21"/>
        <v>20</v>
      </c>
      <c r="U23">
        <f t="shared" si="22"/>
        <v>12</v>
      </c>
      <c r="V23">
        <f t="shared" si="23"/>
        <v>8</v>
      </c>
      <c r="W23">
        <f t="shared" si="24"/>
        <v>10</v>
      </c>
      <c r="X23">
        <f t="shared" si="25"/>
        <v>18</v>
      </c>
      <c r="Y23">
        <f t="shared" si="26"/>
        <v>6</v>
      </c>
      <c r="Z23">
        <f t="shared" si="27"/>
        <v>0</v>
      </c>
      <c r="AA23">
        <f t="shared" si="28"/>
        <v>16</v>
      </c>
      <c r="AB23" s="28">
        <f t="shared" si="29"/>
        <v>13.75</v>
      </c>
      <c r="AC23" s="28">
        <f t="shared" si="30"/>
        <v>13</v>
      </c>
      <c r="AD23" s="28">
        <f t="shared" si="31"/>
        <v>10.583333333333334</v>
      </c>
      <c r="AE23" s="28">
        <f t="shared" si="32"/>
        <v>12</v>
      </c>
      <c r="AF23" s="28">
        <f t="shared" si="33"/>
        <v>12.666666666666666</v>
      </c>
      <c r="AG23" s="28">
        <f t="shared" si="34"/>
        <v>12.625</v>
      </c>
      <c r="AH23" s="28">
        <f t="shared" si="35"/>
        <v>11.875</v>
      </c>
      <c r="AI23" s="28">
        <f t="shared" si="36"/>
        <v>11.041666666666666</v>
      </c>
      <c r="AJ23" s="28">
        <f t="shared" si="37"/>
        <v>14.041666666666666</v>
      </c>
      <c r="AK23" s="28">
        <f t="shared" si="38"/>
        <v>10.541666666666666</v>
      </c>
      <c r="AL23" s="28">
        <f t="shared" si="39"/>
        <v>9.2916666666666661</v>
      </c>
      <c r="AM23" s="28">
        <f t="shared" si="40"/>
        <v>9.5</v>
      </c>
      <c r="AN23" s="28">
        <f t="shared" si="41"/>
        <v>10.166666666666666</v>
      </c>
      <c r="AO23" s="28">
        <f t="shared" si="42"/>
        <v>11.041666666666666</v>
      </c>
      <c r="AP23" s="28">
        <f t="shared" si="43"/>
        <v>12.291666666666666</v>
      </c>
      <c r="AQ23" s="28">
        <f t="shared" si="44"/>
        <v>10.208333333333334</v>
      </c>
      <c r="AR23" s="28">
        <f t="shared" si="45"/>
        <v>12.041666666666666</v>
      </c>
      <c r="AS23" s="28">
        <f t="shared" si="46"/>
        <v>14.458333333333334</v>
      </c>
      <c r="AT23" s="28">
        <f t="shared" si="47"/>
        <v>14.458333333333334</v>
      </c>
      <c r="AU23" s="28">
        <f t="shared" si="48"/>
        <v>12</v>
      </c>
      <c r="AV23" s="28">
        <f t="shared" si="49"/>
        <v>12.666666666666666</v>
      </c>
      <c r="AW23" s="28">
        <f t="shared" si="50"/>
        <v>13.5</v>
      </c>
      <c r="AX23" s="28">
        <f t="shared" si="51"/>
        <v>10</v>
      </c>
      <c r="AY23" s="28">
        <f t="shared" si="52"/>
        <v>8.4166666666666661</v>
      </c>
      <c r="AZ23" s="28">
        <f t="shared" si="53"/>
        <v>13.083333333333334</v>
      </c>
    </row>
    <row r="24" spans="1:52">
      <c r="A24">
        <f t="shared" si="54"/>
        <v>23</v>
      </c>
      <c r="B24">
        <f t="shared" si="3"/>
        <v>3</v>
      </c>
      <c r="C24">
        <f t="shared" si="4"/>
        <v>14</v>
      </c>
      <c r="D24">
        <f t="shared" si="5"/>
        <v>22</v>
      </c>
      <c r="E24">
        <f t="shared" si="6"/>
        <v>13</v>
      </c>
      <c r="F24">
        <f t="shared" si="7"/>
        <v>3</v>
      </c>
      <c r="G24">
        <f t="shared" si="8"/>
        <v>11</v>
      </c>
      <c r="H24">
        <f t="shared" si="9"/>
        <v>23</v>
      </c>
      <c r="I24">
        <f t="shared" si="10"/>
        <v>18</v>
      </c>
      <c r="J24">
        <f t="shared" si="11"/>
        <v>2</v>
      </c>
      <c r="K24">
        <f t="shared" si="12"/>
        <v>7</v>
      </c>
      <c r="L24">
        <f t="shared" si="13"/>
        <v>13</v>
      </c>
      <c r="M24">
        <f t="shared" si="14"/>
        <v>0</v>
      </c>
      <c r="N24">
        <f t="shared" si="15"/>
        <v>2</v>
      </c>
      <c r="O24">
        <f t="shared" si="16"/>
        <v>0</v>
      </c>
      <c r="P24">
        <f t="shared" si="17"/>
        <v>4</v>
      </c>
      <c r="Q24">
        <f t="shared" si="18"/>
        <v>10</v>
      </c>
      <c r="R24">
        <f t="shared" si="19"/>
        <v>10</v>
      </c>
      <c r="S24">
        <f t="shared" si="20"/>
        <v>4</v>
      </c>
      <c r="T24">
        <f t="shared" si="21"/>
        <v>24</v>
      </c>
      <c r="U24">
        <f t="shared" si="22"/>
        <v>10</v>
      </c>
      <c r="V24">
        <f t="shared" si="23"/>
        <v>18</v>
      </c>
      <c r="W24">
        <f t="shared" si="24"/>
        <v>2</v>
      </c>
      <c r="X24">
        <f t="shared" si="25"/>
        <v>20</v>
      </c>
      <c r="Y24">
        <f t="shared" si="26"/>
        <v>0</v>
      </c>
      <c r="Z24">
        <f t="shared" si="27"/>
        <v>0</v>
      </c>
      <c r="AA24">
        <f t="shared" si="28"/>
        <v>16</v>
      </c>
      <c r="AB24" s="28">
        <f t="shared" si="29"/>
        <v>13.75</v>
      </c>
      <c r="AC24" s="28">
        <f t="shared" si="30"/>
        <v>12.666666666666666</v>
      </c>
      <c r="AD24" s="28">
        <f t="shared" si="31"/>
        <v>10.25</v>
      </c>
      <c r="AE24" s="28">
        <f t="shared" si="32"/>
        <v>11.416666666666666</v>
      </c>
      <c r="AF24" s="28">
        <f t="shared" si="33"/>
        <v>13.25</v>
      </c>
      <c r="AG24" s="28">
        <f t="shared" si="34"/>
        <v>12.875</v>
      </c>
      <c r="AH24" s="28">
        <f t="shared" si="35"/>
        <v>11.75</v>
      </c>
      <c r="AI24" s="28">
        <f t="shared" si="36"/>
        <v>10.875</v>
      </c>
      <c r="AJ24" s="28">
        <f t="shared" si="37"/>
        <v>14.083333333333334</v>
      </c>
      <c r="AK24" s="28">
        <f t="shared" si="38"/>
        <v>10.541666666666666</v>
      </c>
      <c r="AL24" s="28">
        <f t="shared" si="39"/>
        <v>9</v>
      </c>
      <c r="AM24" s="28">
        <f t="shared" si="40"/>
        <v>9.8333333333333339</v>
      </c>
      <c r="AN24" s="28">
        <f t="shared" si="41"/>
        <v>9.1666666666666661</v>
      </c>
      <c r="AO24" s="28">
        <f t="shared" si="42"/>
        <v>11.541666666666666</v>
      </c>
      <c r="AP24" s="28">
        <f t="shared" si="43"/>
        <v>13</v>
      </c>
      <c r="AQ24" s="28">
        <f t="shared" si="44"/>
        <v>10.208333333333334</v>
      </c>
      <c r="AR24" s="28">
        <f t="shared" si="45"/>
        <v>11.416666666666666</v>
      </c>
      <c r="AS24" s="28">
        <f t="shared" si="46"/>
        <v>13.958333333333334</v>
      </c>
      <c r="AT24" s="28">
        <f t="shared" si="47"/>
        <v>14.333333333333334</v>
      </c>
      <c r="AU24" s="28">
        <f t="shared" si="48"/>
        <v>12.25</v>
      </c>
      <c r="AV24" s="28">
        <f t="shared" si="49"/>
        <v>13</v>
      </c>
      <c r="AW24" s="28">
        <f t="shared" si="50"/>
        <v>13.5</v>
      </c>
      <c r="AX24" s="28">
        <f t="shared" si="51"/>
        <v>10.5</v>
      </c>
      <c r="AY24" s="28">
        <f t="shared" si="52"/>
        <v>9.1666666666666661</v>
      </c>
      <c r="AZ24" s="28">
        <f t="shared" si="53"/>
        <v>12.5</v>
      </c>
    </row>
    <row r="25" spans="1:52">
      <c r="A25">
        <f t="shared" si="54"/>
        <v>24</v>
      </c>
      <c r="B25">
        <f t="shared" si="3"/>
        <v>4</v>
      </c>
      <c r="C25">
        <f t="shared" si="4"/>
        <v>18</v>
      </c>
      <c r="D25">
        <f t="shared" si="5"/>
        <v>14</v>
      </c>
      <c r="E25">
        <f t="shared" si="6"/>
        <v>1</v>
      </c>
      <c r="F25">
        <f t="shared" si="7"/>
        <v>4</v>
      </c>
      <c r="G25">
        <f t="shared" si="8"/>
        <v>15</v>
      </c>
      <c r="H25">
        <f t="shared" si="9"/>
        <v>12</v>
      </c>
      <c r="I25">
        <f t="shared" si="10"/>
        <v>4</v>
      </c>
      <c r="J25">
        <f t="shared" si="11"/>
        <v>6</v>
      </c>
      <c r="K25">
        <f t="shared" si="12"/>
        <v>13</v>
      </c>
      <c r="L25">
        <f t="shared" si="13"/>
        <v>0</v>
      </c>
      <c r="M25">
        <f t="shared" si="14"/>
        <v>0</v>
      </c>
      <c r="N25">
        <f t="shared" si="15"/>
        <v>2</v>
      </c>
      <c r="O25">
        <f t="shared" si="16"/>
        <v>2</v>
      </c>
      <c r="P25">
        <f t="shared" si="17"/>
        <v>6</v>
      </c>
      <c r="Q25">
        <f t="shared" si="18"/>
        <v>16</v>
      </c>
      <c r="R25">
        <f t="shared" si="19"/>
        <v>0</v>
      </c>
      <c r="S25">
        <f t="shared" si="20"/>
        <v>4</v>
      </c>
      <c r="T25">
        <f t="shared" si="21"/>
        <v>2</v>
      </c>
      <c r="U25">
        <f t="shared" si="22"/>
        <v>12</v>
      </c>
      <c r="V25">
        <f t="shared" si="23"/>
        <v>4</v>
      </c>
      <c r="W25">
        <f t="shared" si="24"/>
        <v>6</v>
      </c>
      <c r="X25">
        <f t="shared" si="25"/>
        <v>0</v>
      </c>
      <c r="Y25">
        <f t="shared" si="26"/>
        <v>0</v>
      </c>
      <c r="Z25">
        <f t="shared" si="27"/>
        <v>0</v>
      </c>
      <c r="AA25">
        <f t="shared" si="28"/>
        <v>16</v>
      </c>
      <c r="AB25" s="28">
        <f t="shared" si="29"/>
        <v>13.916666666666666</v>
      </c>
      <c r="AC25" s="28">
        <f t="shared" si="30"/>
        <v>12.5</v>
      </c>
      <c r="AD25" s="28">
        <f t="shared" si="31"/>
        <v>9.75</v>
      </c>
      <c r="AE25" s="28">
        <f t="shared" si="32"/>
        <v>11.416666666666666</v>
      </c>
      <c r="AF25" s="28">
        <f t="shared" si="33"/>
        <v>13.833333333333334</v>
      </c>
      <c r="AG25" s="28">
        <f t="shared" si="34"/>
        <v>12.625</v>
      </c>
      <c r="AH25" s="28">
        <f t="shared" si="35"/>
        <v>11.375</v>
      </c>
      <c r="AI25" s="28">
        <f t="shared" si="36"/>
        <v>11.416666666666666</v>
      </c>
      <c r="AJ25" s="28">
        <f t="shared" si="37"/>
        <v>14.666666666666666</v>
      </c>
      <c r="AK25" s="28">
        <f t="shared" si="38"/>
        <v>10.041666666666666</v>
      </c>
      <c r="AL25" s="28">
        <f t="shared" si="39"/>
        <v>9.2916666666666661</v>
      </c>
      <c r="AM25" s="28">
        <f t="shared" si="40"/>
        <v>10.458333333333334</v>
      </c>
      <c r="AN25" s="28">
        <f t="shared" si="41"/>
        <v>9.875</v>
      </c>
      <c r="AO25" s="28">
        <f t="shared" si="42"/>
        <v>11.666666666666666</v>
      </c>
      <c r="AP25" s="28">
        <f t="shared" si="43"/>
        <v>12.75</v>
      </c>
      <c r="AQ25" s="28">
        <f t="shared" si="44"/>
        <v>9.9583333333333339</v>
      </c>
      <c r="AR25" s="28">
        <f t="shared" si="45"/>
        <v>11.625</v>
      </c>
      <c r="AS25" s="28">
        <f t="shared" si="46"/>
        <v>13.666666666666666</v>
      </c>
      <c r="AT25" s="28">
        <f t="shared" si="47"/>
        <v>13.916666666666666</v>
      </c>
      <c r="AU25" s="28">
        <f t="shared" si="48"/>
        <v>12.083333333333334</v>
      </c>
      <c r="AV25" s="28">
        <f t="shared" si="49"/>
        <v>13.166666666666666</v>
      </c>
      <c r="AW25" s="28">
        <f t="shared" si="50"/>
        <v>13.666666666666666</v>
      </c>
      <c r="AX25" s="28">
        <f t="shared" si="51"/>
        <v>11.166666666666666</v>
      </c>
      <c r="AY25" s="28">
        <f t="shared" si="52"/>
        <v>9.5</v>
      </c>
      <c r="AZ25" s="28">
        <f t="shared" si="53"/>
        <v>12.25</v>
      </c>
    </row>
    <row r="26" spans="1:52">
      <c r="A26">
        <f t="shared" si="54"/>
        <v>25</v>
      </c>
      <c r="B26">
        <f t="shared" si="3"/>
        <v>5</v>
      </c>
      <c r="C26">
        <f t="shared" si="4"/>
        <v>23</v>
      </c>
      <c r="D26">
        <f t="shared" si="5"/>
        <v>11</v>
      </c>
      <c r="E26">
        <f t="shared" si="6"/>
        <v>12</v>
      </c>
      <c r="F26">
        <f t="shared" si="7"/>
        <v>16</v>
      </c>
      <c r="G26">
        <f t="shared" si="8"/>
        <v>5</v>
      </c>
      <c r="H26">
        <f t="shared" si="9"/>
        <v>17</v>
      </c>
      <c r="I26">
        <f t="shared" si="10"/>
        <v>21</v>
      </c>
      <c r="J26">
        <f t="shared" si="11"/>
        <v>1</v>
      </c>
      <c r="K26">
        <f t="shared" si="12"/>
        <v>14</v>
      </c>
      <c r="L26">
        <f t="shared" si="13"/>
        <v>14</v>
      </c>
      <c r="M26">
        <f t="shared" si="14"/>
        <v>14</v>
      </c>
      <c r="N26">
        <f t="shared" si="15"/>
        <v>16</v>
      </c>
      <c r="O26">
        <f t="shared" si="16"/>
        <v>18</v>
      </c>
      <c r="P26">
        <f t="shared" si="17"/>
        <v>24</v>
      </c>
      <c r="Q26">
        <f t="shared" si="18"/>
        <v>14</v>
      </c>
      <c r="R26">
        <f t="shared" si="19"/>
        <v>14</v>
      </c>
      <c r="S26">
        <f t="shared" si="20"/>
        <v>18</v>
      </c>
      <c r="T26">
        <f t="shared" si="21"/>
        <v>20</v>
      </c>
      <c r="U26">
        <f t="shared" si="22"/>
        <v>6</v>
      </c>
      <c r="V26">
        <f t="shared" si="23"/>
        <v>10</v>
      </c>
      <c r="W26">
        <f t="shared" si="24"/>
        <v>16</v>
      </c>
      <c r="X26">
        <f t="shared" si="25"/>
        <v>16</v>
      </c>
      <c r="Y26">
        <f t="shared" si="26"/>
        <v>16</v>
      </c>
      <c r="Z26">
        <f t="shared" si="27"/>
        <v>16</v>
      </c>
      <c r="AA26">
        <f t="shared" si="28"/>
        <v>6</v>
      </c>
      <c r="AB26" s="28">
        <f t="shared" si="29"/>
        <v>13.166666666666666</v>
      </c>
      <c r="AC26" s="28">
        <f t="shared" si="30"/>
        <v>12.666666666666666</v>
      </c>
      <c r="AD26" s="28">
        <f t="shared" si="31"/>
        <v>10.5</v>
      </c>
      <c r="AE26" s="28">
        <f t="shared" si="32"/>
        <v>12.166666666666666</v>
      </c>
      <c r="AF26" s="28">
        <f t="shared" si="33"/>
        <v>14.083333333333334</v>
      </c>
      <c r="AG26" s="28">
        <f t="shared" si="34"/>
        <v>12.625</v>
      </c>
      <c r="AH26" s="28">
        <f t="shared" si="35"/>
        <v>12.083333333333334</v>
      </c>
      <c r="AI26" s="28">
        <f t="shared" si="36"/>
        <v>11.583333333333334</v>
      </c>
      <c r="AJ26" s="28">
        <f t="shared" si="37"/>
        <v>14.333333333333334</v>
      </c>
      <c r="AK26" s="28">
        <f t="shared" si="38"/>
        <v>10.291666666666666</v>
      </c>
      <c r="AL26" s="28">
        <f t="shared" si="39"/>
        <v>9.8333333333333339</v>
      </c>
      <c r="AM26" s="28">
        <f t="shared" si="40"/>
        <v>10.541666666666666</v>
      </c>
      <c r="AN26" s="28">
        <f t="shared" si="41"/>
        <v>10.666666666666666</v>
      </c>
      <c r="AO26" s="28">
        <f t="shared" si="42"/>
        <v>11.5</v>
      </c>
      <c r="AP26" s="28">
        <f t="shared" si="43"/>
        <v>12.333333333333334</v>
      </c>
      <c r="AQ26" s="28">
        <f t="shared" si="44"/>
        <v>10.375</v>
      </c>
      <c r="AR26" s="28">
        <f t="shared" si="45"/>
        <v>12.25</v>
      </c>
      <c r="AS26" s="28">
        <f t="shared" si="46"/>
        <v>14</v>
      </c>
      <c r="AT26" s="28">
        <f t="shared" si="47"/>
        <v>13.833333333333334</v>
      </c>
      <c r="AU26" s="28">
        <f t="shared" si="48"/>
        <v>12.916666666666666</v>
      </c>
      <c r="AV26" s="28">
        <f t="shared" si="49"/>
        <v>13.083333333333334</v>
      </c>
      <c r="AW26" s="28">
        <f t="shared" si="50"/>
        <v>13.75</v>
      </c>
      <c r="AX26" s="28">
        <f t="shared" si="51"/>
        <v>11.916666666666666</v>
      </c>
      <c r="AY26" s="28">
        <f t="shared" si="52"/>
        <v>9.5</v>
      </c>
      <c r="AZ26" s="28">
        <f t="shared" si="53"/>
        <v>12</v>
      </c>
    </row>
    <row r="27" spans="1:52">
      <c r="A27">
        <f t="shared" si="54"/>
        <v>26</v>
      </c>
      <c r="B27">
        <f t="shared" si="3"/>
        <v>6</v>
      </c>
      <c r="C27">
        <f t="shared" si="4"/>
        <v>3</v>
      </c>
      <c r="D27">
        <f t="shared" si="5"/>
        <v>14</v>
      </c>
      <c r="E27">
        <f t="shared" si="6"/>
        <v>0</v>
      </c>
      <c r="F27">
        <f t="shared" si="7"/>
        <v>16</v>
      </c>
      <c r="G27">
        <f t="shared" si="8"/>
        <v>21</v>
      </c>
      <c r="H27">
        <f t="shared" si="9"/>
        <v>12</v>
      </c>
      <c r="I27">
        <f t="shared" si="10"/>
        <v>7</v>
      </c>
      <c r="J27">
        <f t="shared" si="11"/>
        <v>8</v>
      </c>
      <c r="K27">
        <f t="shared" si="12"/>
        <v>22</v>
      </c>
      <c r="L27">
        <f t="shared" si="13"/>
        <v>10</v>
      </c>
      <c r="M27">
        <f t="shared" si="14"/>
        <v>24</v>
      </c>
      <c r="N27">
        <f t="shared" si="15"/>
        <v>14</v>
      </c>
      <c r="O27">
        <f t="shared" si="16"/>
        <v>6</v>
      </c>
      <c r="P27">
        <f t="shared" si="17"/>
        <v>4</v>
      </c>
      <c r="Q27">
        <f t="shared" si="18"/>
        <v>18</v>
      </c>
      <c r="R27">
        <f t="shared" si="19"/>
        <v>6</v>
      </c>
      <c r="S27">
        <f t="shared" si="20"/>
        <v>24</v>
      </c>
      <c r="T27">
        <f t="shared" si="21"/>
        <v>18</v>
      </c>
      <c r="U27">
        <f t="shared" si="22"/>
        <v>24</v>
      </c>
      <c r="V27">
        <f t="shared" si="23"/>
        <v>8</v>
      </c>
      <c r="W27">
        <f t="shared" si="24"/>
        <v>24</v>
      </c>
      <c r="X27">
        <f t="shared" si="25"/>
        <v>14</v>
      </c>
      <c r="Y27">
        <f t="shared" si="26"/>
        <v>4</v>
      </c>
      <c r="Z27">
        <f t="shared" si="27"/>
        <v>20</v>
      </c>
      <c r="AA27">
        <f t="shared" si="28"/>
        <v>0</v>
      </c>
      <c r="AB27" s="28">
        <f t="shared" si="29"/>
        <v>12.583333333333334</v>
      </c>
      <c r="AC27" s="28">
        <f t="shared" si="30"/>
        <v>12.25</v>
      </c>
      <c r="AD27" s="28">
        <f t="shared" si="31"/>
        <v>10.833333333333334</v>
      </c>
      <c r="AE27" s="28">
        <f t="shared" si="32"/>
        <v>12.166666666666666</v>
      </c>
      <c r="AF27" s="28">
        <f t="shared" si="33"/>
        <v>14.333333333333334</v>
      </c>
      <c r="AG27" s="28">
        <f t="shared" si="34"/>
        <v>12.875</v>
      </c>
      <c r="AH27" s="28">
        <f t="shared" si="35"/>
        <v>11.958333333333334</v>
      </c>
      <c r="AI27" s="28">
        <f t="shared" si="36"/>
        <v>11.625</v>
      </c>
      <c r="AJ27" s="28">
        <f t="shared" si="37"/>
        <v>14.041666666666666</v>
      </c>
      <c r="AK27" s="28">
        <f t="shared" si="38"/>
        <v>10.25</v>
      </c>
      <c r="AL27" s="28">
        <f t="shared" si="39"/>
        <v>9.25</v>
      </c>
      <c r="AM27" s="28">
        <f t="shared" si="40"/>
        <v>10.041666666666666</v>
      </c>
      <c r="AN27" s="28">
        <f t="shared" si="41"/>
        <v>10.958333333333334</v>
      </c>
      <c r="AO27" s="28">
        <f t="shared" si="42"/>
        <v>10.541666666666666</v>
      </c>
      <c r="AP27" s="28">
        <f t="shared" si="43"/>
        <v>12.041666666666666</v>
      </c>
      <c r="AQ27" s="28">
        <f t="shared" si="44"/>
        <v>10.5</v>
      </c>
      <c r="AR27" s="28">
        <f t="shared" si="45"/>
        <v>11.916666666666666</v>
      </c>
      <c r="AS27" s="28">
        <f t="shared" si="46"/>
        <v>14</v>
      </c>
      <c r="AT27" s="28">
        <f t="shared" si="47"/>
        <v>13.75</v>
      </c>
      <c r="AU27" s="28">
        <f t="shared" si="48"/>
        <v>12.583333333333334</v>
      </c>
      <c r="AV27" s="28">
        <f t="shared" si="49"/>
        <v>12.666666666666666</v>
      </c>
      <c r="AW27" s="28">
        <f t="shared" si="50"/>
        <v>13.416666666666666</v>
      </c>
      <c r="AX27" s="28">
        <f t="shared" si="51"/>
        <v>11.25</v>
      </c>
      <c r="AY27" s="28">
        <f t="shared" si="52"/>
        <v>8.8333333333333339</v>
      </c>
      <c r="AZ27" s="28">
        <f t="shared" si="53"/>
        <v>12.166666666666666</v>
      </c>
    </row>
    <row r="28" spans="1:52">
      <c r="A28">
        <f t="shared" si="54"/>
        <v>27</v>
      </c>
      <c r="B28">
        <f t="shared" si="3"/>
        <v>7</v>
      </c>
      <c r="C28">
        <f t="shared" si="4"/>
        <v>10</v>
      </c>
      <c r="D28">
        <f t="shared" si="5"/>
        <v>24</v>
      </c>
      <c r="E28">
        <f t="shared" si="6"/>
        <v>24</v>
      </c>
      <c r="F28">
        <f t="shared" si="7"/>
        <v>14</v>
      </c>
      <c r="G28">
        <f t="shared" si="8"/>
        <v>9</v>
      </c>
      <c r="H28">
        <f t="shared" si="9"/>
        <v>21</v>
      </c>
      <c r="I28">
        <f t="shared" si="10"/>
        <v>2</v>
      </c>
      <c r="J28">
        <f t="shared" si="11"/>
        <v>10</v>
      </c>
      <c r="K28">
        <f t="shared" si="12"/>
        <v>6</v>
      </c>
      <c r="L28">
        <f t="shared" si="13"/>
        <v>16</v>
      </c>
      <c r="M28">
        <f t="shared" si="14"/>
        <v>14</v>
      </c>
      <c r="N28">
        <f t="shared" si="15"/>
        <v>2</v>
      </c>
      <c r="O28">
        <f t="shared" si="16"/>
        <v>8</v>
      </c>
      <c r="P28">
        <f t="shared" si="17"/>
        <v>12</v>
      </c>
      <c r="Q28">
        <f t="shared" si="18"/>
        <v>4</v>
      </c>
      <c r="R28">
        <f t="shared" si="19"/>
        <v>10</v>
      </c>
      <c r="S28">
        <f t="shared" si="20"/>
        <v>8</v>
      </c>
      <c r="T28">
        <f t="shared" si="21"/>
        <v>0</v>
      </c>
      <c r="U28">
        <f t="shared" si="22"/>
        <v>24</v>
      </c>
      <c r="V28">
        <f t="shared" si="23"/>
        <v>6</v>
      </c>
      <c r="W28">
        <f t="shared" si="24"/>
        <v>4</v>
      </c>
      <c r="X28">
        <f t="shared" si="25"/>
        <v>18</v>
      </c>
      <c r="Y28">
        <f t="shared" si="26"/>
        <v>22</v>
      </c>
      <c r="Z28">
        <f t="shared" si="27"/>
        <v>16</v>
      </c>
      <c r="AA28">
        <f t="shared" si="28"/>
        <v>16</v>
      </c>
      <c r="AB28" s="28">
        <f t="shared" si="29"/>
        <v>13.25</v>
      </c>
      <c r="AC28" s="28">
        <f t="shared" si="30"/>
        <v>12.5</v>
      </c>
      <c r="AD28" s="28">
        <f t="shared" si="31"/>
        <v>11.416666666666666</v>
      </c>
      <c r="AE28" s="28">
        <f t="shared" si="32"/>
        <v>11.666666666666666</v>
      </c>
      <c r="AF28" s="28">
        <f t="shared" si="33"/>
        <v>14.083333333333334</v>
      </c>
      <c r="AG28" s="28">
        <f t="shared" si="34"/>
        <v>12.875</v>
      </c>
      <c r="AH28" s="28">
        <f t="shared" si="35"/>
        <v>11.833333333333334</v>
      </c>
      <c r="AI28" s="28">
        <f t="shared" si="36"/>
        <v>11.541666666666666</v>
      </c>
      <c r="AJ28" s="28">
        <f t="shared" si="37"/>
        <v>13.666666666666666</v>
      </c>
      <c r="AK28" s="28">
        <f t="shared" si="38"/>
        <v>9.8333333333333339</v>
      </c>
      <c r="AL28" s="28">
        <f t="shared" si="39"/>
        <v>8.25</v>
      </c>
      <c r="AM28" s="28">
        <f t="shared" si="40"/>
        <v>9.625</v>
      </c>
      <c r="AN28" s="28">
        <f t="shared" si="41"/>
        <v>10.833333333333334</v>
      </c>
      <c r="AO28" s="28">
        <f t="shared" si="42"/>
        <v>10.541666666666666</v>
      </c>
      <c r="AP28" s="28">
        <f t="shared" si="43"/>
        <v>11.75</v>
      </c>
      <c r="AQ28" s="28">
        <f t="shared" si="44"/>
        <v>10.333333333333334</v>
      </c>
      <c r="AR28" s="28">
        <f t="shared" si="45"/>
        <v>11.416666666666666</v>
      </c>
      <c r="AS28" s="28">
        <f t="shared" si="46"/>
        <v>13.5</v>
      </c>
      <c r="AT28" s="28">
        <f t="shared" si="47"/>
        <v>13.166666666666666</v>
      </c>
      <c r="AU28" s="28">
        <f t="shared" si="48"/>
        <v>12.75</v>
      </c>
      <c r="AV28" s="28">
        <f t="shared" si="49"/>
        <v>12.416666666666666</v>
      </c>
      <c r="AW28" s="28">
        <f t="shared" si="50"/>
        <v>12.833333333333334</v>
      </c>
      <c r="AX28" s="28">
        <f t="shared" si="51"/>
        <v>11.083333333333334</v>
      </c>
      <c r="AY28" s="28">
        <f t="shared" si="52"/>
        <v>8</v>
      </c>
      <c r="AZ28" s="28">
        <f t="shared" si="53"/>
        <v>12.583333333333334</v>
      </c>
    </row>
    <row r="29" spans="1:52">
      <c r="A29">
        <f t="shared" si="54"/>
        <v>28</v>
      </c>
      <c r="B29">
        <f t="shared" si="3"/>
        <v>8</v>
      </c>
      <c r="C29">
        <f t="shared" si="4"/>
        <v>18</v>
      </c>
      <c r="D29">
        <f t="shared" si="5"/>
        <v>16</v>
      </c>
      <c r="E29">
        <f t="shared" si="6"/>
        <v>14</v>
      </c>
      <c r="F29">
        <f t="shared" si="7"/>
        <v>2</v>
      </c>
      <c r="G29">
        <f t="shared" si="8"/>
        <v>11</v>
      </c>
      <c r="H29">
        <f t="shared" si="9"/>
        <v>6</v>
      </c>
      <c r="I29">
        <f t="shared" si="10"/>
        <v>8</v>
      </c>
      <c r="J29">
        <f t="shared" si="11"/>
        <v>18</v>
      </c>
      <c r="K29">
        <f t="shared" si="12"/>
        <v>24</v>
      </c>
      <c r="L29">
        <f t="shared" si="13"/>
        <v>14</v>
      </c>
      <c r="M29">
        <f t="shared" si="14"/>
        <v>2</v>
      </c>
      <c r="N29">
        <f t="shared" si="15"/>
        <v>4</v>
      </c>
      <c r="O29">
        <f t="shared" si="16"/>
        <v>12</v>
      </c>
      <c r="P29">
        <f t="shared" si="17"/>
        <v>24</v>
      </c>
      <c r="Q29">
        <f t="shared" si="18"/>
        <v>2</v>
      </c>
      <c r="R29">
        <f t="shared" si="19"/>
        <v>12</v>
      </c>
      <c r="S29">
        <f t="shared" si="20"/>
        <v>20</v>
      </c>
      <c r="T29">
        <f t="shared" si="21"/>
        <v>20</v>
      </c>
      <c r="U29">
        <f t="shared" si="22"/>
        <v>18</v>
      </c>
      <c r="V29">
        <f t="shared" si="23"/>
        <v>24</v>
      </c>
      <c r="W29">
        <f t="shared" si="24"/>
        <v>2</v>
      </c>
      <c r="X29">
        <f t="shared" si="25"/>
        <v>20</v>
      </c>
      <c r="Y29">
        <f t="shared" si="26"/>
        <v>16</v>
      </c>
      <c r="Z29">
        <f t="shared" si="27"/>
        <v>6</v>
      </c>
      <c r="AA29">
        <f t="shared" si="28"/>
        <v>22</v>
      </c>
      <c r="AB29" s="28">
        <f t="shared" si="29"/>
        <v>13</v>
      </c>
      <c r="AC29" s="28">
        <f t="shared" si="30"/>
        <v>12.5</v>
      </c>
      <c r="AD29" s="28">
        <f t="shared" si="31"/>
        <v>10.916666666666666</v>
      </c>
      <c r="AE29" s="28">
        <f t="shared" si="32"/>
        <v>11.75</v>
      </c>
      <c r="AF29" s="28">
        <f t="shared" si="33"/>
        <v>13.916666666666666</v>
      </c>
      <c r="AG29" s="28">
        <f t="shared" si="34"/>
        <v>12.708333333333334</v>
      </c>
      <c r="AH29" s="28">
        <f t="shared" si="35"/>
        <v>12.625</v>
      </c>
      <c r="AI29" s="28">
        <f t="shared" si="36"/>
        <v>11.166666666666666</v>
      </c>
      <c r="AJ29" s="28">
        <f t="shared" si="37"/>
        <v>14</v>
      </c>
      <c r="AK29" s="28">
        <f t="shared" si="38"/>
        <v>9.75</v>
      </c>
      <c r="AL29" s="28">
        <f t="shared" si="39"/>
        <v>8.25</v>
      </c>
      <c r="AM29" s="28">
        <f t="shared" si="40"/>
        <v>10.291666666666666</v>
      </c>
      <c r="AN29" s="28">
        <f t="shared" si="41"/>
        <v>11.375</v>
      </c>
      <c r="AO29" s="28">
        <f t="shared" si="42"/>
        <v>11.083333333333334</v>
      </c>
      <c r="AP29" s="28">
        <f t="shared" si="43"/>
        <v>12</v>
      </c>
      <c r="AQ29" s="28">
        <f t="shared" si="44"/>
        <v>10.416666666666666</v>
      </c>
      <c r="AR29" s="28">
        <f t="shared" si="45"/>
        <v>12.083333333333334</v>
      </c>
      <c r="AS29" s="28">
        <f t="shared" si="46"/>
        <v>13.666666666666666</v>
      </c>
      <c r="AT29" s="28">
        <f t="shared" si="47"/>
        <v>12.75</v>
      </c>
      <c r="AU29" s="28">
        <f t="shared" si="48"/>
        <v>12.5</v>
      </c>
      <c r="AV29" s="28">
        <f t="shared" si="49"/>
        <v>13</v>
      </c>
      <c r="AW29" s="28">
        <f t="shared" si="50"/>
        <v>12.833333333333334</v>
      </c>
      <c r="AX29" s="28">
        <f t="shared" si="51"/>
        <v>10.916666666666666</v>
      </c>
      <c r="AY29" s="28">
        <f t="shared" si="52"/>
        <v>8.0833333333333339</v>
      </c>
      <c r="AZ29" s="28">
        <f t="shared" si="53"/>
        <v>12</v>
      </c>
    </row>
    <row r="30" spans="1:52">
      <c r="A30">
        <f t="shared" si="54"/>
        <v>29</v>
      </c>
      <c r="B30">
        <f t="shared" si="3"/>
        <v>9</v>
      </c>
      <c r="C30">
        <f t="shared" si="4"/>
        <v>1</v>
      </c>
      <c r="D30">
        <f t="shared" si="5"/>
        <v>17</v>
      </c>
      <c r="E30">
        <f t="shared" si="6"/>
        <v>5</v>
      </c>
      <c r="F30">
        <f t="shared" si="7"/>
        <v>7</v>
      </c>
      <c r="G30">
        <f t="shared" si="8"/>
        <v>18</v>
      </c>
      <c r="H30">
        <f t="shared" si="9"/>
        <v>24</v>
      </c>
      <c r="I30">
        <f t="shared" si="10"/>
        <v>6</v>
      </c>
      <c r="J30">
        <f t="shared" si="11"/>
        <v>24</v>
      </c>
      <c r="K30">
        <f t="shared" si="12"/>
        <v>22</v>
      </c>
      <c r="L30">
        <f t="shared" si="13"/>
        <v>10</v>
      </c>
      <c r="M30">
        <f t="shared" si="14"/>
        <v>12</v>
      </c>
      <c r="N30">
        <f t="shared" si="15"/>
        <v>16</v>
      </c>
      <c r="O30">
        <f t="shared" si="16"/>
        <v>2</v>
      </c>
      <c r="P30">
        <f t="shared" si="17"/>
        <v>0</v>
      </c>
      <c r="Q30">
        <f t="shared" si="18"/>
        <v>2</v>
      </c>
      <c r="R30">
        <f t="shared" si="19"/>
        <v>14</v>
      </c>
      <c r="S30">
        <f t="shared" si="20"/>
        <v>8</v>
      </c>
      <c r="T30">
        <f t="shared" si="21"/>
        <v>2</v>
      </c>
      <c r="U30">
        <f t="shared" si="22"/>
        <v>20</v>
      </c>
      <c r="V30">
        <f t="shared" si="23"/>
        <v>18</v>
      </c>
      <c r="W30">
        <f t="shared" si="24"/>
        <v>20</v>
      </c>
      <c r="X30">
        <f t="shared" si="25"/>
        <v>14</v>
      </c>
      <c r="Y30">
        <f t="shared" si="26"/>
        <v>4</v>
      </c>
      <c r="Z30">
        <f t="shared" si="27"/>
        <v>10</v>
      </c>
      <c r="AA30">
        <f t="shared" si="28"/>
        <v>6</v>
      </c>
      <c r="AB30" s="28">
        <f t="shared" si="29"/>
        <v>12.916666666666666</v>
      </c>
      <c r="AC30" s="28">
        <f t="shared" si="30"/>
        <v>12.416666666666666</v>
      </c>
      <c r="AD30" s="28">
        <f t="shared" si="31"/>
        <v>10.333333333333334</v>
      </c>
      <c r="AE30" s="28">
        <f t="shared" si="32"/>
        <v>12.333333333333334</v>
      </c>
      <c r="AF30" s="28">
        <f t="shared" si="33"/>
        <v>14.333333333333334</v>
      </c>
      <c r="AG30" s="28">
        <f t="shared" si="34"/>
        <v>12.958333333333334</v>
      </c>
      <c r="AH30" s="28">
        <f t="shared" si="35"/>
        <v>12.583333333333334</v>
      </c>
      <c r="AI30" s="28">
        <f t="shared" si="36"/>
        <v>10.75</v>
      </c>
      <c r="AJ30" s="28">
        <f t="shared" si="37"/>
        <v>13.916666666666666</v>
      </c>
      <c r="AK30" s="28">
        <f t="shared" si="38"/>
        <v>9.5833333333333339</v>
      </c>
      <c r="AL30" s="28">
        <f t="shared" si="39"/>
        <v>9.1666666666666661</v>
      </c>
      <c r="AM30" s="28">
        <f t="shared" si="40"/>
        <v>10.791666666666666</v>
      </c>
      <c r="AN30" s="28">
        <f t="shared" si="41"/>
        <v>11.333333333333334</v>
      </c>
      <c r="AO30" s="28">
        <f t="shared" si="42"/>
        <v>10.5</v>
      </c>
      <c r="AP30" s="28">
        <f t="shared" si="43"/>
        <v>12.75</v>
      </c>
      <c r="AQ30" s="28">
        <f t="shared" si="44"/>
        <v>10.166666666666666</v>
      </c>
      <c r="AR30" s="28">
        <f t="shared" si="45"/>
        <v>11.416666666666666</v>
      </c>
      <c r="AS30" s="28">
        <f t="shared" si="46"/>
        <v>13.166666666666666</v>
      </c>
      <c r="AT30" s="28">
        <f t="shared" si="47"/>
        <v>12.916666666666666</v>
      </c>
      <c r="AU30" s="28">
        <f t="shared" si="48"/>
        <v>12.416666666666666</v>
      </c>
      <c r="AV30" s="28">
        <f t="shared" si="49"/>
        <v>13.5</v>
      </c>
      <c r="AW30" s="28">
        <f t="shared" si="50"/>
        <v>12.25</v>
      </c>
      <c r="AX30" s="28">
        <f t="shared" si="51"/>
        <v>11.25</v>
      </c>
      <c r="AY30" s="28">
        <f t="shared" si="52"/>
        <v>8.5</v>
      </c>
      <c r="AZ30" s="28">
        <f t="shared" si="53"/>
        <v>11.833333333333334</v>
      </c>
    </row>
    <row r="31" spans="1:52">
      <c r="A31">
        <f t="shared" si="54"/>
        <v>30</v>
      </c>
      <c r="B31">
        <f t="shared" si="3"/>
        <v>10</v>
      </c>
      <c r="C31">
        <f t="shared" si="4"/>
        <v>11</v>
      </c>
      <c r="D31">
        <f t="shared" si="5"/>
        <v>2</v>
      </c>
      <c r="E31">
        <f t="shared" si="6"/>
        <v>7</v>
      </c>
      <c r="F31">
        <f t="shared" si="7"/>
        <v>14</v>
      </c>
      <c r="G31">
        <f t="shared" si="8"/>
        <v>6</v>
      </c>
      <c r="H31">
        <f t="shared" si="9"/>
        <v>4</v>
      </c>
      <c r="I31">
        <f t="shared" si="10"/>
        <v>10</v>
      </c>
      <c r="J31">
        <f t="shared" si="11"/>
        <v>8</v>
      </c>
      <c r="K31">
        <f t="shared" si="12"/>
        <v>4</v>
      </c>
      <c r="L31">
        <f t="shared" si="13"/>
        <v>14</v>
      </c>
      <c r="M31">
        <f t="shared" si="14"/>
        <v>0</v>
      </c>
      <c r="N31">
        <f t="shared" si="15"/>
        <v>16</v>
      </c>
      <c r="O31">
        <f t="shared" si="16"/>
        <v>18</v>
      </c>
      <c r="P31">
        <f t="shared" si="17"/>
        <v>18</v>
      </c>
      <c r="Q31">
        <f t="shared" si="18"/>
        <v>20</v>
      </c>
      <c r="R31">
        <f t="shared" si="19"/>
        <v>8</v>
      </c>
      <c r="S31">
        <f t="shared" si="20"/>
        <v>16</v>
      </c>
      <c r="T31">
        <f t="shared" si="21"/>
        <v>18</v>
      </c>
      <c r="U31">
        <f t="shared" si="22"/>
        <v>12</v>
      </c>
      <c r="V31">
        <f t="shared" si="23"/>
        <v>4</v>
      </c>
      <c r="W31">
        <f t="shared" si="24"/>
        <v>24</v>
      </c>
      <c r="X31">
        <f t="shared" si="25"/>
        <v>12</v>
      </c>
      <c r="Y31">
        <f t="shared" si="26"/>
        <v>16</v>
      </c>
      <c r="Z31">
        <f t="shared" si="27"/>
        <v>0</v>
      </c>
      <c r="AA31">
        <f t="shared" si="28"/>
        <v>6</v>
      </c>
      <c r="AB31" s="28">
        <f t="shared" si="29"/>
        <v>13</v>
      </c>
      <c r="AC31" s="28">
        <f t="shared" si="30"/>
        <v>12.416666666666666</v>
      </c>
      <c r="AD31" s="28">
        <f t="shared" si="31"/>
        <v>10.833333333333334</v>
      </c>
      <c r="AE31" s="28">
        <f t="shared" si="32"/>
        <v>12.333333333333334</v>
      </c>
      <c r="AF31" s="28">
        <f t="shared" si="33"/>
        <v>13.666666666666666</v>
      </c>
      <c r="AG31" s="28">
        <f t="shared" si="34"/>
        <v>12.541666666666666</v>
      </c>
      <c r="AH31" s="28">
        <f t="shared" si="35"/>
        <v>13.208333333333334</v>
      </c>
      <c r="AI31" s="28">
        <f t="shared" si="36"/>
        <v>9.875</v>
      </c>
      <c r="AJ31" s="28">
        <f t="shared" si="37"/>
        <v>14.041666666666666</v>
      </c>
      <c r="AK31" s="28">
        <f t="shared" si="38"/>
        <v>9.5416666666666661</v>
      </c>
      <c r="AL31" s="28">
        <f t="shared" si="39"/>
        <v>8.9583333333333339</v>
      </c>
      <c r="AM31" s="28">
        <f t="shared" si="40"/>
        <v>11.083333333333334</v>
      </c>
      <c r="AN31" s="28">
        <f t="shared" si="41"/>
        <v>11.583333333333334</v>
      </c>
      <c r="AO31" s="28">
        <f t="shared" si="42"/>
        <v>11.25</v>
      </c>
      <c r="AP31" s="28">
        <f t="shared" si="43"/>
        <v>13.166666666666666</v>
      </c>
      <c r="AQ31" s="28">
        <f t="shared" si="44"/>
        <v>10.333333333333334</v>
      </c>
      <c r="AR31" s="28">
        <f t="shared" si="45"/>
        <v>12</v>
      </c>
      <c r="AS31" s="28">
        <f t="shared" si="46"/>
        <v>13.25</v>
      </c>
      <c r="AT31" s="28">
        <f t="shared" si="47"/>
        <v>12.083333333333334</v>
      </c>
      <c r="AU31" s="28">
        <f t="shared" si="48"/>
        <v>12.583333333333334</v>
      </c>
      <c r="AV31" s="28">
        <f t="shared" si="49"/>
        <v>13.083333333333334</v>
      </c>
      <c r="AW31" s="28">
        <f t="shared" si="50"/>
        <v>12.333333333333334</v>
      </c>
      <c r="AX31" s="28">
        <f t="shared" si="51"/>
        <v>11.666666666666666</v>
      </c>
      <c r="AY31" s="28">
        <f t="shared" si="52"/>
        <v>8.25</v>
      </c>
      <c r="AZ31" s="28">
        <f t="shared" si="53"/>
        <v>12.5</v>
      </c>
    </row>
    <row r="32" spans="1:52">
      <c r="A32">
        <f t="shared" si="54"/>
        <v>31</v>
      </c>
      <c r="B32">
        <f t="shared" si="3"/>
        <v>11</v>
      </c>
      <c r="C32">
        <f t="shared" si="4"/>
        <v>22</v>
      </c>
      <c r="D32">
        <f t="shared" si="5"/>
        <v>24</v>
      </c>
      <c r="E32">
        <f t="shared" si="6"/>
        <v>5</v>
      </c>
      <c r="F32">
        <f t="shared" si="7"/>
        <v>19</v>
      </c>
      <c r="G32">
        <f t="shared" si="8"/>
        <v>25</v>
      </c>
      <c r="H32">
        <f t="shared" si="9"/>
        <v>3</v>
      </c>
      <c r="I32">
        <f t="shared" si="10"/>
        <v>13</v>
      </c>
      <c r="J32">
        <f t="shared" si="11"/>
        <v>21</v>
      </c>
      <c r="K32">
        <f t="shared" si="12"/>
        <v>25</v>
      </c>
      <c r="L32">
        <f t="shared" si="13"/>
        <v>13</v>
      </c>
      <c r="M32">
        <f t="shared" si="14"/>
        <v>13</v>
      </c>
      <c r="N32">
        <f t="shared" si="15"/>
        <v>3</v>
      </c>
      <c r="O32">
        <f t="shared" si="16"/>
        <v>21</v>
      </c>
      <c r="P32">
        <f t="shared" si="17"/>
        <v>13</v>
      </c>
      <c r="Q32">
        <f t="shared" si="18"/>
        <v>7</v>
      </c>
      <c r="R32">
        <f t="shared" si="19"/>
        <v>15</v>
      </c>
      <c r="S32">
        <f t="shared" si="20"/>
        <v>5</v>
      </c>
      <c r="T32">
        <f t="shared" si="21"/>
        <v>23</v>
      </c>
      <c r="U32">
        <f t="shared" si="22"/>
        <v>9</v>
      </c>
      <c r="V32">
        <f t="shared" si="23"/>
        <v>13</v>
      </c>
      <c r="W32">
        <f t="shared" si="24"/>
        <v>11</v>
      </c>
      <c r="X32">
        <f t="shared" si="25"/>
        <v>23</v>
      </c>
      <c r="Y32">
        <f t="shared" si="26"/>
        <v>13</v>
      </c>
      <c r="Z32">
        <f t="shared" si="27"/>
        <v>13</v>
      </c>
      <c r="AA32">
        <f t="shared" si="28"/>
        <v>19</v>
      </c>
      <c r="AB32" s="28">
        <f t="shared" si="29"/>
        <v>13.25</v>
      </c>
      <c r="AC32" s="28">
        <f t="shared" si="30"/>
        <v>12.666666666666666</v>
      </c>
      <c r="AD32" s="28">
        <f t="shared" si="31"/>
        <v>11.583333333333334</v>
      </c>
      <c r="AE32" s="28">
        <f t="shared" si="32"/>
        <v>12</v>
      </c>
      <c r="AF32" s="28">
        <f t="shared" si="33"/>
        <v>13.75</v>
      </c>
      <c r="AG32" s="28">
        <f t="shared" si="34"/>
        <v>13.291666666666666</v>
      </c>
      <c r="AH32" s="28">
        <f t="shared" si="35"/>
        <v>13.5</v>
      </c>
      <c r="AI32" s="28">
        <f t="shared" si="36"/>
        <v>10.375</v>
      </c>
      <c r="AJ32" s="28">
        <f t="shared" si="37"/>
        <v>14.666666666666666</v>
      </c>
      <c r="AK32" s="28">
        <f t="shared" si="38"/>
        <v>9.0416666666666661</v>
      </c>
      <c r="AL32" s="28">
        <f t="shared" si="39"/>
        <v>9.3333333333333339</v>
      </c>
      <c r="AM32" s="28">
        <f t="shared" si="40"/>
        <v>10.666666666666666</v>
      </c>
      <c r="AN32" s="28">
        <f t="shared" si="41"/>
        <v>11.416666666666666</v>
      </c>
      <c r="AO32" s="28">
        <f t="shared" si="42"/>
        <v>10.75</v>
      </c>
      <c r="AP32" s="28">
        <f t="shared" si="43"/>
        <v>13.083333333333334</v>
      </c>
      <c r="AQ32" s="28">
        <f t="shared" si="44"/>
        <v>10.416666666666666</v>
      </c>
      <c r="AR32" s="28">
        <f t="shared" si="45"/>
        <v>11.583333333333334</v>
      </c>
      <c r="AS32" s="28">
        <f t="shared" si="46"/>
        <v>12.916666666666666</v>
      </c>
      <c r="AT32" s="28">
        <f t="shared" si="47"/>
        <v>12</v>
      </c>
      <c r="AU32" s="28">
        <f t="shared" si="48"/>
        <v>12.666666666666666</v>
      </c>
      <c r="AV32" s="28">
        <f t="shared" si="49"/>
        <v>12.75</v>
      </c>
      <c r="AW32" s="28">
        <f t="shared" si="50"/>
        <v>12.083333333333334</v>
      </c>
      <c r="AX32" s="28">
        <f t="shared" si="51"/>
        <v>11.833333333333334</v>
      </c>
      <c r="AY32" s="28">
        <f t="shared" si="52"/>
        <v>9.25</v>
      </c>
      <c r="AZ32" s="28">
        <f t="shared" si="53"/>
        <v>13.083333333333334</v>
      </c>
    </row>
    <row r="33" spans="1:52">
      <c r="A33">
        <f t="shared" si="54"/>
        <v>32</v>
      </c>
      <c r="B33">
        <f t="shared" si="3"/>
        <v>12</v>
      </c>
      <c r="C33">
        <f t="shared" si="4"/>
        <v>8</v>
      </c>
      <c r="D33">
        <f t="shared" si="5"/>
        <v>6</v>
      </c>
      <c r="E33">
        <f t="shared" si="6"/>
        <v>11</v>
      </c>
      <c r="F33">
        <f t="shared" si="7"/>
        <v>4</v>
      </c>
      <c r="G33">
        <f t="shared" si="8"/>
        <v>3</v>
      </c>
      <c r="H33">
        <f t="shared" si="9"/>
        <v>6</v>
      </c>
      <c r="I33">
        <f t="shared" si="10"/>
        <v>19</v>
      </c>
      <c r="J33">
        <f t="shared" si="11"/>
        <v>14</v>
      </c>
      <c r="K33">
        <f t="shared" si="12"/>
        <v>13</v>
      </c>
      <c r="L33">
        <f t="shared" si="13"/>
        <v>0</v>
      </c>
      <c r="M33">
        <f t="shared" si="14"/>
        <v>13</v>
      </c>
      <c r="N33">
        <f t="shared" si="15"/>
        <v>16</v>
      </c>
      <c r="O33">
        <f t="shared" si="16"/>
        <v>11</v>
      </c>
      <c r="P33">
        <f t="shared" si="17"/>
        <v>24</v>
      </c>
      <c r="Q33">
        <f t="shared" si="18"/>
        <v>5</v>
      </c>
      <c r="R33">
        <f t="shared" si="19"/>
        <v>20</v>
      </c>
      <c r="S33">
        <f t="shared" si="20"/>
        <v>25</v>
      </c>
      <c r="T33">
        <f t="shared" si="21"/>
        <v>22</v>
      </c>
      <c r="U33">
        <f t="shared" si="22"/>
        <v>5</v>
      </c>
      <c r="V33">
        <f t="shared" si="23"/>
        <v>18</v>
      </c>
      <c r="W33">
        <f t="shared" si="24"/>
        <v>3</v>
      </c>
      <c r="X33">
        <f t="shared" si="25"/>
        <v>0</v>
      </c>
      <c r="Y33">
        <f t="shared" si="26"/>
        <v>13</v>
      </c>
      <c r="Z33">
        <f t="shared" si="27"/>
        <v>0</v>
      </c>
      <c r="AA33">
        <f t="shared" si="28"/>
        <v>19</v>
      </c>
      <c r="AB33" s="28">
        <f t="shared" si="29"/>
        <v>12.583333333333334</v>
      </c>
      <c r="AC33" s="28">
        <f t="shared" si="30"/>
        <v>12.25</v>
      </c>
      <c r="AD33" s="28">
        <f t="shared" si="31"/>
        <v>11.916666666666666</v>
      </c>
      <c r="AE33" s="28">
        <f t="shared" si="32"/>
        <v>12</v>
      </c>
      <c r="AF33" s="28">
        <f t="shared" si="33"/>
        <v>12.75</v>
      </c>
      <c r="AG33" s="28">
        <f t="shared" si="34"/>
        <v>14.125</v>
      </c>
      <c r="AH33" s="28">
        <f t="shared" si="35"/>
        <v>13.541666666666666</v>
      </c>
      <c r="AI33" s="28">
        <f t="shared" si="36"/>
        <v>9.8333333333333339</v>
      </c>
      <c r="AJ33" s="28">
        <f t="shared" si="37"/>
        <v>13.666666666666666</v>
      </c>
      <c r="AK33" s="28">
        <f t="shared" si="38"/>
        <v>8.625</v>
      </c>
      <c r="AL33" s="28">
        <f t="shared" si="39"/>
        <v>9.2916666666666661</v>
      </c>
      <c r="AM33" s="28">
        <f t="shared" si="40"/>
        <v>11.291666666666666</v>
      </c>
      <c r="AN33" s="28">
        <f t="shared" si="41"/>
        <v>10.791666666666666</v>
      </c>
      <c r="AO33" s="28">
        <f t="shared" si="42"/>
        <v>10.708333333333334</v>
      </c>
      <c r="AP33" s="28">
        <f t="shared" si="43"/>
        <v>12.958333333333334</v>
      </c>
      <c r="AQ33" s="28">
        <f t="shared" si="44"/>
        <v>10.375</v>
      </c>
      <c r="AR33" s="28">
        <f t="shared" si="45"/>
        <v>12.208333333333334</v>
      </c>
      <c r="AS33" s="28">
        <f t="shared" si="46"/>
        <v>12.125</v>
      </c>
      <c r="AT33" s="28">
        <f t="shared" si="47"/>
        <v>12.208333333333334</v>
      </c>
      <c r="AU33" s="28">
        <f t="shared" si="48"/>
        <v>12.958333333333334</v>
      </c>
      <c r="AV33" s="28">
        <f t="shared" si="49"/>
        <v>12.708333333333334</v>
      </c>
      <c r="AW33" s="28">
        <f t="shared" si="50"/>
        <v>11.791666666666666</v>
      </c>
      <c r="AX33" s="28">
        <f t="shared" si="51"/>
        <v>11.708333333333334</v>
      </c>
      <c r="AY33" s="28">
        <f t="shared" si="52"/>
        <v>9.0416666666666661</v>
      </c>
      <c r="AZ33" s="28">
        <f t="shared" si="53"/>
        <v>12.375</v>
      </c>
    </row>
    <row r="34" spans="1:52">
      <c r="A34">
        <f t="shared" si="54"/>
        <v>33</v>
      </c>
      <c r="B34">
        <f t="shared" si="3"/>
        <v>13</v>
      </c>
      <c r="C34">
        <f t="shared" si="4"/>
        <v>21</v>
      </c>
      <c r="D34">
        <f t="shared" si="5"/>
        <v>1</v>
      </c>
      <c r="E34">
        <f t="shared" si="6"/>
        <v>12</v>
      </c>
      <c r="F34">
        <f t="shared" si="7"/>
        <v>16</v>
      </c>
      <c r="G34">
        <f t="shared" si="8"/>
        <v>19</v>
      </c>
      <c r="H34">
        <f t="shared" si="9"/>
        <v>25</v>
      </c>
      <c r="I34">
        <f t="shared" si="10"/>
        <v>18</v>
      </c>
      <c r="J34">
        <f t="shared" si="11"/>
        <v>6</v>
      </c>
      <c r="K34">
        <f t="shared" si="12"/>
        <v>19</v>
      </c>
      <c r="L34">
        <f t="shared" si="13"/>
        <v>19</v>
      </c>
      <c r="M34">
        <f t="shared" si="14"/>
        <v>6</v>
      </c>
      <c r="N34">
        <f t="shared" si="15"/>
        <v>22</v>
      </c>
      <c r="O34">
        <f t="shared" si="16"/>
        <v>7</v>
      </c>
      <c r="P34">
        <f t="shared" si="17"/>
        <v>5</v>
      </c>
      <c r="Q34">
        <f t="shared" si="18"/>
        <v>10</v>
      </c>
      <c r="R34">
        <f t="shared" si="19"/>
        <v>4</v>
      </c>
      <c r="S34">
        <f t="shared" si="20"/>
        <v>3</v>
      </c>
      <c r="T34">
        <f t="shared" si="21"/>
        <v>25</v>
      </c>
      <c r="U34">
        <f t="shared" si="22"/>
        <v>4</v>
      </c>
      <c r="V34">
        <f t="shared" si="23"/>
        <v>22</v>
      </c>
      <c r="W34">
        <f t="shared" si="24"/>
        <v>25</v>
      </c>
      <c r="X34">
        <f t="shared" si="25"/>
        <v>25</v>
      </c>
      <c r="Y34">
        <f t="shared" si="26"/>
        <v>12</v>
      </c>
      <c r="Z34">
        <f t="shared" si="27"/>
        <v>12</v>
      </c>
      <c r="AA34">
        <f t="shared" si="28"/>
        <v>5</v>
      </c>
      <c r="AB34" s="28">
        <f t="shared" si="29"/>
        <v>13.166666666666666</v>
      </c>
      <c r="AC34" s="28">
        <f t="shared" si="30"/>
        <v>12.416666666666666</v>
      </c>
      <c r="AD34" s="28">
        <f t="shared" si="31"/>
        <v>12.416666666666666</v>
      </c>
      <c r="AE34" s="28">
        <f t="shared" si="32"/>
        <v>12.5</v>
      </c>
      <c r="AF34" s="28">
        <f t="shared" si="33"/>
        <v>13.333333333333334</v>
      </c>
      <c r="AG34" s="28">
        <f t="shared" si="34"/>
        <v>14.458333333333334</v>
      </c>
      <c r="AH34" s="28">
        <f t="shared" si="35"/>
        <v>12.833333333333334</v>
      </c>
      <c r="AI34" s="28">
        <f t="shared" si="36"/>
        <v>9.6666666666666661</v>
      </c>
      <c r="AJ34" s="28">
        <f t="shared" si="37"/>
        <v>13.583333333333334</v>
      </c>
      <c r="AK34" s="28">
        <f t="shared" si="38"/>
        <v>9.2083333333333339</v>
      </c>
      <c r="AL34" s="28">
        <f t="shared" si="39"/>
        <v>8.75</v>
      </c>
      <c r="AM34" s="28">
        <f t="shared" si="40"/>
        <v>11.375</v>
      </c>
      <c r="AN34" s="28">
        <f t="shared" si="41"/>
        <v>11.333333333333334</v>
      </c>
      <c r="AO34" s="28">
        <f t="shared" si="42"/>
        <v>10.125</v>
      </c>
      <c r="AP34" s="28">
        <f t="shared" si="43"/>
        <v>13.333333333333334</v>
      </c>
      <c r="AQ34" s="28">
        <f t="shared" si="44"/>
        <v>9.625</v>
      </c>
      <c r="AR34" s="28">
        <f t="shared" si="45"/>
        <v>12.083333333333334</v>
      </c>
      <c r="AS34" s="28">
        <f t="shared" si="46"/>
        <v>11.208333333333334</v>
      </c>
      <c r="AT34" s="28">
        <f t="shared" si="47"/>
        <v>12.583333333333334</v>
      </c>
      <c r="AU34" s="28">
        <f t="shared" si="48"/>
        <v>12.541666666666666</v>
      </c>
      <c r="AV34" s="28">
        <f t="shared" si="49"/>
        <v>13.333333333333334</v>
      </c>
      <c r="AW34" s="28">
        <f t="shared" si="50"/>
        <v>12.125</v>
      </c>
      <c r="AX34" s="28">
        <f t="shared" si="51"/>
        <v>11.916666666666666</v>
      </c>
      <c r="AY34" s="28">
        <f t="shared" si="52"/>
        <v>9.0416666666666661</v>
      </c>
      <c r="AZ34" s="28">
        <f t="shared" si="53"/>
        <v>11.666666666666666</v>
      </c>
    </row>
    <row r="35" spans="1:52">
      <c r="A35">
        <f t="shared" si="54"/>
        <v>34</v>
      </c>
      <c r="B35">
        <f t="shared" si="3"/>
        <v>14</v>
      </c>
      <c r="C35">
        <f t="shared" si="4"/>
        <v>9</v>
      </c>
      <c r="D35">
        <f t="shared" si="5"/>
        <v>10</v>
      </c>
      <c r="E35">
        <f t="shared" si="6"/>
        <v>22</v>
      </c>
      <c r="F35">
        <f t="shared" si="7"/>
        <v>12</v>
      </c>
      <c r="G35">
        <f t="shared" si="8"/>
        <v>5</v>
      </c>
      <c r="H35">
        <f t="shared" si="9"/>
        <v>4</v>
      </c>
      <c r="I35">
        <f t="shared" si="10"/>
        <v>22</v>
      </c>
      <c r="J35">
        <f t="shared" si="11"/>
        <v>2</v>
      </c>
      <c r="K35">
        <f t="shared" si="12"/>
        <v>21</v>
      </c>
      <c r="L35">
        <f t="shared" si="13"/>
        <v>14</v>
      </c>
      <c r="M35">
        <f t="shared" si="14"/>
        <v>20</v>
      </c>
      <c r="N35">
        <f t="shared" si="15"/>
        <v>16</v>
      </c>
      <c r="O35">
        <f t="shared" si="16"/>
        <v>23</v>
      </c>
      <c r="P35">
        <f t="shared" si="17"/>
        <v>2</v>
      </c>
      <c r="Q35">
        <f t="shared" si="18"/>
        <v>12</v>
      </c>
      <c r="R35">
        <f t="shared" si="19"/>
        <v>16</v>
      </c>
      <c r="S35">
        <f t="shared" si="20"/>
        <v>19</v>
      </c>
      <c r="T35">
        <f t="shared" si="21"/>
        <v>18</v>
      </c>
      <c r="U35">
        <f t="shared" si="22"/>
        <v>22</v>
      </c>
      <c r="V35">
        <f t="shared" si="23"/>
        <v>18</v>
      </c>
      <c r="W35">
        <f t="shared" si="24"/>
        <v>17</v>
      </c>
      <c r="X35">
        <f t="shared" si="25"/>
        <v>16</v>
      </c>
      <c r="Y35">
        <f t="shared" si="26"/>
        <v>2</v>
      </c>
      <c r="Z35">
        <f t="shared" si="27"/>
        <v>14</v>
      </c>
      <c r="AA35">
        <f t="shared" si="28"/>
        <v>19</v>
      </c>
      <c r="AB35" s="28">
        <f t="shared" si="29"/>
        <v>12.833333333333334</v>
      </c>
      <c r="AC35" s="28">
        <f t="shared" si="30"/>
        <v>13.333333333333334</v>
      </c>
      <c r="AD35" s="28">
        <f t="shared" si="31"/>
        <v>12.75</v>
      </c>
      <c r="AE35" s="28">
        <f t="shared" si="32"/>
        <v>12.25</v>
      </c>
      <c r="AF35" s="28">
        <f t="shared" si="33"/>
        <v>12.583333333333334</v>
      </c>
      <c r="AG35" s="28">
        <f t="shared" si="34"/>
        <v>14.041666666666666</v>
      </c>
      <c r="AH35" s="28">
        <f t="shared" si="35"/>
        <v>12.791666666666666</v>
      </c>
      <c r="AI35" s="28">
        <f t="shared" si="36"/>
        <v>9.4583333333333339</v>
      </c>
      <c r="AJ35" s="28">
        <f t="shared" si="37"/>
        <v>13.291666666666666</v>
      </c>
      <c r="AK35" s="28">
        <f t="shared" si="38"/>
        <v>8.4166666666666661</v>
      </c>
      <c r="AL35" s="28">
        <f t="shared" si="39"/>
        <v>8.5</v>
      </c>
      <c r="AM35" s="28">
        <f t="shared" si="40"/>
        <v>11.208333333333334</v>
      </c>
      <c r="AN35" s="28">
        <f t="shared" si="41"/>
        <v>11.708333333333334</v>
      </c>
      <c r="AO35" s="28">
        <f t="shared" si="42"/>
        <v>9.9166666666666661</v>
      </c>
      <c r="AP35" s="28">
        <f t="shared" si="43"/>
        <v>13.5</v>
      </c>
      <c r="AQ35" s="28">
        <f t="shared" si="44"/>
        <v>10.125</v>
      </c>
      <c r="AR35" s="28">
        <f t="shared" si="45"/>
        <v>12.458333333333334</v>
      </c>
      <c r="AS35" s="28">
        <f t="shared" si="46"/>
        <v>10.666666666666666</v>
      </c>
      <c r="AT35" s="28">
        <f t="shared" si="47"/>
        <v>12.416666666666666</v>
      </c>
      <c r="AU35" s="28">
        <f t="shared" si="48"/>
        <v>11.958333333333334</v>
      </c>
      <c r="AV35" s="28">
        <f t="shared" si="49"/>
        <v>12.291666666666666</v>
      </c>
      <c r="AW35" s="28">
        <f t="shared" si="50"/>
        <v>11.416666666666666</v>
      </c>
      <c r="AX35" s="28">
        <f t="shared" si="51"/>
        <v>11.416666666666666</v>
      </c>
      <c r="AY35" s="28">
        <f t="shared" si="52"/>
        <v>8.5416666666666661</v>
      </c>
      <c r="AZ35" s="28">
        <f t="shared" si="53"/>
        <v>11.541666666666666</v>
      </c>
    </row>
    <row r="36" spans="1:52">
      <c r="A36">
        <f t="shared" si="54"/>
        <v>35</v>
      </c>
      <c r="B36">
        <f t="shared" si="3"/>
        <v>15</v>
      </c>
      <c r="C36">
        <f t="shared" si="4"/>
        <v>24</v>
      </c>
      <c r="D36">
        <f t="shared" si="5"/>
        <v>8</v>
      </c>
      <c r="E36">
        <f t="shared" si="6"/>
        <v>4</v>
      </c>
      <c r="F36">
        <f t="shared" si="7"/>
        <v>16</v>
      </c>
      <c r="G36">
        <f t="shared" si="8"/>
        <v>21</v>
      </c>
      <c r="H36">
        <f t="shared" si="9"/>
        <v>25</v>
      </c>
      <c r="I36">
        <f t="shared" si="10"/>
        <v>21</v>
      </c>
      <c r="J36">
        <f t="shared" si="11"/>
        <v>23</v>
      </c>
      <c r="K36">
        <f t="shared" si="12"/>
        <v>18</v>
      </c>
      <c r="L36">
        <f t="shared" si="13"/>
        <v>6</v>
      </c>
      <c r="M36">
        <f t="shared" si="14"/>
        <v>0</v>
      </c>
      <c r="N36">
        <f t="shared" si="15"/>
        <v>16</v>
      </c>
      <c r="O36">
        <f t="shared" si="16"/>
        <v>13</v>
      </c>
      <c r="P36">
        <f t="shared" si="17"/>
        <v>15</v>
      </c>
      <c r="Q36">
        <f t="shared" si="18"/>
        <v>1</v>
      </c>
      <c r="R36">
        <f t="shared" si="19"/>
        <v>17</v>
      </c>
      <c r="S36">
        <f t="shared" si="20"/>
        <v>10</v>
      </c>
      <c r="T36">
        <f t="shared" si="21"/>
        <v>2</v>
      </c>
      <c r="U36">
        <f t="shared" si="22"/>
        <v>24</v>
      </c>
      <c r="V36">
        <f t="shared" si="23"/>
        <v>16</v>
      </c>
      <c r="W36">
        <f t="shared" si="24"/>
        <v>7</v>
      </c>
      <c r="X36">
        <f t="shared" si="25"/>
        <v>23</v>
      </c>
      <c r="Y36">
        <f t="shared" si="26"/>
        <v>25</v>
      </c>
      <c r="Z36">
        <f t="shared" si="27"/>
        <v>13</v>
      </c>
      <c r="AA36">
        <f t="shared" si="28"/>
        <v>6</v>
      </c>
      <c r="AB36" s="28">
        <f t="shared" si="29"/>
        <v>12.666666666666666</v>
      </c>
      <c r="AC36" s="28">
        <f t="shared" si="30"/>
        <v>13</v>
      </c>
      <c r="AD36" s="28">
        <f t="shared" si="31"/>
        <v>12.75</v>
      </c>
      <c r="AE36" s="28">
        <f t="shared" si="32"/>
        <v>12</v>
      </c>
      <c r="AF36" s="28">
        <f t="shared" si="33"/>
        <v>12.666666666666666</v>
      </c>
      <c r="AG36" s="28">
        <f t="shared" si="34"/>
        <v>14.791666666666666</v>
      </c>
      <c r="AH36" s="28">
        <f t="shared" si="35"/>
        <v>12.416666666666666</v>
      </c>
      <c r="AI36" s="28">
        <f t="shared" si="36"/>
        <v>9.9583333333333339</v>
      </c>
      <c r="AJ36" s="28">
        <f t="shared" si="37"/>
        <v>12.416666666666666</v>
      </c>
      <c r="AK36" s="28">
        <f t="shared" si="38"/>
        <v>7.833333333333333</v>
      </c>
      <c r="AL36" s="28">
        <f t="shared" si="39"/>
        <v>7.666666666666667</v>
      </c>
      <c r="AM36" s="28">
        <f t="shared" si="40"/>
        <v>11.291666666666666</v>
      </c>
      <c r="AN36" s="28">
        <f t="shared" si="41"/>
        <v>11.083333333333334</v>
      </c>
      <c r="AO36" s="28">
        <f t="shared" si="42"/>
        <v>10.166666666666666</v>
      </c>
      <c r="AP36" s="28">
        <f t="shared" si="43"/>
        <v>13.916666666666666</v>
      </c>
      <c r="AQ36" s="28">
        <f t="shared" si="44"/>
        <v>9.9583333333333339</v>
      </c>
      <c r="AR36" s="28">
        <f t="shared" si="45"/>
        <v>12.666666666666666</v>
      </c>
      <c r="AS36" s="28">
        <f t="shared" si="46"/>
        <v>10.333333333333334</v>
      </c>
      <c r="AT36" s="28">
        <f t="shared" si="47"/>
        <v>11.916666666666666</v>
      </c>
      <c r="AU36" s="28">
        <f t="shared" si="48"/>
        <v>11.958333333333334</v>
      </c>
      <c r="AV36" s="28">
        <f t="shared" si="49"/>
        <v>12.333333333333334</v>
      </c>
      <c r="AW36" s="28">
        <f t="shared" si="50"/>
        <v>10.75</v>
      </c>
      <c r="AX36" s="28">
        <f t="shared" si="51"/>
        <v>11.333333333333334</v>
      </c>
      <c r="AY36" s="28">
        <f t="shared" si="52"/>
        <v>7.958333333333333</v>
      </c>
      <c r="AZ36" s="28">
        <f t="shared" si="53"/>
        <v>10.833333333333334</v>
      </c>
    </row>
    <row r="37" spans="1:52">
      <c r="A37">
        <f t="shared" si="54"/>
        <v>36</v>
      </c>
      <c r="B37">
        <f t="shared" si="3"/>
        <v>16</v>
      </c>
      <c r="C37">
        <f t="shared" si="4"/>
        <v>14</v>
      </c>
      <c r="D37">
        <f t="shared" si="5"/>
        <v>22</v>
      </c>
      <c r="E37">
        <f t="shared" si="6"/>
        <v>0</v>
      </c>
      <c r="F37">
        <f t="shared" si="7"/>
        <v>16</v>
      </c>
      <c r="G37">
        <f t="shared" si="8"/>
        <v>11</v>
      </c>
      <c r="H37">
        <f t="shared" si="9"/>
        <v>10</v>
      </c>
      <c r="I37">
        <f t="shared" si="10"/>
        <v>5</v>
      </c>
      <c r="J37">
        <f t="shared" si="11"/>
        <v>2</v>
      </c>
      <c r="K37">
        <f t="shared" si="12"/>
        <v>20</v>
      </c>
      <c r="L37">
        <f t="shared" si="13"/>
        <v>0</v>
      </c>
      <c r="M37">
        <f t="shared" si="14"/>
        <v>0</v>
      </c>
      <c r="N37">
        <f t="shared" si="15"/>
        <v>16</v>
      </c>
      <c r="O37">
        <f t="shared" si="16"/>
        <v>3</v>
      </c>
      <c r="P37">
        <f t="shared" si="17"/>
        <v>18</v>
      </c>
      <c r="Q37">
        <f t="shared" si="18"/>
        <v>19</v>
      </c>
      <c r="R37">
        <f t="shared" si="19"/>
        <v>10</v>
      </c>
      <c r="S37">
        <f t="shared" si="20"/>
        <v>20</v>
      </c>
      <c r="T37">
        <f t="shared" si="21"/>
        <v>22</v>
      </c>
      <c r="U37">
        <f t="shared" si="22"/>
        <v>20</v>
      </c>
      <c r="V37">
        <f t="shared" si="23"/>
        <v>10</v>
      </c>
      <c r="W37">
        <f t="shared" si="24"/>
        <v>17</v>
      </c>
      <c r="X37">
        <f t="shared" si="25"/>
        <v>14</v>
      </c>
      <c r="Y37">
        <f t="shared" si="26"/>
        <v>13</v>
      </c>
      <c r="Z37">
        <f t="shared" si="27"/>
        <v>0</v>
      </c>
      <c r="AA37">
        <f t="shared" si="28"/>
        <v>6</v>
      </c>
      <c r="AB37" s="28">
        <f t="shared" si="29"/>
        <v>12.666666666666666</v>
      </c>
      <c r="AC37" s="28">
        <f t="shared" si="30"/>
        <v>12.666666666666666</v>
      </c>
      <c r="AD37" s="28">
        <f t="shared" si="31"/>
        <v>13.5</v>
      </c>
      <c r="AE37" s="28">
        <f t="shared" si="32"/>
        <v>11.416666666666666</v>
      </c>
      <c r="AF37" s="28">
        <f t="shared" si="33"/>
        <v>12.166666666666666</v>
      </c>
      <c r="AG37" s="28">
        <f t="shared" si="34"/>
        <v>13.958333333333334</v>
      </c>
      <c r="AH37" s="28">
        <f t="shared" si="35"/>
        <v>12.291666666666666</v>
      </c>
      <c r="AI37" s="28">
        <f t="shared" si="36"/>
        <v>9.25</v>
      </c>
      <c r="AJ37" s="28">
        <f t="shared" si="37"/>
        <v>11.916666666666666</v>
      </c>
      <c r="AK37" s="28">
        <f t="shared" si="38"/>
        <v>7.833333333333333</v>
      </c>
      <c r="AL37" s="28">
        <f t="shared" si="39"/>
        <v>7.916666666666667</v>
      </c>
      <c r="AM37" s="28">
        <f t="shared" si="40"/>
        <v>11.625</v>
      </c>
      <c r="AN37" s="28">
        <f t="shared" si="41"/>
        <v>10.791666666666666</v>
      </c>
      <c r="AO37" s="28">
        <f t="shared" si="42"/>
        <v>10.125</v>
      </c>
      <c r="AP37" s="28">
        <f t="shared" si="43"/>
        <v>14.291666666666666</v>
      </c>
      <c r="AQ37" s="28">
        <f t="shared" si="44"/>
        <v>10.166666666666666</v>
      </c>
      <c r="AR37" s="28">
        <f t="shared" si="45"/>
        <v>13.083333333333334</v>
      </c>
      <c r="AS37" s="28">
        <f t="shared" si="46"/>
        <v>10.416666666666666</v>
      </c>
      <c r="AT37" s="28">
        <f t="shared" si="47"/>
        <v>11.5</v>
      </c>
      <c r="AU37" s="28">
        <f t="shared" si="48"/>
        <v>11.541666666666666</v>
      </c>
      <c r="AV37" s="28">
        <f t="shared" si="49"/>
        <v>13.041666666666666</v>
      </c>
      <c r="AW37" s="28">
        <f t="shared" si="50"/>
        <v>10.791666666666666</v>
      </c>
      <c r="AX37" s="28">
        <f t="shared" si="51"/>
        <v>11.291666666666666</v>
      </c>
      <c r="AY37" s="28">
        <f t="shared" si="52"/>
        <v>8.4166666666666661</v>
      </c>
      <c r="AZ37" s="28">
        <f t="shared" si="53"/>
        <v>10.583333333333334</v>
      </c>
    </row>
    <row r="38" spans="1:52">
      <c r="A38">
        <f t="shared" si="54"/>
        <v>37</v>
      </c>
      <c r="B38">
        <f t="shared" si="3"/>
        <v>17</v>
      </c>
      <c r="C38">
        <f t="shared" si="4"/>
        <v>5</v>
      </c>
      <c r="D38">
        <f t="shared" si="5"/>
        <v>1</v>
      </c>
      <c r="E38">
        <f t="shared" si="6"/>
        <v>1</v>
      </c>
      <c r="F38">
        <f t="shared" si="7"/>
        <v>17</v>
      </c>
      <c r="G38">
        <f t="shared" si="8"/>
        <v>2</v>
      </c>
      <c r="H38">
        <f t="shared" si="9"/>
        <v>12</v>
      </c>
      <c r="I38">
        <f t="shared" si="10"/>
        <v>17</v>
      </c>
      <c r="J38">
        <f t="shared" si="11"/>
        <v>19</v>
      </c>
      <c r="K38">
        <f t="shared" si="12"/>
        <v>13</v>
      </c>
      <c r="L38">
        <f t="shared" si="13"/>
        <v>13</v>
      </c>
      <c r="M38">
        <f t="shared" si="14"/>
        <v>13</v>
      </c>
      <c r="N38">
        <f t="shared" si="15"/>
        <v>3</v>
      </c>
      <c r="O38">
        <f t="shared" si="16"/>
        <v>6</v>
      </c>
      <c r="P38">
        <f t="shared" si="17"/>
        <v>24</v>
      </c>
      <c r="Q38">
        <f t="shared" si="18"/>
        <v>17</v>
      </c>
      <c r="R38">
        <f t="shared" si="19"/>
        <v>1</v>
      </c>
      <c r="S38">
        <f t="shared" si="20"/>
        <v>21</v>
      </c>
      <c r="T38">
        <f t="shared" si="21"/>
        <v>17</v>
      </c>
      <c r="U38">
        <f t="shared" si="22"/>
        <v>11</v>
      </c>
      <c r="V38">
        <f t="shared" si="23"/>
        <v>21</v>
      </c>
      <c r="W38">
        <f t="shared" si="24"/>
        <v>12</v>
      </c>
      <c r="X38">
        <f t="shared" si="25"/>
        <v>0</v>
      </c>
      <c r="Y38">
        <f t="shared" si="26"/>
        <v>13</v>
      </c>
      <c r="Z38">
        <f t="shared" si="27"/>
        <v>13</v>
      </c>
      <c r="AA38">
        <f t="shared" si="28"/>
        <v>19</v>
      </c>
      <c r="AB38" s="28">
        <f t="shared" si="29"/>
        <v>13.083333333333334</v>
      </c>
      <c r="AC38" s="28">
        <f t="shared" si="30"/>
        <v>12.75</v>
      </c>
      <c r="AD38" s="28">
        <f t="shared" si="31"/>
        <v>14.333333333333334</v>
      </c>
      <c r="AE38" s="28">
        <f t="shared" si="32"/>
        <v>11.666666666666666</v>
      </c>
      <c r="AF38" s="28">
        <f t="shared" si="33"/>
        <v>11.916666666666666</v>
      </c>
      <c r="AG38" s="28">
        <f t="shared" si="34"/>
        <v>13.958333333333334</v>
      </c>
      <c r="AH38" s="28">
        <f t="shared" si="35"/>
        <v>12.166666666666666</v>
      </c>
      <c r="AI38" s="28">
        <f t="shared" si="36"/>
        <v>9.5</v>
      </c>
      <c r="AJ38" s="28">
        <f t="shared" si="37"/>
        <v>11.666666666666666</v>
      </c>
      <c r="AK38" s="28">
        <f t="shared" si="38"/>
        <v>8.6666666666666661</v>
      </c>
      <c r="AL38" s="28">
        <f t="shared" si="39"/>
        <v>7.916666666666667</v>
      </c>
      <c r="AM38" s="28">
        <f t="shared" si="40"/>
        <v>11.958333333333334</v>
      </c>
      <c r="AN38" s="28">
        <f t="shared" si="41"/>
        <v>10.833333333333334</v>
      </c>
      <c r="AO38" s="28">
        <f t="shared" si="42"/>
        <v>10.125</v>
      </c>
      <c r="AP38" s="28">
        <f t="shared" si="43"/>
        <v>13.583333333333334</v>
      </c>
      <c r="AQ38" s="28">
        <f t="shared" si="44"/>
        <v>10.75</v>
      </c>
      <c r="AR38" s="28">
        <f t="shared" si="45"/>
        <v>13</v>
      </c>
      <c r="AS38" s="28">
        <f t="shared" si="46"/>
        <v>10.416666666666666</v>
      </c>
      <c r="AT38" s="28">
        <f t="shared" si="47"/>
        <v>11.083333333333334</v>
      </c>
      <c r="AU38" s="28">
        <f t="shared" si="48"/>
        <v>11.791666666666666</v>
      </c>
      <c r="AV38" s="28">
        <f t="shared" si="49"/>
        <v>12.916666666666666</v>
      </c>
      <c r="AW38" s="28">
        <f t="shared" si="50"/>
        <v>10.708333333333334</v>
      </c>
      <c r="AX38" s="28">
        <f t="shared" si="51"/>
        <v>11.166666666666666</v>
      </c>
      <c r="AY38" s="28">
        <f t="shared" si="52"/>
        <v>8.75</v>
      </c>
      <c r="AZ38" s="28">
        <f t="shared" si="53"/>
        <v>10.666666666666666</v>
      </c>
    </row>
    <row r="39" spans="1:52">
      <c r="A39">
        <f t="shared" si="54"/>
        <v>38</v>
      </c>
      <c r="B39">
        <f t="shared" si="3"/>
        <v>18</v>
      </c>
      <c r="C39">
        <f t="shared" si="4"/>
        <v>23</v>
      </c>
      <c r="D39">
        <f t="shared" si="5"/>
        <v>24</v>
      </c>
      <c r="E39">
        <f t="shared" si="6"/>
        <v>25</v>
      </c>
      <c r="F39">
        <f t="shared" si="7"/>
        <v>16</v>
      </c>
      <c r="G39">
        <f t="shared" si="8"/>
        <v>18</v>
      </c>
      <c r="H39">
        <f t="shared" si="9"/>
        <v>4</v>
      </c>
      <c r="I39">
        <f t="shared" si="10"/>
        <v>21</v>
      </c>
      <c r="J39">
        <f t="shared" si="11"/>
        <v>14</v>
      </c>
      <c r="K39">
        <f t="shared" si="12"/>
        <v>1</v>
      </c>
      <c r="L39">
        <f t="shared" si="13"/>
        <v>14</v>
      </c>
      <c r="M39">
        <f t="shared" si="14"/>
        <v>1</v>
      </c>
      <c r="N39">
        <f t="shared" si="15"/>
        <v>4</v>
      </c>
      <c r="O39">
        <f t="shared" si="16"/>
        <v>10</v>
      </c>
      <c r="P39">
        <f t="shared" si="17"/>
        <v>8</v>
      </c>
      <c r="Q39">
        <f t="shared" si="18"/>
        <v>25</v>
      </c>
      <c r="R39">
        <f t="shared" si="19"/>
        <v>0</v>
      </c>
      <c r="S39">
        <f t="shared" si="20"/>
        <v>21</v>
      </c>
      <c r="T39">
        <f t="shared" si="21"/>
        <v>12</v>
      </c>
      <c r="U39">
        <f t="shared" si="22"/>
        <v>23</v>
      </c>
      <c r="V39">
        <f t="shared" si="23"/>
        <v>18</v>
      </c>
      <c r="W39">
        <f t="shared" si="24"/>
        <v>4</v>
      </c>
      <c r="X39">
        <f t="shared" si="25"/>
        <v>4</v>
      </c>
      <c r="Y39">
        <f t="shared" si="26"/>
        <v>17</v>
      </c>
      <c r="Z39">
        <f t="shared" si="27"/>
        <v>4</v>
      </c>
      <c r="AA39">
        <f t="shared" si="28"/>
        <v>23</v>
      </c>
      <c r="AB39" s="28">
        <f t="shared" si="29"/>
        <v>13.916666666666666</v>
      </c>
      <c r="AC39" s="28">
        <f t="shared" si="30"/>
        <v>13.666666666666666</v>
      </c>
      <c r="AD39" s="28">
        <f t="shared" si="31"/>
        <v>15</v>
      </c>
      <c r="AE39" s="28">
        <f t="shared" si="32"/>
        <v>11.5</v>
      </c>
      <c r="AF39" s="28">
        <f t="shared" si="33"/>
        <v>12.583333333333334</v>
      </c>
      <c r="AG39" s="28">
        <f t="shared" si="34"/>
        <v>13.541666666666666</v>
      </c>
      <c r="AH39" s="28">
        <f t="shared" si="35"/>
        <v>11.625</v>
      </c>
      <c r="AI39" s="28">
        <f t="shared" si="36"/>
        <v>9.2083333333333339</v>
      </c>
      <c r="AJ39" s="28">
        <f t="shared" si="37"/>
        <v>11.125</v>
      </c>
      <c r="AK39" s="28">
        <f t="shared" si="38"/>
        <v>8.9583333333333339</v>
      </c>
      <c r="AL39" s="28">
        <f t="shared" si="39"/>
        <v>8.2083333333333339</v>
      </c>
      <c r="AM39" s="28">
        <f t="shared" si="40"/>
        <v>12.583333333333334</v>
      </c>
      <c r="AN39" s="28">
        <f t="shared" si="41"/>
        <v>11.5</v>
      </c>
      <c r="AO39" s="28">
        <f t="shared" si="42"/>
        <v>9.7083333333333339</v>
      </c>
      <c r="AP39" s="28">
        <f t="shared" si="43"/>
        <v>13.541666666666666</v>
      </c>
      <c r="AQ39" s="28">
        <f t="shared" si="44"/>
        <v>11.291666666666666</v>
      </c>
      <c r="AR39" s="28">
        <f t="shared" si="45"/>
        <v>12.375</v>
      </c>
      <c r="AS39" s="28">
        <f t="shared" si="46"/>
        <v>9.7916666666666661</v>
      </c>
      <c r="AT39" s="28">
        <f t="shared" si="47"/>
        <v>11.125</v>
      </c>
      <c r="AU39" s="28">
        <f t="shared" si="48"/>
        <v>11</v>
      </c>
      <c r="AV39" s="28">
        <f t="shared" si="49"/>
        <v>13.083333333333334</v>
      </c>
      <c r="AW39" s="28">
        <f t="shared" si="50"/>
        <v>10.791666666666666</v>
      </c>
      <c r="AX39" s="28">
        <f t="shared" si="51"/>
        <v>11.125</v>
      </c>
      <c r="AY39" s="28">
        <f t="shared" si="52"/>
        <v>9.0416666666666661</v>
      </c>
      <c r="AZ39" s="28">
        <f t="shared" si="53"/>
        <v>9.9583333333333339</v>
      </c>
    </row>
    <row r="40" spans="1:52">
      <c r="A40">
        <f t="shared" si="54"/>
        <v>39</v>
      </c>
      <c r="B40">
        <f t="shared" si="3"/>
        <v>19</v>
      </c>
      <c r="C40">
        <f t="shared" si="4"/>
        <v>16</v>
      </c>
      <c r="D40">
        <f t="shared" si="5"/>
        <v>14</v>
      </c>
      <c r="E40">
        <f t="shared" si="6"/>
        <v>13</v>
      </c>
      <c r="F40">
        <f t="shared" si="7"/>
        <v>3</v>
      </c>
      <c r="G40">
        <f t="shared" si="8"/>
        <v>21</v>
      </c>
      <c r="H40">
        <f t="shared" si="9"/>
        <v>25</v>
      </c>
      <c r="I40">
        <f t="shared" si="10"/>
        <v>20</v>
      </c>
      <c r="J40">
        <f t="shared" si="11"/>
        <v>8</v>
      </c>
      <c r="K40">
        <f t="shared" si="12"/>
        <v>9</v>
      </c>
      <c r="L40">
        <f t="shared" si="13"/>
        <v>23</v>
      </c>
      <c r="M40">
        <f t="shared" si="14"/>
        <v>24</v>
      </c>
      <c r="N40">
        <f t="shared" si="15"/>
        <v>2</v>
      </c>
      <c r="O40">
        <f t="shared" si="16"/>
        <v>12</v>
      </c>
      <c r="P40">
        <f t="shared" si="17"/>
        <v>20</v>
      </c>
      <c r="Q40">
        <f t="shared" si="18"/>
        <v>19</v>
      </c>
      <c r="R40">
        <f t="shared" si="19"/>
        <v>19</v>
      </c>
      <c r="S40">
        <f t="shared" si="20"/>
        <v>14</v>
      </c>
      <c r="T40">
        <f t="shared" si="21"/>
        <v>0</v>
      </c>
      <c r="U40">
        <f t="shared" si="22"/>
        <v>23</v>
      </c>
      <c r="V40">
        <f t="shared" si="23"/>
        <v>15</v>
      </c>
      <c r="W40">
        <f t="shared" si="24"/>
        <v>19</v>
      </c>
      <c r="X40">
        <f t="shared" si="25"/>
        <v>23</v>
      </c>
      <c r="Y40">
        <f t="shared" si="26"/>
        <v>14</v>
      </c>
      <c r="Z40">
        <f t="shared" si="27"/>
        <v>18</v>
      </c>
      <c r="AA40">
        <f t="shared" si="28"/>
        <v>15</v>
      </c>
      <c r="AB40" s="28">
        <f t="shared" si="29"/>
        <v>13</v>
      </c>
      <c r="AC40" s="28">
        <f t="shared" si="30"/>
        <v>13.666666666666666</v>
      </c>
      <c r="AD40" s="28">
        <f t="shared" si="31"/>
        <v>14.583333333333334</v>
      </c>
      <c r="AE40" s="28">
        <f t="shared" si="32"/>
        <v>10.916666666666666</v>
      </c>
      <c r="AF40" s="28">
        <f t="shared" si="33"/>
        <v>12.666666666666666</v>
      </c>
      <c r="AG40" s="28">
        <f t="shared" si="34"/>
        <v>14.291666666666666</v>
      </c>
      <c r="AH40" s="28">
        <f t="shared" si="35"/>
        <v>10.75</v>
      </c>
      <c r="AI40" s="28">
        <f t="shared" si="36"/>
        <v>9.125</v>
      </c>
      <c r="AJ40" s="28">
        <f t="shared" si="37"/>
        <v>11.583333333333334</v>
      </c>
      <c r="AK40" s="28">
        <f t="shared" si="38"/>
        <v>8.625</v>
      </c>
      <c r="AL40" s="28">
        <f t="shared" si="39"/>
        <v>8.1666666666666661</v>
      </c>
      <c r="AM40" s="28">
        <f t="shared" si="40"/>
        <v>13.166666666666666</v>
      </c>
      <c r="AN40" s="28">
        <f t="shared" si="41"/>
        <v>11.666666666666666</v>
      </c>
      <c r="AO40" s="28">
        <f t="shared" si="42"/>
        <v>9.4583333333333339</v>
      </c>
      <c r="AP40" s="28">
        <f t="shared" si="43"/>
        <v>13.25</v>
      </c>
      <c r="AQ40" s="28">
        <f t="shared" si="44"/>
        <v>11.541666666666666</v>
      </c>
      <c r="AR40" s="28">
        <f t="shared" si="45"/>
        <v>12</v>
      </c>
      <c r="AS40" s="28">
        <f t="shared" si="46"/>
        <v>9.875</v>
      </c>
      <c r="AT40" s="28">
        <f t="shared" si="47"/>
        <v>10.166666666666666</v>
      </c>
      <c r="AU40" s="28">
        <f t="shared" si="48"/>
        <v>10.333333333333334</v>
      </c>
      <c r="AV40" s="28">
        <f t="shared" si="49"/>
        <v>13.666666666666666</v>
      </c>
      <c r="AW40" s="28">
        <f t="shared" si="50"/>
        <v>11.458333333333334</v>
      </c>
      <c r="AX40" s="28">
        <f t="shared" si="51"/>
        <v>10.666666666666666</v>
      </c>
      <c r="AY40" s="28">
        <f t="shared" si="52"/>
        <v>8.875</v>
      </c>
      <c r="AZ40" s="28">
        <f t="shared" si="53"/>
        <v>9.0833333333333339</v>
      </c>
    </row>
    <row r="41" spans="1:52">
      <c r="A41">
        <f t="shared" si="54"/>
        <v>40</v>
      </c>
      <c r="B41">
        <f t="shared" si="3"/>
        <v>0</v>
      </c>
      <c r="C41">
        <f t="shared" si="4"/>
        <v>16</v>
      </c>
      <c r="D41">
        <f t="shared" si="5"/>
        <v>4</v>
      </c>
      <c r="E41">
        <f t="shared" si="6"/>
        <v>17</v>
      </c>
      <c r="F41">
        <f t="shared" si="7"/>
        <v>20</v>
      </c>
      <c r="G41">
        <f t="shared" si="8"/>
        <v>15</v>
      </c>
      <c r="H41">
        <f t="shared" si="9"/>
        <v>14</v>
      </c>
      <c r="I41">
        <f t="shared" si="10"/>
        <v>8</v>
      </c>
      <c r="J41">
        <f t="shared" si="11"/>
        <v>16</v>
      </c>
      <c r="K41">
        <f t="shared" si="12"/>
        <v>25</v>
      </c>
      <c r="L41">
        <f t="shared" si="13"/>
        <v>22</v>
      </c>
      <c r="M41">
        <f t="shared" si="14"/>
        <v>20</v>
      </c>
      <c r="N41">
        <f t="shared" si="15"/>
        <v>22</v>
      </c>
      <c r="O41">
        <f t="shared" si="16"/>
        <v>8</v>
      </c>
      <c r="P41">
        <f t="shared" si="17"/>
        <v>2</v>
      </c>
      <c r="Q41">
        <f t="shared" si="18"/>
        <v>21</v>
      </c>
      <c r="R41">
        <f t="shared" si="19"/>
        <v>14</v>
      </c>
      <c r="S41">
        <f t="shared" si="20"/>
        <v>2</v>
      </c>
      <c r="T41">
        <f t="shared" si="21"/>
        <v>2</v>
      </c>
      <c r="U41">
        <f t="shared" si="22"/>
        <v>25</v>
      </c>
      <c r="V41">
        <f t="shared" si="23"/>
        <v>14</v>
      </c>
      <c r="W41">
        <f t="shared" si="24"/>
        <v>7</v>
      </c>
      <c r="X41">
        <f t="shared" si="25"/>
        <v>4</v>
      </c>
      <c r="Y41">
        <f t="shared" si="26"/>
        <v>18</v>
      </c>
      <c r="Z41">
        <f t="shared" si="27"/>
        <v>10</v>
      </c>
      <c r="AA41">
        <f t="shared" si="28"/>
        <v>25</v>
      </c>
      <c r="AB41" s="28">
        <f t="shared" si="29"/>
        <v>12.5</v>
      </c>
      <c r="AC41" s="28">
        <f t="shared" si="30"/>
        <v>13.166666666666666</v>
      </c>
      <c r="AD41" s="28">
        <f t="shared" si="31"/>
        <v>14.75</v>
      </c>
      <c r="AE41" s="28">
        <f t="shared" si="32"/>
        <v>11.583333333333334</v>
      </c>
      <c r="AF41" s="28">
        <f t="shared" si="33"/>
        <v>12.333333333333334</v>
      </c>
      <c r="AG41" s="28">
        <f t="shared" si="34"/>
        <v>13.625</v>
      </c>
      <c r="AH41" s="28">
        <f t="shared" si="35"/>
        <v>10.291666666666666</v>
      </c>
      <c r="AI41" s="28">
        <f t="shared" si="36"/>
        <v>9.6666666666666661</v>
      </c>
      <c r="AJ41" s="28">
        <f t="shared" si="37"/>
        <v>11.5</v>
      </c>
      <c r="AK41" s="28">
        <f t="shared" si="38"/>
        <v>8.2083333333333339</v>
      </c>
      <c r="AL41" s="28">
        <f t="shared" si="39"/>
        <v>7.708333333333333</v>
      </c>
      <c r="AM41" s="28">
        <f t="shared" si="40"/>
        <v>13.291666666666666</v>
      </c>
      <c r="AN41" s="28">
        <f t="shared" si="41"/>
        <v>11.958333333333334</v>
      </c>
      <c r="AO41" s="28">
        <f t="shared" si="42"/>
        <v>9.5</v>
      </c>
      <c r="AP41" s="28">
        <f t="shared" si="43"/>
        <v>13</v>
      </c>
      <c r="AQ41" s="28">
        <f t="shared" si="44"/>
        <v>11.541666666666666</v>
      </c>
      <c r="AR41" s="28">
        <f t="shared" si="45"/>
        <v>11.625</v>
      </c>
      <c r="AS41" s="28">
        <f t="shared" si="46"/>
        <v>10.666666666666666</v>
      </c>
      <c r="AT41" s="28">
        <f t="shared" si="47"/>
        <v>10</v>
      </c>
      <c r="AU41" s="28">
        <f t="shared" si="48"/>
        <v>10.583333333333334</v>
      </c>
      <c r="AV41" s="28">
        <f t="shared" si="49"/>
        <v>13.416666666666666</v>
      </c>
      <c r="AW41" s="28">
        <f t="shared" si="50"/>
        <v>10.791666666666666</v>
      </c>
      <c r="AX41" s="28">
        <f t="shared" si="51"/>
        <v>10.625</v>
      </c>
      <c r="AY41" s="28">
        <f t="shared" si="52"/>
        <v>8.6666666666666661</v>
      </c>
      <c r="AZ41" s="28">
        <f t="shared" si="53"/>
        <v>9.0833333333333339</v>
      </c>
    </row>
    <row r="42" spans="1:52">
      <c r="A42">
        <f t="shared" si="54"/>
        <v>41</v>
      </c>
      <c r="B42">
        <f t="shared" si="3"/>
        <v>1</v>
      </c>
      <c r="C42">
        <f t="shared" si="4"/>
        <v>17</v>
      </c>
      <c r="D42">
        <f t="shared" si="5"/>
        <v>21</v>
      </c>
      <c r="E42">
        <f t="shared" si="6"/>
        <v>12</v>
      </c>
      <c r="F42">
        <f t="shared" si="7"/>
        <v>6</v>
      </c>
      <c r="G42">
        <f t="shared" si="8"/>
        <v>21</v>
      </c>
      <c r="H42">
        <f t="shared" si="9"/>
        <v>9</v>
      </c>
      <c r="I42">
        <f t="shared" si="10"/>
        <v>17</v>
      </c>
      <c r="J42">
        <f t="shared" si="11"/>
        <v>7</v>
      </c>
      <c r="K42">
        <f t="shared" si="12"/>
        <v>6</v>
      </c>
      <c r="L42">
        <f t="shared" si="13"/>
        <v>2</v>
      </c>
      <c r="M42">
        <f t="shared" si="14"/>
        <v>22</v>
      </c>
      <c r="N42">
        <f t="shared" si="15"/>
        <v>18</v>
      </c>
      <c r="O42">
        <f t="shared" si="16"/>
        <v>0</v>
      </c>
      <c r="P42">
        <f t="shared" si="17"/>
        <v>2</v>
      </c>
      <c r="Q42">
        <f t="shared" si="18"/>
        <v>23</v>
      </c>
      <c r="R42">
        <f t="shared" si="19"/>
        <v>11</v>
      </c>
      <c r="S42">
        <f t="shared" si="20"/>
        <v>13</v>
      </c>
      <c r="T42">
        <f t="shared" si="21"/>
        <v>15</v>
      </c>
      <c r="U42">
        <f t="shared" si="22"/>
        <v>14</v>
      </c>
      <c r="V42">
        <f t="shared" si="23"/>
        <v>2</v>
      </c>
      <c r="W42">
        <f t="shared" si="24"/>
        <v>9</v>
      </c>
      <c r="X42">
        <f t="shared" si="25"/>
        <v>13</v>
      </c>
      <c r="Y42">
        <f t="shared" si="26"/>
        <v>5</v>
      </c>
      <c r="Z42">
        <f t="shared" si="27"/>
        <v>15</v>
      </c>
      <c r="AA42">
        <f t="shared" si="28"/>
        <v>14</v>
      </c>
      <c r="AB42" s="28">
        <f t="shared" si="29"/>
        <v>12.166666666666666</v>
      </c>
      <c r="AC42" s="28">
        <f t="shared" si="30"/>
        <v>13.416666666666666</v>
      </c>
      <c r="AD42" s="28">
        <f t="shared" si="31"/>
        <v>14.083333333333334</v>
      </c>
      <c r="AE42" s="28">
        <f t="shared" si="32"/>
        <v>11.583333333333334</v>
      </c>
      <c r="AF42" s="28">
        <f t="shared" si="33"/>
        <v>12</v>
      </c>
      <c r="AG42" s="28">
        <f t="shared" si="34"/>
        <v>13.708333333333334</v>
      </c>
      <c r="AH42" s="28">
        <f t="shared" si="35"/>
        <v>11</v>
      </c>
      <c r="AI42" s="28">
        <f t="shared" si="36"/>
        <v>9.8333333333333339</v>
      </c>
      <c r="AJ42" s="28">
        <f t="shared" si="37"/>
        <v>10.5</v>
      </c>
      <c r="AK42" s="28">
        <f t="shared" si="38"/>
        <v>7.875</v>
      </c>
      <c r="AL42" s="28">
        <f t="shared" si="39"/>
        <v>6.916666666666667</v>
      </c>
      <c r="AM42" s="28">
        <f t="shared" si="40"/>
        <v>12.625</v>
      </c>
      <c r="AN42" s="28">
        <f t="shared" si="41"/>
        <v>12.666666666666666</v>
      </c>
      <c r="AO42" s="28">
        <f t="shared" si="42"/>
        <v>10.25</v>
      </c>
      <c r="AP42" s="28">
        <f t="shared" si="43"/>
        <v>12.416666666666666</v>
      </c>
      <c r="AQ42" s="28">
        <f t="shared" si="44"/>
        <v>10.958333333333334</v>
      </c>
      <c r="AR42" s="28">
        <f t="shared" si="45"/>
        <v>11.75</v>
      </c>
      <c r="AS42" s="28">
        <f t="shared" si="46"/>
        <v>11.583333333333334</v>
      </c>
      <c r="AT42" s="28">
        <f t="shared" si="47"/>
        <v>9.6666666666666661</v>
      </c>
      <c r="AU42" s="28">
        <f t="shared" si="48"/>
        <v>10.5</v>
      </c>
      <c r="AV42" s="28">
        <f t="shared" si="49"/>
        <v>14.166666666666666</v>
      </c>
      <c r="AW42" s="28">
        <f t="shared" si="50"/>
        <v>10.875</v>
      </c>
      <c r="AX42" s="28">
        <f t="shared" si="51"/>
        <v>10.666666666666666</v>
      </c>
      <c r="AY42" s="28">
        <f t="shared" si="52"/>
        <v>8.5</v>
      </c>
      <c r="AZ42" s="28">
        <f t="shared" si="53"/>
        <v>8.9166666666666661</v>
      </c>
    </row>
    <row r="43" spans="1:52">
      <c r="A43">
        <f t="shared" si="54"/>
        <v>42</v>
      </c>
      <c r="B43">
        <f t="shared" si="3"/>
        <v>2</v>
      </c>
      <c r="C43">
        <f t="shared" si="4"/>
        <v>19</v>
      </c>
      <c r="D43">
        <f t="shared" si="5"/>
        <v>14</v>
      </c>
      <c r="E43">
        <f t="shared" si="6"/>
        <v>0</v>
      </c>
      <c r="F43">
        <f t="shared" si="7"/>
        <v>6</v>
      </c>
      <c r="G43">
        <f t="shared" si="8"/>
        <v>1</v>
      </c>
      <c r="H43">
        <f t="shared" si="9"/>
        <v>10</v>
      </c>
      <c r="I43">
        <f t="shared" si="10"/>
        <v>1</v>
      </c>
      <c r="J43">
        <f t="shared" si="11"/>
        <v>8</v>
      </c>
      <c r="K43">
        <f t="shared" si="12"/>
        <v>14</v>
      </c>
      <c r="L43">
        <f t="shared" si="13"/>
        <v>16</v>
      </c>
      <c r="M43">
        <f t="shared" si="14"/>
        <v>12</v>
      </c>
      <c r="N43">
        <f t="shared" si="15"/>
        <v>4</v>
      </c>
      <c r="O43">
        <f t="shared" si="16"/>
        <v>4</v>
      </c>
      <c r="P43">
        <f t="shared" si="17"/>
        <v>6</v>
      </c>
      <c r="Q43">
        <f t="shared" si="18"/>
        <v>3</v>
      </c>
      <c r="R43">
        <f t="shared" si="19"/>
        <v>14</v>
      </c>
      <c r="S43">
        <f t="shared" si="20"/>
        <v>1</v>
      </c>
      <c r="T43">
        <f t="shared" si="21"/>
        <v>16</v>
      </c>
      <c r="U43">
        <f t="shared" si="22"/>
        <v>4</v>
      </c>
      <c r="V43">
        <f t="shared" si="23"/>
        <v>6</v>
      </c>
      <c r="W43">
        <f t="shared" si="24"/>
        <v>15</v>
      </c>
      <c r="X43">
        <f t="shared" si="25"/>
        <v>2</v>
      </c>
      <c r="Y43">
        <f t="shared" si="26"/>
        <v>7</v>
      </c>
      <c r="Z43">
        <f t="shared" si="27"/>
        <v>22</v>
      </c>
      <c r="AA43">
        <f t="shared" si="28"/>
        <v>10</v>
      </c>
      <c r="AB43" s="28">
        <f t="shared" si="29"/>
        <v>12</v>
      </c>
      <c r="AC43" s="28">
        <f t="shared" si="30"/>
        <v>13.5</v>
      </c>
      <c r="AD43" s="28">
        <f t="shared" si="31"/>
        <v>14.583333333333334</v>
      </c>
      <c r="AE43" s="28">
        <f t="shared" si="32"/>
        <v>12.083333333333334</v>
      </c>
      <c r="AF43" s="28">
        <f t="shared" si="33"/>
        <v>12.166666666666666</v>
      </c>
      <c r="AG43" s="28">
        <f t="shared" si="34"/>
        <v>13.958333333333334</v>
      </c>
      <c r="AH43" s="28">
        <f t="shared" si="35"/>
        <v>10.875</v>
      </c>
      <c r="AI43" s="28">
        <f t="shared" si="36"/>
        <v>9.875</v>
      </c>
      <c r="AJ43" s="28">
        <f t="shared" si="37"/>
        <v>10.625</v>
      </c>
      <c r="AK43" s="28">
        <f t="shared" si="38"/>
        <v>8.75</v>
      </c>
      <c r="AL43" s="28">
        <f t="shared" si="39"/>
        <v>7</v>
      </c>
      <c r="AM43" s="28">
        <f t="shared" si="40"/>
        <v>12.041666666666666</v>
      </c>
      <c r="AN43" s="28">
        <f t="shared" si="41"/>
        <v>12.791666666666666</v>
      </c>
      <c r="AO43" s="28">
        <f t="shared" si="42"/>
        <v>11.125</v>
      </c>
      <c r="AP43" s="28">
        <f t="shared" si="43"/>
        <v>11.625</v>
      </c>
      <c r="AQ43" s="28">
        <f t="shared" si="44"/>
        <v>10.666666666666666</v>
      </c>
      <c r="AR43" s="28">
        <f t="shared" si="45"/>
        <v>11.583333333333334</v>
      </c>
      <c r="AS43" s="28">
        <f t="shared" si="46"/>
        <v>11.25</v>
      </c>
      <c r="AT43" s="28">
        <f t="shared" si="47"/>
        <v>10.083333333333334</v>
      </c>
      <c r="AU43" s="28">
        <f t="shared" si="48"/>
        <v>10.833333333333334</v>
      </c>
      <c r="AV43" s="28">
        <f t="shared" si="49"/>
        <v>14.166666666666666</v>
      </c>
      <c r="AW43" s="28">
        <f t="shared" si="50"/>
        <v>10.958333333333334</v>
      </c>
      <c r="AX43" s="28">
        <f t="shared" si="51"/>
        <v>10.791666666666666</v>
      </c>
      <c r="AY43" s="28">
        <f t="shared" si="52"/>
        <v>8.4583333333333339</v>
      </c>
      <c r="AZ43" s="28">
        <f t="shared" si="53"/>
        <v>8.7083333333333339</v>
      </c>
    </row>
    <row r="44" spans="1:52">
      <c r="A44">
        <f t="shared" si="54"/>
        <v>43</v>
      </c>
      <c r="B44">
        <f t="shared" si="3"/>
        <v>3</v>
      </c>
      <c r="C44">
        <f t="shared" si="4"/>
        <v>22</v>
      </c>
      <c r="D44">
        <f t="shared" si="5"/>
        <v>10</v>
      </c>
      <c r="E44">
        <f t="shared" si="6"/>
        <v>10</v>
      </c>
      <c r="F44">
        <f t="shared" si="7"/>
        <v>16</v>
      </c>
      <c r="G44">
        <f t="shared" si="8"/>
        <v>17</v>
      </c>
      <c r="H44">
        <f t="shared" si="9"/>
        <v>1</v>
      </c>
      <c r="I44">
        <f t="shared" si="10"/>
        <v>2</v>
      </c>
      <c r="J44">
        <f t="shared" si="11"/>
        <v>10</v>
      </c>
      <c r="K44">
        <f t="shared" si="12"/>
        <v>24</v>
      </c>
      <c r="L44">
        <f t="shared" si="13"/>
        <v>14</v>
      </c>
      <c r="M44">
        <f t="shared" si="14"/>
        <v>0</v>
      </c>
      <c r="N44">
        <f t="shared" si="15"/>
        <v>4</v>
      </c>
      <c r="O44">
        <f t="shared" si="16"/>
        <v>8</v>
      </c>
      <c r="P44">
        <f t="shared" si="17"/>
        <v>14</v>
      </c>
      <c r="Q44">
        <f t="shared" si="18"/>
        <v>17</v>
      </c>
      <c r="R44">
        <f t="shared" si="19"/>
        <v>5</v>
      </c>
      <c r="S44">
        <f t="shared" si="20"/>
        <v>6</v>
      </c>
      <c r="T44">
        <f t="shared" si="21"/>
        <v>22</v>
      </c>
      <c r="U44">
        <f t="shared" si="22"/>
        <v>0</v>
      </c>
      <c r="V44">
        <f t="shared" si="23"/>
        <v>6</v>
      </c>
      <c r="W44">
        <f t="shared" si="24"/>
        <v>21</v>
      </c>
      <c r="X44">
        <f t="shared" si="25"/>
        <v>23</v>
      </c>
      <c r="Y44">
        <f t="shared" si="26"/>
        <v>4</v>
      </c>
      <c r="Z44">
        <f t="shared" si="27"/>
        <v>0</v>
      </c>
      <c r="AA44">
        <f t="shared" si="28"/>
        <v>10</v>
      </c>
      <c r="AB44" s="28">
        <f t="shared" si="29"/>
        <v>12</v>
      </c>
      <c r="AC44" s="28">
        <f t="shared" si="30"/>
        <v>13.583333333333334</v>
      </c>
      <c r="AD44" s="28">
        <f t="shared" si="31"/>
        <v>15.166666666666666</v>
      </c>
      <c r="AE44" s="28">
        <f t="shared" si="32"/>
        <v>12.083333333333334</v>
      </c>
      <c r="AF44" s="28">
        <f t="shared" si="33"/>
        <v>12.333333333333334</v>
      </c>
      <c r="AG44" s="28">
        <f t="shared" si="34"/>
        <v>14.375</v>
      </c>
      <c r="AH44" s="28">
        <f t="shared" si="35"/>
        <v>11.166666666666666</v>
      </c>
      <c r="AI44" s="28">
        <f t="shared" si="36"/>
        <v>10.208333333333334</v>
      </c>
      <c r="AJ44" s="28">
        <f t="shared" si="37"/>
        <v>11.083333333333334</v>
      </c>
      <c r="AK44" s="28">
        <f t="shared" si="38"/>
        <v>9</v>
      </c>
      <c r="AL44" s="28">
        <f t="shared" si="39"/>
        <v>7.333333333333333</v>
      </c>
      <c r="AM44" s="28">
        <f t="shared" si="40"/>
        <v>12.875</v>
      </c>
      <c r="AN44" s="28">
        <f t="shared" si="41"/>
        <v>12.666666666666666</v>
      </c>
      <c r="AO44" s="28">
        <f t="shared" si="42"/>
        <v>11.875</v>
      </c>
      <c r="AP44" s="28">
        <f t="shared" si="43"/>
        <v>11.583333333333334</v>
      </c>
      <c r="AQ44" s="28">
        <f t="shared" si="44"/>
        <v>10.333333333333334</v>
      </c>
      <c r="AR44" s="28">
        <f t="shared" si="45"/>
        <v>12.166666666666666</v>
      </c>
      <c r="AS44" s="28">
        <f t="shared" si="46"/>
        <v>11.5</v>
      </c>
      <c r="AT44" s="28">
        <f t="shared" si="47"/>
        <v>10.75</v>
      </c>
      <c r="AU44" s="28">
        <f t="shared" si="48"/>
        <v>10.75</v>
      </c>
      <c r="AV44" s="28">
        <f t="shared" si="49"/>
        <v>14.083333333333334</v>
      </c>
      <c r="AW44" s="28">
        <f t="shared" si="50"/>
        <v>10.958333333333334</v>
      </c>
      <c r="AX44" s="28">
        <f t="shared" si="51"/>
        <v>10.916666666666666</v>
      </c>
      <c r="AY44" s="28">
        <f t="shared" si="52"/>
        <v>8.5416666666666661</v>
      </c>
      <c r="AZ44" s="28">
        <f t="shared" si="53"/>
        <v>8.5833333333333339</v>
      </c>
    </row>
    <row r="45" spans="1:52">
      <c r="A45">
        <f t="shared" si="54"/>
        <v>44</v>
      </c>
      <c r="B45">
        <f t="shared" si="3"/>
        <v>4</v>
      </c>
      <c r="C45">
        <f t="shared" si="4"/>
        <v>0</v>
      </c>
      <c r="D45">
        <f t="shared" si="5"/>
        <v>10</v>
      </c>
      <c r="E45">
        <f t="shared" si="6"/>
        <v>20</v>
      </c>
      <c r="F45">
        <f t="shared" si="7"/>
        <v>10</v>
      </c>
      <c r="G45">
        <f t="shared" si="8"/>
        <v>1</v>
      </c>
      <c r="H45">
        <f t="shared" si="9"/>
        <v>2</v>
      </c>
      <c r="I45">
        <f t="shared" si="10"/>
        <v>4</v>
      </c>
      <c r="J45">
        <f t="shared" si="11"/>
        <v>14</v>
      </c>
      <c r="K45">
        <f t="shared" si="12"/>
        <v>12</v>
      </c>
      <c r="L45">
        <f t="shared" si="13"/>
        <v>0</v>
      </c>
      <c r="M45">
        <f t="shared" si="14"/>
        <v>0</v>
      </c>
      <c r="N45">
        <f t="shared" si="15"/>
        <v>4</v>
      </c>
      <c r="O45">
        <f t="shared" si="16"/>
        <v>12</v>
      </c>
      <c r="P45">
        <f t="shared" si="17"/>
        <v>0</v>
      </c>
      <c r="Q45">
        <f t="shared" si="18"/>
        <v>17</v>
      </c>
      <c r="R45">
        <f t="shared" si="19"/>
        <v>22</v>
      </c>
      <c r="S45">
        <f t="shared" si="20"/>
        <v>2</v>
      </c>
      <c r="T45">
        <f t="shared" si="21"/>
        <v>24</v>
      </c>
      <c r="U45">
        <f t="shared" si="22"/>
        <v>24</v>
      </c>
      <c r="V45">
        <f t="shared" si="23"/>
        <v>4</v>
      </c>
      <c r="W45">
        <f t="shared" si="24"/>
        <v>25</v>
      </c>
      <c r="X45">
        <f t="shared" si="25"/>
        <v>22</v>
      </c>
      <c r="Y45">
        <f t="shared" si="26"/>
        <v>0</v>
      </c>
      <c r="Z45">
        <f t="shared" si="27"/>
        <v>0</v>
      </c>
      <c r="AA45">
        <f t="shared" si="28"/>
        <v>10</v>
      </c>
      <c r="AB45" s="28">
        <f t="shared" si="29"/>
        <v>11.083333333333334</v>
      </c>
      <c r="AC45" s="28">
        <f t="shared" si="30"/>
        <v>13.833333333333334</v>
      </c>
      <c r="AD45" s="28">
        <f t="shared" si="31"/>
        <v>14.916666666666666</v>
      </c>
      <c r="AE45" s="28">
        <f t="shared" si="32"/>
        <v>11.833333333333334</v>
      </c>
      <c r="AF45" s="28">
        <f t="shared" si="33"/>
        <v>12.25</v>
      </c>
      <c r="AG45" s="28">
        <f t="shared" si="34"/>
        <v>14.708333333333334</v>
      </c>
      <c r="AH45" s="28">
        <f t="shared" si="35"/>
        <v>11.791666666666666</v>
      </c>
      <c r="AI45" s="28">
        <f t="shared" si="36"/>
        <v>10.083333333333334</v>
      </c>
      <c r="AJ45" s="28">
        <f t="shared" si="37"/>
        <v>10.333333333333334</v>
      </c>
      <c r="AK45" s="28">
        <f t="shared" si="38"/>
        <v>8.5</v>
      </c>
      <c r="AL45" s="28">
        <f t="shared" si="39"/>
        <v>8.25</v>
      </c>
      <c r="AM45" s="28">
        <f t="shared" si="40"/>
        <v>13.541666666666666</v>
      </c>
      <c r="AN45" s="28">
        <f t="shared" si="41"/>
        <v>13.208333333333334</v>
      </c>
      <c r="AO45" s="28">
        <f t="shared" si="42"/>
        <v>12.083333333333334</v>
      </c>
      <c r="AP45" s="28">
        <f t="shared" si="43"/>
        <v>11.75</v>
      </c>
      <c r="AQ45" s="28">
        <f t="shared" si="44"/>
        <v>10.166666666666666</v>
      </c>
      <c r="AR45" s="28">
        <f t="shared" si="45"/>
        <v>12.583333333333334</v>
      </c>
      <c r="AS45" s="28">
        <f t="shared" si="46"/>
        <v>11.083333333333334</v>
      </c>
      <c r="AT45" s="28">
        <f t="shared" si="47"/>
        <v>11</v>
      </c>
      <c r="AU45" s="28">
        <f t="shared" si="48"/>
        <v>10.916666666666666</v>
      </c>
      <c r="AV45" s="28">
        <f t="shared" si="49"/>
        <v>14.166666666666666</v>
      </c>
      <c r="AW45" s="28">
        <f t="shared" si="50"/>
        <v>11.041666666666666</v>
      </c>
      <c r="AX45" s="28">
        <f t="shared" si="51"/>
        <v>11.125</v>
      </c>
      <c r="AY45" s="28">
        <f t="shared" si="52"/>
        <v>8.8333333333333339</v>
      </c>
      <c r="AZ45" s="28">
        <f t="shared" si="53"/>
        <v>8.75</v>
      </c>
    </row>
    <row r="46" spans="1:52">
      <c r="A46">
        <f t="shared" si="54"/>
        <v>45</v>
      </c>
      <c r="B46">
        <f t="shared" si="3"/>
        <v>5</v>
      </c>
      <c r="C46">
        <f t="shared" si="4"/>
        <v>5</v>
      </c>
      <c r="D46">
        <f t="shared" si="5"/>
        <v>15</v>
      </c>
      <c r="E46">
        <f t="shared" si="6"/>
        <v>9</v>
      </c>
      <c r="F46">
        <f t="shared" si="7"/>
        <v>19</v>
      </c>
      <c r="G46">
        <f t="shared" si="8"/>
        <v>20</v>
      </c>
      <c r="H46">
        <f t="shared" si="9"/>
        <v>22</v>
      </c>
      <c r="I46">
        <f t="shared" si="10"/>
        <v>0</v>
      </c>
      <c r="J46">
        <f t="shared" si="11"/>
        <v>14</v>
      </c>
      <c r="K46">
        <f t="shared" si="12"/>
        <v>0</v>
      </c>
      <c r="L46">
        <f t="shared" si="13"/>
        <v>0</v>
      </c>
      <c r="M46">
        <f t="shared" si="14"/>
        <v>0</v>
      </c>
      <c r="N46">
        <f t="shared" si="15"/>
        <v>4</v>
      </c>
      <c r="O46">
        <f t="shared" si="16"/>
        <v>16</v>
      </c>
      <c r="P46">
        <f t="shared" si="17"/>
        <v>16</v>
      </c>
      <c r="Q46">
        <f t="shared" si="18"/>
        <v>7</v>
      </c>
      <c r="R46">
        <f t="shared" si="19"/>
        <v>3</v>
      </c>
      <c r="S46">
        <f t="shared" si="20"/>
        <v>5</v>
      </c>
      <c r="T46">
        <f t="shared" si="21"/>
        <v>3</v>
      </c>
      <c r="U46">
        <f t="shared" si="22"/>
        <v>1</v>
      </c>
      <c r="V46">
        <f t="shared" si="23"/>
        <v>5</v>
      </c>
      <c r="W46">
        <f t="shared" si="24"/>
        <v>4</v>
      </c>
      <c r="X46">
        <f t="shared" si="25"/>
        <v>0</v>
      </c>
      <c r="Y46">
        <f t="shared" si="26"/>
        <v>0</v>
      </c>
      <c r="Z46">
        <f t="shared" si="27"/>
        <v>0</v>
      </c>
      <c r="AA46">
        <f t="shared" si="28"/>
        <v>10</v>
      </c>
      <c r="AB46" s="28">
        <f t="shared" si="29"/>
        <v>11.416666666666666</v>
      </c>
      <c r="AC46" s="28">
        <f t="shared" si="30"/>
        <v>14.416666666666666</v>
      </c>
      <c r="AD46" s="28">
        <f t="shared" si="31"/>
        <v>14.166666666666666</v>
      </c>
      <c r="AE46" s="28">
        <f t="shared" si="32"/>
        <v>11.916666666666666</v>
      </c>
      <c r="AF46" s="28">
        <f t="shared" si="33"/>
        <v>12.25</v>
      </c>
      <c r="AG46" s="28">
        <f t="shared" si="34"/>
        <v>15.041666666666666</v>
      </c>
      <c r="AH46" s="28">
        <f t="shared" si="35"/>
        <v>11.666666666666666</v>
      </c>
      <c r="AI46" s="28">
        <f t="shared" si="36"/>
        <v>9.8333333333333339</v>
      </c>
      <c r="AJ46" s="28">
        <f t="shared" si="37"/>
        <v>10.416666666666666</v>
      </c>
      <c r="AK46" s="28">
        <f t="shared" si="38"/>
        <v>9.1666666666666661</v>
      </c>
      <c r="AL46" s="28">
        <f t="shared" si="39"/>
        <v>8.75</v>
      </c>
      <c r="AM46" s="28">
        <f t="shared" si="40"/>
        <v>13.625</v>
      </c>
      <c r="AN46" s="28">
        <f t="shared" si="41"/>
        <v>12.75</v>
      </c>
      <c r="AO46" s="28">
        <f t="shared" si="42"/>
        <v>12.916666666666666</v>
      </c>
      <c r="AP46" s="28">
        <f t="shared" si="43"/>
        <v>11.666666666666666</v>
      </c>
      <c r="AQ46" s="28">
        <f t="shared" si="44"/>
        <v>9.9166666666666661</v>
      </c>
      <c r="AR46" s="28">
        <f t="shared" si="45"/>
        <v>12.75</v>
      </c>
      <c r="AS46" s="28">
        <f t="shared" si="46"/>
        <v>10.833333333333334</v>
      </c>
      <c r="AT46" s="28">
        <f t="shared" si="47"/>
        <v>11</v>
      </c>
      <c r="AU46" s="28">
        <f t="shared" si="48"/>
        <v>11.083333333333334</v>
      </c>
      <c r="AV46" s="28">
        <f t="shared" si="49"/>
        <v>13.333333333333334</v>
      </c>
      <c r="AW46" s="28">
        <f t="shared" si="50"/>
        <v>10.291666666666666</v>
      </c>
      <c r="AX46" s="28">
        <f t="shared" si="51"/>
        <v>11.666666666666666</v>
      </c>
      <c r="AY46" s="28">
        <f t="shared" si="52"/>
        <v>9.6666666666666661</v>
      </c>
      <c r="AZ46" s="28">
        <f t="shared" si="53"/>
        <v>8.6666666666666661</v>
      </c>
    </row>
    <row r="47" spans="1:52">
      <c r="A47">
        <f t="shared" si="54"/>
        <v>46</v>
      </c>
      <c r="B47">
        <f t="shared" si="3"/>
        <v>6</v>
      </c>
      <c r="C47">
        <f t="shared" si="4"/>
        <v>11</v>
      </c>
      <c r="D47">
        <f t="shared" si="5"/>
        <v>0</v>
      </c>
      <c r="E47">
        <f t="shared" si="6"/>
        <v>9</v>
      </c>
      <c r="F47">
        <f t="shared" si="7"/>
        <v>2</v>
      </c>
      <c r="G47">
        <f t="shared" si="8"/>
        <v>22</v>
      </c>
      <c r="H47">
        <f t="shared" si="9"/>
        <v>18</v>
      </c>
      <c r="I47">
        <f t="shared" si="10"/>
        <v>18</v>
      </c>
      <c r="J47">
        <f t="shared" si="11"/>
        <v>6</v>
      </c>
      <c r="K47">
        <f t="shared" si="12"/>
        <v>6</v>
      </c>
      <c r="L47">
        <f t="shared" si="13"/>
        <v>6</v>
      </c>
      <c r="M47">
        <f t="shared" si="14"/>
        <v>6</v>
      </c>
      <c r="N47">
        <f t="shared" si="15"/>
        <v>10</v>
      </c>
      <c r="O47">
        <f t="shared" si="16"/>
        <v>0</v>
      </c>
      <c r="P47">
        <f t="shared" si="17"/>
        <v>16</v>
      </c>
      <c r="Q47">
        <f t="shared" si="18"/>
        <v>23</v>
      </c>
      <c r="R47">
        <f t="shared" si="19"/>
        <v>0</v>
      </c>
      <c r="S47">
        <f t="shared" si="20"/>
        <v>5</v>
      </c>
      <c r="T47">
        <f t="shared" si="21"/>
        <v>8</v>
      </c>
      <c r="U47">
        <f t="shared" si="22"/>
        <v>9</v>
      </c>
      <c r="V47">
        <f t="shared" si="23"/>
        <v>14</v>
      </c>
      <c r="W47">
        <f t="shared" si="24"/>
        <v>18</v>
      </c>
      <c r="X47">
        <f t="shared" si="25"/>
        <v>18</v>
      </c>
      <c r="Y47">
        <f t="shared" si="26"/>
        <v>18</v>
      </c>
      <c r="Z47">
        <f t="shared" si="27"/>
        <v>18</v>
      </c>
      <c r="AA47">
        <f t="shared" si="28"/>
        <v>2</v>
      </c>
      <c r="AB47" s="28">
        <f t="shared" si="29"/>
        <v>11.916666666666666</v>
      </c>
      <c r="AC47" s="28">
        <f t="shared" si="30"/>
        <v>14.416666666666666</v>
      </c>
      <c r="AD47" s="28">
        <f t="shared" si="31"/>
        <v>14.5</v>
      </c>
      <c r="AE47" s="28">
        <f t="shared" si="32"/>
        <v>11.25</v>
      </c>
      <c r="AF47" s="28">
        <f t="shared" si="33"/>
        <v>11.583333333333334</v>
      </c>
      <c r="AG47" s="28">
        <f t="shared" si="34"/>
        <v>14.708333333333334</v>
      </c>
      <c r="AH47" s="28">
        <f t="shared" si="35"/>
        <v>12.291666666666666</v>
      </c>
      <c r="AI47" s="28">
        <f t="shared" si="36"/>
        <v>10.208333333333334</v>
      </c>
      <c r="AJ47" s="28">
        <f t="shared" si="37"/>
        <v>10.875</v>
      </c>
      <c r="AK47" s="28">
        <f t="shared" si="38"/>
        <v>9.2083333333333339</v>
      </c>
      <c r="AL47" s="28">
        <f t="shared" si="39"/>
        <v>9.2916666666666661</v>
      </c>
      <c r="AM47" s="28">
        <f t="shared" si="40"/>
        <v>14.25</v>
      </c>
      <c r="AN47" s="28">
        <f t="shared" si="41"/>
        <v>12.916666666666666</v>
      </c>
      <c r="AO47" s="28">
        <f t="shared" si="42"/>
        <v>12.833333333333334</v>
      </c>
      <c r="AP47" s="28">
        <f t="shared" si="43"/>
        <v>11.5</v>
      </c>
      <c r="AQ47" s="28">
        <f t="shared" si="44"/>
        <v>10.583333333333334</v>
      </c>
      <c r="AR47" s="28">
        <f t="shared" si="45"/>
        <v>13.583333333333334</v>
      </c>
      <c r="AS47" s="28">
        <f t="shared" si="46"/>
        <v>11.416666666666666</v>
      </c>
      <c r="AT47" s="28">
        <f t="shared" si="47"/>
        <v>11.583333333333334</v>
      </c>
      <c r="AU47" s="28">
        <f t="shared" si="48"/>
        <v>11.833333333333334</v>
      </c>
      <c r="AV47" s="28">
        <f t="shared" si="49"/>
        <v>13.25</v>
      </c>
      <c r="AW47" s="28">
        <f t="shared" si="50"/>
        <v>10.541666666666666</v>
      </c>
      <c r="AX47" s="28">
        <f t="shared" si="51"/>
        <v>12.458333333333334</v>
      </c>
      <c r="AY47" s="28">
        <f t="shared" si="52"/>
        <v>10.208333333333334</v>
      </c>
      <c r="AZ47" s="28">
        <f t="shared" si="53"/>
        <v>9.125</v>
      </c>
    </row>
    <row r="48" spans="1:52">
      <c r="A48">
        <f t="shared" si="54"/>
        <v>47</v>
      </c>
      <c r="B48">
        <f t="shared" si="3"/>
        <v>7</v>
      </c>
      <c r="C48">
        <f t="shared" si="4"/>
        <v>18</v>
      </c>
      <c r="D48">
        <f t="shared" si="5"/>
        <v>18</v>
      </c>
      <c r="E48">
        <f t="shared" si="6"/>
        <v>1</v>
      </c>
      <c r="F48">
        <f t="shared" si="7"/>
        <v>3</v>
      </c>
      <c r="G48">
        <f t="shared" si="8"/>
        <v>25</v>
      </c>
      <c r="H48">
        <f t="shared" si="9"/>
        <v>17</v>
      </c>
      <c r="I48">
        <f t="shared" si="10"/>
        <v>9</v>
      </c>
      <c r="J48">
        <f t="shared" si="11"/>
        <v>15</v>
      </c>
      <c r="K48">
        <f t="shared" si="12"/>
        <v>21</v>
      </c>
      <c r="L48">
        <f t="shared" si="13"/>
        <v>1</v>
      </c>
      <c r="M48">
        <f t="shared" si="14"/>
        <v>7</v>
      </c>
      <c r="N48">
        <f t="shared" si="15"/>
        <v>17</v>
      </c>
      <c r="O48">
        <f t="shared" si="16"/>
        <v>17</v>
      </c>
      <c r="P48">
        <f t="shared" si="17"/>
        <v>7</v>
      </c>
      <c r="Q48">
        <f t="shared" si="18"/>
        <v>4</v>
      </c>
      <c r="R48">
        <f t="shared" si="19"/>
        <v>4</v>
      </c>
      <c r="S48">
        <f t="shared" si="20"/>
        <v>9</v>
      </c>
      <c r="T48">
        <f t="shared" si="21"/>
        <v>17</v>
      </c>
      <c r="U48">
        <f t="shared" si="22"/>
        <v>0</v>
      </c>
      <c r="V48">
        <f t="shared" si="23"/>
        <v>14</v>
      </c>
      <c r="W48">
        <f t="shared" si="24"/>
        <v>6</v>
      </c>
      <c r="X48">
        <f t="shared" si="25"/>
        <v>24</v>
      </c>
      <c r="Y48">
        <f t="shared" si="26"/>
        <v>16</v>
      </c>
      <c r="Z48">
        <f t="shared" si="27"/>
        <v>8</v>
      </c>
      <c r="AA48">
        <f t="shared" si="28"/>
        <v>10</v>
      </c>
      <c r="AB48" s="28">
        <f t="shared" si="29"/>
        <v>11.5</v>
      </c>
      <c r="AC48" s="28">
        <f t="shared" si="30"/>
        <v>15.083333333333334</v>
      </c>
      <c r="AD48" s="28">
        <f t="shared" si="31"/>
        <v>14.416666666666666</v>
      </c>
      <c r="AE48" s="28">
        <f t="shared" si="32"/>
        <v>11.583333333333334</v>
      </c>
      <c r="AF48" s="28">
        <f t="shared" si="33"/>
        <v>11.25</v>
      </c>
      <c r="AG48" s="28">
        <f t="shared" si="34"/>
        <v>14.041666666666666</v>
      </c>
      <c r="AH48" s="28">
        <f t="shared" si="35"/>
        <v>12.25</v>
      </c>
      <c r="AI48" s="28">
        <f t="shared" si="36"/>
        <v>10.541666666666666</v>
      </c>
      <c r="AJ48" s="28">
        <f t="shared" si="37"/>
        <v>11.666666666666666</v>
      </c>
      <c r="AK48" s="28">
        <f t="shared" si="38"/>
        <v>8.9583333333333339</v>
      </c>
      <c r="AL48" s="28">
        <f t="shared" si="39"/>
        <v>9.5833333333333339</v>
      </c>
      <c r="AM48" s="28">
        <f t="shared" si="40"/>
        <v>14.083333333333334</v>
      </c>
      <c r="AN48" s="28">
        <f t="shared" si="41"/>
        <v>12.916666666666666</v>
      </c>
      <c r="AO48" s="28">
        <f t="shared" si="42"/>
        <v>12.75</v>
      </c>
      <c r="AP48" s="28">
        <f t="shared" si="43"/>
        <v>11.25</v>
      </c>
      <c r="AQ48" s="28">
        <f t="shared" si="44"/>
        <v>11</v>
      </c>
      <c r="AR48" s="28">
        <f t="shared" si="45"/>
        <v>13.75</v>
      </c>
      <c r="AS48" s="28">
        <f t="shared" si="46"/>
        <v>11.083333333333334</v>
      </c>
      <c r="AT48" s="28">
        <f t="shared" si="47"/>
        <v>11.833333333333334</v>
      </c>
      <c r="AU48" s="28">
        <f t="shared" si="48"/>
        <v>11.75</v>
      </c>
      <c r="AV48" s="28">
        <f t="shared" si="49"/>
        <v>13.083333333333334</v>
      </c>
      <c r="AW48" s="28">
        <f t="shared" si="50"/>
        <v>10.625</v>
      </c>
      <c r="AX48" s="28">
        <f t="shared" si="51"/>
        <v>12.25</v>
      </c>
      <c r="AY48" s="28">
        <f t="shared" si="52"/>
        <v>9.4583333333333339</v>
      </c>
      <c r="AZ48" s="28">
        <f t="shared" si="53"/>
        <v>9.9166666666666661</v>
      </c>
    </row>
    <row r="49" spans="1:52">
      <c r="A49">
        <f t="shared" si="54"/>
        <v>48</v>
      </c>
      <c r="B49">
        <f t="shared" si="3"/>
        <v>8</v>
      </c>
      <c r="C49">
        <f t="shared" si="4"/>
        <v>0</v>
      </c>
      <c r="D49">
        <f t="shared" si="5"/>
        <v>18</v>
      </c>
      <c r="E49">
        <f t="shared" si="6"/>
        <v>19</v>
      </c>
      <c r="F49">
        <f t="shared" si="7"/>
        <v>22</v>
      </c>
      <c r="G49">
        <f t="shared" si="8"/>
        <v>21</v>
      </c>
      <c r="H49">
        <f t="shared" si="9"/>
        <v>12</v>
      </c>
      <c r="I49">
        <f t="shared" si="10"/>
        <v>21</v>
      </c>
      <c r="J49">
        <f t="shared" si="11"/>
        <v>10</v>
      </c>
      <c r="K49">
        <f t="shared" si="12"/>
        <v>5</v>
      </c>
      <c r="L49">
        <f t="shared" si="13"/>
        <v>6</v>
      </c>
      <c r="M49">
        <f t="shared" si="14"/>
        <v>13</v>
      </c>
      <c r="N49">
        <f t="shared" si="15"/>
        <v>4</v>
      </c>
      <c r="O49">
        <f t="shared" si="16"/>
        <v>21</v>
      </c>
      <c r="P49">
        <f t="shared" si="17"/>
        <v>2</v>
      </c>
      <c r="Q49">
        <f t="shared" si="18"/>
        <v>6</v>
      </c>
      <c r="R49">
        <f t="shared" si="19"/>
        <v>10</v>
      </c>
      <c r="S49">
        <f t="shared" si="20"/>
        <v>19</v>
      </c>
      <c r="T49">
        <f t="shared" si="21"/>
        <v>10</v>
      </c>
      <c r="U49">
        <f t="shared" si="22"/>
        <v>10</v>
      </c>
      <c r="V49">
        <f t="shared" si="23"/>
        <v>24</v>
      </c>
      <c r="W49">
        <f t="shared" si="24"/>
        <v>4</v>
      </c>
      <c r="X49">
        <f t="shared" si="25"/>
        <v>2</v>
      </c>
      <c r="Y49">
        <f t="shared" si="26"/>
        <v>18</v>
      </c>
      <c r="Z49">
        <f t="shared" si="27"/>
        <v>0</v>
      </c>
      <c r="AA49">
        <f t="shared" si="28"/>
        <v>10</v>
      </c>
      <c r="AB49" s="28">
        <f t="shared" si="29"/>
        <v>11.25</v>
      </c>
      <c r="AC49" s="28">
        <f t="shared" si="30"/>
        <v>14.416666666666666</v>
      </c>
      <c r="AD49" s="28">
        <f t="shared" si="31"/>
        <v>14.75</v>
      </c>
      <c r="AE49" s="28">
        <f t="shared" si="32"/>
        <v>12.25</v>
      </c>
      <c r="AF49" s="28">
        <f t="shared" si="33"/>
        <v>10.5</v>
      </c>
      <c r="AG49" s="28">
        <f t="shared" si="34"/>
        <v>13.708333333333334</v>
      </c>
      <c r="AH49" s="28">
        <f t="shared" si="35"/>
        <v>11.875</v>
      </c>
      <c r="AI49" s="28">
        <f t="shared" si="36"/>
        <v>10.5</v>
      </c>
      <c r="AJ49" s="28">
        <f t="shared" si="37"/>
        <v>11.333333333333334</v>
      </c>
      <c r="AK49" s="28">
        <f t="shared" si="38"/>
        <v>9.4583333333333339</v>
      </c>
      <c r="AL49" s="28">
        <f t="shared" si="39"/>
        <v>9.2916666666666661</v>
      </c>
      <c r="AM49" s="28">
        <f t="shared" si="40"/>
        <v>13.625</v>
      </c>
      <c r="AN49" s="28">
        <f t="shared" si="41"/>
        <v>12.458333333333334</v>
      </c>
      <c r="AO49" s="28">
        <f t="shared" si="42"/>
        <v>13.291666666666666</v>
      </c>
      <c r="AP49" s="28">
        <f t="shared" si="43"/>
        <v>11.541666666666666</v>
      </c>
      <c r="AQ49" s="28">
        <f t="shared" si="44"/>
        <v>11.708333333333334</v>
      </c>
      <c r="AR49" s="28">
        <f t="shared" si="45"/>
        <v>13.541666666666666</v>
      </c>
      <c r="AS49" s="28">
        <f t="shared" si="46"/>
        <v>10.541666666666666</v>
      </c>
      <c r="AT49" s="28">
        <f t="shared" si="47"/>
        <v>12.625</v>
      </c>
      <c r="AU49" s="28">
        <f t="shared" si="48"/>
        <v>11.375</v>
      </c>
      <c r="AV49" s="28">
        <f t="shared" si="49"/>
        <v>13.625</v>
      </c>
      <c r="AW49" s="28">
        <f t="shared" si="50"/>
        <v>10.166666666666666</v>
      </c>
      <c r="AX49" s="28">
        <f t="shared" si="51"/>
        <v>11.583333333333334</v>
      </c>
      <c r="AY49" s="28">
        <f t="shared" si="52"/>
        <v>9.125</v>
      </c>
      <c r="AZ49" s="28">
        <f t="shared" si="53"/>
        <v>10.375</v>
      </c>
    </row>
    <row r="50" spans="1:52">
      <c r="A50">
        <f t="shared" si="54"/>
        <v>49</v>
      </c>
      <c r="B50">
        <f t="shared" si="3"/>
        <v>9</v>
      </c>
      <c r="C50">
        <f t="shared" si="4"/>
        <v>9</v>
      </c>
      <c r="D50">
        <f t="shared" si="5"/>
        <v>1</v>
      </c>
      <c r="E50">
        <f t="shared" si="6"/>
        <v>20</v>
      </c>
      <c r="F50">
        <f t="shared" si="7"/>
        <v>16</v>
      </c>
      <c r="G50">
        <f t="shared" si="8"/>
        <v>11</v>
      </c>
      <c r="H50">
        <f t="shared" si="9"/>
        <v>23</v>
      </c>
      <c r="I50">
        <f t="shared" si="10"/>
        <v>18</v>
      </c>
      <c r="J50">
        <f t="shared" si="11"/>
        <v>2</v>
      </c>
      <c r="K50">
        <f t="shared" si="12"/>
        <v>7</v>
      </c>
      <c r="L50">
        <f t="shared" si="13"/>
        <v>13</v>
      </c>
      <c r="M50">
        <f t="shared" si="14"/>
        <v>0</v>
      </c>
      <c r="N50">
        <f t="shared" si="15"/>
        <v>4</v>
      </c>
      <c r="O50">
        <f t="shared" si="16"/>
        <v>25</v>
      </c>
      <c r="P50">
        <f t="shared" si="17"/>
        <v>1</v>
      </c>
      <c r="Q50">
        <f t="shared" si="18"/>
        <v>7</v>
      </c>
      <c r="R50">
        <f t="shared" si="19"/>
        <v>17</v>
      </c>
      <c r="S50">
        <f t="shared" si="20"/>
        <v>10</v>
      </c>
      <c r="T50">
        <f t="shared" si="21"/>
        <v>20</v>
      </c>
      <c r="U50">
        <f t="shared" si="22"/>
        <v>4</v>
      </c>
      <c r="V50">
        <f t="shared" si="23"/>
        <v>2</v>
      </c>
      <c r="W50">
        <f t="shared" si="24"/>
        <v>6</v>
      </c>
      <c r="X50">
        <f t="shared" si="25"/>
        <v>8</v>
      </c>
      <c r="Y50">
        <f t="shared" si="26"/>
        <v>0</v>
      </c>
      <c r="Z50">
        <f t="shared" si="27"/>
        <v>0</v>
      </c>
      <c r="AA50">
        <f t="shared" si="28"/>
        <v>10</v>
      </c>
      <c r="AB50" s="28">
        <f t="shared" si="29"/>
        <v>12.25</v>
      </c>
      <c r="AC50" s="28">
        <f t="shared" si="30"/>
        <v>13.666666666666666</v>
      </c>
      <c r="AD50" s="28">
        <f t="shared" si="31"/>
        <v>14.333333333333334</v>
      </c>
      <c r="AE50" s="28">
        <f t="shared" si="32"/>
        <v>11.416666666666666</v>
      </c>
      <c r="AF50" s="28">
        <f t="shared" si="33"/>
        <v>10</v>
      </c>
      <c r="AG50" s="28">
        <f t="shared" si="34"/>
        <v>13.958333333333334</v>
      </c>
      <c r="AH50" s="28">
        <f t="shared" si="35"/>
        <v>11.75</v>
      </c>
      <c r="AI50" s="28">
        <f t="shared" si="36"/>
        <v>10.333333333333334</v>
      </c>
      <c r="AJ50" s="28">
        <f t="shared" si="37"/>
        <v>11.916666666666666</v>
      </c>
      <c r="AK50" s="28">
        <f t="shared" si="38"/>
        <v>9.4583333333333339</v>
      </c>
      <c r="AL50" s="28">
        <f t="shared" si="39"/>
        <v>9</v>
      </c>
      <c r="AM50" s="28">
        <f t="shared" si="40"/>
        <v>13.958333333333334</v>
      </c>
      <c r="AN50" s="28">
        <f t="shared" si="41"/>
        <v>12.333333333333334</v>
      </c>
      <c r="AO50" s="28">
        <f t="shared" si="42"/>
        <v>13.708333333333334</v>
      </c>
      <c r="AP50" s="28">
        <f t="shared" si="43"/>
        <v>12.25</v>
      </c>
      <c r="AQ50" s="28">
        <f t="shared" si="44"/>
        <v>12.041666666666666</v>
      </c>
      <c r="AR50" s="28">
        <f t="shared" si="45"/>
        <v>13.666666666666666</v>
      </c>
      <c r="AS50" s="28">
        <f t="shared" si="46"/>
        <v>10.125</v>
      </c>
      <c r="AT50" s="28">
        <f t="shared" si="47"/>
        <v>13</v>
      </c>
      <c r="AU50" s="28">
        <f t="shared" si="48"/>
        <v>11.375</v>
      </c>
      <c r="AV50" s="28">
        <f t="shared" si="49"/>
        <v>14.166666666666666</v>
      </c>
      <c r="AW50" s="28">
        <f t="shared" si="50"/>
        <v>10.25</v>
      </c>
      <c r="AX50" s="28">
        <f t="shared" si="51"/>
        <v>11</v>
      </c>
      <c r="AY50" s="28">
        <f t="shared" si="52"/>
        <v>9.2916666666666661</v>
      </c>
      <c r="AZ50" s="28">
        <f t="shared" si="53"/>
        <v>11</v>
      </c>
    </row>
    <row r="51" spans="1:52">
      <c r="A51">
        <f t="shared" si="54"/>
        <v>50</v>
      </c>
      <c r="B51">
        <f t="shared" si="3"/>
        <v>10</v>
      </c>
      <c r="C51">
        <f t="shared" si="4"/>
        <v>19</v>
      </c>
      <c r="D51">
        <f t="shared" si="5"/>
        <v>20</v>
      </c>
      <c r="E51">
        <f t="shared" si="6"/>
        <v>14</v>
      </c>
      <c r="F51">
        <f t="shared" si="7"/>
        <v>4</v>
      </c>
      <c r="G51">
        <f t="shared" si="8"/>
        <v>15</v>
      </c>
      <c r="H51">
        <f t="shared" si="9"/>
        <v>12</v>
      </c>
      <c r="I51">
        <f t="shared" si="10"/>
        <v>4</v>
      </c>
      <c r="J51">
        <f t="shared" si="11"/>
        <v>6</v>
      </c>
      <c r="K51">
        <f t="shared" si="12"/>
        <v>13</v>
      </c>
      <c r="L51">
        <f t="shared" si="13"/>
        <v>0</v>
      </c>
      <c r="M51">
        <f t="shared" si="14"/>
        <v>0</v>
      </c>
      <c r="N51">
        <f t="shared" si="15"/>
        <v>4</v>
      </c>
      <c r="O51">
        <f t="shared" si="16"/>
        <v>3</v>
      </c>
      <c r="P51">
        <f t="shared" si="17"/>
        <v>4</v>
      </c>
      <c r="Q51">
        <f t="shared" si="18"/>
        <v>11</v>
      </c>
      <c r="R51">
        <f t="shared" si="19"/>
        <v>2</v>
      </c>
      <c r="S51">
        <f t="shared" si="20"/>
        <v>12</v>
      </c>
      <c r="T51">
        <f t="shared" si="21"/>
        <v>6</v>
      </c>
      <c r="U51">
        <f t="shared" si="22"/>
        <v>10</v>
      </c>
      <c r="V51">
        <f t="shared" si="23"/>
        <v>12</v>
      </c>
      <c r="W51">
        <f t="shared" si="24"/>
        <v>18</v>
      </c>
      <c r="X51">
        <f t="shared" si="25"/>
        <v>0</v>
      </c>
      <c r="Y51">
        <f t="shared" si="26"/>
        <v>0</v>
      </c>
      <c r="Z51">
        <f t="shared" si="27"/>
        <v>0</v>
      </c>
      <c r="AA51">
        <f t="shared" si="28"/>
        <v>10</v>
      </c>
      <c r="AB51" s="28">
        <f t="shared" si="29"/>
        <v>12.333333333333334</v>
      </c>
      <c r="AC51" s="28">
        <f t="shared" si="30"/>
        <v>14.083333333333334</v>
      </c>
      <c r="AD51" s="28">
        <f t="shared" si="31"/>
        <v>14.333333333333334</v>
      </c>
      <c r="AE51" s="28">
        <f t="shared" si="32"/>
        <v>11.666666666666666</v>
      </c>
      <c r="AF51" s="28">
        <f t="shared" si="33"/>
        <v>9.75</v>
      </c>
      <c r="AG51" s="28">
        <f t="shared" si="34"/>
        <v>13.958333333333334</v>
      </c>
      <c r="AH51" s="28">
        <f t="shared" si="35"/>
        <v>11.625</v>
      </c>
      <c r="AI51" s="28">
        <f t="shared" si="36"/>
        <v>11.125</v>
      </c>
      <c r="AJ51" s="28">
        <f t="shared" si="37"/>
        <v>12.208333333333334</v>
      </c>
      <c r="AK51" s="28">
        <f t="shared" si="38"/>
        <v>9.75</v>
      </c>
      <c r="AL51" s="28">
        <f t="shared" si="39"/>
        <v>9</v>
      </c>
      <c r="AM51" s="28">
        <f t="shared" si="40"/>
        <v>14.291666666666666</v>
      </c>
      <c r="AN51" s="28">
        <f t="shared" si="41"/>
        <v>11.458333333333334</v>
      </c>
      <c r="AO51" s="28">
        <f t="shared" si="42"/>
        <v>14.333333333333334</v>
      </c>
      <c r="AP51" s="28">
        <f t="shared" si="43"/>
        <v>12.5</v>
      </c>
      <c r="AQ51" s="28">
        <f t="shared" si="44"/>
        <v>11.541666666666666</v>
      </c>
      <c r="AR51" s="28">
        <f t="shared" si="45"/>
        <v>13.291666666666666</v>
      </c>
      <c r="AS51" s="28">
        <f t="shared" si="46"/>
        <v>9.3333333333333339</v>
      </c>
      <c r="AT51" s="28">
        <f t="shared" si="47"/>
        <v>13.666666666666666</v>
      </c>
      <c r="AU51" s="28">
        <f t="shared" si="48"/>
        <v>12.041666666666666</v>
      </c>
      <c r="AV51" s="28">
        <f t="shared" si="49"/>
        <v>14.291666666666666</v>
      </c>
      <c r="AW51" s="28">
        <f t="shared" si="50"/>
        <v>10.458333333333334</v>
      </c>
      <c r="AX51" s="28">
        <f t="shared" si="51"/>
        <v>11.708333333333334</v>
      </c>
      <c r="AY51" s="28">
        <f t="shared" si="52"/>
        <v>10.166666666666666</v>
      </c>
      <c r="AZ51" s="28">
        <f t="shared" si="53"/>
        <v>11.416666666666666</v>
      </c>
    </row>
    <row r="52" spans="1:52">
      <c r="A52">
        <f t="shared" si="54"/>
        <v>51</v>
      </c>
      <c r="B52">
        <f t="shared" si="3"/>
        <v>11</v>
      </c>
      <c r="C52">
        <f t="shared" si="4"/>
        <v>4</v>
      </c>
      <c r="D52">
        <f t="shared" si="5"/>
        <v>24</v>
      </c>
      <c r="E52">
        <f t="shared" si="6"/>
        <v>12</v>
      </c>
      <c r="F52">
        <f t="shared" si="7"/>
        <v>16</v>
      </c>
      <c r="G52">
        <f t="shared" si="8"/>
        <v>5</v>
      </c>
      <c r="H52">
        <f t="shared" si="9"/>
        <v>17</v>
      </c>
      <c r="I52">
        <f t="shared" si="10"/>
        <v>21</v>
      </c>
      <c r="J52">
        <f t="shared" si="11"/>
        <v>1</v>
      </c>
      <c r="K52">
        <f t="shared" si="12"/>
        <v>14</v>
      </c>
      <c r="L52">
        <f t="shared" si="13"/>
        <v>14</v>
      </c>
      <c r="M52">
        <f t="shared" si="14"/>
        <v>14</v>
      </c>
      <c r="N52">
        <f t="shared" si="15"/>
        <v>18</v>
      </c>
      <c r="O52">
        <f t="shared" si="16"/>
        <v>21</v>
      </c>
      <c r="P52">
        <f t="shared" si="17"/>
        <v>25</v>
      </c>
      <c r="Q52">
        <f t="shared" si="18"/>
        <v>10</v>
      </c>
      <c r="R52">
        <f t="shared" si="19"/>
        <v>12</v>
      </c>
      <c r="S52">
        <f t="shared" si="20"/>
        <v>24</v>
      </c>
      <c r="T52">
        <f t="shared" si="21"/>
        <v>4</v>
      </c>
      <c r="U52">
        <f t="shared" si="22"/>
        <v>14</v>
      </c>
      <c r="V52">
        <f t="shared" si="23"/>
        <v>0</v>
      </c>
      <c r="W52">
        <f t="shared" si="24"/>
        <v>18</v>
      </c>
      <c r="X52">
        <f t="shared" si="25"/>
        <v>18</v>
      </c>
      <c r="Y52">
        <f t="shared" si="26"/>
        <v>18</v>
      </c>
      <c r="Z52">
        <f t="shared" si="27"/>
        <v>18</v>
      </c>
      <c r="AA52">
        <f t="shared" si="28"/>
        <v>2</v>
      </c>
      <c r="AB52" s="28">
        <f t="shared" si="29"/>
        <v>12.583333333333334</v>
      </c>
      <c r="AC52" s="28">
        <f t="shared" si="30"/>
        <v>13.666666666666666</v>
      </c>
      <c r="AD52" s="28">
        <f t="shared" si="31"/>
        <v>13.916666666666666</v>
      </c>
      <c r="AE52" s="28">
        <f t="shared" si="32"/>
        <v>11.5</v>
      </c>
      <c r="AF52" s="28">
        <f t="shared" si="33"/>
        <v>9.3333333333333339</v>
      </c>
      <c r="AG52" s="28">
        <f t="shared" si="34"/>
        <v>13.541666666666666</v>
      </c>
      <c r="AH52" s="28">
        <f t="shared" si="35"/>
        <v>12.166666666666666</v>
      </c>
      <c r="AI52" s="28">
        <f t="shared" si="36"/>
        <v>11.375</v>
      </c>
      <c r="AJ52" s="28">
        <f t="shared" si="37"/>
        <v>11.666666666666666</v>
      </c>
      <c r="AK52" s="28">
        <f t="shared" si="38"/>
        <v>10.583333333333334</v>
      </c>
      <c r="AL52" s="28">
        <f t="shared" si="39"/>
        <v>9.8333333333333339</v>
      </c>
      <c r="AM52" s="28">
        <f t="shared" si="40"/>
        <v>14.375</v>
      </c>
      <c r="AN52" s="28">
        <f t="shared" si="41"/>
        <v>11.75</v>
      </c>
      <c r="AO52" s="28">
        <f t="shared" si="42"/>
        <v>14.166666666666666</v>
      </c>
      <c r="AP52" s="28">
        <f t="shared" si="43"/>
        <v>12.583333333333334</v>
      </c>
      <c r="AQ52" s="28">
        <f t="shared" si="44"/>
        <v>12.208333333333334</v>
      </c>
      <c r="AR52" s="28">
        <f t="shared" si="45"/>
        <v>13.583333333333334</v>
      </c>
      <c r="AS52" s="28">
        <f t="shared" si="46"/>
        <v>9.9166666666666661</v>
      </c>
      <c r="AT52" s="28">
        <f t="shared" si="47"/>
        <v>13.833333333333334</v>
      </c>
      <c r="AU52" s="28">
        <f t="shared" si="48"/>
        <v>11.791666666666666</v>
      </c>
      <c r="AV52" s="28">
        <f t="shared" si="49"/>
        <v>14.166666666666666</v>
      </c>
      <c r="AW52" s="28">
        <f t="shared" si="50"/>
        <v>10.541666666666666</v>
      </c>
      <c r="AX52" s="28">
        <f t="shared" si="51"/>
        <v>12.5</v>
      </c>
      <c r="AY52" s="28">
        <f t="shared" si="52"/>
        <v>10.75</v>
      </c>
      <c r="AZ52" s="28">
        <f t="shared" si="53"/>
        <v>11.333333333333334</v>
      </c>
    </row>
    <row r="53" spans="1:52">
      <c r="A53">
        <f t="shared" si="54"/>
        <v>52</v>
      </c>
      <c r="B53">
        <f t="shared" si="3"/>
        <v>12</v>
      </c>
      <c r="C53">
        <f t="shared" si="4"/>
        <v>16</v>
      </c>
      <c r="D53">
        <f t="shared" si="5"/>
        <v>14</v>
      </c>
      <c r="E53">
        <f t="shared" si="6"/>
        <v>0</v>
      </c>
      <c r="F53">
        <f t="shared" si="7"/>
        <v>16</v>
      </c>
      <c r="G53">
        <f t="shared" si="8"/>
        <v>21</v>
      </c>
      <c r="H53">
        <f t="shared" si="9"/>
        <v>12</v>
      </c>
      <c r="I53">
        <f t="shared" si="10"/>
        <v>7</v>
      </c>
      <c r="J53">
        <f t="shared" si="11"/>
        <v>8</v>
      </c>
      <c r="K53">
        <f t="shared" si="12"/>
        <v>22</v>
      </c>
      <c r="L53">
        <f t="shared" si="13"/>
        <v>10</v>
      </c>
      <c r="M53">
        <f t="shared" si="14"/>
        <v>24</v>
      </c>
      <c r="N53">
        <f t="shared" si="15"/>
        <v>16</v>
      </c>
      <c r="O53">
        <f t="shared" si="16"/>
        <v>11</v>
      </c>
      <c r="P53">
        <f t="shared" si="17"/>
        <v>10</v>
      </c>
      <c r="Q53">
        <f t="shared" si="18"/>
        <v>20</v>
      </c>
      <c r="R53">
        <f t="shared" si="19"/>
        <v>6</v>
      </c>
      <c r="S53">
        <f t="shared" si="20"/>
        <v>4</v>
      </c>
      <c r="T53">
        <f t="shared" si="21"/>
        <v>8</v>
      </c>
      <c r="U53">
        <f t="shared" si="22"/>
        <v>22</v>
      </c>
      <c r="V53">
        <f t="shared" si="23"/>
        <v>22</v>
      </c>
      <c r="W53">
        <f t="shared" si="24"/>
        <v>14</v>
      </c>
      <c r="X53">
        <f t="shared" si="25"/>
        <v>6</v>
      </c>
      <c r="Y53">
        <f t="shared" si="26"/>
        <v>24</v>
      </c>
      <c r="Z53">
        <f t="shared" si="27"/>
        <v>16</v>
      </c>
      <c r="AA53">
        <f t="shared" si="28"/>
        <v>18</v>
      </c>
      <c r="AB53" s="28">
        <f t="shared" si="29"/>
        <v>13</v>
      </c>
      <c r="AC53" s="28">
        <f t="shared" si="30"/>
        <v>13.666666666666666</v>
      </c>
      <c r="AD53" s="28">
        <f t="shared" si="31"/>
        <v>13.5</v>
      </c>
      <c r="AE53" s="28">
        <f t="shared" si="32"/>
        <v>10.916666666666666</v>
      </c>
      <c r="AF53" s="28">
        <f t="shared" si="33"/>
        <v>9.4166666666666661</v>
      </c>
      <c r="AG53" s="28">
        <f t="shared" si="34"/>
        <v>13.208333333333334</v>
      </c>
      <c r="AH53" s="28">
        <f t="shared" si="35"/>
        <v>11.291666666666666</v>
      </c>
      <c r="AI53" s="28">
        <f t="shared" si="36"/>
        <v>11.833333333333334</v>
      </c>
      <c r="AJ53" s="28">
        <f t="shared" si="37"/>
        <v>11.583333333333334</v>
      </c>
      <c r="AK53" s="28">
        <f t="shared" si="38"/>
        <v>10.25</v>
      </c>
      <c r="AL53" s="28">
        <f t="shared" si="39"/>
        <v>9.25</v>
      </c>
      <c r="AM53" s="28">
        <f t="shared" si="40"/>
        <v>13.875</v>
      </c>
      <c r="AN53" s="28">
        <f t="shared" si="41"/>
        <v>11.541666666666666</v>
      </c>
      <c r="AO53" s="28">
        <f t="shared" si="42"/>
        <v>13.791666666666666</v>
      </c>
      <c r="AP53" s="28">
        <f t="shared" si="43"/>
        <v>12.291666666666666</v>
      </c>
      <c r="AQ53" s="28">
        <f t="shared" si="44"/>
        <v>12.583333333333334</v>
      </c>
      <c r="AR53" s="28">
        <f t="shared" si="45"/>
        <v>13.166666666666666</v>
      </c>
      <c r="AS53" s="28">
        <f t="shared" si="46"/>
        <v>10.083333333333334</v>
      </c>
      <c r="AT53" s="28">
        <f t="shared" si="47"/>
        <v>14.166666666666666</v>
      </c>
      <c r="AU53" s="28">
        <f t="shared" si="48"/>
        <v>11.875</v>
      </c>
      <c r="AV53" s="28">
        <f t="shared" si="49"/>
        <v>14.125</v>
      </c>
      <c r="AW53" s="28">
        <f t="shared" si="50"/>
        <v>10.583333333333334</v>
      </c>
      <c r="AX53" s="28">
        <f t="shared" si="51"/>
        <v>12.25</v>
      </c>
      <c r="AY53" s="28">
        <f t="shared" si="52"/>
        <v>10</v>
      </c>
      <c r="AZ53" s="28">
        <f t="shared" si="53"/>
        <v>11.583333333333334</v>
      </c>
    </row>
    <row r="54" spans="1:52">
      <c r="A54">
        <f t="shared" si="54"/>
        <v>53</v>
      </c>
      <c r="B54">
        <f t="shared" si="3"/>
        <v>13</v>
      </c>
      <c r="C54">
        <f t="shared" si="4"/>
        <v>3</v>
      </c>
      <c r="D54">
        <f t="shared" si="5"/>
        <v>17</v>
      </c>
      <c r="E54">
        <f t="shared" si="6"/>
        <v>17</v>
      </c>
      <c r="F54">
        <f t="shared" si="7"/>
        <v>7</v>
      </c>
      <c r="G54">
        <f t="shared" si="8"/>
        <v>2</v>
      </c>
      <c r="H54">
        <f t="shared" si="9"/>
        <v>14</v>
      </c>
      <c r="I54">
        <f t="shared" si="10"/>
        <v>21</v>
      </c>
      <c r="J54">
        <f t="shared" si="11"/>
        <v>3</v>
      </c>
      <c r="K54">
        <f t="shared" si="12"/>
        <v>25</v>
      </c>
      <c r="L54">
        <f t="shared" si="13"/>
        <v>9</v>
      </c>
      <c r="M54">
        <f t="shared" si="14"/>
        <v>7</v>
      </c>
      <c r="N54">
        <f t="shared" si="15"/>
        <v>23</v>
      </c>
      <c r="O54">
        <f t="shared" si="16"/>
        <v>8</v>
      </c>
      <c r="P54">
        <f t="shared" si="17"/>
        <v>18</v>
      </c>
      <c r="Q54">
        <f t="shared" si="18"/>
        <v>12</v>
      </c>
      <c r="R54">
        <f t="shared" si="19"/>
        <v>18</v>
      </c>
      <c r="S54">
        <f t="shared" si="20"/>
        <v>22</v>
      </c>
      <c r="T54">
        <f t="shared" si="21"/>
        <v>4</v>
      </c>
      <c r="U54">
        <f t="shared" si="22"/>
        <v>0</v>
      </c>
      <c r="V54">
        <f t="shared" si="23"/>
        <v>22</v>
      </c>
      <c r="W54">
        <f t="shared" si="24"/>
        <v>10</v>
      </c>
      <c r="X54">
        <f t="shared" si="25"/>
        <v>16</v>
      </c>
      <c r="Y54">
        <f t="shared" si="26"/>
        <v>14</v>
      </c>
      <c r="Z54">
        <f t="shared" si="27"/>
        <v>4</v>
      </c>
      <c r="AA54">
        <f t="shared" si="28"/>
        <v>22</v>
      </c>
      <c r="AB54" s="28">
        <f t="shared" si="29"/>
        <v>12.5</v>
      </c>
      <c r="AC54" s="28">
        <f t="shared" si="30"/>
        <v>13.166666666666666</v>
      </c>
      <c r="AD54" s="28">
        <f t="shared" si="31"/>
        <v>13.666666666666666</v>
      </c>
      <c r="AE54" s="28">
        <f t="shared" si="32"/>
        <v>10.5</v>
      </c>
      <c r="AF54" s="28">
        <f t="shared" si="33"/>
        <v>9.0833333333333339</v>
      </c>
      <c r="AG54" s="28">
        <f t="shared" si="34"/>
        <v>13.625</v>
      </c>
      <c r="AH54" s="28">
        <f t="shared" si="35"/>
        <v>11.916666666666666</v>
      </c>
      <c r="AI54" s="28">
        <f t="shared" si="36"/>
        <v>11.833333333333334</v>
      </c>
      <c r="AJ54" s="28">
        <f t="shared" si="37"/>
        <v>11.5</v>
      </c>
      <c r="AK54" s="28">
        <f t="shared" si="38"/>
        <v>9.8333333333333339</v>
      </c>
      <c r="AL54" s="28">
        <f t="shared" si="39"/>
        <v>8.25</v>
      </c>
      <c r="AM54" s="28">
        <f t="shared" si="40"/>
        <v>13.458333333333334</v>
      </c>
      <c r="AN54" s="28">
        <f t="shared" si="41"/>
        <v>12</v>
      </c>
      <c r="AO54" s="28">
        <f t="shared" si="42"/>
        <v>13.875</v>
      </c>
      <c r="AP54" s="28">
        <f t="shared" si="43"/>
        <v>12.083333333333334</v>
      </c>
      <c r="AQ54" s="28">
        <f t="shared" si="44"/>
        <v>12.75</v>
      </c>
      <c r="AR54" s="28">
        <f t="shared" si="45"/>
        <v>14</v>
      </c>
      <c r="AS54" s="28">
        <f t="shared" si="46"/>
        <v>10</v>
      </c>
      <c r="AT54" s="28">
        <f t="shared" si="47"/>
        <v>13.333333333333334</v>
      </c>
      <c r="AU54" s="28">
        <f t="shared" si="48"/>
        <v>11.125</v>
      </c>
      <c r="AV54" s="28">
        <f t="shared" si="49"/>
        <v>14.416666666666666</v>
      </c>
      <c r="AW54" s="28">
        <f t="shared" si="50"/>
        <v>10.916666666666666</v>
      </c>
      <c r="AX54" s="28">
        <f t="shared" si="51"/>
        <v>11.25</v>
      </c>
      <c r="AY54" s="28">
        <f t="shared" si="52"/>
        <v>9.3333333333333339</v>
      </c>
      <c r="AZ54" s="28">
        <f t="shared" si="53"/>
        <v>11.166666666666666</v>
      </c>
    </row>
    <row r="55" spans="1:52">
      <c r="A55">
        <f t="shared" si="54"/>
        <v>54</v>
      </c>
      <c r="B55">
        <f t="shared" si="3"/>
        <v>14</v>
      </c>
      <c r="C55">
        <f t="shared" si="4"/>
        <v>17</v>
      </c>
      <c r="D55">
        <f t="shared" si="5"/>
        <v>8</v>
      </c>
      <c r="E55">
        <f t="shared" si="6"/>
        <v>25</v>
      </c>
      <c r="F55">
        <f t="shared" si="7"/>
        <v>6</v>
      </c>
      <c r="G55">
        <f t="shared" si="8"/>
        <v>8</v>
      </c>
      <c r="H55">
        <f t="shared" si="9"/>
        <v>22</v>
      </c>
      <c r="I55">
        <f t="shared" si="10"/>
        <v>17</v>
      </c>
      <c r="J55">
        <f t="shared" si="11"/>
        <v>20</v>
      </c>
      <c r="K55">
        <f t="shared" si="12"/>
        <v>19</v>
      </c>
      <c r="L55">
        <f t="shared" si="13"/>
        <v>2</v>
      </c>
      <c r="M55">
        <f t="shared" si="14"/>
        <v>9</v>
      </c>
      <c r="N55">
        <f t="shared" si="15"/>
        <v>6</v>
      </c>
      <c r="O55">
        <f t="shared" si="16"/>
        <v>14</v>
      </c>
      <c r="P55">
        <f t="shared" si="17"/>
        <v>6</v>
      </c>
      <c r="Q55">
        <f t="shared" si="18"/>
        <v>18</v>
      </c>
      <c r="R55">
        <f t="shared" si="19"/>
        <v>10</v>
      </c>
      <c r="S55">
        <f t="shared" si="20"/>
        <v>6</v>
      </c>
      <c r="T55">
        <f t="shared" si="21"/>
        <v>10</v>
      </c>
      <c r="U55">
        <f t="shared" si="22"/>
        <v>10</v>
      </c>
      <c r="V55">
        <f t="shared" si="23"/>
        <v>6</v>
      </c>
      <c r="W55">
        <f t="shared" si="24"/>
        <v>16</v>
      </c>
      <c r="X55">
        <f t="shared" si="25"/>
        <v>6</v>
      </c>
      <c r="Y55">
        <f t="shared" si="26"/>
        <v>20</v>
      </c>
      <c r="Z55">
        <f t="shared" si="27"/>
        <v>24</v>
      </c>
      <c r="AA55">
        <f t="shared" si="28"/>
        <v>20</v>
      </c>
      <c r="AB55" s="28">
        <f t="shared" si="29"/>
        <v>13.25</v>
      </c>
      <c r="AC55" s="28">
        <f t="shared" si="30"/>
        <v>13.416666666666666</v>
      </c>
      <c r="AD55" s="28">
        <f t="shared" si="31"/>
        <v>13</v>
      </c>
      <c r="AE55" s="28">
        <f t="shared" si="32"/>
        <v>10.5</v>
      </c>
      <c r="AF55" s="28">
        <f t="shared" si="33"/>
        <v>9.8333333333333339</v>
      </c>
      <c r="AG55" s="28">
        <f t="shared" si="34"/>
        <v>13.708333333333334</v>
      </c>
      <c r="AH55" s="28">
        <f t="shared" si="35"/>
        <v>11.541666666666666</v>
      </c>
      <c r="AI55" s="28">
        <f t="shared" si="36"/>
        <v>12.541666666666666</v>
      </c>
      <c r="AJ55" s="28">
        <f t="shared" si="37"/>
        <v>11.041666666666666</v>
      </c>
      <c r="AK55" s="28">
        <f t="shared" si="38"/>
        <v>10.041666666666666</v>
      </c>
      <c r="AL55" s="28">
        <f t="shared" si="39"/>
        <v>8.5416666666666661</v>
      </c>
      <c r="AM55" s="28">
        <f t="shared" si="40"/>
        <v>13.333333333333334</v>
      </c>
      <c r="AN55" s="28">
        <f t="shared" si="41"/>
        <v>12.333333333333334</v>
      </c>
      <c r="AO55" s="28">
        <f t="shared" si="42"/>
        <v>13.208333333333334</v>
      </c>
      <c r="AP55" s="28">
        <f t="shared" si="43"/>
        <v>12.291666666666666</v>
      </c>
      <c r="AQ55" s="28">
        <f t="shared" si="44"/>
        <v>12.041666666666666</v>
      </c>
      <c r="AR55" s="28">
        <f t="shared" si="45"/>
        <v>14.125</v>
      </c>
      <c r="AS55" s="28">
        <f t="shared" si="46"/>
        <v>10.041666666666666</v>
      </c>
      <c r="AT55" s="28">
        <f t="shared" si="47"/>
        <v>13.625</v>
      </c>
      <c r="AU55" s="28">
        <f t="shared" si="48"/>
        <v>10.666666666666666</v>
      </c>
      <c r="AV55" s="28">
        <f t="shared" si="49"/>
        <v>14.25</v>
      </c>
      <c r="AW55" s="28">
        <f t="shared" si="50"/>
        <v>11.083333333333334</v>
      </c>
      <c r="AX55" s="28">
        <f t="shared" si="51"/>
        <v>11.5</v>
      </c>
      <c r="AY55" s="28">
        <f t="shared" si="52"/>
        <v>10</v>
      </c>
      <c r="AZ55" s="28">
        <f t="shared" si="53"/>
        <v>10.333333333333334</v>
      </c>
    </row>
    <row r="56" spans="1:52">
      <c r="A56">
        <f t="shared" si="54"/>
        <v>55</v>
      </c>
      <c r="B56">
        <f t="shared" si="3"/>
        <v>15</v>
      </c>
      <c r="C56">
        <f t="shared" si="4"/>
        <v>6</v>
      </c>
      <c r="D56">
        <f t="shared" si="5"/>
        <v>14</v>
      </c>
      <c r="E56">
        <f t="shared" si="6"/>
        <v>13</v>
      </c>
      <c r="F56">
        <f t="shared" si="7"/>
        <v>19</v>
      </c>
      <c r="G56">
        <f t="shared" si="8"/>
        <v>1</v>
      </c>
      <c r="H56">
        <f t="shared" si="9"/>
        <v>23</v>
      </c>
      <c r="I56">
        <f t="shared" si="10"/>
        <v>14</v>
      </c>
      <c r="J56">
        <f t="shared" si="11"/>
        <v>8</v>
      </c>
      <c r="K56">
        <f t="shared" si="12"/>
        <v>1</v>
      </c>
      <c r="L56">
        <f t="shared" si="13"/>
        <v>3</v>
      </c>
      <c r="M56">
        <f t="shared" si="14"/>
        <v>12</v>
      </c>
      <c r="N56">
        <f t="shared" si="15"/>
        <v>18</v>
      </c>
      <c r="O56">
        <f t="shared" si="16"/>
        <v>6</v>
      </c>
      <c r="P56">
        <f t="shared" si="17"/>
        <v>12</v>
      </c>
      <c r="Q56">
        <f t="shared" si="18"/>
        <v>4</v>
      </c>
      <c r="R56">
        <f t="shared" si="19"/>
        <v>14</v>
      </c>
      <c r="S56">
        <f t="shared" si="20"/>
        <v>20</v>
      </c>
      <c r="T56">
        <f t="shared" si="21"/>
        <v>4</v>
      </c>
      <c r="U56">
        <f t="shared" si="22"/>
        <v>14</v>
      </c>
      <c r="V56">
        <f t="shared" si="23"/>
        <v>20</v>
      </c>
      <c r="W56">
        <f t="shared" si="24"/>
        <v>10</v>
      </c>
      <c r="X56">
        <f t="shared" si="25"/>
        <v>16</v>
      </c>
      <c r="Y56">
        <f t="shared" si="26"/>
        <v>10</v>
      </c>
      <c r="Z56">
        <f t="shared" si="27"/>
        <v>8</v>
      </c>
      <c r="AA56">
        <f t="shared" si="28"/>
        <v>2</v>
      </c>
      <c r="AB56" s="28">
        <f t="shared" si="29"/>
        <v>13.083333333333334</v>
      </c>
      <c r="AC56" s="28">
        <f t="shared" si="30"/>
        <v>13.5</v>
      </c>
      <c r="AD56" s="28">
        <f t="shared" si="31"/>
        <v>12.416666666666666</v>
      </c>
      <c r="AE56" s="28">
        <f t="shared" si="32"/>
        <v>11</v>
      </c>
      <c r="AF56" s="28">
        <f t="shared" si="33"/>
        <v>10</v>
      </c>
      <c r="AG56" s="28">
        <f t="shared" si="34"/>
        <v>12.875</v>
      </c>
      <c r="AH56" s="28">
        <f t="shared" si="35"/>
        <v>11.416666666666666</v>
      </c>
      <c r="AI56" s="28">
        <f t="shared" si="36"/>
        <v>12.041666666666666</v>
      </c>
      <c r="AJ56" s="28">
        <f t="shared" si="37"/>
        <v>11.166666666666666</v>
      </c>
      <c r="AK56" s="28">
        <f t="shared" si="38"/>
        <v>10.375</v>
      </c>
      <c r="AL56" s="28">
        <f t="shared" si="39"/>
        <v>9.1666666666666661</v>
      </c>
      <c r="AM56" s="28">
        <f t="shared" si="40"/>
        <v>13.833333333333334</v>
      </c>
      <c r="AN56" s="28">
        <f t="shared" si="41"/>
        <v>12.083333333333334</v>
      </c>
      <c r="AO56" s="28">
        <f t="shared" si="42"/>
        <v>13.375</v>
      </c>
      <c r="AP56" s="28">
        <f t="shared" si="43"/>
        <v>11.583333333333334</v>
      </c>
      <c r="AQ56" s="28">
        <f t="shared" si="44"/>
        <v>11.708333333333334</v>
      </c>
      <c r="AR56" s="28">
        <f t="shared" si="45"/>
        <v>13.916666666666666</v>
      </c>
      <c r="AS56" s="28">
        <f t="shared" si="46"/>
        <v>9.875</v>
      </c>
      <c r="AT56" s="28">
        <f t="shared" si="47"/>
        <v>13.75</v>
      </c>
      <c r="AU56" s="28">
        <f t="shared" si="48"/>
        <v>11.416666666666666</v>
      </c>
      <c r="AV56" s="28">
        <f t="shared" si="49"/>
        <v>13.75</v>
      </c>
      <c r="AW56" s="28">
        <f t="shared" si="50"/>
        <v>11.833333333333334</v>
      </c>
      <c r="AX56" s="28">
        <f t="shared" si="51"/>
        <v>11.416666666666666</v>
      </c>
      <c r="AY56" s="28">
        <f t="shared" si="52"/>
        <v>9.5</v>
      </c>
      <c r="AZ56" s="28">
        <f t="shared" si="53"/>
        <v>10.083333333333334</v>
      </c>
    </row>
    <row r="57" spans="1:52">
      <c r="A57">
        <f t="shared" si="54"/>
        <v>56</v>
      </c>
      <c r="B57">
        <f t="shared" si="3"/>
        <v>16</v>
      </c>
      <c r="C57">
        <f t="shared" si="4"/>
        <v>22</v>
      </c>
      <c r="D57">
        <f t="shared" si="5"/>
        <v>10</v>
      </c>
      <c r="E57">
        <f t="shared" si="6"/>
        <v>23</v>
      </c>
      <c r="F57">
        <f t="shared" si="7"/>
        <v>16</v>
      </c>
      <c r="G57">
        <f t="shared" si="8"/>
        <v>17</v>
      </c>
      <c r="H57">
        <f t="shared" si="9"/>
        <v>14</v>
      </c>
      <c r="I57">
        <f t="shared" si="10"/>
        <v>2</v>
      </c>
      <c r="J57">
        <f t="shared" si="11"/>
        <v>10</v>
      </c>
      <c r="K57">
        <f t="shared" si="12"/>
        <v>11</v>
      </c>
      <c r="L57">
        <f t="shared" si="13"/>
        <v>14</v>
      </c>
      <c r="M57">
        <f t="shared" si="14"/>
        <v>0</v>
      </c>
      <c r="N57">
        <f t="shared" si="15"/>
        <v>18</v>
      </c>
      <c r="O57">
        <f t="shared" si="16"/>
        <v>24</v>
      </c>
      <c r="P57">
        <f t="shared" si="17"/>
        <v>10</v>
      </c>
      <c r="Q57">
        <f t="shared" si="18"/>
        <v>14</v>
      </c>
      <c r="R57">
        <f t="shared" si="19"/>
        <v>2</v>
      </c>
      <c r="S57">
        <f t="shared" si="20"/>
        <v>22</v>
      </c>
      <c r="T57">
        <f t="shared" si="21"/>
        <v>0</v>
      </c>
      <c r="U57">
        <f t="shared" si="22"/>
        <v>14</v>
      </c>
      <c r="V57">
        <f t="shared" si="23"/>
        <v>8</v>
      </c>
      <c r="W57">
        <f t="shared" si="24"/>
        <v>18</v>
      </c>
      <c r="X57">
        <f t="shared" si="25"/>
        <v>8</v>
      </c>
      <c r="Y57">
        <f t="shared" si="26"/>
        <v>18</v>
      </c>
      <c r="Z57">
        <f t="shared" si="27"/>
        <v>0</v>
      </c>
      <c r="AA57">
        <f t="shared" si="28"/>
        <v>2</v>
      </c>
      <c r="AB57" s="28">
        <f t="shared" si="29"/>
        <v>13.083333333333334</v>
      </c>
      <c r="AC57" s="28">
        <f t="shared" si="30"/>
        <v>13.583333333333334</v>
      </c>
      <c r="AD57" s="28">
        <f t="shared" si="31"/>
        <v>11.916666666666666</v>
      </c>
      <c r="AE57" s="28">
        <f t="shared" si="32"/>
        <v>11</v>
      </c>
      <c r="AF57" s="28">
        <f t="shared" si="33"/>
        <v>10.166666666666666</v>
      </c>
      <c r="AG57" s="28">
        <f t="shared" si="34"/>
        <v>12.208333333333334</v>
      </c>
      <c r="AH57" s="28">
        <f t="shared" si="35"/>
        <v>11.708333333333334</v>
      </c>
      <c r="AI57" s="28">
        <f t="shared" si="36"/>
        <v>11.833333333333334</v>
      </c>
      <c r="AJ57" s="28">
        <f t="shared" si="37"/>
        <v>12.166666666666666</v>
      </c>
      <c r="AK57" s="28">
        <f t="shared" si="38"/>
        <v>10.625</v>
      </c>
      <c r="AL57" s="28">
        <f t="shared" si="39"/>
        <v>8.9583333333333339</v>
      </c>
      <c r="AM57" s="28">
        <f t="shared" si="40"/>
        <v>14.125</v>
      </c>
      <c r="AN57" s="28">
        <f t="shared" si="41"/>
        <v>12.125</v>
      </c>
      <c r="AO57" s="28">
        <f t="shared" si="42"/>
        <v>13.583333333333334</v>
      </c>
      <c r="AP57" s="28">
        <f t="shared" si="43"/>
        <v>12.166666666666666</v>
      </c>
      <c r="AQ57" s="28">
        <f t="shared" si="44"/>
        <v>11.958333333333334</v>
      </c>
      <c r="AR57" s="28">
        <f t="shared" si="45"/>
        <v>13.958333333333334</v>
      </c>
      <c r="AS57" s="28">
        <f t="shared" si="46"/>
        <v>9.75</v>
      </c>
      <c r="AT57" s="28">
        <f t="shared" si="47"/>
        <v>13.75</v>
      </c>
      <c r="AU57" s="28">
        <f t="shared" si="48"/>
        <v>11.083333333333334</v>
      </c>
      <c r="AV57" s="28">
        <f t="shared" si="49"/>
        <v>14</v>
      </c>
      <c r="AW57" s="28">
        <f t="shared" si="50"/>
        <v>11.75</v>
      </c>
      <c r="AX57" s="28">
        <f t="shared" si="51"/>
        <v>11.25</v>
      </c>
      <c r="AY57" s="28">
        <f t="shared" si="52"/>
        <v>9.9166666666666661</v>
      </c>
      <c r="AZ57" s="28">
        <f t="shared" si="53"/>
        <v>10.25</v>
      </c>
    </row>
    <row r="58" spans="1:52">
      <c r="A58">
        <f t="shared" si="54"/>
        <v>57</v>
      </c>
      <c r="B58">
        <f t="shared" si="3"/>
        <v>17</v>
      </c>
      <c r="C58">
        <f t="shared" si="4"/>
        <v>13</v>
      </c>
      <c r="D58">
        <f t="shared" si="5"/>
        <v>23</v>
      </c>
      <c r="E58">
        <f t="shared" si="6"/>
        <v>20</v>
      </c>
      <c r="F58">
        <f t="shared" si="7"/>
        <v>10</v>
      </c>
      <c r="G58">
        <f t="shared" si="8"/>
        <v>1</v>
      </c>
      <c r="H58">
        <f t="shared" si="9"/>
        <v>15</v>
      </c>
      <c r="I58">
        <f t="shared" si="10"/>
        <v>17</v>
      </c>
      <c r="J58">
        <f t="shared" si="11"/>
        <v>1</v>
      </c>
      <c r="K58">
        <f t="shared" si="12"/>
        <v>12</v>
      </c>
      <c r="L58">
        <f t="shared" si="13"/>
        <v>0</v>
      </c>
      <c r="M58">
        <f t="shared" si="14"/>
        <v>0</v>
      </c>
      <c r="N58">
        <f t="shared" si="15"/>
        <v>18</v>
      </c>
      <c r="O58">
        <f t="shared" si="16"/>
        <v>16</v>
      </c>
      <c r="P58">
        <f t="shared" si="17"/>
        <v>0</v>
      </c>
      <c r="Q58">
        <f t="shared" si="18"/>
        <v>14</v>
      </c>
      <c r="R58">
        <f t="shared" si="19"/>
        <v>16</v>
      </c>
      <c r="S58">
        <f t="shared" si="20"/>
        <v>12</v>
      </c>
      <c r="T58">
        <f t="shared" si="21"/>
        <v>12</v>
      </c>
      <c r="U58">
        <f t="shared" si="22"/>
        <v>0</v>
      </c>
      <c r="V58">
        <f t="shared" si="23"/>
        <v>8</v>
      </c>
      <c r="W58">
        <f t="shared" si="24"/>
        <v>0</v>
      </c>
      <c r="X58">
        <f t="shared" si="25"/>
        <v>8</v>
      </c>
      <c r="Y58">
        <f t="shared" si="26"/>
        <v>0</v>
      </c>
      <c r="Z58">
        <f t="shared" si="27"/>
        <v>0</v>
      </c>
      <c r="AA58">
        <f t="shared" si="28"/>
        <v>2</v>
      </c>
      <c r="AB58" s="28">
        <f t="shared" si="29"/>
        <v>12.416666666666666</v>
      </c>
      <c r="AC58" s="28">
        <f t="shared" si="30"/>
        <v>14.083333333333334</v>
      </c>
      <c r="AD58" s="28">
        <f t="shared" si="31"/>
        <v>11.916666666666666</v>
      </c>
      <c r="AE58" s="28">
        <f t="shared" si="32"/>
        <v>11</v>
      </c>
      <c r="AF58" s="28">
        <f t="shared" si="33"/>
        <v>10.333333333333334</v>
      </c>
      <c r="AG58" s="28">
        <f t="shared" si="34"/>
        <v>11.708333333333334</v>
      </c>
      <c r="AH58" s="28">
        <f t="shared" si="35"/>
        <v>12.583333333333334</v>
      </c>
      <c r="AI58" s="28">
        <f t="shared" si="36"/>
        <v>11.416666666666666</v>
      </c>
      <c r="AJ58" s="28">
        <f t="shared" si="37"/>
        <v>12.75</v>
      </c>
      <c r="AK58" s="28">
        <f t="shared" si="38"/>
        <v>10.375</v>
      </c>
      <c r="AL58" s="28">
        <f t="shared" si="39"/>
        <v>9.5833333333333339</v>
      </c>
      <c r="AM58" s="28">
        <f t="shared" si="40"/>
        <v>13.958333333333334</v>
      </c>
      <c r="AN58" s="28">
        <f t="shared" si="41"/>
        <v>12</v>
      </c>
      <c r="AO58" s="28">
        <f t="shared" si="42"/>
        <v>13.666666666666666</v>
      </c>
      <c r="AP58" s="28">
        <f t="shared" si="43"/>
        <v>11.75</v>
      </c>
      <c r="AQ58" s="28">
        <f t="shared" si="44"/>
        <v>12.875</v>
      </c>
      <c r="AR58" s="28">
        <f t="shared" si="45"/>
        <v>13.833333333333334</v>
      </c>
      <c r="AS58" s="28">
        <f t="shared" si="46"/>
        <v>10.583333333333334</v>
      </c>
      <c r="AT58" s="28">
        <f t="shared" si="47"/>
        <v>13.5</v>
      </c>
      <c r="AU58" s="28">
        <f t="shared" si="48"/>
        <v>11.583333333333334</v>
      </c>
      <c r="AV58" s="28">
        <f t="shared" si="49"/>
        <v>13.666666666666666</v>
      </c>
      <c r="AW58" s="28">
        <f t="shared" si="50"/>
        <v>12.416666666666666</v>
      </c>
      <c r="AX58" s="28">
        <f t="shared" si="51"/>
        <v>10.666666666666666</v>
      </c>
      <c r="AY58" s="28">
        <f t="shared" si="52"/>
        <v>10.833333333333334</v>
      </c>
      <c r="AZ58" s="28">
        <f t="shared" si="53"/>
        <v>10.25</v>
      </c>
    </row>
    <row r="59" spans="1:52">
      <c r="A59">
        <f t="shared" si="54"/>
        <v>58</v>
      </c>
      <c r="B59">
        <f t="shared" si="3"/>
        <v>18</v>
      </c>
      <c r="C59">
        <f t="shared" si="4"/>
        <v>5</v>
      </c>
      <c r="D59">
        <f t="shared" si="5"/>
        <v>2</v>
      </c>
      <c r="E59">
        <f t="shared" si="6"/>
        <v>22</v>
      </c>
      <c r="F59">
        <f t="shared" si="7"/>
        <v>6</v>
      </c>
      <c r="G59">
        <f t="shared" si="8"/>
        <v>7</v>
      </c>
      <c r="H59">
        <f t="shared" si="9"/>
        <v>22</v>
      </c>
      <c r="I59">
        <f t="shared" si="10"/>
        <v>13</v>
      </c>
      <c r="J59">
        <f t="shared" si="11"/>
        <v>14</v>
      </c>
      <c r="K59">
        <f t="shared" si="12"/>
        <v>0</v>
      </c>
      <c r="L59">
        <f t="shared" si="13"/>
        <v>0</v>
      </c>
      <c r="M59">
        <f t="shared" si="14"/>
        <v>0</v>
      </c>
      <c r="N59">
        <f t="shared" si="15"/>
        <v>18</v>
      </c>
      <c r="O59">
        <f t="shared" si="16"/>
        <v>8</v>
      </c>
      <c r="P59">
        <f t="shared" si="17"/>
        <v>8</v>
      </c>
      <c r="Q59">
        <f t="shared" si="18"/>
        <v>22</v>
      </c>
      <c r="R59">
        <f t="shared" si="19"/>
        <v>12</v>
      </c>
      <c r="S59">
        <f t="shared" si="20"/>
        <v>24</v>
      </c>
      <c r="T59">
        <f t="shared" si="21"/>
        <v>10</v>
      </c>
      <c r="U59">
        <f t="shared" si="22"/>
        <v>10</v>
      </c>
      <c r="V59">
        <f t="shared" si="23"/>
        <v>18</v>
      </c>
      <c r="W59">
        <f t="shared" si="24"/>
        <v>18</v>
      </c>
      <c r="X59">
        <f t="shared" si="25"/>
        <v>0</v>
      </c>
      <c r="Y59">
        <f t="shared" si="26"/>
        <v>0</v>
      </c>
      <c r="Z59">
        <f t="shared" si="27"/>
        <v>0</v>
      </c>
      <c r="AA59">
        <f t="shared" si="28"/>
        <v>2</v>
      </c>
      <c r="AB59" s="28">
        <f t="shared" si="29"/>
        <v>12.166666666666666</v>
      </c>
      <c r="AC59" s="28">
        <f t="shared" si="30"/>
        <v>13.25</v>
      </c>
      <c r="AD59" s="28">
        <f t="shared" si="31"/>
        <v>11.083333333333334</v>
      </c>
      <c r="AE59" s="28">
        <f t="shared" si="32"/>
        <v>11.25</v>
      </c>
      <c r="AF59" s="28">
        <f t="shared" si="33"/>
        <v>10.75</v>
      </c>
      <c r="AG59" s="28">
        <f t="shared" si="34"/>
        <v>11.625</v>
      </c>
      <c r="AH59" s="28">
        <f t="shared" si="35"/>
        <v>12.291666666666666</v>
      </c>
      <c r="AI59" s="28">
        <f t="shared" si="36"/>
        <v>11.791666666666666</v>
      </c>
      <c r="AJ59" s="28">
        <f t="shared" si="37"/>
        <v>12.625</v>
      </c>
      <c r="AK59" s="28">
        <f t="shared" si="38"/>
        <v>11.083333333333334</v>
      </c>
      <c r="AL59" s="28">
        <f t="shared" si="39"/>
        <v>9.8333333333333339</v>
      </c>
      <c r="AM59" s="28">
        <f t="shared" si="40"/>
        <v>14.041666666666666</v>
      </c>
      <c r="AN59" s="28">
        <f t="shared" si="41"/>
        <v>11.958333333333334</v>
      </c>
      <c r="AO59" s="28">
        <f t="shared" si="42"/>
        <v>13.708333333333334</v>
      </c>
      <c r="AP59" s="28">
        <f t="shared" si="43"/>
        <v>11.375</v>
      </c>
      <c r="AQ59" s="28">
        <f t="shared" si="44"/>
        <v>12.333333333333334</v>
      </c>
      <c r="AR59" s="28">
        <f t="shared" si="45"/>
        <v>14.25</v>
      </c>
      <c r="AS59" s="28">
        <f t="shared" si="46"/>
        <v>10.75</v>
      </c>
      <c r="AT59" s="28">
        <f t="shared" si="47"/>
        <v>14.5</v>
      </c>
      <c r="AU59" s="28">
        <f t="shared" si="48"/>
        <v>12</v>
      </c>
      <c r="AV59" s="28">
        <f t="shared" si="49"/>
        <v>13.75</v>
      </c>
      <c r="AW59" s="28">
        <f t="shared" si="50"/>
        <v>12.083333333333334</v>
      </c>
      <c r="AX59" s="28">
        <f t="shared" si="51"/>
        <v>10.833333333333334</v>
      </c>
      <c r="AY59" s="28">
        <f t="shared" si="52"/>
        <v>10.833333333333334</v>
      </c>
      <c r="AZ59" s="28">
        <f t="shared" si="53"/>
        <v>10.25</v>
      </c>
    </row>
    <row r="60" spans="1:52">
      <c r="A60">
        <f t="shared" si="54"/>
        <v>59</v>
      </c>
      <c r="B60">
        <f t="shared" si="3"/>
        <v>19</v>
      </c>
      <c r="C60">
        <f t="shared" si="4"/>
        <v>24</v>
      </c>
      <c r="D60">
        <f t="shared" si="5"/>
        <v>0</v>
      </c>
      <c r="E60">
        <f t="shared" si="6"/>
        <v>22</v>
      </c>
      <c r="F60">
        <f t="shared" si="7"/>
        <v>2</v>
      </c>
      <c r="G60">
        <f t="shared" si="8"/>
        <v>9</v>
      </c>
      <c r="H60">
        <f t="shared" si="9"/>
        <v>5</v>
      </c>
      <c r="I60">
        <f t="shared" si="10"/>
        <v>18</v>
      </c>
      <c r="J60">
        <f t="shared" si="11"/>
        <v>6</v>
      </c>
      <c r="K60">
        <f t="shared" si="12"/>
        <v>6</v>
      </c>
      <c r="L60">
        <f t="shared" si="13"/>
        <v>6</v>
      </c>
      <c r="M60">
        <f t="shared" si="14"/>
        <v>6</v>
      </c>
      <c r="N60">
        <f t="shared" si="15"/>
        <v>24</v>
      </c>
      <c r="O60">
        <f t="shared" si="16"/>
        <v>6</v>
      </c>
      <c r="P60">
        <f t="shared" si="17"/>
        <v>14</v>
      </c>
      <c r="Q60">
        <f t="shared" si="18"/>
        <v>10</v>
      </c>
      <c r="R60">
        <f t="shared" si="19"/>
        <v>22</v>
      </c>
      <c r="S60">
        <f t="shared" si="20"/>
        <v>20</v>
      </c>
      <c r="T60">
        <f t="shared" si="21"/>
        <v>4</v>
      </c>
      <c r="U60">
        <f t="shared" si="22"/>
        <v>14</v>
      </c>
      <c r="V60">
        <f t="shared" si="23"/>
        <v>6</v>
      </c>
      <c r="W60">
        <f t="shared" si="24"/>
        <v>24</v>
      </c>
      <c r="X60">
        <f t="shared" si="25"/>
        <v>24</v>
      </c>
      <c r="Y60">
        <f t="shared" si="26"/>
        <v>24</v>
      </c>
      <c r="Z60">
        <f t="shared" si="27"/>
        <v>24</v>
      </c>
      <c r="AA60">
        <f t="shared" si="28"/>
        <v>0</v>
      </c>
      <c r="AB60" s="28">
        <f t="shared" si="29"/>
        <v>12.333333333333334</v>
      </c>
      <c r="AC60" s="28">
        <f t="shared" si="30"/>
        <v>13.666666666666666</v>
      </c>
      <c r="AD60" s="28">
        <f t="shared" si="31"/>
        <v>10.666666666666666</v>
      </c>
      <c r="AE60" s="28">
        <f t="shared" si="32"/>
        <v>11.083333333333334</v>
      </c>
      <c r="AF60" s="28">
        <f t="shared" si="33"/>
        <v>11</v>
      </c>
      <c r="AG60" s="28">
        <f t="shared" si="34"/>
        <v>10.708333333333334</v>
      </c>
      <c r="AH60" s="28">
        <f t="shared" si="35"/>
        <v>12.166666666666666</v>
      </c>
      <c r="AI60" s="28">
        <f t="shared" si="36"/>
        <v>12.041666666666666</v>
      </c>
      <c r="AJ60" s="28">
        <f t="shared" si="37"/>
        <v>12.75</v>
      </c>
      <c r="AK60" s="28">
        <f t="shared" si="38"/>
        <v>11.916666666666666</v>
      </c>
      <c r="AL60" s="28">
        <f t="shared" si="39"/>
        <v>9.8333333333333339</v>
      </c>
      <c r="AM60" s="28">
        <f t="shared" si="40"/>
        <v>14.125</v>
      </c>
      <c r="AN60" s="28">
        <f t="shared" si="41"/>
        <v>12</v>
      </c>
      <c r="AO60" s="28">
        <f t="shared" si="42"/>
        <v>13.791666666666666</v>
      </c>
      <c r="AP60" s="28">
        <f t="shared" si="43"/>
        <v>11.083333333333334</v>
      </c>
      <c r="AQ60" s="28">
        <f t="shared" si="44"/>
        <v>12.583333333333334</v>
      </c>
      <c r="AR60" s="28">
        <f t="shared" si="45"/>
        <v>13.833333333333334</v>
      </c>
      <c r="AS60" s="28">
        <f t="shared" si="46"/>
        <v>10.5</v>
      </c>
      <c r="AT60" s="28">
        <f t="shared" si="47"/>
        <v>14.166666666666666</v>
      </c>
      <c r="AU60" s="28">
        <f t="shared" si="48"/>
        <v>12.083333333333334</v>
      </c>
      <c r="AV60" s="28">
        <f t="shared" si="49"/>
        <v>13.916666666666666</v>
      </c>
      <c r="AW60" s="28">
        <f t="shared" si="50"/>
        <v>13</v>
      </c>
      <c r="AX60" s="28">
        <f t="shared" si="51"/>
        <v>10.833333333333334</v>
      </c>
      <c r="AY60" s="28">
        <f t="shared" si="52"/>
        <v>10.833333333333334</v>
      </c>
      <c r="AZ60" s="28">
        <f t="shared" si="53"/>
        <v>10.25</v>
      </c>
    </row>
    <row r="61" spans="1:52">
      <c r="A61">
        <f t="shared" si="54"/>
        <v>60</v>
      </c>
      <c r="B61">
        <f t="shared" si="3"/>
        <v>0</v>
      </c>
      <c r="C61">
        <f t="shared" si="4"/>
        <v>24</v>
      </c>
      <c r="D61">
        <f t="shared" si="5"/>
        <v>24</v>
      </c>
      <c r="E61">
        <f t="shared" si="6"/>
        <v>20</v>
      </c>
      <c r="F61">
        <f t="shared" si="7"/>
        <v>22</v>
      </c>
      <c r="G61">
        <f t="shared" si="8"/>
        <v>5</v>
      </c>
      <c r="H61">
        <f t="shared" si="9"/>
        <v>10</v>
      </c>
      <c r="I61">
        <f t="shared" si="10"/>
        <v>2</v>
      </c>
      <c r="J61">
        <f t="shared" si="11"/>
        <v>8</v>
      </c>
      <c r="K61">
        <f t="shared" si="12"/>
        <v>14</v>
      </c>
      <c r="L61">
        <f t="shared" si="13"/>
        <v>20</v>
      </c>
      <c r="M61">
        <f t="shared" si="14"/>
        <v>0</v>
      </c>
      <c r="N61">
        <f t="shared" si="15"/>
        <v>24</v>
      </c>
      <c r="O61">
        <f t="shared" si="16"/>
        <v>4</v>
      </c>
      <c r="P61">
        <f t="shared" si="17"/>
        <v>18</v>
      </c>
      <c r="Q61">
        <f t="shared" si="18"/>
        <v>2</v>
      </c>
      <c r="R61">
        <f t="shared" si="19"/>
        <v>24</v>
      </c>
      <c r="S61">
        <f t="shared" si="20"/>
        <v>18</v>
      </c>
      <c r="T61">
        <f t="shared" si="21"/>
        <v>22</v>
      </c>
      <c r="U61">
        <f t="shared" si="22"/>
        <v>10</v>
      </c>
      <c r="V61">
        <f t="shared" si="23"/>
        <v>16</v>
      </c>
      <c r="W61">
        <f t="shared" si="24"/>
        <v>14</v>
      </c>
      <c r="X61">
        <f t="shared" si="25"/>
        <v>12</v>
      </c>
      <c r="Y61">
        <f t="shared" si="26"/>
        <v>10</v>
      </c>
      <c r="Z61">
        <f t="shared" si="27"/>
        <v>8</v>
      </c>
      <c r="AA61">
        <f t="shared" si="28"/>
        <v>8</v>
      </c>
      <c r="AB61" s="28">
        <f t="shared" si="29"/>
        <v>11.833333333333334</v>
      </c>
      <c r="AC61" s="28">
        <f t="shared" si="30"/>
        <v>14.666666666666666</v>
      </c>
      <c r="AD61" s="28">
        <f t="shared" si="31"/>
        <v>10.166666666666666</v>
      </c>
      <c r="AE61" s="28">
        <f t="shared" si="32"/>
        <v>11.5</v>
      </c>
      <c r="AF61" s="28">
        <f t="shared" si="33"/>
        <v>11.666666666666666</v>
      </c>
      <c r="AG61" s="28">
        <f t="shared" si="34"/>
        <v>11.541666666666666</v>
      </c>
      <c r="AH61" s="28">
        <f t="shared" si="35"/>
        <v>11.791666666666666</v>
      </c>
      <c r="AI61" s="28">
        <f t="shared" si="36"/>
        <v>11.916666666666666</v>
      </c>
      <c r="AJ61" s="28">
        <f t="shared" si="37"/>
        <v>12.75</v>
      </c>
      <c r="AK61" s="28">
        <f t="shared" si="38"/>
        <v>11.666666666666666</v>
      </c>
      <c r="AL61" s="28">
        <f t="shared" si="39"/>
        <v>9.5833333333333339</v>
      </c>
      <c r="AM61" s="28">
        <f t="shared" si="40"/>
        <v>13.958333333333334</v>
      </c>
      <c r="AN61" s="28">
        <f t="shared" si="41"/>
        <v>11.875</v>
      </c>
      <c r="AO61" s="28">
        <f t="shared" si="42"/>
        <v>13.75</v>
      </c>
      <c r="AP61" s="28">
        <f t="shared" si="43"/>
        <v>10.75</v>
      </c>
      <c r="AQ61" s="28">
        <f t="shared" si="44"/>
        <v>12.5</v>
      </c>
      <c r="AR61" s="28">
        <f t="shared" si="45"/>
        <v>13.333333333333334</v>
      </c>
      <c r="AS61" s="28">
        <f t="shared" si="46"/>
        <v>10.833333333333334</v>
      </c>
      <c r="AT61" s="28">
        <f t="shared" si="47"/>
        <v>14.166666666666666</v>
      </c>
      <c r="AU61" s="28">
        <f t="shared" si="48"/>
        <v>12.166666666666666</v>
      </c>
      <c r="AV61" s="28">
        <f t="shared" si="49"/>
        <v>13.083333333333334</v>
      </c>
      <c r="AW61" s="28">
        <f t="shared" si="50"/>
        <v>12</v>
      </c>
      <c r="AX61" s="28">
        <f t="shared" si="51"/>
        <v>9.8333333333333339</v>
      </c>
      <c r="AY61" s="28">
        <f t="shared" si="52"/>
        <v>9.8333333333333339</v>
      </c>
      <c r="AZ61" s="28">
        <f t="shared" si="53"/>
        <v>10.333333333333334</v>
      </c>
    </row>
    <row r="62" spans="1:52">
      <c r="A62">
        <f t="shared" si="54"/>
        <v>61</v>
      </c>
      <c r="B62">
        <f t="shared" si="3"/>
        <v>1</v>
      </c>
      <c r="C62">
        <f t="shared" si="4"/>
        <v>25</v>
      </c>
      <c r="D62">
        <f t="shared" si="5"/>
        <v>23</v>
      </c>
      <c r="E62">
        <f t="shared" si="6"/>
        <v>17</v>
      </c>
      <c r="F62">
        <f t="shared" si="7"/>
        <v>13</v>
      </c>
      <c r="G62">
        <f t="shared" si="8"/>
        <v>18</v>
      </c>
      <c r="H62">
        <f t="shared" si="9"/>
        <v>2</v>
      </c>
      <c r="I62">
        <f t="shared" si="10"/>
        <v>4</v>
      </c>
      <c r="J62">
        <f t="shared" si="11"/>
        <v>12</v>
      </c>
      <c r="K62">
        <f t="shared" si="12"/>
        <v>0</v>
      </c>
      <c r="L62">
        <f t="shared" si="13"/>
        <v>20</v>
      </c>
      <c r="M62">
        <f t="shared" si="14"/>
        <v>20</v>
      </c>
      <c r="N62">
        <f t="shared" si="15"/>
        <v>18</v>
      </c>
      <c r="O62">
        <f t="shared" si="16"/>
        <v>22</v>
      </c>
      <c r="P62">
        <f t="shared" si="17"/>
        <v>14</v>
      </c>
      <c r="Q62">
        <f t="shared" si="18"/>
        <v>16</v>
      </c>
      <c r="R62">
        <f t="shared" si="19"/>
        <v>14</v>
      </c>
      <c r="S62">
        <f t="shared" si="20"/>
        <v>6</v>
      </c>
      <c r="T62">
        <f t="shared" si="21"/>
        <v>2</v>
      </c>
      <c r="U62">
        <f t="shared" si="22"/>
        <v>12</v>
      </c>
      <c r="V62">
        <f t="shared" si="23"/>
        <v>2</v>
      </c>
      <c r="W62">
        <f t="shared" si="24"/>
        <v>16</v>
      </c>
      <c r="X62">
        <f t="shared" si="25"/>
        <v>2</v>
      </c>
      <c r="Y62">
        <f t="shared" si="26"/>
        <v>12</v>
      </c>
      <c r="Z62">
        <f t="shared" si="27"/>
        <v>20</v>
      </c>
      <c r="AA62">
        <f t="shared" si="28"/>
        <v>2</v>
      </c>
      <c r="AB62" s="28">
        <f t="shared" si="29"/>
        <v>11.5</v>
      </c>
      <c r="AC62" s="28">
        <f t="shared" si="30"/>
        <v>14.25</v>
      </c>
      <c r="AD62" s="28">
        <f t="shared" si="31"/>
        <v>10.333333333333334</v>
      </c>
      <c r="AE62" s="28">
        <f t="shared" si="32"/>
        <v>11</v>
      </c>
      <c r="AF62" s="28">
        <f t="shared" si="33"/>
        <v>11.833333333333334</v>
      </c>
      <c r="AG62" s="28">
        <f t="shared" si="34"/>
        <v>11.458333333333334</v>
      </c>
      <c r="AH62" s="28">
        <f t="shared" si="35"/>
        <v>12.416666666666666</v>
      </c>
      <c r="AI62" s="28">
        <f t="shared" si="36"/>
        <v>12.416666666666666</v>
      </c>
      <c r="AJ62" s="28">
        <f t="shared" si="37"/>
        <v>12.166666666666666</v>
      </c>
      <c r="AK62" s="28">
        <f t="shared" si="38"/>
        <v>10.833333333333334</v>
      </c>
      <c r="AL62" s="28">
        <f t="shared" si="39"/>
        <v>9.5833333333333339</v>
      </c>
      <c r="AM62" s="28">
        <f t="shared" si="40"/>
        <v>13.791666666666666</v>
      </c>
      <c r="AN62" s="28">
        <f t="shared" si="41"/>
        <v>12.666666666666666</v>
      </c>
      <c r="AO62" s="28">
        <f t="shared" si="42"/>
        <v>13.416666666666666</v>
      </c>
      <c r="AP62" s="28">
        <f t="shared" si="43"/>
        <v>11.166666666666666</v>
      </c>
      <c r="AQ62" s="28">
        <f t="shared" si="44"/>
        <v>11.75</v>
      </c>
      <c r="AR62" s="28">
        <f t="shared" si="45"/>
        <v>13.166666666666666</v>
      </c>
      <c r="AS62" s="28">
        <f t="shared" si="46"/>
        <v>9.9166666666666661</v>
      </c>
      <c r="AT62" s="28">
        <f t="shared" si="47"/>
        <v>14.333333333333334</v>
      </c>
      <c r="AU62" s="28">
        <f t="shared" si="48"/>
        <v>12.416666666666666</v>
      </c>
      <c r="AV62" s="28">
        <f t="shared" si="49"/>
        <v>12.5</v>
      </c>
      <c r="AW62" s="28">
        <f t="shared" si="50"/>
        <v>11.5</v>
      </c>
      <c r="AX62" s="28">
        <f t="shared" si="51"/>
        <v>9.4166666666666661</v>
      </c>
      <c r="AY62" s="28">
        <f t="shared" si="52"/>
        <v>9.5</v>
      </c>
      <c r="AZ62" s="28">
        <f t="shared" si="53"/>
        <v>10.083333333333334</v>
      </c>
    </row>
    <row r="63" spans="1:52">
      <c r="A63">
        <f t="shared" si="54"/>
        <v>62</v>
      </c>
      <c r="B63">
        <f t="shared" si="3"/>
        <v>2</v>
      </c>
      <c r="C63">
        <f t="shared" si="4"/>
        <v>1</v>
      </c>
      <c r="D63">
        <f t="shared" si="5"/>
        <v>24</v>
      </c>
      <c r="E63">
        <f t="shared" si="6"/>
        <v>15</v>
      </c>
      <c r="F63">
        <f t="shared" si="7"/>
        <v>2</v>
      </c>
      <c r="G63">
        <f t="shared" si="8"/>
        <v>20</v>
      </c>
      <c r="H63">
        <f t="shared" si="9"/>
        <v>22</v>
      </c>
      <c r="I63">
        <f t="shared" si="10"/>
        <v>0</v>
      </c>
      <c r="J63">
        <f t="shared" si="11"/>
        <v>12</v>
      </c>
      <c r="K63">
        <f t="shared" si="12"/>
        <v>12</v>
      </c>
      <c r="L63">
        <f t="shared" si="13"/>
        <v>6</v>
      </c>
      <c r="M63">
        <f t="shared" si="14"/>
        <v>0</v>
      </c>
      <c r="N63">
        <f t="shared" si="15"/>
        <v>18</v>
      </c>
      <c r="O63">
        <f t="shared" si="16"/>
        <v>14</v>
      </c>
      <c r="P63">
        <f t="shared" si="17"/>
        <v>2</v>
      </c>
      <c r="Q63">
        <f t="shared" si="18"/>
        <v>18</v>
      </c>
      <c r="R63">
        <f t="shared" si="19"/>
        <v>6</v>
      </c>
      <c r="S63">
        <f t="shared" si="20"/>
        <v>12</v>
      </c>
      <c r="T63">
        <f t="shared" si="21"/>
        <v>14</v>
      </c>
      <c r="U63">
        <f t="shared" si="22"/>
        <v>0</v>
      </c>
      <c r="V63">
        <f t="shared" si="23"/>
        <v>2</v>
      </c>
      <c r="W63">
        <f t="shared" si="24"/>
        <v>18</v>
      </c>
      <c r="X63">
        <f t="shared" si="25"/>
        <v>20</v>
      </c>
      <c r="Y63">
        <f t="shared" si="26"/>
        <v>6</v>
      </c>
      <c r="Z63">
        <f t="shared" si="27"/>
        <v>0</v>
      </c>
      <c r="AA63">
        <f t="shared" si="28"/>
        <v>2</v>
      </c>
      <c r="AB63" s="28">
        <f t="shared" si="29"/>
        <v>11.333333333333334</v>
      </c>
      <c r="AC63" s="28">
        <f t="shared" si="30"/>
        <v>13.666666666666666</v>
      </c>
      <c r="AD63" s="28">
        <f t="shared" si="31"/>
        <v>9.9166666666666661</v>
      </c>
      <c r="AE63" s="28">
        <f t="shared" si="32"/>
        <v>11.166666666666666</v>
      </c>
      <c r="AF63" s="28">
        <f t="shared" si="33"/>
        <v>11.083333333333334</v>
      </c>
      <c r="AG63" s="28">
        <f t="shared" si="34"/>
        <v>11.708333333333334</v>
      </c>
      <c r="AH63" s="28">
        <f t="shared" si="35"/>
        <v>13.291666666666666</v>
      </c>
      <c r="AI63" s="28">
        <f t="shared" si="36"/>
        <v>12.708333333333334</v>
      </c>
      <c r="AJ63" s="28">
        <f t="shared" si="37"/>
        <v>12.958333333333334</v>
      </c>
      <c r="AK63" s="28">
        <f t="shared" si="38"/>
        <v>10.791666666666666</v>
      </c>
      <c r="AL63" s="28">
        <f t="shared" si="39"/>
        <v>9.5416666666666661</v>
      </c>
      <c r="AM63" s="28">
        <f t="shared" si="40"/>
        <v>13.583333333333334</v>
      </c>
      <c r="AN63" s="28">
        <f t="shared" si="41"/>
        <v>12.166666666666666</v>
      </c>
      <c r="AO63" s="28">
        <f t="shared" si="42"/>
        <v>13.666666666666666</v>
      </c>
      <c r="AP63" s="28">
        <f t="shared" si="43"/>
        <v>10.75</v>
      </c>
      <c r="AQ63" s="28">
        <f t="shared" si="44"/>
        <v>11.666666666666666</v>
      </c>
      <c r="AR63" s="28">
        <f t="shared" si="45"/>
        <v>12.916666666666666</v>
      </c>
      <c r="AS63" s="28">
        <f t="shared" si="46"/>
        <v>9.8333333333333339</v>
      </c>
      <c r="AT63" s="28">
        <f t="shared" si="47"/>
        <v>14.416666666666666</v>
      </c>
      <c r="AU63" s="28">
        <f t="shared" si="48"/>
        <v>12.75</v>
      </c>
      <c r="AV63" s="28">
        <f t="shared" si="49"/>
        <v>12.25</v>
      </c>
      <c r="AW63" s="28">
        <f t="shared" si="50"/>
        <v>11.833333333333334</v>
      </c>
      <c r="AX63" s="28">
        <f t="shared" si="51"/>
        <v>9.3333333333333339</v>
      </c>
      <c r="AY63" s="28">
        <f t="shared" si="52"/>
        <v>9.0833333333333339</v>
      </c>
      <c r="AZ63" s="28">
        <f t="shared" si="53"/>
        <v>10.5</v>
      </c>
    </row>
    <row r="64" spans="1:52">
      <c r="A64">
        <f t="shared" si="54"/>
        <v>63</v>
      </c>
      <c r="B64">
        <f t="shared" si="3"/>
        <v>3</v>
      </c>
      <c r="C64">
        <f t="shared" si="4"/>
        <v>4</v>
      </c>
      <c r="D64">
        <f t="shared" si="5"/>
        <v>2</v>
      </c>
      <c r="E64">
        <f t="shared" si="6"/>
        <v>17</v>
      </c>
      <c r="F64">
        <f t="shared" si="7"/>
        <v>19</v>
      </c>
      <c r="G64">
        <f t="shared" si="8"/>
        <v>13</v>
      </c>
      <c r="H64">
        <f t="shared" si="9"/>
        <v>9</v>
      </c>
      <c r="I64">
        <f t="shared" si="10"/>
        <v>9</v>
      </c>
      <c r="J64">
        <f t="shared" si="11"/>
        <v>21</v>
      </c>
      <c r="K64">
        <f t="shared" si="12"/>
        <v>7</v>
      </c>
      <c r="L64">
        <f t="shared" si="13"/>
        <v>13</v>
      </c>
      <c r="M64">
        <f t="shared" si="14"/>
        <v>13</v>
      </c>
      <c r="N64">
        <f t="shared" si="15"/>
        <v>5</v>
      </c>
      <c r="O64">
        <f t="shared" si="16"/>
        <v>19</v>
      </c>
      <c r="P64">
        <f t="shared" si="17"/>
        <v>21</v>
      </c>
      <c r="Q64">
        <f t="shared" si="18"/>
        <v>13</v>
      </c>
      <c r="R64">
        <f t="shared" si="19"/>
        <v>19</v>
      </c>
      <c r="S64">
        <f t="shared" si="20"/>
        <v>5</v>
      </c>
      <c r="T64">
        <f t="shared" si="21"/>
        <v>19</v>
      </c>
      <c r="U64">
        <f t="shared" si="22"/>
        <v>19</v>
      </c>
      <c r="V64">
        <f t="shared" si="23"/>
        <v>21</v>
      </c>
      <c r="W64">
        <f t="shared" si="24"/>
        <v>13</v>
      </c>
      <c r="X64">
        <f t="shared" si="25"/>
        <v>7</v>
      </c>
      <c r="Y64">
        <f t="shared" si="26"/>
        <v>13</v>
      </c>
      <c r="Z64">
        <f t="shared" si="27"/>
        <v>13</v>
      </c>
      <c r="AA64">
        <f t="shared" si="28"/>
        <v>15</v>
      </c>
      <c r="AB64" s="28">
        <f t="shared" si="29"/>
        <v>11.333333333333334</v>
      </c>
      <c r="AC64" s="28">
        <f t="shared" si="30"/>
        <v>13.083333333333334</v>
      </c>
      <c r="AD64" s="28">
        <f t="shared" si="31"/>
        <v>10</v>
      </c>
      <c r="AE64" s="28">
        <f t="shared" si="32"/>
        <v>11.416666666666666</v>
      </c>
      <c r="AF64" s="28">
        <f t="shared" si="33"/>
        <v>10.583333333333334</v>
      </c>
      <c r="AG64" s="28">
        <f t="shared" si="34"/>
        <v>11.458333333333334</v>
      </c>
      <c r="AH64" s="28">
        <f t="shared" si="35"/>
        <v>13.916666666666666</v>
      </c>
      <c r="AI64" s="28">
        <f t="shared" si="36"/>
        <v>12.541666666666666</v>
      </c>
      <c r="AJ64" s="28">
        <f t="shared" si="37"/>
        <v>12.5</v>
      </c>
      <c r="AK64" s="28">
        <f t="shared" si="38"/>
        <v>11.375</v>
      </c>
      <c r="AL64" s="28">
        <f t="shared" si="39"/>
        <v>10.083333333333334</v>
      </c>
      <c r="AM64" s="28">
        <f t="shared" si="40"/>
        <v>12.833333333333334</v>
      </c>
      <c r="AN64" s="28">
        <f t="shared" si="41"/>
        <v>12</v>
      </c>
      <c r="AO64" s="28">
        <f t="shared" si="42"/>
        <v>13.75</v>
      </c>
      <c r="AP64" s="28">
        <f t="shared" si="43"/>
        <v>10.416666666666666</v>
      </c>
      <c r="AQ64" s="28">
        <f t="shared" si="44"/>
        <v>12.333333333333334</v>
      </c>
      <c r="AR64" s="28">
        <f t="shared" si="45"/>
        <v>13.333333333333334</v>
      </c>
      <c r="AS64" s="28">
        <f t="shared" si="46"/>
        <v>10.166666666666666</v>
      </c>
      <c r="AT64" s="28">
        <f t="shared" si="47"/>
        <v>14.833333333333334</v>
      </c>
      <c r="AU64" s="28">
        <f t="shared" si="48"/>
        <v>13.5</v>
      </c>
      <c r="AV64" s="28">
        <f t="shared" si="49"/>
        <v>11.666666666666666</v>
      </c>
      <c r="AW64" s="28">
        <f t="shared" si="50"/>
        <v>11.583333333333334</v>
      </c>
      <c r="AX64" s="28">
        <f t="shared" si="51"/>
        <v>10.083333333333334</v>
      </c>
      <c r="AY64" s="28">
        <f t="shared" si="52"/>
        <v>9.4166666666666661</v>
      </c>
      <c r="AZ64" s="28">
        <f t="shared" si="53"/>
        <v>11.25</v>
      </c>
    </row>
    <row r="65" spans="1:52">
      <c r="A65">
        <f t="shared" si="54"/>
        <v>64</v>
      </c>
      <c r="B65">
        <f t="shared" si="3"/>
        <v>4</v>
      </c>
      <c r="C65">
        <f t="shared" si="4"/>
        <v>8</v>
      </c>
      <c r="D65">
        <f t="shared" si="5"/>
        <v>10</v>
      </c>
      <c r="E65">
        <f t="shared" si="6"/>
        <v>1</v>
      </c>
      <c r="F65">
        <f t="shared" si="7"/>
        <v>20</v>
      </c>
      <c r="G65">
        <f t="shared" si="8"/>
        <v>7</v>
      </c>
      <c r="H65">
        <f t="shared" si="9"/>
        <v>16</v>
      </c>
      <c r="I65">
        <f t="shared" si="10"/>
        <v>25</v>
      </c>
      <c r="J65">
        <f t="shared" si="11"/>
        <v>20</v>
      </c>
      <c r="K65">
        <f t="shared" si="12"/>
        <v>1</v>
      </c>
      <c r="L65">
        <f t="shared" si="13"/>
        <v>14</v>
      </c>
      <c r="M65">
        <f t="shared" si="14"/>
        <v>1</v>
      </c>
      <c r="N65">
        <f t="shared" si="15"/>
        <v>6</v>
      </c>
      <c r="O65">
        <f t="shared" si="16"/>
        <v>25</v>
      </c>
      <c r="P65">
        <f t="shared" si="17"/>
        <v>20</v>
      </c>
      <c r="Q65">
        <f t="shared" si="18"/>
        <v>7</v>
      </c>
      <c r="R65">
        <f t="shared" si="19"/>
        <v>0</v>
      </c>
      <c r="S65">
        <f t="shared" si="20"/>
        <v>5</v>
      </c>
      <c r="T65">
        <f t="shared" si="21"/>
        <v>24</v>
      </c>
      <c r="U65">
        <f t="shared" si="22"/>
        <v>17</v>
      </c>
      <c r="V65">
        <f t="shared" si="23"/>
        <v>12</v>
      </c>
      <c r="W65">
        <f t="shared" si="24"/>
        <v>25</v>
      </c>
      <c r="X65">
        <f t="shared" si="25"/>
        <v>6</v>
      </c>
      <c r="Y65">
        <f t="shared" si="26"/>
        <v>19</v>
      </c>
      <c r="Z65">
        <f t="shared" si="27"/>
        <v>6</v>
      </c>
      <c r="AA65">
        <f t="shared" si="28"/>
        <v>21</v>
      </c>
      <c r="AB65" s="28">
        <f t="shared" si="29"/>
        <v>11.5</v>
      </c>
      <c r="AC65" s="28">
        <f t="shared" si="30"/>
        <v>13.75</v>
      </c>
      <c r="AD65" s="28">
        <f t="shared" si="31"/>
        <v>9.6666666666666661</v>
      </c>
      <c r="AE65" s="28">
        <f t="shared" si="32"/>
        <v>11.333333333333334</v>
      </c>
      <c r="AF65" s="28">
        <f t="shared" si="33"/>
        <v>11.083333333333334</v>
      </c>
      <c r="AG65" s="28">
        <f t="shared" si="34"/>
        <v>11.708333333333334</v>
      </c>
      <c r="AH65" s="28">
        <f t="shared" si="35"/>
        <v>13.708333333333334</v>
      </c>
      <c r="AI65" s="28">
        <f t="shared" si="36"/>
        <v>12.166666666666666</v>
      </c>
      <c r="AJ65" s="28">
        <f t="shared" si="37"/>
        <v>12.75</v>
      </c>
      <c r="AK65" s="28">
        <f t="shared" si="38"/>
        <v>11.125</v>
      </c>
      <c r="AL65" s="28">
        <f t="shared" si="39"/>
        <v>10.375</v>
      </c>
      <c r="AM65" s="28">
        <f t="shared" si="40"/>
        <v>13.458333333333334</v>
      </c>
      <c r="AN65" s="28">
        <f t="shared" si="41"/>
        <v>11.375</v>
      </c>
      <c r="AO65" s="28">
        <f t="shared" si="42"/>
        <v>13.208333333333334</v>
      </c>
      <c r="AP65" s="28">
        <f t="shared" si="43"/>
        <v>10.625</v>
      </c>
      <c r="AQ65" s="28">
        <f t="shared" si="44"/>
        <v>12.125</v>
      </c>
      <c r="AR65" s="28">
        <f t="shared" si="45"/>
        <v>13.541666666666666</v>
      </c>
      <c r="AS65" s="28">
        <f t="shared" si="46"/>
        <v>9.625</v>
      </c>
      <c r="AT65" s="28">
        <f t="shared" si="47"/>
        <v>14.708333333333334</v>
      </c>
      <c r="AU65" s="28">
        <f t="shared" si="48"/>
        <v>13.041666666666666</v>
      </c>
      <c r="AV65" s="28">
        <f t="shared" si="49"/>
        <v>11.708333333333334</v>
      </c>
      <c r="AW65" s="28">
        <f t="shared" si="50"/>
        <v>11.375</v>
      </c>
      <c r="AX65" s="28">
        <f t="shared" si="51"/>
        <v>9.5416666666666661</v>
      </c>
      <c r="AY65" s="28">
        <f t="shared" si="52"/>
        <v>9.2083333333333339</v>
      </c>
      <c r="AZ65" s="28">
        <f t="shared" si="53"/>
        <v>10.708333333333334</v>
      </c>
    </row>
    <row r="66" spans="1:52">
      <c r="A66">
        <f t="shared" si="54"/>
        <v>65</v>
      </c>
      <c r="B66">
        <f t="shared" si="3"/>
        <v>5</v>
      </c>
      <c r="C66">
        <f t="shared" si="4"/>
        <v>13</v>
      </c>
      <c r="D66">
        <f t="shared" si="5"/>
        <v>23</v>
      </c>
      <c r="E66">
        <f t="shared" si="6"/>
        <v>24</v>
      </c>
      <c r="F66">
        <f t="shared" si="7"/>
        <v>18</v>
      </c>
      <c r="G66">
        <f t="shared" si="8"/>
        <v>25</v>
      </c>
      <c r="H66">
        <f t="shared" si="9"/>
        <v>15</v>
      </c>
      <c r="I66">
        <f t="shared" si="10"/>
        <v>14</v>
      </c>
      <c r="J66">
        <f t="shared" si="11"/>
        <v>8</v>
      </c>
      <c r="K66">
        <f t="shared" si="12"/>
        <v>9</v>
      </c>
      <c r="L66">
        <f t="shared" si="13"/>
        <v>23</v>
      </c>
      <c r="M66">
        <f t="shared" si="14"/>
        <v>24</v>
      </c>
      <c r="N66">
        <f t="shared" si="15"/>
        <v>4</v>
      </c>
      <c r="O66">
        <f t="shared" si="16"/>
        <v>3</v>
      </c>
      <c r="P66">
        <f t="shared" si="17"/>
        <v>23</v>
      </c>
      <c r="Q66">
        <f t="shared" si="18"/>
        <v>4</v>
      </c>
      <c r="R66">
        <f t="shared" si="19"/>
        <v>4</v>
      </c>
      <c r="S66">
        <f t="shared" si="20"/>
        <v>9</v>
      </c>
      <c r="T66">
        <f t="shared" si="21"/>
        <v>7</v>
      </c>
      <c r="U66">
        <f t="shared" si="22"/>
        <v>24</v>
      </c>
      <c r="V66">
        <f t="shared" si="23"/>
        <v>10</v>
      </c>
      <c r="W66">
        <f t="shared" si="24"/>
        <v>9</v>
      </c>
      <c r="X66">
        <f t="shared" si="25"/>
        <v>15</v>
      </c>
      <c r="Y66">
        <f t="shared" si="26"/>
        <v>8</v>
      </c>
      <c r="Z66">
        <f t="shared" si="27"/>
        <v>14</v>
      </c>
      <c r="AA66">
        <f t="shared" si="28"/>
        <v>9</v>
      </c>
      <c r="AB66" s="28">
        <f t="shared" si="29"/>
        <v>11.833333333333334</v>
      </c>
      <c r="AC66" s="28">
        <f t="shared" si="30"/>
        <v>13.666666666666666</v>
      </c>
      <c r="AD66" s="28">
        <f t="shared" si="31"/>
        <v>10.333333333333334</v>
      </c>
      <c r="AE66" s="28">
        <f t="shared" si="32"/>
        <v>10.833333333333334</v>
      </c>
      <c r="AF66" s="28">
        <f t="shared" si="33"/>
        <v>11.083333333333334</v>
      </c>
      <c r="AG66" s="28">
        <f t="shared" si="34"/>
        <v>11.958333333333334</v>
      </c>
      <c r="AH66" s="28">
        <f t="shared" si="35"/>
        <v>12.666666666666666</v>
      </c>
      <c r="AI66" s="28">
        <f t="shared" si="36"/>
        <v>11.833333333333334</v>
      </c>
      <c r="AJ66" s="28">
        <f t="shared" si="37"/>
        <v>13.75</v>
      </c>
      <c r="AK66" s="28">
        <f t="shared" si="38"/>
        <v>10.791666666666666</v>
      </c>
      <c r="AL66" s="28">
        <f t="shared" si="39"/>
        <v>10.333333333333334</v>
      </c>
      <c r="AM66" s="28">
        <f t="shared" si="40"/>
        <v>14.041666666666666</v>
      </c>
      <c r="AN66" s="28">
        <f t="shared" si="41"/>
        <v>11.333333333333334</v>
      </c>
      <c r="AO66" s="28">
        <f t="shared" si="42"/>
        <v>12.625</v>
      </c>
      <c r="AP66" s="28">
        <f t="shared" si="43"/>
        <v>11.333333333333334</v>
      </c>
      <c r="AQ66" s="28">
        <f t="shared" si="44"/>
        <v>12.625</v>
      </c>
      <c r="AR66" s="28">
        <f t="shared" si="45"/>
        <v>14.25</v>
      </c>
      <c r="AS66" s="28">
        <f t="shared" si="46"/>
        <v>8.7083333333333339</v>
      </c>
      <c r="AT66" s="28">
        <f t="shared" si="47"/>
        <v>14.75</v>
      </c>
      <c r="AU66" s="28">
        <f t="shared" si="48"/>
        <v>12.625</v>
      </c>
      <c r="AV66" s="28">
        <f t="shared" si="49"/>
        <v>11.333333333333334</v>
      </c>
      <c r="AW66" s="28">
        <f t="shared" si="50"/>
        <v>11.875</v>
      </c>
      <c r="AX66" s="28">
        <f t="shared" si="51"/>
        <v>9.5</v>
      </c>
      <c r="AY66" s="28">
        <f t="shared" si="52"/>
        <v>8.9583333333333339</v>
      </c>
      <c r="AZ66" s="28">
        <f t="shared" si="53"/>
        <v>9.9166666666666661</v>
      </c>
    </row>
    <row r="67" spans="1:52">
      <c r="A67">
        <f t="shared" si="54"/>
        <v>66</v>
      </c>
      <c r="B67">
        <f t="shared" ref="B67:B100" si="55">MOD(A67,20)</f>
        <v>6</v>
      </c>
      <c r="C67">
        <f t="shared" ref="C67:C100" si="56">MOD(B67+C66,26)</f>
        <v>19</v>
      </c>
      <c r="D67">
        <f t="shared" ref="D67:D100" si="57">MOD(C67+D66,26)</f>
        <v>16</v>
      </c>
      <c r="E67">
        <f t="shared" ref="E67:E100" si="58">MOD(D67+E66,26)</f>
        <v>14</v>
      </c>
      <c r="F67">
        <f t="shared" ref="F67:F100" si="59">MOD(E67+F66,26)</f>
        <v>6</v>
      </c>
      <c r="G67">
        <f t="shared" ref="G67:G100" si="60">MOD(F67+G66,26)</f>
        <v>5</v>
      </c>
      <c r="H67">
        <f t="shared" ref="H67:H100" si="61">MOD(G67+H66,26)</f>
        <v>20</v>
      </c>
      <c r="I67">
        <f t="shared" ref="I67:I100" si="62">MOD(H67+I66,26)</f>
        <v>8</v>
      </c>
      <c r="J67">
        <f t="shared" ref="J67:J100" si="63">MOD(I67+J66,26)</f>
        <v>16</v>
      </c>
      <c r="K67">
        <f t="shared" ref="K67:K100" si="64">MOD(J67+K66,26)</f>
        <v>25</v>
      </c>
      <c r="L67">
        <f t="shared" ref="L67:L100" si="65">MOD(K67+L66,26)</f>
        <v>22</v>
      </c>
      <c r="M67">
        <f t="shared" ref="M67:M100" si="66">MOD(L67+M66,26)</f>
        <v>20</v>
      </c>
      <c r="N67">
        <f t="shared" ref="N67:N100" si="67">MOD(M67+N66,26)</f>
        <v>24</v>
      </c>
      <c r="O67">
        <f t="shared" ref="O67:O100" si="68">MOD(N67+O66,26)</f>
        <v>1</v>
      </c>
      <c r="P67">
        <f t="shared" ref="P67:P100" si="69">MOD(O67+P66,26)</f>
        <v>24</v>
      </c>
      <c r="Q67">
        <f t="shared" ref="Q67:Q100" si="70">MOD(P67+Q66,26)</f>
        <v>2</v>
      </c>
      <c r="R67">
        <f t="shared" ref="R67:R100" si="71">MOD(Q67+R66,26)</f>
        <v>6</v>
      </c>
      <c r="S67">
        <f t="shared" ref="S67:S100" si="72">MOD(R67+S66,26)</f>
        <v>15</v>
      </c>
      <c r="T67">
        <f t="shared" ref="T67:T100" si="73">MOD(S67+T66,26)</f>
        <v>22</v>
      </c>
      <c r="U67">
        <f t="shared" ref="U67:U100" si="74">MOD(T67+U66,26)</f>
        <v>20</v>
      </c>
      <c r="V67">
        <f t="shared" ref="V67:V100" si="75">MOD(U67+V66,26)</f>
        <v>4</v>
      </c>
      <c r="W67">
        <f t="shared" ref="W67:W100" si="76">MOD(V67+W66,26)</f>
        <v>13</v>
      </c>
      <c r="X67">
        <f t="shared" ref="X67:X100" si="77">MOD(W67+X66,26)</f>
        <v>2</v>
      </c>
      <c r="Y67">
        <f t="shared" ref="Y67:Y100" si="78">MOD(X67+Y66,26)</f>
        <v>10</v>
      </c>
      <c r="Z67">
        <f t="shared" ref="Z67:Z100" si="79">MOD(Y67+Z66,26)</f>
        <v>24</v>
      </c>
      <c r="AA67">
        <f t="shared" ref="AA67:AA100" si="80">MOD(Z67+AA66,26)</f>
        <v>7</v>
      </c>
      <c r="AB67" s="28">
        <f t="shared" ref="AB67:AB77" si="81">AVERAGE(C67:C90)</f>
        <v>12.333333333333334</v>
      </c>
      <c r="AC67" s="28">
        <f t="shared" ref="AC67:AC77" si="82">AVERAGE(D67:D90)</f>
        <v>13</v>
      </c>
      <c r="AD67" s="28">
        <f t="shared" ref="AD67:AD77" si="83">AVERAGE(E67:E90)</f>
        <v>10.333333333333334</v>
      </c>
      <c r="AE67" s="28">
        <f t="shared" ref="AE67:AE77" si="84">AVERAGE(F67:F90)</f>
        <v>10.333333333333334</v>
      </c>
      <c r="AF67" s="28">
        <f t="shared" ref="AF67:AF77" si="85">AVERAGE(G67:G90)</f>
        <v>10.583333333333334</v>
      </c>
      <c r="AG67" s="28">
        <f t="shared" ref="AG67:AG77" si="86">AVERAGE(H67:H90)</f>
        <v>11.708333333333334</v>
      </c>
      <c r="AH67" s="28">
        <f t="shared" ref="AH67:AH77" si="87">AVERAGE(I67:I90)</f>
        <v>12.458333333333334</v>
      </c>
      <c r="AI67" s="28">
        <f t="shared" ref="AI67:AI77" si="88">AVERAGE(J67:J90)</f>
        <v>12.375</v>
      </c>
      <c r="AJ67" s="28">
        <f t="shared" ref="AJ67:AJ77" si="89">AVERAGE(K67:K90)</f>
        <v>14.208333333333334</v>
      </c>
      <c r="AK67" s="28">
        <f t="shared" ref="AK67:AK77" si="90">AVERAGE(L67:L90)</f>
        <v>9.8333333333333339</v>
      </c>
      <c r="AL67" s="28">
        <f t="shared" ref="AL67:AL77" si="91">AVERAGE(M67:M90)</f>
        <v>9.3333333333333339</v>
      </c>
      <c r="AM67" s="28">
        <f t="shared" ref="AM67:AM77" si="92">AVERAGE(N67:N90)</f>
        <v>14.708333333333334</v>
      </c>
      <c r="AN67" s="28">
        <f t="shared" ref="AN67:AN77" si="93">AVERAGE(O67:O90)</f>
        <v>11.958333333333334</v>
      </c>
      <c r="AO67" s="28">
        <f t="shared" ref="AO67:AO77" si="94">AVERAGE(P67:P90)</f>
        <v>12.666666666666666</v>
      </c>
      <c r="AP67" s="28">
        <f t="shared" ref="AP67:AP77" si="95">AVERAGE(Q67:Q90)</f>
        <v>12.083333333333334</v>
      </c>
      <c r="AQ67" s="28">
        <f t="shared" ref="AQ67:AQ77" si="96">AVERAGE(R67:R90)</f>
        <v>12.791666666666666</v>
      </c>
      <c r="AR67" s="28">
        <f t="shared" ref="AR67:AR77" si="97">AVERAGE(S67:S90)</f>
        <v>14.041666666666666</v>
      </c>
      <c r="AS67" s="28">
        <f t="shared" ref="AS67:AS77" si="98">AVERAGE(T67:T90)</f>
        <v>8.6666666666666661</v>
      </c>
      <c r="AT67" s="28">
        <f t="shared" ref="AT67:AT77" si="99">AVERAGE(U67:U90)</f>
        <v>14.75</v>
      </c>
      <c r="AU67" s="28">
        <f t="shared" ref="AU67:AU77" si="100">AVERAGE(V67:V90)</f>
        <v>12.208333333333334</v>
      </c>
      <c r="AV67" s="28">
        <f t="shared" ref="AV67:AV77" si="101">AVERAGE(W67:W90)</f>
        <v>11.625</v>
      </c>
      <c r="AW67" s="28">
        <f t="shared" ref="AW67:AW77" si="102">AVERAGE(X67:X90)</f>
        <v>11.583333333333334</v>
      </c>
      <c r="AX67" s="28">
        <f t="shared" ref="AX67:AX77" si="103">AVERAGE(Y67:Y90)</f>
        <v>9.1666666666666661</v>
      </c>
      <c r="AY67" s="28">
        <f t="shared" ref="AY67:AY77" si="104">AVERAGE(Z67:Z90)</f>
        <v>8.375</v>
      </c>
      <c r="AZ67" s="28">
        <f t="shared" ref="AZ67:AZ77" si="105">AVERAGE(AA67:AA90)</f>
        <v>9.625</v>
      </c>
    </row>
    <row r="68" spans="1:52">
      <c r="A68">
        <f t="shared" ref="A68:A100" si="106">1+A67</f>
        <v>67</v>
      </c>
      <c r="B68">
        <f t="shared" si="55"/>
        <v>7</v>
      </c>
      <c r="C68">
        <f t="shared" si="56"/>
        <v>0</v>
      </c>
      <c r="D68">
        <f t="shared" si="57"/>
        <v>16</v>
      </c>
      <c r="E68">
        <f t="shared" si="58"/>
        <v>4</v>
      </c>
      <c r="F68">
        <f t="shared" si="59"/>
        <v>10</v>
      </c>
      <c r="G68">
        <f t="shared" si="60"/>
        <v>15</v>
      </c>
      <c r="H68">
        <f t="shared" si="61"/>
        <v>9</v>
      </c>
      <c r="I68">
        <f t="shared" si="62"/>
        <v>17</v>
      </c>
      <c r="J68">
        <f t="shared" si="63"/>
        <v>7</v>
      </c>
      <c r="K68">
        <f t="shared" si="64"/>
        <v>6</v>
      </c>
      <c r="L68">
        <f t="shared" si="65"/>
        <v>2</v>
      </c>
      <c r="M68">
        <f t="shared" si="66"/>
        <v>22</v>
      </c>
      <c r="N68">
        <f t="shared" si="67"/>
        <v>20</v>
      </c>
      <c r="O68">
        <f t="shared" si="68"/>
        <v>21</v>
      </c>
      <c r="P68">
        <f t="shared" si="69"/>
        <v>19</v>
      </c>
      <c r="Q68">
        <f t="shared" si="70"/>
        <v>21</v>
      </c>
      <c r="R68">
        <f t="shared" si="71"/>
        <v>1</v>
      </c>
      <c r="S68">
        <f t="shared" si="72"/>
        <v>16</v>
      </c>
      <c r="T68">
        <f t="shared" si="73"/>
        <v>12</v>
      </c>
      <c r="U68">
        <f t="shared" si="74"/>
        <v>6</v>
      </c>
      <c r="V68">
        <f t="shared" si="75"/>
        <v>10</v>
      </c>
      <c r="W68">
        <f t="shared" si="76"/>
        <v>23</v>
      </c>
      <c r="X68">
        <f t="shared" si="77"/>
        <v>25</v>
      </c>
      <c r="Y68">
        <f t="shared" si="78"/>
        <v>9</v>
      </c>
      <c r="Z68">
        <f t="shared" si="79"/>
        <v>7</v>
      </c>
      <c r="AA68">
        <f t="shared" si="80"/>
        <v>14</v>
      </c>
      <c r="AB68" s="28">
        <f t="shared" si="81"/>
        <v>11.916666666666666</v>
      </c>
      <c r="AC68" s="28">
        <f t="shared" si="82"/>
        <v>13</v>
      </c>
      <c r="AD68" s="28">
        <f t="shared" si="83"/>
        <v>10.333333333333334</v>
      </c>
      <c r="AE68" s="28">
        <f t="shared" si="84"/>
        <v>10.916666666666666</v>
      </c>
      <c r="AF68" s="28">
        <f t="shared" si="85"/>
        <v>10.666666666666666</v>
      </c>
      <c r="AG68" s="28">
        <f t="shared" si="86"/>
        <v>11.541666666666666</v>
      </c>
      <c r="AH68" s="28">
        <f t="shared" si="87"/>
        <v>13.166666666666666</v>
      </c>
      <c r="AI68" s="28">
        <f t="shared" si="88"/>
        <v>12.541666666666666</v>
      </c>
      <c r="AJ68" s="28">
        <f t="shared" si="89"/>
        <v>13.75</v>
      </c>
      <c r="AK68" s="28">
        <f t="shared" si="90"/>
        <v>9.5</v>
      </c>
      <c r="AL68" s="28">
        <f t="shared" si="91"/>
        <v>9.0833333333333339</v>
      </c>
      <c r="AM68" s="28">
        <f t="shared" si="92"/>
        <v>14.041666666666666</v>
      </c>
      <c r="AN68" s="28">
        <f t="shared" si="93"/>
        <v>11.916666666666666</v>
      </c>
      <c r="AO68" s="28">
        <f t="shared" si="94"/>
        <v>12.666666666666666</v>
      </c>
      <c r="AP68" s="28">
        <f t="shared" si="95"/>
        <v>12.833333333333334</v>
      </c>
      <c r="AQ68" s="28">
        <f t="shared" si="96"/>
        <v>12.625</v>
      </c>
      <c r="AR68" s="28">
        <f t="shared" si="97"/>
        <v>13.666666666666666</v>
      </c>
      <c r="AS68" s="28">
        <f t="shared" si="98"/>
        <v>8.25</v>
      </c>
      <c r="AT68" s="28">
        <f t="shared" si="99"/>
        <v>14.333333333333334</v>
      </c>
      <c r="AU68" s="28">
        <f t="shared" si="100"/>
        <v>12.458333333333334</v>
      </c>
      <c r="AV68" s="28">
        <f t="shared" si="101"/>
        <v>11.083333333333334</v>
      </c>
      <c r="AW68" s="28">
        <f t="shared" si="102"/>
        <v>11.833333333333334</v>
      </c>
      <c r="AX68" s="28">
        <f t="shared" si="103"/>
        <v>9.0833333333333339</v>
      </c>
      <c r="AY68" s="28">
        <f t="shared" si="104"/>
        <v>7.708333333333333</v>
      </c>
      <c r="AZ68" s="28">
        <f t="shared" si="105"/>
        <v>9.75</v>
      </c>
    </row>
    <row r="69" spans="1:52">
      <c r="A69">
        <f t="shared" si="106"/>
        <v>68</v>
      </c>
      <c r="B69">
        <f t="shared" si="55"/>
        <v>8</v>
      </c>
      <c r="C69">
        <f t="shared" si="56"/>
        <v>8</v>
      </c>
      <c r="D69">
        <f t="shared" si="57"/>
        <v>24</v>
      </c>
      <c r="E69">
        <f t="shared" si="58"/>
        <v>2</v>
      </c>
      <c r="F69">
        <f t="shared" si="59"/>
        <v>12</v>
      </c>
      <c r="G69">
        <f t="shared" si="60"/>
        <v>1</v>
      </c>
      <c r="H69">
        <f t="shared" si="61"/>
        <v>10</v>
      </c>
      <c r="I69">
        <f t="shared" si="62"/>
        <v>1</v>
      </c>
      <c r="J69">
        <f t="shared" si="63"/>
        <v>8</v>
      </c>
      <c r="K69">
        <f t="shared" si="64"/>
        <v>14</v>
      </c>
      <c r="L69">
        <f t="shared" si="65"/>
        <v>16</v>
      </c>
      <c r="M69">
        <f t="shared" si="66"/>
        <v>12</v>
      </c>
      <c r="N69">
        <f t="shared" si="67"/>
        <v>6</v>
      </c>
      <c r="O69">
        <f t="shared" si="68"/>
        <v>1</v>
      </c>
      <c r="P69">
        <f t="shared" si="69"/>
        <v>20</v>
      </c>
      <c r="Q69">
        <f t="shared" si="70"/>
        <v>15</v>
      </c>
      <c r="R69">
        <f t="shared" si="71"/>
        <v>16</v>
      </c>
      <c r="S69">
        <f t="shared" si="72"/>
        <v>6</v>
      </c>
      <c r="T69">
        <f t="shared" si="73"/>
        <v>18</v>
      </c>
      <c r="U69">
        <f t="shared" si="74"/>
        <v>24</v>
      </c>
      <c r="V69">
        <f t="shared" si="75"/>
        <v>8</v>
      </c>
      <c r="W69">
        <f t="shared" si="76"/>
        <v>5</v>
      </c>
      <c r="X69">
        <f t="shared" si="77"/>
        <v>4</v>
      </c>
      <c r="Y69">
        <f t="shared" si="78"/>
        <v>13</v>
      </c>
      <c r="Z69">
        <f t="shared" si="79"/>
        <v>20</v>
      </c>
      <c r="AA69">
        <f t="shared" si="80"/>
        <v>8</v>
      </c>
      <c r="AB69" s="28">
        <f t="shared" si="81"/>
        <v>12.75</v>
      </c>
      <c r="AC69" s="28">
        <f t="shared" si="82"/>
        <v>12.75</v>
      </c>
      <c r="AD69" s="28">
        <f t="shared" si="83"/>
        <v>11.166666666666666</v>
      </c>
      <c r="AE69" s="28">
        <f t="shared" si="84"/>
        <v>11.25</v>
      </c>
      <c r="AF69" s="28">
        <f t="shared" si="85"/>
        <v>11.083333333333334</v>
      </c>
      <c r="AG69" s="28">
        <f t="shared" si="86"/>
        <v>11.791666666666666</v>
      </c>
      <c r="AH69" s="28">
        <f t="shared" si="87"/>
        <v>13.041666666666666</v>
      </c>
      <c r="AI69" s="28">
        <f t="shared" si="88"/>
        <v>12.583333333333334</v>
      </c>
      <c r="AJ69" s="28">
        <f t="shared" si="89"/>
        <v>14.416666666666666</v>
      </c>
      <c r="AK69" s="28">
        <f t="shared" si="90"/>
        <v>9.8333333333333339</v>
      </c>
      <c r="AL69" s="28">
        <f t="shared" si="91"/>
        <v>9.1666666666666661</v>
      </c>
      <c r="AM69" s="28">
        <f t="shared" si="92"/>
        <v>13.458333333333334</v>
      </c>
      <c r="AN69" s="28">
        <f t="shared" si="93"/>
        <v>11.291666666666666</v>
      </c>
      <c r="AO69" s="28">
        <f t="shared" si="94"/>
        <v>12.041666666666666</v>
      </c>
      <c r="AP69" s="28">
        <f t="shared" si="95"/>
        <v>12.958333333333334</v>
      </c>
      <c r="AQ69" s="28">
        <f t="shared" si="96"/>
        <v>12.583333333333334</v>
      </c>
      <c r="AR69" s="28">
        <f t="shared" si="97"/>
        <v>13.25</v>
      </c>
      <c r="AS69" s="28">
        <f t="shared" si="98"/>
        <v>8.5</v>
      </c>
      <c r="AT69" s="28">
        <f t="shared" si="99"/>
        <v>14.166666666666666</v>
      </c>
      <c r="AU69" s="28">
        <f t="shared" si="100"/>
        <v>12.541666666666666</v>
      </c>
      <c r="AV69" s="28">
        <f t="shared" si="101"/>
        <v>10.625</v>
      </c>
      <c r="AW69" s="28">
        <f t="shared" si="102"/>
        <v>11.625</v>
      </c>
      <c r="AX69" s="28">
        <f t="shared" si="103"/>
        <v>8.7916666666666661</v>
      </c>
      <c r="AY69" s="28">
        <f t="shared" si="104"/>
        <v>7.833333333333333</v>
      </c>
      <c r="AZ69" s="28">
        <f t="shared" si="105"/>
        <v>10</v>
      </c>
    </row>
    <row r="70" spans="1:52">
      <c r="A70">
        <f t="shared" si="106"/>
        <v>69</v>
      </c>
      <c r="B70">
        <f t="shared" si="55"/>
        <v>9</v>
      </c>
      <c r="C70">
        <f t="shared" si="56"/>
        <v>17</v>
      </c>
      <c r="D70">
        <f t="shared" si="57"/>
        <v>15</v>
      </c>
      <c r="E70">
        <f t="shared" si="58"/>
        <v>17</v>
      </c>
      <c r="F70">
        <f t="shared" si="59"/>
        <v>3</v>
      </c>
      <c r="G70">
        <f t="shared" si="60"/>
        <v>4</v>
      </c>
      <c r="H70">
        <f t="shared" si="61"/>
        <v>14</v>
      </c>
      <c r="I70">
        <f t="shared" si="62"/>
        <v>15</v>
      </c>
      <c r="J70">
        <f t="shared" si="63"/>
        <v>23</v>
      </c>
      <c r="K70">
        <f t="shared" si="64"/>
        <v>11</v>
      </c>
      <c r="L70">
        <f t="shared" si="65"/>
        <v>1</v>
      </c>
      <c r="M70">
        <f t="shared" si="66"/>
        <v>13</v>
      </c>
      <c r="N70">
        <f t="shared" si="67"/>
        <v>19</v>
      </c>
      <c r="O70">
        <f t="shared" si="68"/>
        <v>20</v>
      </c>
      <c r="P70">
        <f t="shared" si="69"/>
        <v>14</v>
      </c>
      <c r="Q70">
        <f t="shared" si="70"/>
        <v>3</v>
      </c>
      <c r="R70">
        <f t="shared" si="71"/>
        <v>19</v>
      </c>
      <c r="S70">
        <f t="shared" si="72"/>
        <v>25</v>
      </c>
      <c r="T70">
        <f t="shared" si="73"/>
        <v>17</v>
      </c>
      <c r="U70">
        <f t="shared" si="74"/>
        <v>15</v>
      </c>
      <c r="V70">
        <f t="shared" si="75"/>
        <v>23</v>
      </c>
      <c r="W70">
        <f t="shared" si="76"/>
        <v>2</v>
      </c>
      <c r="X70">
        <f t="shared" si="77"/>
        <v>6</v>
      </c>
      <c r="Y70">
        <f t="shared" si="78"/>
        <v>19</v>
      </c>
      <c r="Z70">
        <f t="shared" si="79"/>
        <v>13</v>
      </c>
      <c r="AA70">
        <f t="shared" si="80"/>
        <v>21</v>
      </c>
      <c r="AB70" s="28">
        <f t="shared" si="81"/>
        <v>12.666666666666666</v>
      </c>
      <c r="AC70" s="28">
        <f t="shared" si="82"/>
        <v>12.416666666666666</v>
      </c>
      <c r="AD70" s="28">
        <f t="shared" si="83"/>
        <v>11.666666666666666</v>
      </c>
      <c r="AE70" s="28">
        <f t="shared" si="84"/>
        <v>11</v>
      </c>
      <c r="AF70" s="28">
        <f t="shared" si="85"/>
        <v>11.25</v>
      </c>
      <c r="AG70" s="28">
        <f t="shared" si="86"/>
        <v>12.208333333333334</v>
      </c>
      <c r="AH70" s="28">
        <f t="shared" si="87"/>
        <v>13.333333333333334</v>
      </c>
      <c r="AI70" s="28">
        <f t="shared" si="88"/>
        <v>12.916666666666666</v>
      </c>
      <c r="AJ70" s="28">
        <f t="shared" si="89"/>
        <v>14.333333333333334</v>
      </c>
      <c r="AK70" s="28">
        <f t="shared" si="90"/>
        <v>10.083333333333334</v>
      </c>
      <c r="AL70" s="28">
        <f t="shared" si="91"/>
        <v>9.5</v>
      </c>
      <c r="AM70" s="28">
        <f t="shared" si="92"/>
        <v>13.208333333333334</v>
      </c>
      <c r="AN70" s="28">
        <f t="shared" si="93"/>
        <v>11.5</v>
      </c>
      <c r="AO70" s="28">
        <f t="shared" si="94"/>
        <v>11.625</v>
      </c>
      <c r="AP70" s="28">
        <f t="shared" si="95"/>
        <v>12.666666666666666</v>
      </c>
      <c r="AQ70" s="28">
        <f t="shared" si="96"/>
        <v>12.25</v>
      </c>
      <c r="AR70" s="28">
        <f t="shared" si="97"/>
        <v>13.583333333333334</v>
      </c>
      <c r="AS70" s="28">
        <f t="shared" si="98"/>
        <v>8</v>
      </c>
      <c r="AT70" s="28">
        <f t="shared" si="99"/>
        <v>13.5</v>
      </c>
      <c r="AU70" s="28">
        <f t="shared" si="100"/>
        <v>13.041666666666666</v>
      </c>
      <c r="AV70" s="28">
        <f t="shared" si="101"/>
        <v>10.666666666666666</v>
      </c>
      <c r="AW70" s="28">
        <f t="shared" si="102"/>
        <v>11.458333333333334</v>
      </c>
      <c r="AX70" s="28">
        <f t="shared" si="103"/>
        <v>8.3333333333333339</v>
      </c>
      <c r="AY70" s="28">
        <f t="shared" si="104"/>
        <v>7.5</v>
      </c>
      <c r="AZ70" s="28">
        <f t="shared" si="105"/>
        <v>9.9166666666666661</v>
      </c>
    </row>
    <row r="71" spans="1:52">
      <c r="A71">
        <f t="shared" si="106"/>
        <v>70</v>
      </c>
      <c r="B71">
        <f t="shared" si="55"/>
        <v>10</v>
      </c>
      <c r="C71">
        <f t="shared" si="56"/>
        <v>1</v>
      </c>
      <c r="D71">
        <f t="shared" si="57"/>
        <v>16</v>
      </c>
      <c r="E71">
        <f t="shared" si="58"/>
        <v>7</v>
      </c>
      <c r="F71">
        <f t="shared" si="59"/>
        <v>10</v>
      </c>
      <c r="G71">
        <f t="shared" si="60"/>
        <v>14</v>
      </c>
      <c r="H71">
        <f t="shared" si="61"/>
        <v>2</v>
      </c>
      <c r="I71">
        <f t="shared" si="62"/>
        <v>17</v>
      </c>
      <c r="J71">
        <f t="shared" si="63"/>
        <v>14</v>
      </c>
      <c r="K71">
        <f t="shared" si="64"/>
        <v>25</v>
      </c>
      <c r="L71">
        <f t="shared" si="65"/>
        <v>0</v>
      </c>
      <c r="M71">
        <f t="shared" si="66"/>
        <v>13</v>
      </c>
      <c r="N71">
        <f t="shared" si="67"/>
        <v>6</v>
      </c>
      <c r="O71">
        <f t="shared" si="68"/>
        <v>0</v>
      </c>
      <c r="P71">
        <f t="shared" si="69"/>
        <v>14</v>
      </c>
      <c r="Q71">
        <f t="shared" si="70"/>
        <v>17</v>
      </c>
      <c r="R71">
        <f t="shared" si="71"/>
        <v>10</v>
      </c>
      <c r="S71">
        <f t="shared" si="72"/>
        <v>9</v>
      </c>
      <c r="T71">
        <f t="shared" si="73"/>
        <v>0</v>
      </c>
      <c r="U71">
        <f t="shared" si="74"/>
        <v>15</v>
      </c>
      <c r="V71">
        <f t="shared" si="75"/>
        <v>12</v>
      </c>
      <c r="W71">
        <f t="shared" si="76"/>
        <v>14</v>
      </c>
      <c r="X71">
        <f t="shared" si="77"/>
        <v>20</v>
      </c>
      <c r="Y71">
        <f t="shared" si="78"/>
        <v>13</v>
      </c>
      <c r="Z71">
        <f t="shared" si="79"/>
        <v>0</v>
      </c>
      <c r="AA71">
        <f t="shared" si="80"/>
        <v>21</v>
      </c>
      <c r="AB71" s="28">
        <f t="shared" si="81"/>
        <v>12.75</v>
      </c>
      <c r="AC71" s="28">
        <f t="shared" si="82"/>
        <v>12.166666666666666</v>
      </c>
      <c r="AD71" s="28">
        <f t="shared" si="83"/>
        <v>11.916666666666666</v>
      </c>
      <c r="AE71" s="28">
        <f t="shared" si="84"/>
        <v>11</v>
      </c>
      <c r="AF71" s="28">
        <f t="shared" si="85"/>
        <v>11.416666666666666</v>
      </c>
      <c r="AG71" s="28">
        <f t="shared" si="86"/>
        <v>11.708333333333334</v>
      </c>
      <c r="AH71" s="28">
        <f t="shared" si="87"/>
        <v>13.125</v>
      </c>
      <c r="AI71" s="28">
        <f t="shared" si="88"/>
        <v>11.958333333333334</v>
      </c>
      <c r="AJ71" s="28">
        <f t="shared" si="89"/>
        <v>14.375</v>
      </c>
      <c r="AK71" s="28">
        <f t="shared" si="90"/>
        <v>10.375</v>
      </c>
      <c r="AL71" s="28">
        <f t="shared" si="91"/>
        <v>9.0416666666666661</v>
      </c>
      <c r="AM71" s="28">
        <f t="shared" si="92"/>
        <v>12.5</v>
      </c>
      <c r="AN71" s="28">
        <f t="shared" si="93"/>
        <v>11</v>
      </c>
      <c r="AO71" s="28">
        <f t="shared" si="94"/>
        <v>11.791666666666666</v>
      </c>
      <c r="AP71" s="28">
        <f t="shared" si="95"/>
        <v>12.541666666666666</v>
      </c>
      <c r="AQ71" s="28">
        <f t="shared" si="96"/>
        <v>11.791666666666666</v>
      </c>
      <c r="AR71" s="28">
        <f t="shared" si="97"/>
        <v>13.458333333333334</v>
      </c>
      <c r="AS71" s="28">
        <f t="shared" si="98"/>
        <v>7.375</v>
      </c>
      <c r="AT71" s="28">
        <f t="shared" si="99"/>
        <v>13.291666666666666</v>
      </c>
      <c r="AU71" s="28">
        <f t="shared" si="100"/>
        <v>12.25</v>
      </c>
      <c r="AV71" s="28">
        <f t="shared" si="101"/>
        <v>11</v>
      </c>
      <c r="AW71" s="28">
        <f t="shared" si="102"/>
        <v>11.625</v>
      </c>
      <c r="AX71" s="28">
        <f t="shared" si="103"/>
        <v>8.0416666666666661</v>
      </c>
      <c r="AY71" s="28">
        <f t="shared" si="104"/>
        <v>7.958333333333333</v>
      </c>
      <c r="AZ71" s="28">
        <f t="shared" si="105"/>
        <v>9.2083333333333339</v>
      </c>
    </row>
    <row r="72" spans="1:52">
      <c r="A72">
        <f t="shared" si="106"/>
        <v>71</v>
      </c>
      <c r="B72">
        <f t="shared" si="55"/>
        <v>11</v>
      </c>
      <c r="C72">
        <f t="shared" si="56"/>
        <v>12</v>
      </c>
      <c r="D72">
        <f t="shared" si="57"/>
        <v>2</v>
      </c>
      <c r="E72">
        <f t="shared" si="58"/>
        <v>9</v>
      </c>
      <c r="F72">
        <f t="shared" si="59"/>
        <v>19</v>
      </c>
      <c r="G72">
        <f t="shared" si="60"/>
        <v>7</v>
      </c>
      <c r="H72">
        <f t="shared" si="61"/>
        <v>9</v>
      </c>
      <c r="I72">
        <f t="shared" si="62"/>
        <v>0</v>
      </c>
      <c r="J72">
        <f t="shared" si="63"/>
        <v>14</v>
      </c>
      <c r="K72">
        <f t="shared" si="64"/>
        <v>13</v>
      </c>
      <c r="L72">
        <f t="shared" si="65"/>
        <v>13</v>
      </c>
      <c r="M72">
        <f t="shared" si="66"/>
        <v>0</v>
      </c>
      <c r="N72">
        <f t="shared" si="67"/>
        <v>6</v>
      </c>
      <c r="O72">
        <f t="shared" si="68"/>
        <v>6</v>
      </c>
      <c r="P72">
        <f t="shared" si="69"/>
        <v>20</v>
      </c>
      <c r="Q72">
        <f t="shared" si="70"/>
        <v>11</v>
      </c>
      <c r="R72">
        <f t="shared" si="71"/>
        <v>21</v>
      </c>
      <c r="S72">
        <f t="shared" si="72"/>
        <v>4</v>
      </c>
      <c r="T72">
        <f t="shared" si="73"/>
        <v>4</v>
      </c>
      <c r="U72">
        <f t="shared" si="74"/>
        <v>19</v>
      </c>
      <c r="V72">
        <f t="shared" si="75"/>
        <v>5</v>
      </c>
      <c r="W72">
        <f t="shared" si="76"/>
        <v>19</v>
      </c>
      <c r="X72">
        <f t="shared" si="77"/>
        <v>13</v>
      </c>
      <c r="Y72">
        <f t="shared" si="78"/>
        <v>0</v>
      </c>
      <c r="Z72">
        <f t="shared" si="79"/>
        <v>0</v>
      </c>
      <c r="AA72">
        <f t="shared" si="80"/>
        <v>21</v>
      </c>
      <c r="AB72" s="28">
        <f t="shared" si="81"/>
        <v>13</v>
      </c>
      <c r="AC72" s="28">
        <f t="shared" si="82"/>
        <v>12.166666666666666</v>
      </c>
      <c r="AD72" s="28">
        <f t="shared" si="83"/>
        <v>12.166666666666666</v>
      </c>
      <c r="AE72" s="28">
        <f t="shared" si="84"/>
        <v>11.25</v>
      </c>
      <c r="AF72" s="28">
        <f t="shared" si="85"/>
        <v>11.833333333333334</v>
      </c>
      <c r="AG72" s="28">
        <f t="shared" si="86"/>
        <v>11.625</v>
      </c>
      <c r="AH72" s="28">
        <f t="shared" si="87"/>
        <v>12.833333333333334</v>
      </c>
      <c r="AI72" s="28">
        <f t="shared" si="88"/>
        <v>11.791666666666666</v>
      </c>
      <c r="AJ72" s="28">
        <f t="shared" si="89"/>
        <v>14.25</v>
      </c>
      <c r="AK72" s="28">
        <f t="shared" si="90"/>
        <v>10.541666666666666</v>
      </c>
      <c r="AL72" s="28">
        <f t="shared" si="91"/>
        <v>8.75</v>
      </c>
      <c r="AM72" s="28">
        <f t="shared" si="92"/>
        <v>12.583333333333334</v>
      </c>
      <c r="AN72" s="28">
        <f t="shared" si="93"/>
        <v>11.666666666666666</v>
      </c>
      <c r="AO72" s="28">
        <f t="shared" si="94"/>
        <v>11.541666666666666</v>
      </c>
      <c r="AP72" s="28">
        <f t="shared" si="95"/>
        <v>12.166666666666666</v>
      </c>
      <c r="AQ72" s="28">
        <f t="shared" si="96"/>
        <v>12.041666666666666</v>
      </c>
      <c r="AR72" s="28">
        <f t="shared" si="97"/>
        <v>13.583333333333334</v>
      </c>
      <c r="AS72" s="28">
        <f t="shared" si="98"/>
        <v>7.958333333333333</v>
      </c>
      <c r="AT72" s="28">
        <f t="shared" si="99"/>
        <v>13.666666666666666</v>
      </c>
      <c r="AU72" s="28">
        <f t="shared" si="100"/>
        <v>11.833333333333334</v>
      </c>
      <c r="AV72" s="28">
        <f t="shared" si="101"/>
        <v>10.916666666666666</v>
      </c>
      <c r="AW72" s="28">
        <f t="shared" si="102"/>
        <v>11.708333333333334</v>
      </c>
      <c r="AX72" s="28">
        <f t="shared" si="103"/>
        <v>7.833333333333333</v>
      </c>
      <c r="AY72" s="28">
        <f t="shared" si="104"/>
        <v>8.2083333333333339</v>
      </c>
      <c r="AZ72" s="28">
        <f t="shared" si="105"/>
        <v>8.75</v>
      </c>
    </row>
    <row r="73" spans="1:52">
      <c r="A73">
        <f t="shared" si="106"/>
        <v>72</v>
      </c>
      <c r="B73">
        <f t="shared" si="55"/>
        <v>12</v>
      </c>
      <c r="C73">
        <f t="shared" si="56"/>
        <v>24</v>
      </c>
      <c r="D73">
        <f t="shared" si="57"/>
        <v>0</v>
      </c>
      <c r="E73">
        <f t="shared" si="58"/>
        <v>9</v>
      </c>
      <c r="F73">
        <f t="shared" si="59"/>
        <v>2</v>
      </c>
      <c r="G73">
        <f t="shared" si="60"/>
        <v>9</v>
      </c>
      <c r="H73">
        <f t="shared" si="61"/>
        <v>18</v>
      </c>
      <c r="I73">
        <f t="shared" si="62"/>
        <v>18</v>
      </c>
      <c r="J73">
        <f t="shared" si="63"/>
        <v>6</v>
      </c>
      <c r="K73">
        <f t="shared" si="64"/>
        <v>19</v>
      </c>
      <c r="L73">
        <f t="shared" si="65"/>
        <v>6</v>
      </c>
      <c r="M73">
        <f t="shared" si="66"/>
        <v>6</v>
      </c>
      <c r="N73">
        <f t="shared" si="67"/>
        <v>12</v>
      </c>
      <c r="O73">
        <f t="shared" si="68"/>
        <v>18</v>
      </c>
      <c r="P73">
        <f t="shared" si="69"/>
        <v>12</v>
      </c>
      <c r="Q73">
        <f t="shared" si="70"/>
        <v>23</v>
      </c>
      <c r="R73">
        <f t="shared" si="71"/>
        <v>18</v>
      </c>
      <c r="S73">
        <f t="shared" si="72"/>
        <v>22</v>
      </c>
      <c r="T73">
        <f t="shared" si="73"/>
        <v>0</v>
      </c>
      <c r="U73">
        <f t="shared" si="74"/>
        <v>19</v>
      </c>
      <c r="V73">
        <f t="shared" si="75"/>
        <v>24</v>
      </c>
      <c r="W73">
        <f t="shared" si="76"/>
        <v>17</v>
      </c>
      <c r="X73">
        <f t="shared" si="77"/>
        <v>4</v>
      </c>
      <c r="Y73">
        <f t="shared" si="78"/>
        <v>4</v>
      </c>
      <c r="Z73">
        <f t="shared" si="79"/>
        <v>4</v>
      </c>
      <c r="AA73">
        <f t="shared" si="80"/>
        <v>25</v>
      </c>
      <c r="AB73" s="28">
        <f t="shared" si="81"/>
        <v>13.416666666666666</v>
      </c>
      <c r="AC73" s="28">
        <f t="shared" si="82"/>
        <v>12.583333333333334</v>
      </c>
      <c r="AD73" s="28">
        <f t="shared" si="83"/>
        <v>12.833333333333334</v>
      </c>
      <c r="AE73" s="28">
        <f t="shared" si="84"/>
        <v>11.083333333333334</v>
      </c>
      <c r="AF73" s="28">
        <f t="shared" si="85"/>
        <v>12.083333333333334</v>
      </c>
      <c r="AG73" s="28">
        <f t="shared" si="86"/>
        <v>11.791666666666666</v>
      </c>
      <c r="AH73" s="28">
        <f t="shared" si="87"/>
        <v>13.791666666666666</v>
      </c>
      <c r="AI73" s="28">
        <f t="shared" si="88"/>
        <v>11.5</v>
      </c>
      <c r="AJ73" s="28">
        <f t="shared" si="89"/>
        <v>13.833333333333334</v>
      </c>
      <c r="AK73" s="28">
        <f t="shared" si="90"/>
        <v>10.291666666666666</v>
      </c>
      <c r="AL73" s="28">
        <f t="shared" si="91"/>
        <v>9.2916666666666661</v>
      </c>
      <c r="AM73" s="28">
        <f t="shared" si="92"/>
        <v>13.208333333333334</v>
      </c>
      <c r="AN73" s="28">
        <f t="shared" si="93"/>
        <v>11.875</v>
      </c>
      <c r="AO73" s="28">
        <f t="shared" si="94"/>
        <v>11.5</v>
      </c>
      <c r="AP73" s="28">
        <f t="shared" si="95"/>
        <v>11.75</v>
      </c>
      <c r="AQ73" s="28">
        <f t="shared" si="96"/>
        <v>11.875</v>
      </c>
      <c r="AR73" s="28">
        <f t="shared" si="97"/>
        <v>13.541666666666666</v>
      </c>
      <c r="AS73" s="28">
        <f t="shared" si="98"/>
        <v>8.5</v>
      </c>
      <c r="AT73" s="28">
        <f t="shared" si="99"/>
        <v>13.5</v>
      </c>
      <c r="AU73" s="28">
        <f t="shared" si="100"/>
        <v>12.333333333333334</v>
      </c>
      <c r="AV73" s="28">
        <f t="shared" si="101"/>
        <v>10.25</v>
      </c>
      <c r="AW73" s="28">
        <f t="shared" si="102"/>
        <v>12.208333333333334</v>
      </c>
      <c r="AX73" s="28">
        <f t="shared" si="103"/>
        <v>8.125</v>
      </c>
      <c r="AY73" s="28">
        <f t="shared" si="104"/>
        <v>8.75</v>
      </c>
      <c r="AZ73" s="28">
        <f t="shared" si="105"/>
        <v>8.8333333333333339</v>
      </c>
    </row>
    <row r="74" spans="1:52">
      <c r="A74">
        <f t="shared" si="106"/>
        <v>73</v>
      </c>
      <c r="B74">
        <f t="shared" si="55"/>
        <v>13</v>
      </c>
      <c r="C74">
        <f t="shared" si="56"/>
        <v>11</v>
      </c>
      <c r="D74">
        <f t="shared" si="57"/>
        <v>11</v>
      </c>
      <c r="E74">
        <f t="shared" si="58"/>
        <v>20</v>
      </c>
      <c r="F74">
        <f t="shared" si="59"/>
        <v>22</v>
      </c>
      <c r="G74">
        <f t="shared" si="60"/>
        <v>5</v>
      </c>
      <c r="H74">
        <f t="shared" si="61"/>
        <v>23</v>
      </c>
      <c r="I74">
        <f t="shared" si="62"/>
        <v>15</v>
      </c>
      <c r="J74">
        <f t="shared" si="63"/>
        <v>21</v>
      </c>
      <c r="K74">
        <f t="shared" si="64"/>
        <v>14</v>
      </c>
      <c r="L74">
        <f t="shared" si="65"/>
        <v>20</v>
      </c>
      <c r="M74">
        <f t="shared" si="66"/>
        <v>0</v>
      </c>
      <c r="N74">
        <f t="shared" si="67"/>
        <v>12</v>
      </c>
      <c r="O74">
        <f t="shared" si="68"/>
        <v>4</v>
      </c>
      <c r="P74">
        <f t="shared" si="69"/>
        <v>16</v>
      </c>
      <c r="Q74">
        <f t="shared" si="70"/>
        <v>13</v>
      </c>
      <c r="R74">
        <f t="shared" si="71"/>
        <v>5</v>
      </c>
      <c r="S74">
        <f t="shared" si="72"/>
        <v>1</v>
      </c>
      <c r="T74">
        <f t="shared" si="73"/>
        <v>1</v>
      </c>
      <c r="U74">
        <f t="shared" si="74"/>
        <v>20</v>
      </c>
      <c r="V74">
        <f t="shared" si="75"/>
        <v>18</v>
      </c>
      <c r="W74">
        <f t="shared" si="76"/>
        <v>9</v>
      </c>
      <c r="X74">
        <f t="shared" si="77"/>
        <v>13</v>
      </c>
      <c r="Y74">
        <f t="shared" si="78"/>
        <v>17</v>
      </c>
      <c r="Z74">
        <f t="shared" si="79"/>
        <v>21</v>
      </c>
      <c r="AA74">
        <f t="shared" si="80"/>
        <v>20</v>
      </c>
      <c r="AB74" s="28">
        <f t="shared" si="81"/>
        <v>12.916666666666666</v>
      </c>
      <c r="AC74" s="28">
        <f t="shared" si="82"/>
        <v>13.583333333333334</v>
      </c>
      <c r="AD74" s="28">
        <f t="shared" si="83"/>
        <v>13.416666666666666</v>
      </c>
      <c r="AE74" s="28">
        <f t="shared" si="84"/>
        <v>11.5</v>
      </c>
      <c r="AF74" s="28">
        <f t="shared" si="85"/>
        <v>12.75</v>
      </c>
      <c r="AG74" s="28">
        <f t="shared" si="86"/>
        <v>11.541666666666666</v>
      </c>
      <c r="AH74" s="28">
        <f t="shared" si="87"/>
        <v>13.416666666666666</v>
      </c>
      <c r="AI74" s="28">
        <f t="shared" si="88"/>
        <v>11.916666666666666</v>
      </c>
      <c r="AJ74" s="28">
        <f t="shared" si="89"/>
        <v>13.833333333333334</v>
      </c>
      <c r="AK74" s="28">
        <f t="shared" si="90"/>
        <v>10.041666666666666</v>
      </c>
      <c r="AL74" s="28">
        <f t="shared" si="91"/>
        <v>9.5833333333333339</v>
      </c>
      <c r="AM74" s="28">
        <f t="shared" si="92"/>
        <v>13.041666666666666</v>
      </c>
      <c r="AN74" s="28">
        <f t="shared" si="93"/>
        <v>11.916666666666666</v>
      </c>
      <c r="AO74" s="28">
        <f t="shared" si="94"/>
        <v>11.5</v>
      </c>
      <c r="AP74" s="28">
        <f t="shared" si="95"/>
        <v>11.333333333333334</v>
      </c>
      <c r="AQ74" s="28">
        <f t="shared" si="96"/>
        <v>11.291666666666666</v>
      </c>
      <c r="AR74" s="28">
        <f t="shared" si="97"/>
        <v>12.916666666666666</v>
      </c>
      <c r="AS74" s="28">
        <f t="shared" si="98"/>
        <v>9.5</v>
      </c>
      <c r="AT74" s="28">
        <f t="shared" si="99"/>
        <v>13.25</v>
      </c>
      <c r="AU74" s="28">
        <f t="shared" si="100"/>
        <v>11.5</v>
      </c>
      <c r="AV74" s="28">
        <f t="shared" si="101"/>
        <v>9.8333333333333339</v>
      </c>
      <c r="AW74" s="28">
        <f t="shared" si="102"/>
        <v>12.291666666666666</v>
      </c>
      <c r="AX74" s="28">
        <f t="shared" si="103"/>
        <v>8.5</v>
      </c>
      <c r="AY74" s="28">
        <f t="shared" si="104"/>
        <v>8.5833333333333339</v>
      </c>
      <c r="AZ74" s="28">
        <f t="shared" si="105"/>
        <v>8.75</v>
      </c>
    </row>
    <row r="75" spans="1:52">
      <c r="A75">
        <f t="shared" si="106"/>
        <v>74</v>
      </c>
      <c r="B75">
        <f t="shared" si="55"/>
        <v>14</v>
      </c>
      <c r="C75">
        <f t="shared" si="56"/>
        <v>25</v>
      </c>
      <c r="D75">
        <f t="shared" si="57"/>
        <v>10</v>
      </c>
      <c r="E75">
        <f t="shared" si="58"/>
        <v>4</v>
      </c>
      <c r="F75">
        <f t="shared" si="59"/>
        <v>0</v>
      </c>
      <c r="G75">
        <f t="shared" si="60"/>
        <v>5</v>
      </c>
      <c r="H75">
        <f t="shared" si="61"/>
        <v>2</v>
      </c>
      <c r="I75">
        <f t="shared" si="62"/>
        <v>17</v>
      </c>
      <c r="J75">
        <f t="shared" si="63"/>
        <v>12</v>
      </c>
      <c r="K75">
        <f t="shared" si="64"/>
        <v>0</v>
      </c>
      <c r="L75">
        <f t="shared" si="65"/>
        <v>20</v>
      </c>
      <c r="M75">
        <f t="shared" si="66"/>
        <v>20</v>
      </c>
      <c r="N75">
        <f t="shared" si="67"/>
        <v>6</v>
      </c>
      <c r="O75">
        <f t="shared" si="68"/>
        <v>10</v>
      </c>
      <c r="P75">
        <f t="shared" si="69"/>
        <v>0</v>
      </c>
      <c r="Q75">
        <f t="shared" si="70"/>
        <v>13</v>
      </c>
      <c r="R75">
        <f t="shared" si="71"/>
        <v>18</v>
      </c>
      <c r="S75">
        <f t="shared" si="72"/>
        <v>19</v>
      </c>
      <c r="T75">
        <f t="shared" si="73"/>
        <v>20</v>
      </c>
      <c r="U75">
        <f t="shared" si="74"/>
        <v>14</v>
      </c>
      <c r="V75">
        <f t="shared" si="75"/>
        <v>6</v>
      </c>
      <c r="W75">
        <f t="shared" si="76"/>
        <v>15</v>
      </c>
      <c r="X75">
        <f t="shared" si="77"/>
        <v>2</v>
      </c>
      <c r="Y75">
        <f t="shared" si="78"/>
        <v>19</v>
      </c>
      <c r="Z75">
        <f t="shared" si="79"/>
        <v>14</v>
      </c>
      <c r="AA75">
        <f t="shared" si="80"/>
        <v>8</v>
      </c>
      <c r="AB75" s="28">
        <f t="shared" si="81"/>
        <v>12.583333333333334</v>
      </c>
      <c r="AC75" s="28">
        <f t="shared" si="82"/>
        <v>13.166666666666666</v>
      </c>
      <c r="AD75" s="28">
        <f t="shared" si="83"/>
        <v>13.583333333333334</v>
      </c>
      <c r="AE75" s="28">
        <f t="shared" si="84"/>
        <v>11</v>
      </c>
      <c r="AF75" s="28">
        <f t="shared" si="85"/>
        <v>12.916666666666666</v>
      </c>
      <c r="AG75" s="28">
        <f t="shared" si="86"/>
        <v>11.458333333333334</v>
      </c>
      <c r="AH75" s="28">
        <f t="shared" si="87"/>
        <v>12.958333333333334</v>
      </c>
      <c r="AI75" s="28">
        <f t="shared" si="88"/>
        <v>11.875</v>
      </c>
      <c r="AJ75" s="28">
        <f t="shared" si="89"/>
        <v>13.791666666666666</v>
      </c>
      <c r="AK75" s="28">
        <f t="shared" si="90"/>
        <v>9.75</v>
      </c>
      <c r="AL75" s="28">
        <f t="shared" si="91"/>
        <v>9.5833333333333339</v>
      </c>
      <c r="AM75" s="28">
        <f t="shared" si="92"/>
        <v>12.875</v>
      </c>
      <c r="AN75" s="28">
        <f t="shared" si="93"/>
        <v>11.791666666666666</v>
      </c>
      <c r="AO75" s="28">
        <f t="shared" si="94"/>
        <v>11.375</v>
      </c>
      <c r="AP75" s="28">
        <f t="shared" si="95"/>
        <v>10.791666666666666</v>
      </c>
      <c r="AQ75" s="28">
        <f t="shared" si="96"/>
        <v>11.25</v>
      </c>
      <c r="AR75" s="28">
        <f t="shared" si="97"/>
        <v>13.333333333333334</v>
      </c>
      <c r="AS75" s="28">
        <f t="shared" si="98"/>
        <v>9.8333333333333339</v>
      </c>
      <c r="AT75" s="28">
        <f t="shared" si="99"/>
        <v>13.333333333333334</v>
      </c>
      <c r="AU75" s="28">
        <f t="shared" si="100"/>
        <v>10.75</v>
      </c>
      <c r="AV75" s="28">
        <f t="shared" si="101"/>
        <v>9.75</v>
      </c>
      <c r="AW75" s="28">
        <f t="shared" si="102"/>
        <v>12.291666666666666</v>
      </c>
      <c r="AX75" s="28">
        <f t="shared" si="103"/>
        <v>7.791666666666667</v>
      </c>
      <c r="AY75" s="28">
        <f t="shared" si="104"/>
        <v>7.708333333333333</v>
      </c>
      <c r="AZ75" s="28">
        <f t="shared" si="105"/>
        <v>8.875</v>
      </c>
    </row>
    <row r="76" spans="1:52">
      <c r="A76">
        <f t="shared" si="106"/>
        <v>75</v>
      </c>
      <c r="B76">
        <f t="shared" si="55"/>
        <v>15</v>
      </c>
      <c r="C76">
        <f t="shared" si="56"/>
        <v>14</v>
      </c>
      <c r="D76">
        <f t="shared" si="57"/>
        <v>24</v>
      </c>
      <c r="E76">
        <f t="shared" si="58"/>
        <v>2</v>
      </c>
      <c r="F76">
        <f t="shared" si="59"/>
        <v>2</v>
      </c>
      <c r="G76">
        <f t="shared" si="60"/>
        <v>7</v>
      </c>
      <c r="H76">
        <f t="shared" si="61"/>
        <v>9</v>
      </c>
      <c r="I76">
        <f t="shared" si="62"/>
        <v>0</v>
      </c>
      <c r="J76">
        <f t="shared" si="63"/>
        <v>12</v>
      </c>
      <c r="K76">
        <f t="shared" si="64"/>
        <v>12</v>
      </c>
      <c r="L76">
        <f t="shared" si="65"/>
        <v>6</v>
      </c>
      <c r="M76">
        <f t="shared" si="66"/>
        <v>0</v>
      </c>
      <c r="N76">
        <f t="shared" si="67"/>
        <v>6</v>
      </c>
      <c r="O76">
        <f t="shared" si="68"/>
        <v>16</v>
      </c>
      <c r="P76">
        <f t="shared" si="69"/>
        <v>16</v>
      </c>
      <c r="Q76">
        <f t="shared" si="70"/>
        <v>3</v>
      </c>
      <c r="R76">
        <f t="shared" si="71"/>
        <v>21</v>
      </c>
      <c r="S76">
        <f t="shared" si="72"/>
        <v>14</v>
      </c>
      <c r="T76">
        <f t="shared" si="73"/>
        <v>8</v>
      </c>
      <c r="U76">
        <f t="shared" si="74"/>
        <v>22</v>
      </c>
      <c r="V76">
        <f t="shared" si="75"/>
        <v>2</v>
      </c>
      <c r="W76">
        <f t="shared" si="76"/>
        <v>17</v>
      </c>
      <c r="X76">
        <f t="shared" si="77"/>
        <v>19</v>
      </c>
      <c r="Y76">
        <f t="shared" si="78"/>
        <v>12</v>
      </c>
      <c r="Z76">
        <f t="shared" si="79"/>
        <v>0</v>
      </c>
      <c r="AA76">
        <f t="shared" si="80"/>
        <v>8</v>
      </c>
      <c r="AB76" s="28">
        <f t="shared" si="81"/>
        <v>12.416666666666666</v>
      </c>
      <c r="AC76" s="28">
        <f t="shared" si="82"/>
        <v>13.666666666666666</v>
      </c>
      <c r="AD76" s="28">
        <f t="shared" si="83"/>
        <v>14.25</v>
      </c>
      <c r="AE76" s="28">
        <f t="shared" si="84"/>
        <v>11.166666666666666</v>
      </c>
      <c r="AF76" s="28">
        <f t="shared" si="85"/>
        <v>13.25</v>
      </c>
      <c r="AG76" s="28">
        <f t="shared" si="86"/>
        <v>11.708333333333334</v>
      </c>
      <c r="AH76" s="28">
        <f t="shared" si="87"/>
        <v>12.75</v>
      </c>
      <c r="AI76" s="28">
        <f t="shared" si="88"/>
        <v>11.625</v>
      </c>
      <c r="AJ76" s="28">
        <f t="shared" si="89"/>
        <v>14.583333333333334</v>
      </c>
      <c r="AK76" s="28">
        <f t="shared" si="90"/>
        <v>9.1666666666666661</v>
      </c>
      <c r="AL76" s="28">
        <f t="shared" si="91"/>
        <v>9</v>
      </c>
      <c r="AM76" s="28">
        <f t="shared" si="92"/>
        <v>13.208333333333334</v>
      </c>
      <c r="AN76" s="28">
        <f t="shared" si="93"/>
        <v>12</v>
      </c>
      <c r="AO76" s="28">
        <f t="shared" si="94"/>
        <v>11.458333333333334</v>
      </c>
      <c r="AP76" s="28">
        <f t="shared" si="95"/>
        <v>10.333333333333334</v>
      </c>
      <c r="AQ76" s="28">
        <f t="shared" si="96"/>
        <v>10.75</v>
      </c>
      <c r="AR76" s="28">
        <f t="shared" si="97"/>
        <v>13.25</v>
      </c>
      <c r="AS76" s="28">
        <f t="shared" si="98"/>
        <v>9</v>
      </c>
      <c r="AT76" s="28">
        <f t="shared" si="99"/>
        <v>13.666666666666666</v>
      </c>
      <c r="AU76" s="28">
        <f t="shared" si="100"/>
        <v>11.416666666666666</v>
      </c>
      <c r="AV76" s="28">
        <f t="shared" si="101"/>
        <v>9.25</v>
      </c>
      <c r="AW76" s="28">
        <f t="shared" si="102"/>
        <v>12.875</v>
      </c>
      <c r="AX76" s="28">
        <f t="shared" si="103"/>
        <v>7.666666666666667</v>
      </c>
      <c r="AY76" s="28">
        <f t="shared" si="104"/>
        <v>7.791666666666667</v>
      </c>
      <c r="AZ76" s="28">
        <f t="shared" si="105"/>
        <v>9.0833333333333339</v>
      </c>
    </row>
    <row r="77" spans="1:52">
      <c r="A77">
        <f t="shared" si="106"/>
        <v>76</v>
      </c>
      <c r="B77">
        <f t="shared" si="55"/>
        <v>16</v>
      </c>
      <c r="C77">
        <f t="shared" si="56"/>
        <v>4</v>
      </c>
      <c r="D77">
        <f t="shared" si="57"/>
        <v>2</v>
      </c>
      <c r="E77">
        <f t="shared" si="58"/>
        <v>4</v>
      </c>
      <c r="F77">
        <f t="shared" si="59"/>
        <v>6</v>
      </c>
      <c r="G77">
        <f t="shared" si="60"/>
        <v>13</v>
      </c>
      <c r="H77">
        <f t="shared" si="61"/>
        <v>22</v>
      </c>
      <c r="I77">
        <f t="shared" si="62"/>
        <v>22</v>
      </c>
      <c r="J77">
        <f t="shared" si="63"/>
        <v>8</v>
      </c>
      <c r="K77">
        <f t="shared" si="64"/>
        <v>20</v>
      </c>
      <c r="L77">
        <f t="shared" si="65"/>
        <v>0</v>
      </c>
      <c r="M77">
        <f t="shared" si="66"/>
        <v>0</v>
      </c>
      <c r="N77">
        <f t="shared" si="67"/>
        <v>6</v>
      </c>
      <c r="O77">
        <f t="shared" si="68"/>
        <v>22</v>
      </c>
      <c r="P77">
        <f t="shared" si="69"/>
        <v>12</v>
      </c>
      <c r="Q77">
        <f t="shared" si="70"/>
        <v>15</v>
      </c>
      <c r="R77">
        <f t="shared" si="71"/>
        <v>10</v>
      </c>
      <c r="S77">
        <f t="shared" si="72"/>
        <v>24</v>
      </c>
      <c r="T77">
        <f t="shared" si="73"/>
        <v>6</v>
      </c>
      <c r="U77">
        <f t="shared" si="74"/>
        <v>2</v>
      </c>
      <c r="V77">
        <f t="shared" si="75"/>
        <v>4</v>
      </c>
      <c r="W77">
        <f t="shared" si="76"/>
        <v>21</v>
      </c>
      <c r="X77">
        <f t="shared" si="77"/>
        <v>14</v>
      </c>
      <c r="Y77">
        <f t="shared" si="78"/>
        <v>0</v>
      </c>
      <c r="Z77">
        <f t="shared" si="79"/>
        <v>0</v>
      </c>
      <c r="AA77">
        <f t="shared" si="80"/>
        <v>8</v>
      </c>
      <c r="AB77" s="28">
        <f t="shared" si="81"/>
        <v>12.416666666666666</v>
      </c>
      <c r="AC77" s="28">
        <f t="shared" si="82"/>
        <v>13.083333333333334</v>
      </c>
      <c r="AD77" s="28">
        <f t="shared" si="83"/>
        <v>14.333333333333334</v>
      </c>
      <c r="AE77" s="28">
        <f t="shared" si="84"/>
        <v>11.416666666666666</v>
      </c>
      <c r="AF77" s="28">
        <f t="shared" si="85"/>
        <v>13.833333333333334</v>
      </c>
      <c r="AG77" s="28">
        <f t="shared" si="86"/>
        <v>11.458333333333334</v>
      </c>
      <c r="AH77" s="28">
        <f t="shared" si="87"/>
        <v>13.375</v>
      </c>
      <c r="AI77" s="28">
        <f t="shared" si="88"/>
        <v>12</v>
      </c>
      <c r="AJ77" s="28">
        <f t="shared" si="89"/>
        <v>14.666666666666666</v>
      </c>
      <c r="AK77" s="28">
        <f t="shared" si="90"/>
        <v>9.75</v>
      </c>
      <c r="AL77" s="28">
        <f t="shared" si="91"/>
        <v>9</v>
      </c>
      <c r="AM77" s="28">
        <f t="shared" si="92"/>
        <v>13.541666666666666</v>
      </c>
      <c r="AN77" s="28">
        <f t="shared" si="93"/>
        <v>11.458333333333334</v>
      </c>
      <c r="AO77" s="28">
        <f t="shared" si="94"/>
        <v>11</v>
      </c>
      <c r="AP77" s="28">
        <f t="shared" si="95"/>
        <v>10.5</v>
      </c>
      <c r="AQ77" s="28">
        <f t="shared" si="96"/>
        <v>10.416666666666666</v>
      </c>
      <c r="AR77" s="28">
        <f t="shared" si="97"/>
        <v>12.833333333333334</v>
      </c>
      <c r="AS77" s="28">
        <f t="shared" si="98"/>
        <v>8.8333333333333339</v>
      </c>
      <c r="AT77" s="28">
        <f t="shared" si="99"/>
        <v>12.75</v>
      </c>
      <c r="AU77" s="28">
        <f t="shared" si="100"/>
        <v>12.25</v>
      </c>
      <c r="AV77" s="28">
        <f t="shared" si="101"/>
        <v>9.5833333333333339</v>
      </c>
      <c r="AW77" s="28">
        <f t="shared" si="102"/>
        <v>12.708333333333334</v>
      </c>
      <c r="AX77" s="28">
        <f t="shared" si="103"/>
        <v>7.375</v>
      </c>
      <c r="AY77" s="28">
        <f t="shared" si="104"/>
        <v>8.6666666666666661</v>
      </c>
      <c r="AZ77" s="28">
        <f t="shared" si="105"/>
        <v>9.0833333333333339</v>
      </c>
    </row>
    <row r="78" spans="1:52">
      <c r="A78">
        <f t="shared" si="106"/>
        <v>77</v>
      </c>
      <c r="B78">
        <f t="shared" si="55"/>
        <v>17</v>
      </c>
      <c r="C78">
        <f t="shared" si="56"/>
        <v>21</v>
      </c>
      <c r="D78">
        <f t="shared" si="57"/>
        <v>23</v>
      </c>
      <c r="E78">
        <f t="shared" si="58"/>
        <v>1</v>
      </c>
      <c r="F78">
        <f t="shared" si="59"/>
        <v>7</v>
      </c>
      <c r="G78">
        <f t="shared" si="60"/>
        <v>20</v>
      </c>
      <c r="H78">
        <f t="shared" si="61"/>
        <v>16</v>
      </c>
      <c r="I78">
        <f t="shared" si="62"/>
        <v>12</v>
      </c>
      <c r="J78">
        <f t="shared" si="63"/>
        <v>20</v>
      </c>
      <c r="K78">
        <f t="shared" si="64"/>
        <v>14</v>
      </c>
      <c r="L78">
        <f t="shared" si="65"/>
        <v>14</v>
      </c>
      <c r="M78">
        <f t="shared" si="66"/>
        <v>14</v>
      </c>
      <c r="N78">
        <f t="shared" si="67"/>
        <v>20</v>
      </c>
      <c r="O78">
        <f t="shared" si="68"/>
        <v>16</v>
      </c>
      <c r="P78">
        <f t="shared" si="69"/>
        <v>2</v>
      </c>
      <c r="Q78">
        <f t="shared" si="70"/>
        <v>17</v>
      </c>
      <c r="R78">
        <f t="shared" si="71"/>
        <v>1</v>
      </c>
      <c r="S78">
        <f t="shared" si="72"/>
        <v>25</v>
      </c>
      <c r="T78">
        <f t="shared" si="73"/>
        <v>5</v>
      </c>
      <c r="U78">
        <f t="shared" si="74"/>
        <v>7</v>
      </c>
      <c r="V78">
        <f t="shared" si="75"/>
        <v>11</v>
      </c>
      <c r="W78">
        <f t="shared" si="76"/>
        <v>6</v>
      </c>
      <c r="X78">
        <f t="shared" si="77"/>
        <v>20</v>
      </c>
      <c r="Y78">
        <f t="shared" si="78"/>
        <v>20</v>
      </c>
      <c r="Z78">
        <f t="shared" si="79"/>
        <v>20</v>
      </c>
      <c r="AA78">
        <f t="shared" si="80"/>
        <v>2</v>
      </c>
      <c r="AB78" s="28">
        <f>AVERAGE(AB2:AB77)</f>
        <v>12.452850877192983</v>
      </c>
      <c r="AC78" s="28">
        <f t="shared" ref="AC78:AZ78" si="107">AVERAGE(AC2:AC77)</f>
        <v>13.187499999999996</v>
      </c>
      <c r="AD78" s="28">
        <f t="shared" si="107"/>
        <v>12.446271929824556</v>
      </c>
      <c r="AE78" s="28">
        <f t="shared" si="107"/>
        <v>11.616228070175438</v>
      </c>
      <c r="AF78" s="28">
        <f t="shared" si="107"/>
        <v>12.186403508771933</v>
      </c>
      <c r="AG78" s="28">
        <f t="shared" si="107"/>
        <v>12.990131578947375</v>
      </c>
      <c r="AH78" s="28">
        <f t="shared" si="107"/>
        <v>12.256578947368416</v>
      </c>
      <c r="AI78" s="28">
        <f t="shared" si="107"/>
        <v>10.706140350877188</v>
      </c>
      <c r="AJ78" s="28">
        <f t="shared" si="107"/>
        <v>12.858004385964916</v>
      </c>
      <c r="AK78" s="28">
        <f t="shared" si="107"/>
        <v>9.2834429824561369</v>
      </c>
      <c r="AL78" s="28">
        <f t="shared" si="107"/>
        <v>8.8881578947368443</v>
      </c>
      <c r="AM78" s="28">
        <f t="shared" si="107"/>
        <v>11.538377192982461</v>
      </c>
      <c r="AN78" s="28">
        <f t="shared" si="107"/>
        <v>12.013706140350877</v>
      </c>
      <c r="AO78" s="28">
        <f t="shared" si="107"/>
        <v>11.479714912280699</v>
      </c>
      <c r="AP78" s="28">
        <f t="shared" si="107"/>
        <v>11.96655701754386</v>
      </c>
      <c r="AQ78" s="28">
        <f t="shared" si="107"/>
        <v>11.588267543859649</v>
      </c>
      <c r="AR78" s="28">
        <f t="shared" si="107"/>
        <v>12.427083333333332</v>
      </c>
      <c r="AS78" s="28">
        <f t="shared" si="107"/>
        <v>11.148574561403512</v>
      </c>
      <c r="AT78" s="28">
        <f t="shared" si="107"/>
        <v>12.975328947368421</v>
      </c>
      <c r="AU78" s="28">
        <f t="shared" si="107"/>
        <v>11.6047149122807</v>
      </c>
      <c r="AV78" s="28">
        <f t="shared" si="107"/>
        <v>12.49780701754386</v>
      </c>
      <c r="AW78" s="28">
        <f t="shared" si="107"/>
        <v>11.942982456140353</v>
      </c>
      <c r="AX78" s="28">
        <f t="shared" si="107"/>
        <v>10.069627192982457</v>
      </c>
      <c r="AY78" s="28">
        <f t="shared" si="107"/>
        <v>8.638706140350882</v>
      </c>
      <c r="AZ78" s="28">
        <f t="shared" si="107"/>
        <v>11.306469298245615</v>
      </c>
    </row>
    <row r="79" spans="1:52">
      <c r="A79">
        <f t="shared" si="106"/>
        <v>78</v>
      </c>
      <c r="B79">
        <f t="shared" si="55"/>
        <v>18</v>
      </c>
      <c r="C79">
        <f t="shared" si="56"/>
        <v>13</v>
      </c>
      <c r="D79">
        <f t="shared" si="57"/>
        <v>10</v>
      </c>
      <c r="E79">
        <f t="shared" si="58"/>
        <v>11</v>
      </c>
      <c r="F79">
        <f t="shared" si="59"/>
        <v>18</v>
      </c>
      <c r="G79">
        <f t="shared" si="60"/>
        <v>12</v>
      </c>
      <c r="H79">
        <f t="shared" si="61"/>
        <v>2</v>
      </c>
      <c r="I79">
        <f t="shared" si="62"/>
        <v>14</v>
      </c>
      <c r="J79">
        <f t="shared" si="63"/>
        <v>8</v>
      </c>
      <c r="K79">
        <f t="shared" si="64"/>
        <v>22</v>
      </c>
      <c r="L79">
        <f t="shared" si="65"/>
        <v>10</v>
      </c>
      <c r="M79">
        <f t="shared" si="66"/>
        <v>24</v>
      </c>
      <c r="N79">
        <f t="shared" si="67"/>
        <v>18</v>
      </c>
      <c r="O79">
        <f t="shared" si="68"/>
        <v>8</v>
      </c>
      <c r="P79">
        <f t="shared" si="69"/>
        <v>10</v>
      </c>
      <c r="Q79">
        <f t="shared" si="70"/>
        <v>1</v>
      </c>
      <c r="R79">
        <f t="shared" si="71"/>
        <v>2</v>
      </c>
      <c r="S79">
        <f t="shared" si="72"/>
        <v>1</v>
      </c>
      <c r="T79">
        <f t="shared" si="73"/>
        <v>6</v>
      </c>
      <c r="U79">
        <f t="shared" si="74"/>
        <v>13</v>
      </c>
      <c r="V79">
        <f t="shared" si="75"/>
        <v>24</v>
      </c>
      <c r="W79">
        <f t="shared" si="76"/>
        <v>4</v>
      </c>
      <c r="X79">
        <f t="shared" si="77"/>
        <v>24</v>
      </c>
      <c r="Y79">
        <f t="shared" si="78"/>
        <v>18</v>
      </c>
      <c r="Z79">
        <f t="shared" si="79"/>
        <v>12</v>
      </c>
      <c r="AA79">
        <f t="shared" si="80"/>
        <v>14</v>
      </c>
    </row>
    <row r="80" spans="1:52">
      <c r="A80">
        <f t="shared" si="106"/>
        <v>79</v>
      </c>
      <c r="B80">
        <f t="shared" si="55"/>
        <v>19</v>
      </c>
      <c r="C80">
        <f t="shared" si="56"/>
        <v>6</v>
      </c>
      <c r="D80">
        <f t="shared" si="57"/>
        <v>16</v>
      </c>
      <c r="E80">
        <f t="shared" si="58"/>
        <v>1</v>
      </c>
      <c r="F80">
        <f t="shared" si="59"/>
        <v>19</v>
      </c>
      <c r="G80">
        <f t="shared" si="60"/>
        <v>5</v>
      </c>
      <c r="H80">
        <f t="shared" si="61"/>
        <v>7</v>
      </c>
      <c r="I80">
        <f t="shared" si="62"/>
        <v>21</v>
      </c>
      <c r="J80">
        <f t="shared" si="63"/>
        <v>3</v>
      </c>
      <c r="K80">
        <f t="shared" si="64"/>
        <v>25</v>
      </c>
      <c r="L80">
        <f t="shared" si="65"/>
        <v>9</v>
      </c>
      <c r="M80">
        <f t="shared" si="66"/>
        <v>7</v>
      </c>
      <c r="N80">
        <f t="shared" si="67"/>
        <v>25</v>
      </c>
      <c r="O80">
        <f t="shared" si="68"/>
        <v>7</v>
      </c>
      <c r="P80">
        <f t="shared" si="69"/>
        <v>17</v>
      </c>
      <c r="Q80">
        <f t="shared" si="70"/>
        <v>18</v>
      </c>
      <c r="R80">
        <f t="shared" si="71"/>
        <v>20</v>
      </c>
      <c r="S80">
        <f t="shared" si="72"/>
        <v>21</v>
      </c>
      <c r="T80">
        <f t="shared" si="73"/>
        <v>1</v>
      </c>
      <c r="U80">
        <f t="shared" si="74"/>
        <v>14</v>
      </c>
      <c r="V80">
        <f t="shared" si="75"/>
        <v>12</v>
      </c>
      <c r="W80">
        <f t="shared" si="76"/>
        <v>16</v>
      </c>
      <c r="X80">
        <f t="shared" si="77"/>
        <v>14</v>
      </c>
      <c r="Y80">
        <f t="shared" si="78"/>
        <v>6</v>
      </c>
      <c r="Z80">
        <f t="shared" si="79"/>
        <v>18</v>
      </c>
      <c r="AA80">
        <f t="shared" si="80"/>
        <v>6</v>
      </c>
    </row>
    <row r="81" spans="1:27">
      <c r="A81">
        <f t="shared" si="106"/>
        <v>80</v>
      </c>
      <c r="B81">
        <f t="shared" si="55"/>
        <v>0</v>
      </c>
      <c r="C81">
        <f t="shared" si="56"/>
        <v>6</v>
      </c>
      <c r="D81">
        <f t="shared" si="57"/>
        <v>22</v>
      </c>
      <c r="E81">
        <f t="shared" si="58"/>
        <v>23</v>
      </c>
      <c r="F81">
        <f t="shared" si="59"/>
        <v>16</v>
      </c>
      <c r="G81">
        <f t="shared" si="60"/>
        <v>21</v>
      </c>
      <c r="H81">
        <f t="shared" si="61"/>
        <v>2</v>
      </c>
      <c r="I81">
        <f t="shared" si="62"/>
        <v>23</v>
      </c>
      <c r="J81">
        <f t="shared" si="63"/>
        <v>0</v>
      </c>
      <c r="K81">
        <f t="shared" si="64"/>
        <v>25</v>
      </c>
      <c r="L81">
        <f t="shared" si="65"/>
        <v>8</v>
      </c>
      <c r="M81">
        <f t="shared" si="66"/>
        <v>15</v>
      </c>
      <c r="N81">
        <f t="shared" si="67"/>
        <v>14</v>
      </c>
      <c r="O81">
        <f t="shared" si="68"/>
        <v>21</v>
      </c>
      <c r="P81">
        <f t="shared" si="69"/>
        <v>12</v>
      </c>
      <c r="Q81">
        <f t="shared" si="70"/>
        <v>4</v>
      </c>
      <c r="R81">
        <f t="shared" si="71"/>
        <v>24</v>
      </c>
      <c r="S81">
        <f t="shared" si="72"/>
        <v>19</v>
      </c>
      <c r="T81">
        <f t="shared" si="73"/>
        <v>20</v>
      </c>
      <c r="U81">
        <f t="shared" si="74"/>
        <v>8</v>
      </c>
      <c r="V81">
        <f t="shared" si="75"/>
        <v>20</v>
      </c>
      <c r="W81">
        <f t="shared" si="76"/>
        <v>10</v>
      </c>
      <c r="X81">
        <f t="shared" si="77"/>
        <v>24</v>
      </c>
      <c r="Y81">
        <f t="shared" si="78"/>
        <v>4</v>
      </c>
      <c r="Z81">
        <f t="shared" si="79"/>
        <v>22</v>
      </c>
      <c r="AA81">
        <f t="shared" si="80"/>
        <v>2</v>
      </c>
    </row>
    <row r="82" spans="1:27">
      <c r="A82">
        <f t="shared" si="106"/>
        <v>81</v>
      </c>
      <c r="B82">
        <f t="shared" si="55"/>
        <v>1</v>
      </c>
      <c r="C82">
        <f t="shared" si="56"/>
        <v>7</v>
      </c>
      <c r="D82">
        <f t="shared" si="57"/>
        <v>3</v>
      </c>
      <c r="E82">
        <f t="shared" si="58"/>
        <v>0</v>
      </c>
      <c r="F82">
        <f t="shared" si="59"/>
        <v>16</v>
      </c>
      <c r="G82">
        <f t="shared" si="60"/>
        <v>11</v>
      </c>
      <c r="H82">
        <f t="shared" si="61"/>
        <v>13</v>
      </c>
      <c r="I82">
        <f t="shared" si="62"/>
        <v>10</v>
      </c>
      <c r="J82">
        <f t="shared" si="63"/>
        <v>10</v>
      </c>
      <c r="K82">
        <f t="shared" si="64"/>
        <v>9</v>
      </c>
      <c r="L82">
        <f t="shared" si="65"/>
        <v>17</v>
      </c>
      <c r="M82">
        <f t="shared" si="66"/>
        <v>6</v>
      </c>
      <c r="N82">
        <f t="shared" si="67"/>
        <v>20</v>
      </c>
      <c r="O82">
        <f t="shared" si="68"/>
        <v>15</v>
      </c>
      <c r="P82">
        <f t="shared" si="69"/>
        <v>1</v>
      </c>
      <c r="Q82">
        <f t="shared" si="70"/>
        <v>5</v>
      </c>
      <c r="R82">
        <f t="shared" si="71"/>
        <v>3</v>
      </c>
      <c r="S82">
        <f t="shared" si="72"/>
        <v>22</v>
      </c>
      <c r="T82">
        <f t="shared" si="73"/>
        <v>16</v>
      </c>
      <c r="U82">
        <f t="shared" si="74"/>
        <v>24</v>
      </c>
      <c r="V82">
        <f t="shared" si="75"/>
        <v>18</v>
      </c>
      <c r="W82">
        <f t="shared" si="76"/>
        <v>2</v>
      </c>
      <c r="X82">
        <f t="shared" si="77"/>
        <v>0</v>
      </c>
      <c r="Y82">
        <f t="shared" si="78"/>
        <v>4</v>
      </c>
      <c r="Z82">
        <f t="shared" si="79"/>
        <v>0</v>
      </c>
      <c r="AA82">
        <f t="shared" si="80"/>
        <v>2</v>
      </c>
    </row>
    <row r="83" spans="1:27">
      <c r="A83">
        <f t="shared" si="106"/>
        <v>82</v>
      </c>
      <c r="B83">
        <f t="shared" si="55"/>
        <v>2</v>
      </c>
      <c r="C83">
        <f t="shared" si="56"/>
        <v>9</v>
      </c>
      <c r="D83">
        <f t="shared" si="57"/>
        <v>12</v>
      </c>
      <c r="E83">
        <f t="shared" si="58"/>
        <v>12</v>
      </c>
      <c r="F83">
        <f t="shared" si="59"/>
        <v>2</v>
      </c>
      <c r="G83">
        <f t="shared" si="60"/>
        <v>13</v>
      </c>
      <c r="H83">
        <f t="shared" si="61"/>
        <v>0</v>
      </c>
      <c r="I83">
        <f t="shared" si="62"/>
        <v>10</v>
      </c>
      <c r="J83">
        <f t="shared" si="63"/>
        <v>20</v>
      </c>
      <c r="K83">
        <f t="shared" si="64"/>
        <v>3</v>
      </c>
      <c r="L83">
        <f t="shared" si="65"/>
        <v>20</v>
      </c>
      <c r="M83">
        <f t="shared" si="66"/>
        <v>0</v>
      </c>
      <c r="N83">
        <f t="shared" si="67"/>
        <v>20</v>
      </c>
      <c r="O83">
        <f t="shared" si="68"/>
        <v>9</v>
      </c>
      <c r="P83">
        <f t="shared" si="69"/>
        <v>10</v>
      </c>
      <c r="Q83">
        <f t="shared" si="70"/>
        <v>15</v>
      </c>
      <c r="R83">
        <f t="shared" si="71"/>
        <v>18</v>
      </c>
      <c r="S83">
        <f t="shared" si="72"/>
        <v>14</v>
      </c>
      <c r="T83">
        <f t="shared" si="73"/>
        <v>4</v>
      </c>
      <c r="U83">
        <f t="shared" si="74"/>
        <v>2</v>
      </c>
      <c r="V83">
        <f t="shared" si="75"/>
        <v>20</v>
      </c>
      <c r="W83">
        <f t="shared" si="76"/>
        <v>22</v>
      </c>
      <c r="X83">
        <f t="shared" si="77"/>
        <v>22</v>
      </c>
      <c r="Y83">
        <f t="shared" si="78"/>
        <v>0</v>
      </c>
      <c r="Z83">
        <f t="shared" si="79"/>
        <v>0</v>
      </c>
      <c r="AA83">
        <f t="shared" si="80"/>
        <v>2</v>
      </c>
    </row>
    <row r="84" spans="1:27">
      <c r="A84">
        <f t="shared" si="106"/>
        <v>83</v>
      </c>
      <c r="B84">
        <f t="shared" si="55"/>
        <v>3</v>
      </c>
      <c r="C84">
        <f t="shared" si="56"/>
        <v>12</v>
      </c>
      <c r="D84">
        <f t="shared" si="57"/>
        <v>24</v>
      </c>
      <c r="E84">
        <f t="shared" si="58"/>
        <v>10</v>
      </c>
      <c r="F84">
        <f t="shared" si="59"/>
        <v>12</v>
      </c>
      <c r="G84">
        <f t="shared" si="60"/>
        <v>25</v>
      </c>
      <c r="H84">
        <f t="shared" si="61"/>
        <v>25</v>
      </c>
      <c r="I84">
        <f t="shared" si="62"/>
        <v>9</v>
      </c>
      <c r="J84">
        <f t="shared" si="63"/>
        <v>3</v>
      </c>
      <c r="K84">
        <f t="shared" si="64"/>
        <v>6</v>
      </c>
      <c r="L84">
        <f t="shared" si="65"/>
        <v>0</v>
      </c>
      <c r="M84">
        <f t="shared" si="66"/>
        <v>0</v>
      </c>
      <c r="N84">
        <f t="shared" si="67"/>
        <v>20</v>
      </c>
      <c r="O84">
        <f t="shared" si="68"/>
        <v>3</v>
      </c>
      <c r="P84">
        <f t="shared" si="69"/>
        <v>13</v>
      </c>
      <c r="Q84">
        <f t="shared" si="70"/>
        <v>2</v>
      </c>
      <c r="R84">
        <f t="shared" si="71"/>
        <v>20</v>
      </c>
      <c r="S84">
        <f t="shared" si="72"/>
        <v>8</v>
      </c>
      <c r="T84">
        <f t="shared" si="73"/>
        <v>12</v>
      </c>
      <c r="U84">
        <f t="shared" si="74"/>
        <v>14</v>
      </c>
      <c r="V84">
        <f t="shared" si="75"/>
        <v>8</v>
      </c>
      <c r="W84">
        <f t="shared" si="76"/>
        <v>4</v>
      </c>
      <c r="X84">
        <f t="shared" si="77"/>
        <v>0</v>
      </c>
      <c r="Y84">
        <f t="shared" si="78"/>
        <v>0</v>
      </c>
      <c r="Z84">
        <f t="shared" si="79"/>
        <v>0</v>
      </c>
      <c r="AA84">
        <f t="shared" si="80"/>
        <v>2</v>
      </c>
    </row>
    <row r="85" spans="1:27">
      <c r="A85">
        <f t="shared" si="106"/>
        <v>84</v>
      </c>
      <c r="B85">
        <f t="shared" si="55"/>
        <v>4</v>
      </c>
      <c r="C85">
        <f t="shared" si="56"/>
        <v>16</v>
      </c>
      <c r="D85">
        <f t="shared" si="57"/>
        <v>14</v>
      </c>
      <c r="E85">
        <f t="shared" si="58"/>
        <v>24</v>
      </c>
      <c r="F85">
        <f t="shared" si="59"/>
        <v>10</v>
      </c>
      <c r="G85">
        <f t="shared" si="60"/>
        <v>9</v>
      </c>
      <c r="H85">
        <f t="shared" si="61"/>
        <v>8</v>
      </c>
      <c r="I85">
        <f t="shared" si="62"/>
        <v>17</v>
      </c>
      <c r="J85">
        <f t="shared" si="63"/>
        <v>20</v>
      </c>
      <c r="K85">
        <f t="shared" si="64"/>
        <v>0</v>
      </c>
      <c r="L85">
        <f t="shared" si="65"/>
        <v>0</v>
      </c>
      <c r="M85">
        <f t="shared" si="66"/>
        <v>0</v>
      </c>
      <c r="N85">
        <f t="shared" si="67"/>
        <v>20</v>
      </c>
      <c r="O85">
        <f t="shared" si="68"/>
        <v>23</v>
      </c>
      <c r="P85">
        <f t="shared" si="69"/>
        <v>10</v>
      </c>
      <c r="Q85">
        <f t="shared" si="70"/>
        <v>12</v>
      </c>
      <c r="R85">
        <f t="shared" si="71"/>
        <v>6</v>
      </c>
      <c r="S85">
        <f t="shared" si="72"/>
        <v>14</v>
      </c>
      <c r="T85">
        <f t="shared" si="73"/>
        <v>0</v>
      </c>
      <c r="U85">
        <f t="shared" si="74"/>
        <v>14</v>
      </c>
      <c r="V85">
        <f t="shared" si="75"/>
        <v>22</v>
      </c>
      <c r="W85">
        <f t="shared" si="76"/>
        <v>0</v>
      </c>
      <c r="X85">
        <f t="shared" si="77"/>
        <v>0</v>
      </c>
      <c r="Y85">
        <f t="shared" si="78"/>
        <v>0</v>
      </c>
      <c r="Z85">
        <f t="shared" si="79"/>
        <v>0</v>
      </c>
      <c r="AA85">
        <f t="shared" si="80"/>
        <v>2</v>
      </c>
    </row>
    <row r="86" spans="1:27">
      <c r="A86">
        <f t="shared" si="106"/>
        <v>85</v>
      </c>
      <c r="B86">
        <f t="shared" si="55"/>
        <v>5</v>
      </c>
      <c r="C86">
        <f t="shared" si="56"/>
        <v>21</v>
      </c>
      <c r="D86">
        <f t="shared" si="57"/>
        <v>9</v>
      </c>
      <c r="E86">
        <f t="shared" si="58"/>
        <v>7</v>
      </c>
      <c r="F86">
        <f t="shared" si="59"/>
        <v>17</v>
      </c>
      <c r="G86">
        <f t="shared" si="60"/>
        <v>0</v>
      </c>
      <c r="H86">
        <f t="shared" si="61"/>
        <v>8</v>
      </c>
      <c r="I86">
        <f t="shared" si="62"/>
        <v>25</v>
      </c>
      <c r="J86">
        <f t="shared" si="63"/>
        <v>19</v>
      </c>
      <c r="K86">
        <f t="shared" si="64"/>
        <v>19</v>
      </c>
      <c r="L86">
        <f t="shared" si="65"/>
        <v>19</v>
      </c>
      <c r="M86">
        <f t="shared" si="66"/>
        <v>19</v>
      </c>
      <c r="N86">
        <f t="shared" si="67"/>
        <v>13</v>
      </c>
      <c r="O86">
        <f t="shared" si="68"/>
        <v>10</v>
      </c>
      <c r="P86">
        <f t="shared" si="69"/>
        <v>20</v>
      </c>
      <c r="Q86">
        <f t="shared" si="70"/>
        <v>6</v>
      </c>
      <c r="R86">
        <f t="shared" si="71"/>
        <v>12</v>
      </c>
      <c r="S86">
        <f t="shared" si="72"/>
        <v>0</v>
      </c>
      <c r="T86">
        <f t="shared" si="73"/>
        <v>0</v>
      </c>
      <c r="U86">
        <f t="shared" si="74"/>
        <v>14</v>
      </c>
      <c r="V86">
        <f t="shared" si="75"/>
        <v>10</v>
      </c>
      <c r="W86">
        <f t="shared" si="76"/>
        <v>10</v>
      </c>
      <c r="X86">
        <f t="shared" si="77"/>
        <v>10</v>
      </c>
      <c r="Y86">
        <f t="shared" si="78"/>
        <v>10</v>
      </c>
      <c r="Z86">
        <f t="shared" si="79"/>
        <v>10</v>
      </c>
      <c r="AA86">
        <f t="shared" si="80"/>
        <v>12</v>
      </c>
    </row>
    <row r="87" spans="1:27">
      <c r="A87">
        <f t="shared" si="106"/>
        <v>86</v>
      </c>
      <c r="B87">
        <f t="shared" si="55"/>
        <v>6</v>
      </c>
      <c r="C87">
        <f t="shared" si="56"/>
        <v>1</v>
      </c>
      <c r="D87">
        <f t="shared" si="57"/>
        <v>10</v>
      </c>
      <c r="E87">
        <f t="shared" si="58"/>
        <v>17</v>
      </c>
      <c r="F87">
        <f t="shared" si="59"/>
        <v>8</v>
      </c>
      <c r="G87">
        <f t="shared" si="60"/>
        <v>8</v>
      </c>
      <c r="H87">
        <f t="shared" si="61"/>
        <v>16</v>
      </c>
      <c r="I87">
        <f t="shared" si="62"/>
        <v>15</v>
      </c>
      <c r="J87">
        <f t="shared" si="63"/>
        <v>8</v>
      </c>
      <c r="K87">
        <f t="shared" si="64"/>
        <v>1</v>
      </c>
      <c r="L87">
        <f t="shared" si="65"/>
        <v>20</v>
      </c>
      <c r="M87">
        <f t="shared" si="66"/>
        <v>13</v>
      </c>
      <c r="N87">
        <f t="shared" si="67"/>
        <v>0</v>
      </c>
      <c r="O87">
        <f t="shared" si="68"/>
        <v>10</v>
      </c>
      <c r="P87">
        <f t="shared" si="69"/>
        <v>4</v>
      </c>
      <c r="Q87">
        <f t="shared" si="70"/>
        <v>10</v>
      </c>
      <c r="R87">
        <f t="shared" si="71"/>
        <v>22</v>
      </c>
      <c r="S87">
        <f t="shared" si="72"/>
        <v>22</v>
      </c>
      <c r="T87">
        <f t="shared" si="73"/>
        <v>22</v>
      </c>
      <c r="U87">
        <f t="shared" si="74"/>
        <v>10</v>
      </c>
      <c r="V87">
        <f t="shared" si="75"/>
        <v>20</v>
      </c>
      <c r="W87">
        <f t="shared" si="76"/>
        <v>4</v>
      </c>
      <c r="X87">
        <f t="shared" si="77"/>
        <v>14</v>
      </c>
      <c r="Y87">
        <f t="shared" si="78"/>
        <v>24</v>
      </c>
      <c r="Z87">
        <f t="shared" si="79"/>
        <v>8</v>
      </c>
      <c r="AA87">
        <f t="shared" si="80"/>
        <v>20</v>
      </c>
    </row>
    <row r="88" spans="1:27">
      <c r="A88">
        <f t="shared" si="106"/>
        <v>87</v>
      </c>
      <c r="B88">
        <f t="shared" si="55"/>
        <v>7</v>
      </c>
      <c r="C88">
        <f t="shared" si="56"/>
        <v>8</v>
      </c>
      <c r="D88">
        <f t="shared" si="57"/>
        <v>18</v>
      </c>
      <c r="E88">
        <f t="shared" si="58"/>
        <v>9</v>
      </c>
      <c r="F88">
        <f t="shared" si="59"/>
        <v>17</v>
      </c>
      <c r="G88">
        <f t="shared" si="60"/>
        <v>25</v>
      </c>
      <c r="H88">
        <f t="shared" si="61"/>
        <v>15</v>
      </c>
      <c r="I88">
        <f t="shared" si="62"/>
        <v>4</v>
      </c>
      <c r="J88">
        <f t="shared" si="63"/>
        <v>12</v>
      </c>
      <c r="K88">
        <f t="shared" si="64"/>
        <v>13</v>
      </c>
      <c r="L88">
        <f t="shared" si="65"/>
        <v>7</v>
      </c>
      <c r="M88">
        <f t="shared" si="66"/>
        <v>20</v>
      </c>
      <c r="N88">
        <f t="shared" si="67"/>
        <v>20</v>
      </c>
      <c r="O88">
        <f t="shared" si="68"/>
        <v>4</v>
      </c>
      <c r="P88">
        <f t="shared" si="69"/>
        <v>8</v>
      </c>
      <c r="Q88">
        <f t="shared" si="70"/>
        <v>18</v>
      </c>
      <c r="R88">
        <f t="shared" si="71"/>
        <v>14</v>
      </c>
      <c r="S88">
        <f t="shared" si="72"/>
        <v>10</v>
      </c>
      <c r="T88">
        <f t="shared" si="73"/>
        <v>6</v>
      </c>
      <c r="U88">
        <f t="shared" si="74"/>
        <v>16</v>
      </c>
      <c r="V88">
        <f t="shared" si="75"/>
        <v>10</v>
      </c>
      <c r="W88">
        <f t="shared" si="76"/>
        <v>14</v>
      </c>
      <c r="X88">
        <f t="shared" si="77"/>
        <v>2</v>
      </c>
      <c r="Y88">
        <f t="shared" si="78"/>
        <v>0</v>
      </c>
      <c r="Z88">
        <f t="shared" si="79"/>
        <v>8</v>
      </c>
      <c r="AA88">
        <f t="shared" si="80"/>
        <v>2</v>
      </c>
    </row>
    <row r="89" spans="1:27">
      <c r="A89">
        <f t="shared" si="106"/>
        <v>88</v>
      </c>
      <c r="B89">
        <f t="shared" si="55"/>
        <v>8</v>
      </c>
      <c r="C89">
        <f t="shared" si="56"/>
        <v>16</v>
      </c>
      <c r="D89">
        <f t="shared" si="57"/>
        <v>8</v>
      </c>
      <c r="E89">
        <f t="shared" si="58"/>
        <v>17</v>
      </c>
      <c r="F89">
        <f t="shared" si="59"/>
        <v>8</v>
      </c>
      <c r="G89">
        <f t="shared" si="60"/>
        <v>7</v>
      </c>
      <c r="H89">
        <f t="shared" si="61"/>
        <v>22</v>
      </c>
      <c r="I89">
        <f t="shared" si="62"/>
        <v>0</v>
      </c>
      <c r="J89">
        <f t="shared" si="63"/>
        <v>12</v>
      </c>
      <c r="K89">
        <f t="shared" si="64"/>
        <v>25</v>
      </c>
      <c r="L89">
        <f t="shared" si="65"/>
        <v>6</v>
      </c>
      <c r="M89">
        <f t="shared" si="66"/>
        <v>0</v>
      </c>
      <c r="N89">
        <f t="shared" si="67"/>
        <v>20</v>
      </c>
      <c r="O89">
        <f t="shared" si="68"/>
        <v>24</v>
      </c>
      <c r="P89">
        <f t="shared" si="69"/>
        <v>6</v>
      </c>
      <c r="Q89">
        <f t="shared" si="70"/>
        <v>24</v>
      </c>
      <c r="R89">
        <f t="shared" si="71"/>
        <v>12</v>
      </c>
      <c r="S89">
        <f t="shared" si="72"/>
        <v>22</v>
      </c>
      <c r="T89">
        <f t="shared" si="73"/>
        <v>2</v>
      </c>
      <c r="U89">
        <f t="shared" si="74"/>
        <v>18</v>
      </c>
      <c r="V89">
        <f t="shared" si="75"/>
        <v>2</v>
      </c>
      <c r="W89">
        <f t="shared" si="76"/>
        <v>16</v>
      </c>
      <c r="X89">
        <f t="shared" si="77"/>
        <v>18</v>
      </c>
      <c r="Y89">
        <f t="shared" si="78"/>
        <v>18</v>
      </c>
      <c r="Z89">
        <f t="shared" si="79"/>
        <v>0</v>
      </c>
      <c r="AA89">
        <f t="shared" si="80"/>
        <v>2</v>
      </c>
    </row>
    <row r="90" spans="1:27">
      <c r="A90">
        <f t="shared" si="106"/>
        <v>89</v>
      </c>
      <c r="B90">
        <f t="shared" si="55"/>
        <v>9</v>
      </c>
      <c r="C90">
        <f t="shared" si="56"/>
        <v>25</v>
      </c>
      <c r="D90">
        <f t="shared" si="57"/>
        <v>7</v>
      </c>
      <c r="E90">
        <f t="shared" si="58"/>
        <v>24</v>
      </c>
      <c r="F90">
        <f t="shared" si="59"/>
        <v>6</v>
      </c>
      <c r="G90">
        <f t="shared" si="60"/>
        <v>13</v>
      </c>
      <c r="H90">
        <f t="shared" si="61"/>
        <v>9</v>
      </c>
      <c r="I90">
        <f t="shared" si="62"/>
        <v>9</v>
      </c>
      <c r="J90">
        <f t="shared" si="63"/>
        <v>21</v>
      </c>
      <c r="K90">
        <f t="shared" si="64"/>
        <v>20</v>
      </c>
      <c r="L90">
        <f t="shared" si="65"/>
        <v>0</v>
      </c>
      <c r="M90">
        <f t="shared" si="66"/>
        <v>0</v>
      </c>
      <c r="N90">
        <f t="shared" si="67"/>
        <v>20</v>
      </c>
      <c r="O90">
        <f t="shared" si="68"/>
        <v>18</v>
      </c>
      <c r="P90">
        <f t="shared" si="69"/>
        <v>24</v>
      </c>
      <c r="Q90">
        <f t="shared" si="70"/>
        <v>22</v>
      </c>
      <c r="R90">
        <f t="shared" si="71"/>
        <v>8</v>
      </c>
      <c r="S90">
        <f t="shared" si="72"/>
        <v>4</v>
      </c>
      <c r="T90">
        <f t="shared" si="73"/>
        <v>6</v>
      </c>
      <c r="U90">
        <f t="shared" si="74"/>
        <v>24</v>
      </c>
      <c r="V90">
        <f t="shared" si="75"/>
        <v>0</v>
      </c>
      <c r="W90">
        <f t="shared" si="76"/>
        <v>16</v>
      </c>
      <c r="X90">
        <f t="shared" si="77"/>
        <v>8</v>
      </c>
      <c r="Y90">
        <f t="shared" si="78"/>
        <v>0</v>
      </c>
      <c r="Z90">
        <f t="shared" si="79"/>
        <v>0</v>
      </c>
      <c r="AA90">
        <f t="shared" si="80"/>
        <v>2</v>
      </c>
    </row>
    <row r="91" spans="1:27">
      <c r="A91">
        <f t="shared" si="106"/>
        <v>90</v>
      </c>
      <c r="B91">
        <f t="shared" si="55"/>
        <v>10</v>
      </c>
      <c r="C91">
        <f t="shared" si="56"/>
        <v>9</v>
      </c>
      <c r="D91">
        <f t="shared" si="57"/>
        <v>16</v>
      </c>
      <c r="E91">
        <f t="shared" si="58"/>
        <v>14</v>
      </c>
      <c r="F91">
        <f t="shared" si="59"/>
        <v>20</v>
      </c>
      <c r="G91">
        <f t="shared" si="60"/>
        <v>7</v>
      </c>
      <c r="H91">
        <f t="shared" si="61"/>
        <v>16</v>
      </c>
      <c r="I91">
        <f t="shared" si="62"/>
        <v>25</v>
      </c>
      <c r="J91">
        <f t="shared" si="63"/>
        <v>20</v>
      </c>
      <c r="K91">
        <f t="shared" si="64"/>
        <v>14</v>
      </c>
      <c r="L91">
        <f t="shared" si="65"/>
        <v>14</v>
      </c>
      <c r="M91">
        <f t="shared" si="66"/>
        <v>14</v>
      </c>
      <c r="N91">
        <f t="shared" si="67"/>
        <v>8</v>
      </c>
      <c r="O91">
        <f t="shared" si="68"/>
        <v>0</v>
      </c>
      <c r="P91">
        <f t="shared" si="69"/>
        <v>24</v>
      </c>
      <c r="Q91">
        <f t="shared" si="70"/>
        <v>20</v>
      </c>
      <c r="R91">
        <f t="shared" si="71"/>
        <v>2</v>
      </c>
      <c r="S91">
        <f t="shared" si="72"/>
        <v>6</v>
      </c>
      <c r="T91">
        <f t="shared" si="73"/>
        <v>12</v>
      </c>
      <c r="U91">
        <f t="shared" si="74"/>
        <v>10</v>
      </c>
      <c r="V91">
        <f t="shared" si="75"/>
        <v>10</v>
      </c>
      <c r="W91">
        <f t="shared" si="76"/>
        <v>0</v>
      </c>
      <c r="X91">
        <f t="shared" si="77"/>
        <v>8</v>
      </c>
      <c r="Y91">
        <f t="shared" si="78"/>
        <v>8</v>
      </c>
      <c r="Z91">
        <f t="shared" si="79"/>
        <v>8</v>
      </c>
      <c r="AA91">
        <f t="shared" si="80"/>
        <v>10</v>
      </c>
    </row>
    <row r="92" spans="1:27">
      <c r="A92">
        <f t="shared" si="106"/>
        <v>91</v>
      </c>
      <c r="B92">
        <f t="shared" si="55"/>
        <v>11</v>
      </c>
      <c r="C92">
        <f t="shared" si="56"/>
        <v>20</v>
      </c>
      <c r="D92">
        <f t="shared" si="57"/>
        <v>10</v>
      </c>
      <c r="E92">
        <f t="shared" si="58"/>
        <v>24</v>
      </c>
      <c r="F92">
        <f t="shared" si="59"/>
        <v>18</v>
      </c>
      <c r="G92">
        <f t="shared" si="60"/>
        <v>25</v>
      </c>
      <c r="H92">
        <f t="shared" si="61"/>
        <v>15</v>
      </c>
      <c r="I92">
        <f t="shared" si="62"/>
        <v>14</v>
      </c>
      <c r="J92">
        <f t="shared" si="63"/>
        <v>8</v>
      </c>
      <c r="K92">
        <f t="shared" si="64"/>
        <v>22</v>
      </c>
      <c r="L92">
        <f t="shared" si="65"/>
        <v>10</v>
      </c>
      <c r="M92">
        <f t="shared" si="66"/>
        <v>24</v>
      </c>
      <c r="N92">
        <f t="shared" si="67"/>
        <v>6</v>
      </c>
      <c r="O92">
        <f t="shared" si="68"/>
        <v>6</v>
      </c>
      <c r="P92">
        <f t="shared" si="69"/>
        <v>4</v>
      </c>
      <c r="Q92">
        <f t="shared" si="70"/>
        <v>24</v>
      </c>
      <c r="R92">
        <f t="shared" si="71"/>
        <v>0</v>
      </c>
      <c r="S92">
        <f t="shared" si="72"/>
        <v>6</v>
      </c>
      <c r="T92">
        <f t="shared" si="73"/>
        <v>18</v>
      </c>
      <c r="U92">
        <f t="shared" si="74"/>
        <v>2</v>
      </c>
      <c r="V92">
        <f t="shared" si="75"/>
        <v>12</v>
      </c>
      <c r="W92">
        <f t="shared" si="76"/>
        <v>12</v>
      </c>
      <c r="X92">
        <f t="shared" si="77"/>
        <v>20</v>
      </c>
      <c r="Y92">
        <f t="shared" si="78"/>
        <v>2</v>
      </c>
      <c r="Z92">
        <f t="shared" si="79"/>
        <v>10</v>
      </c>
      <c r="AA92">
        <f t="shared" si="80"/>
        <v>20</v>
      </c>
    </row>
    <row r="93" spans="1:27">
      <c r="A93">
        <f t="shared" si="106"/>
        <v>92</v>
      </c>
      <c r="B93">
        <f t="shared" si="55"/>
        <v>12</v>
      </c>
      <c r="C93">
        <f t="shared" si="56"/>
        <v>6</v>
      </c>
      <c r="D93">
        <f t="shared" si="57"/>
        <v>16</v>
      </c>
      <c r="E93">
        <f t="shared" si="58"/>
        <v>14</v>
      </c>
      <c r="F93">
        <f t="shared" si="59"/>
        <v>6</v>
      </c>
      <c r="G93">
        <f t="shared" si="60"/>
        <v>5</v>
      </c>
      <c r="H93">
        <f t="shared" si="61"/>
        <v>20</v>
      </c>
      <c r="I93">
        <f t="shared" si="62"/>
        <v>8</v>
      </c>
      <c r="J93">
        <f t="shared" si="63"/>
        <v>16</v>
      </c>
      <c r="K93">
        <f t="shared" si="64"/>
        <v>12</v>
      </c>
      <c r="L93">
        <f t="shared" si="65"/>
        <v>22</v>
      </c>
      <c r="M93">
        <f t="shared" si="66"/>
        <v>20</v>
      </c>
      <c r="N93">
        <f t="shared" si="67"/>
        <v>0</v>
      </c>
      <c r="O93">
        <f t="shared" si="68"/>
        <v>6</v>
      </c>
      <c r="P93">
        <f t="shared" si="69"/>
        <v>10</v>
      </c>
      <c r="Q93">
        <f t="shared" si="70"/>
        <v>8</v>
      </c>
      <c r="R93">
        <f t="shared" si="71"/>
        <v>8</v>
      </c>
      <c r="S93">
        <f t="shared" si="72"/>
        <v>14</v>
      </c>
      <c r="T93">
        <f t="shared" si="73"/>
        <v>6</v>
      </c>
      <c r="U93">
        <f t="shared" si="74"/>
        <v>8</v>
      </c>
      <c r="V93">
        <f t="shared" si="75"/>
        <v>20</v>
      </c>
      <c r="W93">
        <f t="shared" si="76"/>
        <v>6</v>
      </c>
      <c r="X93">
        <f t="shared" si="77"/>
        <v>0</v>
      </c>
      <c r="Y93">
        <f t="shared" si="78"/>
        <v>2</v>
      </c>
      <c r="Z93">
        <f t="shared" si="79"/>
        <v>12</v>
      </c>
      <c r="AA93">
        <f t="shared" si="80"/>
        <v>6</v>
      </c>
    </row>
    <row r="94" spans="1:27">
      <c r="A94">
        <f t="shared" si="106"/>
        <v>93</v>
      </c>
      <c r="B94">
        <f t="shared" si="55"/>
        <v>13</v>
      </c>
      <c r="C94">
        <f t="shared" si="56"/>
        <v>19</v>
      </c>
      <c r="D94">
        <f t="shared" si="57"/>
        <v>9</v>
      </c>
      <c r="E94">
        <f t="shared" si="58"/>
        <v>23</v>
      </c>
      <c r="F94">
        <f t="shared" si="59"/>
        <v>3</v>
      </c>
      <c r="G94">
        <f t="shared" si="60"/>
        <v>8</v>
      </c>
      <c r="H94">
        <f t="shared" si="61"/>
        <v>2</v>
      </c>
      <c r="I94">
        <f t="shared" si="62"/>
        <v>10</v>
      </c>
      <c r="J94">
        <f t="shared" si="63"/>
        <v>0</v>
      </c>
      <c r="K94">
        <f t="shared" si="64"/>
        <v>12</v>
      </c>
      <c r="L94">
        <f t="shared" si="65"/>
        <v>8</v>
      </c>
      <c r="M94">
        <f t="shared" si="66"/>
        <v>2</v>
      </c>
      <c r="N94">
        <f t="shared" si="67"/>
        <v>2</v>
      </c>
      <c r="O94">
        <f t="shared" si="68"/>
        <v>8</v>
      </c>
      <c r="P94">
        <f t="shared" si="69"/>
        <v>18</v>
      </c>
      <c r="Q94">
        <f t="shared" si="70"/>
        <v>0</v>
      </c>
      <c r="R94">
        <f t="shared" si="71"/>
        <v>8</v>
      </c>
      <c r="S94">
        <f t="shared" si="72"/>
        <v>22</v>
      </c>
      <c r="T94">
        <f t="shared" si="73"/>
        <v>2</v>
      </c>
      <c r="U94">
        <f t="shared" si="74"/>
        <v>10</v>
      </c>
      <c r="V94">
        <f t="shared" si="75"/>
        <v>4</v>
      </c>
      <c r="W94">
        <f t="shared" si="76"/>
        <v>10</v>
      </c>
      <c r="X94">
        <f t="shared" si="77"/>
        <v>10</v>
      </c>
      <c r="Y94">
        <f t="shared" si="78"/>
        <v>12</v>
      </c>
      <c r="Z94">
        <f t="shared" si="79"/>
        <v>24</v>
      </c>
      <c r="AA94">
        <f t="shared" si="80"/>
        <v>4</v>
      </c>
    </row>
    <row r="95" spans="1:27">
      <c r="A95">
        <f t="shared" si="106"/>
        <v>94</v>
      </c>
      <c r="B95">
        <f t="shared" si="55"/>
        <v>14</v>
      </c>
      <c r="C95">
        <f t="shared" si="56"/>
        <v>7</v>
      </c>
      <c r="D95">
        <f t="shared" si="57"/>
        <v>16</v>
      </c>
      <c r="E95">
        <f t="shared" si="58"/>
        <v>13</v>
      </c>
      <c r="F95">
        <f t="shared" si="59"/>
        <v>16</v>
      </c>
      <c r="G95">
        <f t="shared" si="60"/>
        <v>24</v>
      </c>
      <c r="H95">
        <f t="shared" si="61"/>
        <v>0</v>
      </c>
      <c r="I95">
        <f t="shared" si="62"/>
        <v>10</v>
      </c>
      <c r="J95">
        <f t="shared" si="63"/>
        <v>10</v>
      </c>
      <c r="K95">
        <f t="shared" si="64"/>
        <v>22</v>
      </c>
      <c r="L95">
        <f t="shared" si="65"/>
        <v>4</v>
      </c>
      <c r="M95">
        <f t="shared" si="66"/>
        <v>6</v>
      </c>
      <c r="N95">
        <f t="shared" si="67"/>
        <v>8</v>
      </c>
      <c r="O95">
        <f t="shared" si="68"/>
        <v>16</v>
      </c>
      <c r="P95">
        <f t="shared" si="69"/>
        <v>8</v>
      </c>
      <c r="Q95">
        <f t="shared" si="70"/>
        <v>8</v>
      </c>
      <c r="R95">
        <f t="shared" si="71"/>
        <v>16</v>
      </c>
      <c r="S95">
        <f t="shared" si="72"/>
        <v>12</v>
      </c>
      <c r="T95">
        <f t="shared" si="73"/>
        <v>14</v>
      </c>
      <c r="U95">
        <f t="shared" si="74"/>
        <v>24</v>
      </c>
      <c r="V95">
        <f t="shared" si="75"/>
        <v>2</v>
      </c>
      <c r="W95">
        <f t="shared" si="76"/>
        <v>12</v>
      </c>
      <c r="X95">
        <f t="shared" si="77"/>
        <v>22</v>
      </c>
      <c r="Y95">
        <f t="shared" si="78"/>
        <v>8</v>
      </c>
      <c r="Z95">
        <f t="shared" si="79"/>
        <v>6</v>
      </c>
      <c r="AA95">
        <f t="shared" si="80"/>
        <v>10</v>
      </c>
    </row>
    <row r="96" spans="1:27">
      <c r="A96">
        <f t="shared" si="106"/>
        <v>95</v>
      </c>
      <c r="B96">
        <f t="shared" si="55"/>
        <v>15</v>
      </c>
      <c r="C96">
        <f t="shared" si="56"/>
        <v>22</v>
      </c>
      <c r="D96">
        <f t="shared" si="57"/>
        <v>12</v>
      </c>
      <c r="E96">
        <f t="shared" si="58"/>
        <v>25</v>
      </c>
      <c r="F96">
        <f t="shared" si="59"/>
        <v>15</v>
      </c>
      <c r="G96">
        <f t="shared" si="60"/>
        <v>13</v>
      </c>
      <c r="H96">
        <f t="shared" si="61"/>
        <v>13</v>
      </c>
      <c r="I96">
        <f t="shared" si="62"/>
        <v>23</v>
      </c>
      <c r="J96">
        <f t="shared" si="63"/>
        <v>7</v>
      </c>
      <c r="K96">
        <f t="shared" si="64"/>
        <v>3</v>
      </c>
      <c r="L96">
        <f t="shared" si="65"/>
        <v>7</v>
      </c>
      <c r="M96">
        <f t="shared" si="66"/>
        <v>13</v>
      </c>
      <c r="N96">
        <f t="shared" si="67"/>
        <v>21</v>
      </c>
      <c r="O96">
        <f t="shared" si="68"/>
        <v>11</v>
      </c>
      <c r="P96">
        <f t="shared" si="69"/>
        <v>19</v>
      </c>
      <c r="Q96">
        <f t="shared" si="70"/>
        <v>1</v>
      </c>
      <c r="R96">
        <f t="shared" si="71"/>
        <v>17</v>
      </c>
      <c r="S96">
        <f t="shared" si="72"/>
        <v>3</v>
      </c>
      <c r="T96">
        <f t="shared" si="73"/>
        <v>17</v>
      </c>
      <c r="U96">
        <f t="shared" si="74"/>
        <v>15</v>
      </c>
      <c r="V96">
        <f t="shared" si="75"/>
        <v>17</v>
      </c>
      <c r="W96">
        <f t="shared" si="76"/>
        <v>3</v>
      </c>
      <c r="X96">
        <f t="shared" si="77"/>
        <v>25</v>
      </c>
      <c r="Y96">
        <f t="shared" si="78"/>
        <v>7</v>
      </c>
      <c r="Z96">
        <f t="shared" si="79"/>
        <v>13</v>
      </c>
      <c r="AA96">
        <f t="shared" si="80"/>
        <v>23</v>
      </c>
    </row>
    <row r="97" spans="1:27">
      <c r="A97">
        <f t="shared" si="106"/>
        <v>96</v>
      </c>
      <c r="B97">
        <f t="shared" si="55"/>
        <v>16</v>
      </c>
      <c r="C97">
        <f t="shared" si="56"/>
        <v>12</v>
      </c>
      <c r="D97">
        <f t="shared" si="57"/>
        <v>24</v>
      </c>
      <c r="E97">
        <f t="shared" si="58"/>
        <v>23</v>
      </c>
      <c r="F97">
        <f t="shared" si="59"/>
        <v>12</v>
      </c>
      <c r="G97">
        <f t="shared" si="60"/>
        <v>25</v>
      </c>
      <c r="H97">
        <f t="shared" si="61"/>
        <v>12</v>
      </c>
      <c r="I97">
        <f t="shared" si="62"/>
        <v>9</v>
      </c>
      <c r="J97">
        <f t="shared" si="63"/>
        <v>16</v>
      </c>
      <c r="K97">
        <f t="shared" si="64"/>
        <v>19</v>
      </c>
      <c r="L97">
        <f t="shared" si="65"/>
        <v>0</v>
      </c>
      <c r="M97">
        <f t="shared" si="66"/>
        <v>13</v>
      </c>
      <c r="N97">
        <f t="shared" si="67"/>
        <v>8</v>
      </c>
      <c r="O97">
        <f t="shared" si="68"/>
        <v>19</v>
      </c>
      <c r="P97">
        <f t="shared" si="69"/>
        <v>12</v>
      </c>
      <c r="Q97">
        <f t="shared" si="70"/>
        <v>13</v>
      </c>
      <c r="R97">
        <f t="shared" si="71"/>
        <v>4</v>
      </c>
      <c r="S97">
        <f t="shared" si="72"/>
        <v>7</v>
      </c>
      <c r="T97">
        <f t="shared" si="73"/>
        <v>24</v>
      </c>
      <c r="U97">
        <f t="shared" si="74"/>
        <v>13</v>
      </c>
      <c r="V97">
        <f t="shared" si="75"/>
        <v>4</v>
      </c>
      <c r="W97">
        <f t="shared" si="76"/>
        <v>7</v>
      </c>
      <c r="X97">
        <f t="shared" si="77"/>
        <v>6</v>
      </c>
      <c r="Y97">
        <f t="shared" si="78"/>
        <v>13</v>
      </c>
      <c r="Z97">
        <f t="shared" si="79"/>
        <v>0</v>
      </c>
      <c r="AA97">
        <f t="shared" si="80"/>
        <v>23</v>
      </c>
    </row>
    <row r="98" spans="1:27">
      <c r="A98">
        <f t="shared" si="106"/>
        <v>97</v>
      </c>
      <c r="B98">
        <f t="shared" si="55"/>
        <v>17</v>
      </c>
      <c r="C98">
        <f t="shared" si="56"/>
        <v>3</v>
      </c>
      <c r="D98">
        <f t="shared" si="57"/>
        <v>1</v>
      </c>
      <c r="E98">
        <f t="shared" si="58"/>
        <v>24</v>
      </c>
      <c r="F98">
        <f t="shared" si="59"/>
        <v>10</v>
      </c>
      <c r="G98">
        <f t="shared" si="60"/>
        <v>9</v>
      </c>
      <c r="H98">
        <f t="shared" si="61"/>
        <v>21</v>
      </c>
      <c r="I98">
        <f t="shared" si="62"/>
        <v>4</v>
      </c>
      <c r="J98">
        <f t="shared" si="63"/>
        <v>20</v>
      </c>
      <c r="K98">
        <f t="shared" si="64"/>
        <v>13</v>
      </c>
      <c r="L98">
        <f t="shared" si="65"/>
        <v>13</v>
      </c>
      <c r="M98">
        <f t="shared" si="66"/>
        <v>0</v>
      </c>
      <c r="N98">
        <f t="shared" si="67"/>
        <v>8</v>
      </c>
      <c r="O98">
        <f t="shared" si="68"/>
        <v>1</v>
      </c>
      <c r="P98">
        <f t="shared" si="69"/>
        <v>13</v>
      </c>
      <c r="Q98">
        <f t="shared" si="70"/>
        <v>0</v>
      </c>
      <c r="R98">
        <f t="shared" si="71"/>
        <v>4</v>
      </c>
      <c r="S98">
        <f t="shared" si="72"/>
        <v>11</v>
      </c>
      <c r="T98">
        <f t="shared" si="73"/>
        <v>9</v>
      </c>
      <c r="U98">
        <f t="shared" si="74"/>
        <v>22</v>
      </c>
      <c r="V98">
        <f t="shared" si="75"/>
        <v>0</v>
      </c>
      <c r="W98">
        <f t="shared" si="76"/>
        <v>7</v>
      </c>
      <c r="X98">
        <f t="shared" si="77"/>
        <v>13</v>
      </c>
      <c r="Y98">
        <f t="shared" si="78"/>
        <v>0</v>
      </c>
      <c r="Z98">
        <f t="shared" si="79"/>
        <v>0</v>
      </c>
      <c r="AA98">
        <f t="shared" si="80"/>
        <v>23</v>
      </c>
    </row>
    <row r="99" spans="1:27">
      <c r="A99">
        <f t="shared" si="106"/>
        <v>98</v>
      </c>
      <c r="B99">
        <f t="shared" si="55"/>
        <v>18</v>
      </c>
      <c r="C99">
        <f t="shared" si="56"/>
        <v>21</v>
      </c>
      <c r="D99">
        <f t="shared" si="57"/>
        <v>22</v>
      </c>
      <c r="E99">
        <f t="shared" si="58"/>
        <v>20</v>
      </c>
      <c r="F99">
        <f t="shared" si="59"/>
        <v>4</v>
      </c>
      <c r="G99">
        <f t="shared" si="60"/>
        <v>13</v>
      </c>
      <c r="H99">
        <f t="shared" si="61"/>
        <v>8</v>
      </c>
      <c r="I99">
        <f t="shared" si="62"/>
        <v>12</v>
      </c>
      <c r="J99">
        <f t="shared" si="63"/>
        <v>6</v>
      </c>
      <c r="K99">
        <f t="shared" si="64"/>
        <v>19</v>
      </c>
      <c r="L99">
        <f t="shared" si="65"/>
        <v>6</v>
      </c>
      <c r="M99">
        <f t="shared" si="66"/>
        <v>6</v>
      </c>
      <c r="N99">
        <f t="shared" si="67"/>
        <v>14</v>
      </c>
      <c r="O99">
        <f t="shared" si="68"/>
        <v>15</v>
      </c>
      <c r="P99">
        <f t="shared" si="69"/>
        <v>2</v>
      </c>
      <c r="Q99">
        <f t="shared" si="70"/>
        <v>2</v>
      </c>
      <c r="R99">
        <f t="shared" si="71"/>
        <v>6</v>
      </c>
      <c r="S99">
        <f t="shared" si="72"/>
        <v>17</v>
      </c>
      <c r="T99">
        <f t="shared" si="73"/>
        <v>0</v>
      </c>
      <c r="U99">
        <f t="shared" si="74"/>
        <v>22</v>
      </c>
      <c r="V99">
        <f t="shared" si="75"/>
        <v>22</v>
      </c>
      <c r="W99">
        <f t="shared" si="76"/>
        <v>3</v>
      </c>
      <c r="X99">
        <f t="shared" si="77"/>
        <v>16</v>
      </c>
      <c r="Y99">
        <f t="shared" si="78"/>
        <v>16</v>
      </c>
      <c r="Z99">
        <f t="shared" si="79"/>
        <v>16</v>
      </c>
      <c r="AA99">
        <f t="shared" si="80"/>
        <v>13</v>
      </c>
    </row>
    <row r="100" spans="1:27">
      <c r="A100">
        <f t="shared" si="106"/>
        <v>99</v>
      </c>
      <c r="B100">
        <f t="shared" si="55"/>
        <v>19</v>
      </c>
      <c r="C100">
        <f t="shared" si="56"/>
        <v>14</v>
      </c>
      <c r="D100">
        <f t="shared" si="57"/>
        <v>10</v>
      </c>
      <c r="E100">
        <f t="shared" si="58"/>
        <v>4</v>
      </c>
      <c r="F100">
        <f t="shared" si="59"/>
        <v>8</v>
      </c>
      <c r="G100">
        <f t="shared" si="60"/>
        <v>21</v>
      </c>
      <c r="H100">
        <f t="shared" si="61"/>
        <v>3</v>
      </c>
      <c r="I100">
        <f t="shared" si="62"/>
        <v>15</v>
      </c>
      <c r="J100">
        <f t="shared" si="63"/>
        <v>21</v>
      </c>
      <c r="K100">
        <f t="shared" si="64"/>
        <v>14</v>
      </c>
      <c r="L100">
        <f t="shared" si="65"/>
        <v>20</v>
      </c>
      <c r="M100">
        <f t="shared" si="66"/>
        <v>0</v>
      </c>
      <c r="N100">
        <f t="shared" si="67"/>
        <v>14</v>
      </c>
      <c r="O100">
        <f t="shared" si="68"/>
        <v>3</v>
      </c>
      <c r="P100">
        <f t="shared" si="69"/>
        <v>5</v>
      </c>
      <c r="Q100">
        <f t="shared" si="70"/>
        <v>7</v>
      </c>
      <c r="R100">
        <f t="shared" si="71"/>
        <v>13</v>
      </c>
      <c r="S100">
        <f t="shared" si="72"/>
        <v>4</v>
      </c>
      <c r="T100">
        <f t="shared" si="73"/>
        <v>4</v>
      </c>
      <c r="U100">
        <f t="shared" si="74"/>
        <v>0</v>
      </c>
      <c r="V100">
        <f t="shared" si="75"/>
        <v>22</v>
      </c>
      <c r="W100">
        <f t="shared" si="76"/>
        <v>25</v>
      </c>
      <c r="X100">
        <f t="shared" si="77"/>
        <v>15</v>
      </c>
      <c r="Y100">
        <f t="shared" si="78"/>
        <v>5</v>
      </c>
      <c r="Z100">
        <f t="shared" si="79"/>
        <v>21</v>
      </c>
      <c r="AA100">
        <f t="shared" si="80"/>
        <v>8</v>
      </c>
    </row>
  </sheetData>
  <phoneticPr fontId="2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37"/>
  <sheetViews>
    <sheetView workbookViewId="0">
      <selection activeCell="A37" sqref="A37"/>
    </sheetView>
  </sheetViews>
  <sheetFormatPr baseColWidth="10" defaultRowHeight="13"/>
  <cols>
    <col min="3" max="3" width="24.85546875" customWidth="1"/>
    <col min="6" max="6" width="12.28515625" customWidth="1"/>
    <col min="7" max="7" width="18" customWidth="1"/>
  </cols>
  <sheetData>
    <row r="1" spans="1:7" ht="14" thickBot="1">
      <c r="B1" t="s">
        <v>212</v>
      </c>
      <c r="C1" t="s">
        <v>214</v>
      </c>
      <c r="D1" t="s">
        <v>213</v>
      </c>
      <c r="E1" t="s">
        <v>214</v>
      </c>
      <c r="F1" t="s">
        <v>219</v>
      </c>
      <c r="G1" t="s">
        <v>215</v>
      </c>
    </row>
    <row r="2" spans="1:7" ht="17" thickBot="1">
      <c r="A2" s="29" t="s">
        <v>131</v>
      </c>
      <c r="B2" s="33">
        <f>C2/$C$28</f>
        <v>2.8190657982695436E-2</v>
      </c>
      <c r="C2" s="31">
        <v>20969421416</v>
      </c>
      <c r="D2" s="32">
        <v>1.2269938650306749E-2</v>
      </c>
      <c r="E2">
        <v>2</v>
      </c>
      <c r="F2" s="35">
        <f>B2*$E$28</f>
        <v>4.5950772511793563</v>
      </c>
      <c r="G2" s="34" t="s">
        <v>210</v>
      </c>
    </row>
    <row r="3" spans="1:7" ht="17" thickBot="1">
      <c r="A3" s="29" t="s">
        <v>122</v>
      </c>
      <c r="B3" s="33">
        <f t="shared" ref="B3:B27" si="0">C3/$C$28</f>
        <v>1.2298605371487486E-3</v>
      </c>
      <c r="C3" s="31">
        <v>914823056</v>
      </c>
      <c r="D3" s="32">
        <v>0</v>
      </c>
      <c r="E3">
        <v>0</v>
      </c>
      <c r="F3" s="35">
        <f t="shared" ref="F3:F27" si="1">B3*$E$28</f>
        <v>0.20046726755524602</v>
      </c>
      <c r="G3" t="s">
        <v>210</v>
      </c>
    </row>
    <row r="4" spans="1:7" ht="17" thickBot="1">
      <c r="A4" s="29" t="s">
        <v>136</v>
      </c>
      <c r="B4" s="33">
        <f t="shared" si="0"/>
        <v>6.032733417692576E-3</v>
      </c>
      <c r="C4" s="31">
        <v>4487406055</v>
      </c>
      <c r="D4" s="32">
        <v>6.1349693251533744E-3</v>
      </c>
      <c r="E4">
        <v>1</v>
      </c>
      <c r="F4" s="35">
        <f t="shared" si="1"/>
        <v>0.98333554708388993</v>
      </c>
      <c r="G4" t="s">
        <v>216</v>
      </c>
    </row>
    <row r="5" spans="1:7" ht="17" thickBot="1">
      <c r="A5" s="29" t="s">
        <v>132</v>
      </c>
      <c r="B5" s="33">
        <f t="shared" si="0"/>
        <v>9.9810950629655504E-2</v>
      </c>
      <c r="C5" s="31">
        <v>74243669196</v>
      </c>
      <c r="D5" s="32">
        <v>0.11042944785276074</v>
      </c>
      <c r="E5">
        <v>18</v>
      </c>
      <c r="F5" s="35">
        <f t="shared" si="1"/>
        <v>16.269184952633847</v>
      </c>
      <c r="G5" t="s">
        <v>210</v>
      </c>
    </row>
    <row r="6" spans="1:7" ht="17" thickBot="1">
      <c r="A6" s="29" t="s">
        <v>123</v>
      </c>
      <c r="B6" s="33">
        <f t="shared" si="0"/>
        <v>0.20134006864606535</v>
      </c>
      <c r="C6" s="31">
        <v>149765385042</v>
      </c>
      <c r="D6" s="32">
        <v>0.19631901840490798</v>
      </c>
      <c r="E6">
        <v>32</v>
      </c>
      <c r="F6" s="35">
        <f t="shared" si="1"/>
        <v>32.818431189308654</v>
      </c>
      <c r="G6" t="s">
        <v>210</v>
      </c>
    </row>
    <row r="7" spans="1:7" ht="17" thickBot="1">
      <c r="A7" s="29" t="s">
        <v>138</v>
      </c>
      <c r="B7" s="33">
        <f t="shared" si="0"/>
        <v>4.7142765505628043E-2</v>
      </c>
      <c r="C7" s="31">
        <v>35066812460</v>
      </c>
      <c r="D7" s="32">
        <v>3.0674846625766871E-2</v>
      </c>
      <c r="E7">
        <v>5</v>
      </c>
      <c r="F7" s="35">
        <f t="shared" si="1"/>
        <v>7.6842707774173711</v>
      </c>
      <c r="G7" t="s">
        <v>210</v>
      </c>
    </row>
    <row r="8" spans="1:7" ht="17" thickBot="1">
      <c r="A8" s="29" t="s">
        <v>134</v>
      </c>
      <c r="B8" s="33">
        <f t="shared" si="0"/>
        <v>2.9392075307755828E-2</v>
      </c>
      <c r="C8" s="31">
        <v>21863087190</v>
      </c>
      <c r="D8" s="32">
        <v>3.0674846625766871E-2</v>
      </c>
      <c r="E8">
        <v>5</v>
      </c>
      <c r="F8" s="35">
        <f t="shared" si="1"/>
        <v>4.7909082751641998</v>
      </c>
      <c r="G8" t="s">
        <v>217</v>
      </c>
    </row>
    <row r="9" spans="1:7" ht="17" thickBot="1">
      <c r="A9" s="29" t="s">
        <v>130</v>
      </c>
      <c r="B9" s="33">
        <f t="shared" si="0"/>
        <v>2.711869232156907E-2</v>
      </c>
      <c r="C9" s="31">
        <v>20172047346</v>
      </c>
      <c r="D9" s="32">
        <v>1.8404907975460124E-2</v>
      </c>
      <c r="E9">
        <v>3</v>
      </c>
      <c r="F9" s="35">
        <f t="shared" si="1"/>
        <v>4.4203468484157584</v>
      </c>
      <c r="G9" t="s">
        <v>211</v>
      </c>
    </row>
    <row r="10" spans="1:7" ht="17" thickBot="1">
      <c r="A10" s="29" t="s">
        <v>133</v>
      </c>
      <c r="B10" s="33">
        <f t="shared" si="0"/>
        <v>7.5206694802506507E-3</v>
      </c>
      <c r="C10" s="31">
        <v>5594196764</v>
      </c>
      <c r="D10" s="32">
        <v>1.2269938650306749E-2</v>
      </c>
      <c r="E10">
        <v>2</v>
      </c>
      <c r="F10" s="35">
        <f t="shared" si="1"/>
        <v>1.225869125280856</v>
      </c>
      <c r="G10" t="s">
        <v>218</v>
      </c>
    </row>
    <row r="11" spans="1:7" ht="17" thickBot="1">
      <c r="A11" s="29" t="s">
        <v>141</v>
      </c>
      <c r="B11" s="33">
        <f t="shared" si="0"/>
        <v>2.1689062590875619E-4</v>
      </c>
      <c r="C11" s="31">
        <v>161332557</v>
      </c>
      <c r="D11" s="32">
        <v>0</v>
      </c>
      <c r="E11">
        <v>0</v>
      </c>
      <c r="F11" s="35">
        <f t="shared" si="1"/>
        <v>3.5353172023127259E-2</v>
      </c>
      <c r="G11" t="s">
        <v>210</v>
      </c>
    </row>
    <row r="12" spans="1:7" ht="17" thickBot="1">
      <c r="A12" s="29" t="s">
        <v>112</v>
      </c>
      <c r="B12" s="33">
        <f t="shared" si="0"/>
        <v>8.0206020450986921E-3</v>
      </c>
      <c r="C12" s="31">
        <v>5966068064</v>
      </c>
      <c r="D12" s="32">
        <v>0</v>
      </c>
      <c r="E12">
        <v>0</v>
      </c>
      <c r="F12" s="35">
        <f t="shared" si="1"/>
        <v>1.3073581333510869</v>
      </c>
      <c r="G12" t="s">
        <v>217</v>
      </c>
    </row>
    <row r="13" spans="1:7" ht="17" thickBot="1">
      <c r="A13" s="36" t="s">
        <v>129</v>
      </c>
      <c r="B13" s="37">
        <f t="shared" si="0"/>
        <v>3.4645457514857966E-2</v>
      </c>
      <c r="C13" s="38">
        <v>25770778363</v>
      </c>
      <c r="D13" s="39">
        <v>0</v>
      </c>
      <c r="E13" s="40">
        <v>0</v>
      </c>
      <c r="F13" s="41">
        <f t="shared" si="1"/>
        <v>5.6472095749218489</v>
      </c>
      <c r="G13" s="40" t="s">
        <v>222</v>
      </c>
    </row>
    <row r="14" spans="1:7" ht="17" thickBot="1">
      <c r="A14" s="29" t="s">
        <v>110</v>
      </c>
      <c r="B14" s="33">
        <f t="shared" si="0"/>
        <v>1.655584323175905E-2</v>
      </c>
      <c r="C14" s="31">
        <v>12314946811</v>
      </c>
      <c r="D14" s="32">
        <v>1.8404907975460124E-2</v>
      </c>
      <c r="E14">
        <v>3</v>
      </c>
      <c r="F14" s="35">
        <f t="shared" si="1"/>
        <v>2.6986024467767251</v>
      </c>
      <c r="G14" t="s">
        <v>126</v>
      </c>
    </row>
    <row r="15" spans="1:7" ht="17" thickBot="1">
      <c r="A15" s="29" t="s">
        <v>126</v>
      </c>
      <c r="B15" s="33">
        <f t="shared" si="0"/>
        <v>9.3100445233670934E-2</v>
      </c>
      <c r="C15" s="31">
        <v>69252107252</v>
      </c>
      <c r="D15" s="32">
        <v>8.5889570552147243E-2</v>
      </c>
      <c r="E15">
        <v>14</v>
      </c>
      <c r="F15" s="35">
        <f t="shared" si="1"/>
        <v>15.175372573088362</v>
      </c>
      <c r="G15" t="s">
        <v>126</v>
      </c>
    </row>
    <row r="16" spans="1:7" ht="17" thickBot="1">
      <c r="A16" s="29" t="s">
        <v>137</v>
      </c>
      <c r="B16" s="33">
        <f t="shared" si="0"/>
        <v>4.1769715841420509E-2</v>
      </c>
      <c r="C16" s="31">
        <v>31070107496</v>
      </c>
      <c r="D16" s="32">
        <v>2.4539877300613498E-2</v>
      </c>
      <c r="E16">
        <v>4</v>
      </c>
      <c r="F16" s="35">
        <f t="shared" si="1"/>
        <v>6.808463682151543</v>
      </c>
      <c r="G16" t="s">
        <v>126</v>
      </c>
    </row>
    <row r="17" spans="1:7" ht="17" thickBot="1">
      <c r="A17" s="29" t="s">
        <v>107</v>
      </c>
      <c r="B17" s="33">
        <f t="shared" si="0"/>
        <v>5.414989232446832E-3</v>
      </c>
      <c r="C17" s="31">
        <v>4027901415</v>
      </c>
      <c r="D17" s="32">
        <v>0</v>
      </c>
      <c r="E17">
        <v>0</v>
      </c>
      <c r="F17" s="35">
        <f t="shared" si="1"/>
        <v>0.88264324488883361</v>
      </c>
      <c r="G17" t="s">
        <v>126</v>
      </c>
    </row>
    <row r="18" spans="1:7" ht="17" thickBot="1">
      <c r="A18" s="29" t="s">
        <v>139</v>
      </c>
      <c r="B18" s="33">
        <f t="shared" si="0"/>
        <v>1.2548409643900544E-4</v>
      </c>
      <c r="C18" s="31">
        <v>93340457</v>
      </c>
      <c r="D18" s="32">
        <v>6.1349693251533744E-3</v>
      </c>
      <c r="E18">
        <v>1</v>
      </c>
      <c r="F18" s="35">
        <f t="shared" si="1"/>
        <v>2.0453907719557886E-2</v>
      </c>
      <c r="G18" t="s">
        <v>126</v>
      </c>
    </row>
    <row r="19" spans="1:7" ht="17" thickBot="1">
      <c r="A19" s="29" t="s">
        <v>109</v>
      </c>
      <c r="B19" s="33">
        <f t="shared" si="0"/>
        <v>5.899335798353289E-2</v>
      </c>
      <c r="C19" s="31">
        <v>43881791800</v>
      </c>
      <c r="D19" s="32">
        <v>4.9079754601226995E-2</v>
      </c>
      <c r="E19">
        <v>8</v>
      </c>
      <c r="F19" s="35">
        <f t="shared" si="1"/>
        <v>9.6159173513158613</v>
      </c>
      <c r="G19" t="s">
        <v>126</v>
      </c>
    </row>
    <row r="20" spans="1:7" ht="17" thickBot="1">
      <c r="A20" s="29" t="s">
        <v>127</v>
      </c>
      <c r="B20" s="33">
        <f t="shared" si="0"/>
        <v>0.12902930857165781</v>
      </c>
      <c r="C20" s="31">
        <v>95977537953</v>
      </c>
      <c r="D20" s="32">
        <v>0.1411042944785276</v>
      </c>
      <c r="E20">
        <v>23</v>
      </c>
      <c r="F20" s="35">
        <f t="shared" si="1"/>
        <v>21.031777297180223</v>
      </c>
      <c r="G20" t="s">
        <v>126</v>
      </c>
    </row>
    <row r="21" spans="1:7" ht="17" thickBot="1">
      <c r="A21" s="29" t="s">
        <v>124</v>
      </c>
      <c r="B21" s="33">
        <f t="shared" si="0"/>
        <v>8.9707046258892864E-2</v>
      </c>
      <c r="C21" s="31">
        <v>66727951442</v>
      </c>
      <c r="D21" s="32">
        <v>0.10429447852760736</v>
      </c>
      <c r="E21">
        <v>17</v>
      </c>
      <c r="F21" s="35">
        <f t="shared" si="1"/>
        <v>14.622248540199537</v>
      </c>
      <c r="G21" t="s">
        <v>126</v>
      </c>
    </row>
    <row r="22" spans="1:7" ht="17" thickBot="1">
      <c r="A22" s="29" t="s">
        <v>128</v>
      </c>
      <c r="B22" s="33">
        <f t="shared" si="0"/>
        <v>3.8850320064656133E-3</v>
      </c>
      <c r="C22" s="31">
        <v>2889853561</v>
      </c>
      <c r="D22" s="32">
        <v>6.1349693251533744E-3</v>
      </c>
      <c r="E22">
        <v>1</v>
      </c>
      <c r="F22" s="35">
        <f t="shared" si="1"/>
        <v>0.63326021705389501</v>
      </c>
      <c r="G22" t="s">
        <v>126</v>
      </c>
    </row>
    <row r="23" spans="1:7" ht="17" thickBot="1">
      <c r="A23" s="29" t="s">
        <v>106</v>
      </c>
      <c r="B23" s="33">
        <f t="shared" si="0"/>
        <v>5.4827260939374037E-4</v>
      </c>
      <c r="C23" s="31">
        <v>407828700</v>
      </c>
      <c r="D23" s="32">
        <v>0</v>
      </c>
      <c r="E23">
        <v>0</v>
      </c>
      <c r="F23" s="35">
        <f t="shared" si="1"/>
        <v>8.9368435331179677E-2</v>
      </c>
      <c r="G23" t="s">
        <v>126</v>
      </c>
    </row>
    <row r="24" spans="1:7" ht="17" thickBot="1">
      <c r="A24" s="29" t="s">
        <v>125</v>
      </c>
      <c r="B24" s="33">
        <f t="shared" si="0"/>
        <v>8.2105888121422506E-3</v>
      </c>
      <c r="C24" s="31">
        <v>6107388376</v>
      </c>
      <c r="D24" s="32">
        <v>1.2269938650306749E-2</v>
      </c>
      <c r="E24">
        <v>2</v>
      </c>
      <c r="F24" s="35">
        <f t="shared" si="1"/>
        <v>1.3383259763791868</v>
      </c>
      <c r="G24" t="s">
        <v>221</v>
      </c>
    </row>
    <row r="25" spans="1:7" ht="17" thickBot="1">
      <c r="A25" s="29" t="s">
        <v>111</v>
      </c>
      <c r="B25" s="33">
        <f t="shared" si="0"/>
        <v>1.6509628970698747E-3</v>
      </c>
      <c r="C25" s="31">
        <v>1228057066</v>
      </c>
      <c r="D25" s="32">
        <v>4.2944785276073622E-2</v>
      </c>
      <c r="E25">
        <v>7</v>
      </c>
      <c r="F25" s="35">
        <f t="shared" si="1"/>
        <v>0.26910695222238956</v>
      </c>
      <c r="G25" t="s">
        <v>220</v>
      </c>
    </row>
    <row r="26" spans="1:7" ht="17" thickBot="1">
      <c r="A26" s="29" t="s">
        <v>105</v>
      </c>
      <c r="B26" s="33">
        <f t="shared" si="0"/>
        <v>6.0022494548563815E-2</v>
      </c>
      <c r="C26" s="31">
        <v>44647307750</v>
      </c>
      <c r="D26" s="32">
        <v>9.202453987730061E-2</v>
      </c>
      <c r="E26">
        <v>15</v>
      </c>
      <c r="F26" s="35">
        <f t="shared" si="1"/>
        <v>9.7836666114159012</v>
      </c>
      <c r="G26" t="s">
        <v>217</v>
      </c>
    </row>
    <row r="27" spans="1:7" ht="17" thickBot="1">
      <c r="A27" s="29" t="s">
        <v>142</v>
      </c>
      <c r="B27" s="33">
        <f t="shared" si="0"/>
        <v>3.2503466221819324E-4</v>
      </c>
      <c r="C27" s="31">
        <v>241774733</v>
      </c>
      <c r="D27" s="32">
        <v>0</v>
      </c>
      <c r="E27">
        <v>0</v>
      </c>
      <c r="F27" s="35">
        <f t="shared" si="1"/>
        <v>5.2980649941565497E-2</v>
      </c>
      <c r="G27" t="s">
        <v>211</v>
      </c>
    </row>
    <row r="28" spans="1:7">
      <c r="B28" s="32">
        <f>SUM(B2:B27)</f>
        <v>0.99999999999999989</v>
      </c>
      <c r="C28" s="30">
        <f>SUM(C2:C27)</f>
        <v>743842922321</v>
      </c>
      <c r="D28" s="32">
        <f>SUM(D2:D27)</f>
        <v>0.99999999999999989</v>
      </c>
      <c r="E28">
        <f>SUM(E2:E27)</f>
        <v>163</v>
      </c>
    </row>
    <row r="37" spans="1:1">
      <c r="A37">
        <f>137-92</f>
        <v>45</v>
      </c>
    </row>
  </sheetData>
  <sheetCalcPr fullCalcOnLoad="1"/>
  <sortState ref="A190:D369">
    <sortCondition ref="D190:D369"/>
  </sortState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81"/>
  <sheetViews>
    <sheetView tabSelected="1" workbookViewId="0">
      <selection activeCell="L36" sqref="L36"/>
    </sheetView>
  </sheetViews>
  <sheetFormatPr baseColWidth="10" defaultRowHeight="13"/>
  <cols>
    <col min="1" max="1" width="3" bestFit="1" customWidth="1"/>
    <col min="2" max="2" width="12.5703125" bestFit="1" customWidth="1"/>
    <col min="3" max="3" width="2.5703125" bestFit="1" customWidth="1"/>
    <col min="4" max="4" width="3" bestFit="1" customWidth="1"/>
    <col min="6" max="6" width="4" bestFit="1" customWidth="1"/>
    <col min="7" max="7" width="11.28515625" bestFit="1" customWidth="1"/>
    <col min="8" max="8" width="2.28515625" bestFit="1" customWidth="1"/>
    <col min="9" max="9" width="3" bestFit="1" customWidth="1"/>
  </cols>
  <sheetData>
    <row r="1" spans="1:23">
      <c r="L1" t="s">
        <v>285</v>
      </c>
      <c r="M1" t="s">
        <v>286</v>
      </c>
    </row>
    <row r="2" spans="1:23">
      <c r="A2">
        <v>14</v>
      </c>
      <c r="B2" t="s">
        <v>44</v>
      </c>
      <c r="C2" t="s">
        <v>124</v>
      </c>
      <c r="D2">
        <v>19</v>
      </c>
      <c r="F2">
        <v>89</v>
      </c>
      <c r="G2" t="s">
        <v>251</v>
      </c>
      <c r="H2" t="s">
        <v>105</v>
      </c>
      <c r="I2">
        <v>24</v>
      </c>
      <c r="J2">
        <f>MOD(D2+I2,26)</f>
        <v>17</v>
      </c>
      <c r="K2">
        <f>AVERAGE(J2:J25)</f>
        <v>14.25</v>
      </c>
      <c r="L2">
        <v>14</v>
      </c>
      <c r="M2">
        <v>19</v>
      </c>
      <c r="N2" t="str">
        <f>MID($A$80,ROW(A1),1)</f>
        <v>T</v>
      </c>
      <c r="O2" t="str">
        <f>MID($A$80,ROW(A1)+50,1)</f>
        <v>Y</v>
      </c>
      <c r="P2">
        <f>CODE(N2)-65</f>
        <v>19</v>
      </c>
      <c r="Q2">
        <f>CODE(O2)-65</f>
        <v>24</v>
      </c>
      <c r="R2">
        <f>MOD(L2+P2,26)</f>
        <v>7</v>
      </c>
      <c r="S2">
        <f>MOD(M2+Q2,26)</f>
        <v>17</v>
      </c>
      <c r="T2" t="str">
        <f>CHAR(R2+65)</f>
        <v>H</v>
      </c>
      <c r="U2" t="str">
        <f>CHAR(S2+65)</f>
        <v>R</v>
      </c>
      <c r="V2">
        <f>AVERAGE(P2:P25)</f>
        <v>11.125</v>
      </c>
      <c r="W2">
        <f>AVERAGE(Q2:Q25)</f>
        <v>11.083333333333334</v>
      </c>
    </row>
    <row r="3" spans="1:23">
      <c r="A3">
        <v>15</v>
      </c>
      <c r="B3" t="s">
        <v>45</v>
      </c>
      <c r="C3" t="s">
        <v>127</v>
      </c>
      <c r="D3">
        <v>18</v>
      </c>
      <c r="F3">
        <v>90</v>
      </c>
      <c r="G3" t="s">
        <v>252</v>
      </c>
      <c r="H3" t="s">
        <v>105</v>
      </c>
      <c r="I3">
        <v>24</v>
      </c>
      <c r="J3">
        <f t="shared" ref="J3:J66" si="0">MOD(D3+I3,26)</f>
        <v>16</v>
      </c>
      <c r="K3">
        <f t="shared" ref="K3:K53" si="1">AVERAGE(J3:J26)</f>
        <v>14</v>
      </c>
      <c r="L3">
        <v>1</v>
      </c>
      <c r="M3">
        <v>9</v>
      </c>
      <c r="N3" t="str">
        <f t="shared" ref="N3:N51" si="2">MID($A$80,ROW(A2),1)</f>
        <v>Y</v>
      </c>
      <c r="O3" t="str">
        <f t="shared" ref="O3:O51" si="3">MID($A$80,ROW(A2)+50,1)</f>
        <v>Y</v>
      </c>
      <c r="P3">
        <f t="shared" ref="P3:P51" si="4">CODE(N3)-65</f>
        <v>24</v>
      </c>
      <c r="Q3">
        <f t="shared" ref="Q3:Q51" si="5">CODE(O3)-65</f>
        <v>24</v>
      </c>
      <c r="R3">
        <f t="shared" ref="R3:R51" si="6">MOD(L3+P3,26)</f>
        <v>25</v>
      </c>
      <c r="S3">
        <f t="shared" ref="S3:S51" si="7">MOD(M3+Q3,26)</f>
        <v>7</v>
      </c>
      <c r="T3" t="str">
        <f t="shared" ref="T3:T51" si="8">CHAR(R3+65)</f>
        <v>Z</v>
      </c>
      <c r="U3" t="str">
        <f t="shared" ref="U3:U51" si="9">CHAR(S3+65)</f>
        <v>H</v>
      </c>
      <c r="V3">
        <f t="shared" ref="V3:V28" si="10">AVERAGE(P3:P26)</f>
        <v>10.5</v>
      </c>
      <c r="W3">
        <f t="shared" ref="W3:W28" si="11">AVERAGE(Q3:Q26)</f>
        <v>10.25</v>
      </c>
    </row>
    <row r="4" spans="1:23">
      <c r="A4">
        <v>16</v>
      </c>
      <c r="B4" t="s">
        <v>46</v>
      </c>
      <c r="C4" t="s">
        <v>105</v>
      </c>
      <c r="D4">
        <v>24</v>
      </c>
      <c r="F4">
        <v>91</v>
      </c>
      <c r="G4" t="s">
        <v>251</v>
      </c>
      <c r="H4" t="s">
        <v>105</v>
      </c>
      <c r="I4">
        <v>24</v>
      </c>
      <c r="J4">
        <f t="shared" si="0"/>
        <v>22</v>
      </c>
      <c r="K4">
        <f t="shared" si="1"/>
        <v>13.5</v>
      </c>
      <c r="L4">
        <v>10</v>
      </c>
      <c r="M4">
        <v>10</v>
      </c>
      <c r="N4" t="str">
        <f t="shared" si="2"/>
        <v>E</v>
      </c>
      <c r="O4" t="str">
        <f t="shared" si="3"/>
        <v>E</v>
      </c>
      <c r="P4">
        <f t="shared" si="4"/>
        <v>4</v>
      </c>
      <c r="Q4">
        <f t="shared" si="5"/>
        <v>4</v>
      </c>
      <c r="R4">
        <f t="shared" si="6"/>
        <v>14</v>
      </c>
      <c r="S4">
        <f t="shared" si="7"/>
        <v>14</v>
      </c>
      <c r="T4" t="str">
        <f t="shared" si="8"/>
        <v>O</v>
      </c>
      <c r="U4" t="str">
        <f t="shared" si="9"/>
        <v>O</v>
      </c>
      <c r="V4">
        <f t="shared" si="10"/>
        <v>10.458333333333334</v>
      </c>
      <c r="W4">
        <f t="shared" si="11"/>
        <v>9.4166666666666661</v>
      </c>
    </row>
    <row r="5" spans="1:23">
      <c r="A5">
        <v>17</v>
      </c>
      <c r="B5" t="s">
        <v>47</v>
      </c>
      <c r="C5" t="s">
        <v>123</v>
      </c>
      <c r="D5">
        <v>4</v>
      </c>
      <c r="F5">
        <v>92</v>
      </c>
      <c r="G5" t="s">
        <v>78</v>
      </c>
      <c r="H5" t="s">
        <v>123</v>
      </c>
      <c r="I5">
        <v>4</v>
      </c>
      <c r="J5">
        <f t="shared" si="0"/>
        <v>8</v>
      </c>
      <c r="K5">
        <f t="shared" si="1"/>
        <v>12.791666666666666</v>
      </c>
      <c r="L5">
        <v>17</v>
      </c>
      <c r="M5">
        <v>11</v>
      </c>
      <c r="N5" t="str">
        <f t="shared" si="2"/>
        <v>T</v>
      </c>
      <c r="O5" t="str">
        <f t="shared" si="3"/>
        <v>F</v>
      </c>
      <c r="P5">
        <f t="shared" si="4"/>
        <v>19</v>
      </c>
      <c r="Q5">
        <f t="shared" si="5"/>
        <v>5</v>
      </c>
      <c r="R5">
        <f t="shared" si="6"/>
        <v>10</v>
      </c>
      <c r="S5">
        <f t="shared" si="7"/>
        <v>16</v>
      </c>
      <c r="T5" t="str">
        <f t="shared" si="8"/>
        <v>K</v>
      </c>
      <c r="U5" t="str">
        <f t="shared" si="9"/>
        <v>Q</v>
      </c>
      <c r="V5">
        <f t="shared" si="10"/>
        <v>10.875</v>
      </c>
      <c r="W5">
        <f t="shared" si="11"/>
        <v>9.5833333333333339</v>
      </c>
    </row>
    <row r="6" spans="1:23">
      <c r="A6">
        <v>18</v>
      </c>
      <c r="B6" t="s">
        <v>48</v>
      </c>
      <c r="C6" t="s">
        <v>127</v>
      </c>
      <c r="D6">
        <v>18</v>
      </c>
      <c r="F6">
        <v>93</v>
      </c>
      <c r="G6" t="s">
        <v>175</v>
      </c>
      <c r="H6" t="s">
        <v>127</v>
      </c>
      <c r="I6">
        <v>18</v>
      </c>
      <c r="J6">
        <f t="shared" si="0"/>
        <v>10</v>
      </c>
      <c r="K6">
        <f t="shared" si="1"/>
        <v>12.541666666666666</v>
      </c>
      <c r="L6">
        <v>20</v>
      </c>
      <c r="M6">
        <v>20</v>
      </c>
      <c r="N6" t="str">
        <f t="shared" si="2"/>
        <v>E</v>
      </c>
      <c r="O6" t="str">
        <f t="shared" si="3"/>
        <v>E</v>
      </c>
      <c r="P6">
        <f t="shared" si="4"/>
        <v>4</v>
      </c>
      <c r="Q6">
        <f t="shared" si="5"/>
        <v>4</v>
      </c>
      <c r="R6">
        <f t="shared" si="6"/>
        <v>24</v>
      </c>
      <c r="S6">
        <f t="shared" si="7"/>
        <v>24</v>
      </c>
      <c r="T6" t="str">
        <f t="shared" si="8"/>
        <v>Y</v>
      </c>
      <c r="U6" t="str">
        <f t="shared" si="9"/>
        <v>Y</v>
      </c>
      <c r="V6">
        <f t="shared" si="10"/>
        <v>10.25</v>
      </c>
      <c r="W6">
        <f t="shared" si="11"/>
        <v>9.5416666666666661</v>
      </c>
    </row>
    <row r="7" spans="1:23">
      <c r="A7">
        <v>19</v>
      </c>
      <c r="B7" t="s">
        <v>49</v>
      </c>
      <c r="C7" t="s">
        <v>124</v>
      </c>
      <c r="D7">
        <v>19</v>
      </c>
      <c r="F7">
        <v>94</v>
      </c>
      <c r="G7" t="s">
        <v>39</v>
      </c>
      <c r="H7" t="s">
        <v>138</v>
      </c>
      <c r="I7">
        <v>5</v>
      </c>
      <c r="J7">
        <f t="shared" si="0"/>
        <v>24</v>
      </c>
      <c r="K7">
        <f t="shared" si="1"/>
        <v>12.666666666666666</v>
      </c>
      <c r="L7">
        <v>14</v>
      </c>
      <c r="M7">
        <v>3</v>
      </c>
      <c r="N7" t="str">
        <f t="shared" si="2"/>
        <v>D</v>
      </c>
      <c r="O7" t="str">
        <f t="shared" si="3"/>
        <v>T</v>
      </c>
      <c r="P7">
        <f t="shared" si="4"/>
        <v>3</v>
      </c>
      <c r="Q7">
        <f t="shared" si="5"/>
        <v>19</v>
      </c>
      <c r="R7">
        <f t="shared" si="6"/>
        <v>17</v>
      </c>
      <c r="S7">
        <f t="shared" si="7"/>
        <v>22</v>
      </c>
      <c r="T7" t="str">
        <f t="shared" si="8"/>
        <v>R</v>
      </c>
      <c r="U7" t="str">
        <f t="shared" si="9"/>
        <v>W</v>
      </c>
      <c r="V7">
        <f t="shared" si="10"/>
        <v>10.875</v>
      </c>
      <c r="W7">
        <f t="shared" si="11"/>
        <v>9.5416666666666661</v>
      </c>
    </row>
    <row r="8" spans="1:23">
      <c r="A8">
        <v>20</v>
      </c>
      <c r="B8" t="s">
        <v>0</v>
      </c>
      <c r="C8" t="s">
        <v>123</v>
      </c>
      <c r="D8">
        <v>4</v>
      </c>
      <c r="F8">
        <v>95</v>
      </c>
      <c r="G8" t="s">
        <v>176</v>
      </c>
      <c r="H8" t="s">
        <v>123</v>
      </c>
      <c r="I8">
        <v>4</v>
      </c>
      <c r="J8">
        <f t="shared" si="0"/>
        <v>8</v>
      </c>
      <c r="K8">
        <f t="shared" si="1"/>
        <v>12.166666666666666</v>
      </c>
      <c r="L8">
        <v>23</v>
      </c>
      <c r="M8">
        <v>8</v>
      </c>
      <c r="N8" t="str">
        <f t="shared" si="2"/>
        <v>E</v>
      </c>
      <c r="O8" t="str">
        <f t="shared" si="3"/>
        <v>D</v>
      </c>
      <c r="P8">
        <f t="shared" si="4"/>
        <v>4</v>
      </c>
      <c r="Q8">
        <f t="shared" si="5"/>
        <v>3</v>
      </c>
      <c r="R8">
        <f t="shared" si="6"/>
        <v>1</v>
      </c>
      <c r="S8">
        <f t="shared" si="7"/>
        <v>11</v>
      </c>
      <c r="T8" t="str">
        <f t="shared" si="8"/>
        <v>B</v>
      </c>
      <c r="U8" t="str">
        <f t="shared" si="9"/>
        <v>L</v>
      </c>
      <c r="V8">
        <f t="shared" si="10"/>
        <v>11.75</v>
      </c>
      <c r="W8">
        <f t="shared" si="11"/>
        <v>8.875</v>
      </c>
    </row>
    <row r="9" spans="1:23">
      <c r="A9">
        <v>21</v>
      </c>
      <c r="B9" t="s">
        <v>50</v>
      </c>
      <c r="C9" t="s">
        <v>105</v>
      </c>
      <c r="D9">
        <v>24</v>
      </c>
      <c r="F9">
        <v>96</v>
      </c>
      <c r="G9" t="s">
        <v>177</v>
      </c>
      <c r="H9" t="s">
        <v>127</v>
      </c>
      <c r="I9">
        <v>18</v>
      </c>
      <c r="J9">
        <f t="shared" si="0"/>
        <v>16</v>
      </c>
      <c r="K9">
        <f t="shared" si="1"/>
        <v>12.708333333333334</v>
      </c>
      <c r="L9">
        <v>14</v>
      </c>
      <c r="M9">
        <v>0</v>
      </c>
      <c r="N9" t="str">
        <f t="shared" si="2"/>
        <v>C</v>
      </c>
      <c r="O9" t="str">
        <f t="shared" si="3"/>
        <v>R</v>
      </c>
      <c r="P9">
        <f t="shared" si="4"/>
        <v>2</v>
      </c>
      <c r="Q9">
        <f t="shared" si="5"/>
        <v>17</v>
      </c>
      <c r="R9">
        <f t="shared" si="6"/>
        <v>16</v>
      </c>
      <c r="S9">
        <f t="shared" si="7"/>
        <v>17</v>
      </c>
      <c r="T9" t="str">
        <f t="shared" si="8"/>
        <v>Q</v>
      </c>
      <c r="U9" t="str">
        <f t="shared" si="9"/>
        <v>R</v>
      </c>
      <c r="V9">
        <f t="shared" si="10"/>
        <v>12.5</v>
      </c>
      <c r="W9">
        <f t="shared" si="11"/>
        <v>9.2916666666666661</v>
      </c>
    </row>
    <row r="10" spans="1:23">
      <c r="A10">
        <v>22</v>
      </c>
      <c r="B10" t="s">
        <v>51</v>
      </c>
      <c r="C10" t="s">
        <v>132</v>
      </c>
      <c r="D10">
        <v>3</v>
      </c>
      <c r="F10">
        <v>97</v>
      </c>
      <c r="G10" t="s">
        <v>49</v>
      </c>
      <c r="H10" t="s">
        <v>124</v>
      </c>
      <c r="I10">
        <v>19</v>
      </c>
      <c r="J10">
        <f t="shared" si="0"/>
        <v>22</v>
      </c>
      <c r="K10">
        <f t="shared" si="1"/>
        <v>12.666666666666666</v>
      </c>
      <c r="L10">
        <v>6</v>
      </c>
      <c r="M10">
        <v>22</v>
      </c>
      <c r="N10" t="str">
        <f t="shared" si="2"/>
        <v>D</v>
      </c>
      <c r="O10" t="str">
        <f t="shared" si="3"/>
        <v>T</v>
      </c>
      <c r="P10">
        <f t="shared" si="4"/>
        <v>3</v>
      </c>
      <c r="Q10">
        <f t="shared" si="5"/>
        <v>19</v>
      </c>
      <c r="R10">
        <f t="shared" si="6"/>
        <v>9</v>
      </c>
      <c r="S10">
        <f t="shared" si="7"/>
        <v>15</v>
      </c>
      <c r="T10" t="str">
        <f t="shared" si="8"/>
        <v>J</v>
      </c>
      <c r="U10" t="str">
        <f t="shared" si="9"/>
        <v>P</v>
      </c>
      <c r="V10">
        <f t="shared" si="10"/>
        <v>13.166666666666666</v>
      </c>
      <c r="W10">
        <f t="shared" si="11"/>
        <v>9.375</v>
      </c>
    </row>
    <row r="11" spans="1:23">
      <c r="A11">
        <v>23</v>
      </c>
      <c r="B11" t="s">
        <v>78</v>
      </c>
      <c r="C11" t="s">
        <v>123</v>
      </c>
      <c r="D11">
        <v>4</v>
      </c>
      <c r="F11">
        <v>98</v>
      </c>
      <c r="G11" t="s">
        <v>178</v>
      </c>
      <c r="H11" t="s">
        <v>132</v>
      </c>
      <c r="I11">
        <v>3</v>
      </c>
      <c r="J11">
        <f t="shared" si="0"/>
        <v>7</v>
      </c>
      <c r="K11">
        <f t="shared" si="1"/>
        <v>12</v>
      </c>
      <c r="L11">
        <v>7</v>
      </c>
      <c r="M11">
        <v>8</v>
      </c>
      <c r="N11" t="str">
        <f t="shared" si="2"/>
        <v>E</v>
      </c>
      <c r="O11" t="str">
        <f t="shared" si="3"/>
        <v>E</v>
      </c>
      <c r="P11">
        <f t="shared" si="4"/>
        <v>4</v>
      </c>
      <c r="Q11">
        <f t="shared" si="5"/>
        <v>4</v>
      </c>
      <c r="R11">
        <f t="shared" si="6"/>
        <v>11</v>
      </c>
      <c r="S11">
        <f t="shared" si="7"/>
        <v>12</v>
      </c>
      <c r="T11" t="str">
        <f t="shared" si="8"/>
        <v>L</v>
      </c>
      <c r="U11" t="str">
        <f t="shared" si="9"/>
        <v>M</v>
      </c>
      <c r="V11">
        <f t="shared" si="10"/>
        <v>13.791666666666666</v>
      </c>
      <c r="W11">
        <f t="shared" si="11"/>
        <v>9.2916666666666661</v>
      </c>
    </row>
    <row r="12" spans="1:23">
      <c r="A12">
        <v>24</v>
      </c>
      <c r="B12" t="s">
        <v>52</v>
      </c>
      <c r="C12" t="s">
        <v>127</v>
      </c>
      <c r="D12">
        <v>18</v>
      </c>
      <c r="F12">
        <v>99</v>
      </c>
      <c r="G12" t="s">
        <v>78</v>
      </c>
      <c r="H12" t="s">
        <v>123</v>
      </c>
      <c r="I12">
        <v>4</v>
      </c>
      <c r="J12">
        <f t="shared" si="0"/>
        <v>22</v>
      </c>
      <c r="K12">
        <f t="shared" si="1"/>
        <v>11.916666666666666</v>
      </c>
      <c r="L12">
        <v>20</v>
      </c>
      <c r="M12">
        <v>13</v>
      </c>
      <c r="N12" t="str">
        <f t="shared" si="2"/>
        <v>N</v>
      </c>
      <c r="O12" t="str">
        <f t="shared" si="3"/>
        <v>Y</v>
      </c>
      <c r="P12">
        <f t="shared" si="4"/>
        <v>13</v>
      </c>
      <c r="Q12">
        <f t="shared" si="5"/>
        <v>24</v>
      </c>
      <c r="R12">
        <f t="shared" si="6"/>
        <v>7</v>
      </c>
      <c r="S12">
        <f t="shared" si="7"/>
        <v>11</v>
      </c>
      <c r="T12" t="str">
        <f t="shared" si="8"/>
        <v>H</v>
      </c>
      <c r="U12" t="str">
        <f t="shared" si="9"/>
        <v>L</v>
      </c>
      <c r="V12">
        <f t="shared" si="10"/>
        <v>13.791666666666666</v>
      </c>
      <c r="W12">
        <f t="shared" si="11"/>
        <v>9.625</v>
      </c>
    </row>
    <row r="13" spans="1:23">
      <c r="A13">
        <v>25</v>
      </c>
      <c r="B13" t="s">
        <v>53</v>
      </c>
      <c r="C13" t="s">
        <v>136</v>
      </c>
      <c r="D13">
        <v>2</v>
      </c>
      <c r="F13">
        <v>100</v>
      </c>
      <c r="G13" t="s">
        <v>179</v>
      </c>
      <c r="H13" t="s">
        <v>109</v>
      </c>
      <c r="I13">
        <v>17</v>
      </c>
      <c r="J13">
        <f t="shared" si="0"/>
        <v>19</v>
      </c>
      <c r="K13">
        <f t="shared" si="1"/>
        <v>11.375</v>
      </c>
      <c r="L13">
        <v>11</v>
      </c>
      <c r="M13">
        <v>5</v>
      </c>
      <c r="N13" t="str">
        <f t="shared" si="2"/>
        <v>D</v>
      </c>
      <c r="O13" t="str">
        <f t="shared" si="3"/>
        <v>D</v>
      </c>
      <c r="P13">
        <f t="shared" si="4"/>
        <v>3</v>
      </c>
      <c r="Q13">
        <f t="shared" si="5"/>
        <v>3</v>
      </c>
      <c r="R13">
        <f t="shared" si="6"/>
        <v>14</v>
      </c>
      <c r="S13">
        <f t="shared" si="7"/>
        <v>8</v>
      </c>
      <c r="T13" t="str">
        <f t="shared" si="8"/>
        <v>O</v>
      </c>
      <c r="U13" t="str">
        <f t="shared" si="9"/>
        <v>I</v>
      </c>
      <c r="V13">
        <f t="shared" si="10"/>
        <v>14.208333333333334</v>
      </c>
      <c r="W13">
        <f t="shared" si="11"/>
        <v>8.7916666666666661</v>
      </c>
    </row>
    <row r="14" spans="1:23">
      <c r="A14">
        <v>26</v>
      </c>
      <c r="B14" t="s">
        <v>54</v>
      </c>
      <c r="C14" t="s">
        <v>132</v>
      </c>
      <c r="D14">
        <v>3</v>
      </c>
      <c r="F14">
        <v>101</v>
      </c>
      <c r="G14" t="s">
        <v>180</v>
      </c>
      <c r="H14" t="s">
        <v>124</v>
      </c>
      <c r="I14">
        <v>19</v>
      </c>
      <c r="J14">
        <f t="shared" si="0"/>
        <v>22</v>
      </c>
      <c r="K14">
        <f t="shared" si="1"/>
        <v>11.541666666666666</v>
      </c>
      <c r="L14">
        <v>1</v>
      </c>
      <c r="M14">
        <v>1</v>
      </c>
      <c r="N14" t="str">
        <f t="shared" si="2"/>
        <v>D</v>
      </c>
      <c r="O14" t="str">
        <f t="shared" si="3"/>
        <v>H</v>
      </c>
      <c r="P14">
        <f t="shared" si="4"/>
        <v>3</v>
      </c>
      <c r="Q14">
        <f t="shared" si="5"/>
        <v>7</v>
      </c>
      <c r="R14">
        <f t="shared" si="6"/>
        <v>4</v>
      </c>
      <c r="S14">
        <f t="shared" si="7"/>
        <v>8</v>
      </c>
      <c r="T14" t="str">
        <f t="shared" si="8"/>
        <v>E</v>
      </c>
      <c r="U14" t="str">
        <f t="shared" si="9"/>
        <v>I</v>
      </c>
      <c r="V14">
        <f t="shared" si="10"/>
        <v>14.875</v>
      </c>
      <c r="W14">
        <f t="shared" si="11"/>
        <v>8.7916666666666661</v>
      </c>
    </row>
    <row r="15" spans="1:23">
      <c r="A15">
        <v>27</v>
      </c>
      <c r="B15" t="s">
        <v>111</v>
      </c>
      <c r="C15" t="s">
        <v>111</v>
      </c>
      <c r="D15">
        <v>23</v>
      </c>
      <c r="F15">
        <v>102</v>
      </c>
      <c r="G15" t="s">
        <v>39</v>
      </c>
      <c r="H15" t="s">
        <v>138</v>
      </c>
      <c r="I15">
        <v>5</v>
      </c>
      <c r="J15">
        <f t="shared" si="0"/>
        <v>2</v>
      </c>
      <c r="K15">
        <f t="shared" si="1"/>
        <v>10.958333333333334</v>
      </c>
      <c r="L15">
        <v>18</v>
      </c>
      <c r="M15">
        <v>13</v>
      </c>
      <c r="N15" t="str">
        <f t="shared" si="2"/>
        <v>D</v>
      </c>
      <c r="O15" t="str">
        <f t="shared" si="3"/>
        <v>S</v>
      </c>
      <c r="P15">
        <f t="shared" si="4"/>
        <v>3</v>
      </c>
      <c r="Q15">
        <f t="shared" si="5"/>
        <v>18</v>
      </c>
      <c r="R15">
        <f t="shared" si="6"/>
        <v>21</v>
      </c>
      <c r="S15">
        <f t="shared" si="7"/>
        <v>5</v>
      </c>
      <c r="T15" t="str">
        <f t="shared" si="8"/>
        <v>V</v>
      </c>
      <c r="U15" t="str">
        <f t="shared" si="9"/>
        <v>F</v>
      </c>
      <c r="V15">
        <f t="shared" si="10"/>
        <v>15.5</v>
      </c>
      <c r="W15">
        <f t="shared" si="11"/>
        <v>8.6666666666666661</v>
      </c>
    </row>
    <row r="16" spans="1:23">
      <c r="A16">
        <v>28</v>
      </c>
      <c r="B16" t="s">
        <v>78</v>
      </c>
      <c r="C16" t="s">
        <v>123</v>
      </c>
      <c r="D16">
        <v>4</v>
      </c>
      <c r="F16">
        <v>103</v>
      </c>
      <c r="G16" t="s">
        <v>78</v>
      </c>
      <c r="H16" t="s">
        <v>123</v>
      </c>
      <c r="I16">
        <v>4</v>
      </c>
      <c r="J16">
        <f t="shared" si="0"/>
        <v>8</v>
      </c>
      <c r="K16">
        <f t="shared" si="1"/>
        <v>11.041666666666666</v>
      </c>
      <c r="L16">
        <v>14</v>
      </c>
      <c r="M16">
        <v>24</v>
      </c>
      <c r="N16" t="str">
        <f t="shared" si="2"/>
        <v>O</v>
      </c>
      <c r="O16" t="str">
        <f t="shared" si="3"/>
        <v>I</v>
      </c>
      <c r="P16">
        <f t="shared" si="4"/>
        <v>14</v>
      </c>
      <c r="Q16">
        <f t="shared" si="5"/>
        <v>8</v>
      </c>
      <c r="R16">
        <f t="shared" si="6"/>
        <v>2</v>
      </c>
      <c r="S16">
        <f t="shared" si="7"/>
        <v>6</v>
      </c>
      <c r="T16" t="str">
        <f t="shared" si="8"/>
        <v>C</v>
      </c>
      <c r="U16" t="str">
        <f t="shared" si="9"/>
        <v>G</v>
      </c>
      <c r="V16">
        <f t="shared" si="10"/>
        <v>15.916666666666666</v>
      </c>
      <c r="W16">
        <f t="shared" si="11"/>
        <v>8.5</v>
      </c>
    </row>
    <row r="17" spans="1:23">
      <c r="A17">
        <v>29</v>
      </c>
      <c r="B17" t="s">
        <v>55</v>
      </c>
      <c r="C17" t="s">
        <v>126</v>
      </c>
      <c r="D17">
        <v>13</v>
      </c>
      <c r="F17">
        <v>104</v>
      </c>
      <c r="G17" t="s">
        <v>181</v>
      </c>
      <c r="H17" t="s">
        <v>105</v>
      </c>
      <c r="I17">
        <v>24</v>
      </c>
      <c r="J17">
        <f t="shared" si="0"/>
        <v>11</v>
      </c>
      <c r="K17">
        <f t="shared" si="1"/>
        <v>10.75</v>
      </c>
      <c r="L17">
        <v>11</v>
      </c>
      <c r="M17">
        <v>15</v>
      </c>
      <c r="N17" t="str">
        <f t="shared" si="2"/>
        <v>N</v>
      </c>
      <c r="O17" t="str">
        <f t="shared" si="3"/>
        <v>A</v>
      </c>
      <c r="P17">
        <f t="shared" si="4"/>
        <v>13</v>
      </c>
      <c r="Q17">
        <f t="shared" si="5"/>
        <v>0</v>
      </c>
      <c r="R17">
        <f t="shared" si="6"/>
        <v>24</v>
      </c>
      <c r="S17">
        <f t="shared" si="7"/>
        <v>15</v>
      </c>
      <c r="T17" t="str">
        <f t="shared" si="8"/>
        <v>Y</v>
      </c>
      <c r="U17" t="str">
        <f t="shared" si="9"/>
        <v>P</v>
      </c>
      <c r="V17">
        <f t="shared" si="10"/>
        <v>16.083333333333332</v>
      </c>
      <c r="W17">
        <f t="shared" si="11"/>
        <v>8.875</v>
      </c>
    </row>
    <row r="18" spans="1:23">
      <c r="A18">
        <v>30</v>
      </c>
      <c r="B18" t="s">
        <v>45</v>
      </c>
      <c r="C18" t="s">
        <v>127</v>
      </c>
      <c r="D18">
        <v>18</v>
      </c>
      <c r="F18">
        <v>105</v>
      </c>
      <c r="G18" t="s">
        <v>45</v>
      </c>
      <c r="H18" t="s">
        <v>127</v>
      </c>
      <c r="I18">
        <v>18</v>
      </c>
      <c r="J18">
        <f t="shared" si="0"/>
        <v>10</v>
      </c>
      <c r="K18">
        <f t="shared" si="1"/>
        <v>11.208333333333334</v>
      </c>
      <c r="L18">
        <v>8</v>
      </c>
      <c r="M18">
        <v>21</v>
      </c>
      <c r="N18" t="str">
        <f t="shared" si="2"/>
        <v>N</v>
      </c>
      <c r="O18" t="str">
        <f t="shared" si="3"/>
        <v>Y</v>
      </c>
      <c r="P18">
        <f t="shared" si="4"/>
        <v>13</v>
      </c>
      <c r="Q18">
        <f t="shared" si="5"/>
        <v>24</v>
      </c>
      <c r="R18">
        <f t="shared" si="6"/>
        <v>21</v>
      </c>
      <c r="S18">
        <f t="shared" si="7"/>
        <v>19</v>
      </c>
      <c r="T18" t="str">
        <f t="shared" si="8"/>
        <v>V</v>
      </c>
      <c r="U18" t="str">
        <f t="shared" si="9"/>
        <v>T</v>
      </c>
      <c r="V18">
        <f t="shared" si="10"/>
        <v>16.333333333333332</v>
      </c>
      <c r="W18">
        <f t="shared" si="11"/>
        <v>9.875</v>
      </c>
    </row>
    <row r="19" spans="1:23">
      <c r="A19">
        <v>31</v>
      </c>
      <c r="B19" t="s">
        <v>56</v>
      </c>
      <c r="C19" t="s">
        <v>132</v>
      </c>
      <c r="D19">
        <v>3</v>
      </c>
      <c r="F19">
        <v>106</v>
      </c>
      <c r="G19" t="s">
        <v>182</v>
      </c>
      <c r="H19" t="s">
        <v>132</v>
      </c>
      <c r="I19">
        <v>3</v>
      </c>
      <c r="J19">
        <f t="shared" si="0"/>
        <v>6</v>
      </c>
      <c r="K19">
        <f t="shared" si="1"/>
        <v>11.666666666666666</v>
      </c>
      <c r="L19">
        <v>5</v>
      </c>
      <c r="M19">
        <v>19</v>
      </c>
      <c r="N19" t="str">
        <f t="shared" si="2"/>
        <v>S</v>
      </c>
      <c r="O19" t="str">
        <f t="shared" si="3"/>
        <v>N</v>
      </c>
      <c r="P19">
        <f t="shared" si="4"/>
        <v>18</v>
      </c>
      <c r="Q19">
        <f t="shared" si="5"/>
        <v>13</v>
      </c>
      <c r="R19">
        <f t="shared" si="6"/>
        <v>23</v>
      </c>
      <c r="S19">
        <f t="shared" si="7"/>
        <v>6</v>
      </c>
      <c r="T19" t="str">
        <f t="shared" si="8"/>
        <v>X</v>
      </c>
      <c r="U19" t="str">
        <f t="shared" si="9"/>
        <v>G</v>
      </c>
      <c r="V19">
        <f t="shared" si="10"/>
        <v>15.958333333333334</v>
      </c>
      <c r="W19">
        <f t="shared" si="11"/>
        <v>9.625</v>
      </c>
    </row>
    <row r="20" spans="1:23">
      <c r="A20">
        <v>32</v>
      </c>
      <c r="B20" t="s">
        <v>77</v>
      </c>
      <c r="C20" t="s">
        <v>132</v>
      </c>
      <c r="D20">
        <v>3</v>
      </c>
      <c r="F20">
        <v>107</v>
      </c>
      <c r="G20" t="s">
        <v>183</v>
      </c>
      <c r="H20" t="s">
        <v>130</v>
      </c>
      <c r="I20">
        <v>7</v>
      </c>
      <c r="J20">
        <f t="shared" si="0"/>
        <v>10</v>
      </c>
      <c r="K20">
        <f t="shared" si="1"/>
        <v>11.75</v>
      </c>
      <c r="L20">
        <v>1</v>
      </c>
      <c r="M20">
        <v>19</v>
      </c>
      <c r="N20" t="str">
        <f t="shared" si="2"/>
        <v>Y</v>
      </c>
      <c r="O20" t="str">
        <f t="shared" si="3"/>
        <v>E</v>
      </c>
      <c r="P20">
        <f t="shared" si="4"/>
        <v>24</v>
      </c>
      <c r="Q20">
        <f t="shared" si="5"/>
        <v>4</v>
      </c>
      <c r="R20">
        <f t="shared" si="6"/>
        <v>25</v>
      </c>
      <c r="S20">
        <f t="shared" si="7"/>
        <v>23</v>
      </c>
      <c r="T20" t="str">
        <f t="shared" si="8"/>
        <v>Z</v>
      </c>
      <c r="U20" t="str">
        <f t="shared" si="9"/>
        <v>X</v>
      </c>
      <c r="V20">
        <f t="shared" si="10"/>
        <v>15.5</v>
      </c>
      <c r="W20">
        <f t="shared" si="11"/>
        <v>9.25</v>
      </c>
    </row>
    <row r="21" spans="1:23">
      <c r="A21">
        <v>33</v>
      </c>
      <c r="B21" t="s">
        <v>311</v>
      </c>
      <c r="C21" t="s">
        <v>132</v>
      </c>
      <c r="D21">
        <v>3</v>
      </c>
      <c r="F21">
        <v>108</v>
      </c>
      <c r="G21" t="s">
        <v>184</v>
      </c>
      <c r="H21" t="s">
        <v>134</v>
      </c>
      <c r="I21">
        <v>6</v>
      </c>
      <c r="J21">
        <f t="shared" si="0"/>
        <v>9</v>
      </c>
      <c r="K21">
        <f t="shared" si="1"/>
        <v>12.291666666666666</v>
      </c>
      <c r="L21">
        <v>1</v>
      </c>
      <c r="M21">
        <v>12</v>
      </c>
      <c r="N21" t="str">
        <f t="shared" si="2"/>
        <v>T</v>
      </c>
      <c r="O21" t="str">
        <f t="shared" si="3"/>
        <v>T</v>
      </c>
      <c r="P21">
        <f t="shared" si="4"/>
        <v>19</v>
      </c>
      <c r="Q21">
        <f t="shared" si="5"/>
        <v>19</v>
      </c>
      <c r="R21">
        <f t="shared" si="6"/>
        <v>20</v>
      </c>
      <c r="S21">
        <f t="shared" si="7"/>
        <v>5</v>
      </c>
      <c r="T21" t="str">
        <f t="shared" si="8"/>
        <v>U</v>
      </c>
      <c r="U21" t="str">
        <f t="shared" si="9"/>
        <v>F</v>
      </c>
      <c r="V21">
        <f t="shared" si="10"/>
        <v>15.5</v>
      </c>
      <c r="W21">
        <f t="shared" si="11"/>
        <v>9.5833333333333339</v>
      </c>
    </row>
    <row r="22" spans="1:23">
      <c r="A22">
        <v>34</v>
      </c>
      <c r="B22" t="s">
        <v>312</v>
      </c>
      <c r="C22" t="s">
        <v>132</v>
      </c>
      <c r="D22">
        <v>3</v>
      </c>
      <c r="F22">
        <v>109</v>
      </c>
      <c r="G22" t="s">
        <v>185</v>
      </c>
      <c r="H22" t="s">
        <v>127</v>
      </c>
      <c r="I22">
        <v>18</v>
      </c>
      <c r="J22">
        <f t="shared" si="0"/>
        <v>21</v>
      </c>
      <c r="K22">
        <f t="shared" si="1"/>
        <v>12.583333333333334</v>
      </c>
      <c r="L22">
        <v>22</v>
      </c>
      <c r="M22">
        <v>25</v>
      </c>
      <c r="N22" t="str">
        <f t="shared" si="2"/>
        <v>S</v>
      </c>
      <c r="O22" t="str">
        <f t="shared" si="3"/>
        <v>D</v>
      </c>
      <c r="P22">
        <f t="shared" si="4"/>
        <v>18</v>
      </c>
      <c r="Q22">
        <f t="shared" si="5"/>
        <v>3</v>
      </c>
      <c r="R22">
        <f t="shared" si="6"/>
        <v>14</v>
      </c>
      <c r="S22">
        <f t="shared" si="7"/>
        <v>2</v>
      </c>
      <c r="T22" t="str">
        <f t="shared" si="8"/>
        <v>O</v>
      </c>
      <c r="U22" t="str">
        <f t="shared" si="9"/>
        <v>C</v>
      </c>
      <c r="V22">
        <f t="shared" si="10"/>
        <v>15.458333333333334</v>
      </c>
      <c r="W22">
        <f t="shared" si="11"/>
        <v>8.9166666666666661</v>
      </c>
    </row>
    <row r="23" spans="1:23">
      <c r="A23">
        <v>35</v>
      </c>
      <c r="B23" t="s">
        <v>313</v>
      </c>
      <c r="C23" t="s">
        <v>137</v>
      </c>
      <c r="D23">
        <v>14</v>
      </c>
      <c r="F23">
        <v>110</v>
      </c>
      <c r="G23" t="s">
        <v>133</v>
      </c>
      <c r="H23" t="s">
        <v>133</v>
      </c>
      <c r="I23">
        <v>8</v>
      </c>
      <c r="J23">
        <f t="shared" si="0"/>
        <v>22</v>
      </c>
      <c r="K23">
        <f t="shared" si="1"/>
        <v>11.75</v>
      </c>
      <c r="L23">
        <v>5</v>
      </c>
      <c r="M23">
        <v>5</v>
      </c>
      <c r="N23" t="str">
        <f t="shared" si="2"/>
        <v>D</v>
      </c>
      <c r="O23" t="str">
        <f t="shared" si="3"/>
        <v>D</v>
      </c>
      <c r="P23">
        <f t="shared" si="4"/>
        <v>3</v>
      </c>
      <c r="Q23">
        <f t="shared" si="5"/>
        <v>3</v>
      </c>
      <c r="R23">
        <f t="shared" si="6"/>
        <v>8</v>
      </c>
      <c r="S23">
        <f t="shared" si="7"/>
        <v>8</v>
      </c>
      <c r="T23" t="str">
        <f t="shared" si="8"/>
        <v>I</v>
      </c>
      <c r="U23" t="str">
        <f t="shared" si="9"/>
        <v>I</v>
      </c>
      <c r="V23">
        <f t="shared" si="10"/>
        <v>15.5</v>
      </c>
      <c r="W23">
        <f t="shared" si="11"/>
        <v>9.2916666666666661</v>
      </c>
    </row>
    <row r="24" spans="1:23">
      <c r="A24">
        <v>36</v>
      </c>
      <c r="B24" t="s">
        <v>314</v>
      </c>
      <c r="C24" t="s">
        <v>126</v>
      </c>
      <c r="D24">
        <v>13</v>
      </c>
      <c r="F24">
        <v>111</v>
      </c>
      <c r="G24" t="s">
        <v>186</v>
      </c>
      <c r="H24" t="s">
        <v>123</v>
      </c>
      <c r="I24">
        <v>4</v>
      </c>
      <c r="J24">
        <f t="shared" si="0"/>
        <v>17</v>
      </c>
      <c r="K24">
        <f t="shared" si="1"/>
        <v>11.208333333333334</v>
      </c>
      <c r="L24">
        <v>11</v>
      </c>
      <c r="M24">
        <v>15</v>
      </c>
      <c r="N24" t="str">
        <f t="shared" si="2"/>
        <v>S</v>
      </c>
      <c r="O24" t="str">
        <f t="shared" si="3"/>
        <v>N</v>
      </c>
      <c r="P24">
        <f t="shared" si="4"/>
        <v>18</v>
      </c>
      <c r="Q24">
        <f t="shared" si="5"/>
        <v>13</v>
      </c>
      <c r="R24">
        <f t="shared" si="6"/>
        <v>3</v>
      </c>
      <c r="S24">
        <f t="shared" si="7"/>
        <v>2</v>
      </c>
      <c r="T24" t="str">
        <f t="shared" si="8"/>
        <v>D</v>
      </c>
      <c r="U24" t="str">
        <f t="shared" si="9"/>
        <v>C</v>
      </c>
      <c r="V24">
        <f t="shared" si="10"/>
        <v>16.375</v>
      </c>
      <c r="W24">
        <f t="shared" si="11"/>
        <v>9.9583333333333339</v>
      </c>
    </row>
    <row r="25" spans="1:23">
      <c r="A25">
        <v>37</v>
      </c>
      <c r="B25" t="s">
        <v>315</v>
      </c>
      <c r="C25" t="s">
        <v>126</v>
      </c>
      <c r="D25">
        <v>13</v>
      </c>
      <c r="F25">
        <v>112</v>
      </c>
      <c r="G25" t="s">
        <v>131</v>
      </c>
      <c r="H25" t="s">
        <v>131</v>
      </c>
      <c r="I25">
        <v>0</v>
      </c>
      <c r="J25">
        <f t="shared" si="0"/>
        <v>13</v>
      </c>
      <c r="K25">
        <f t="shared" si="1"/>
        <v>11.416666666666666</v>
      </c>
      <c r="L25">
        <v>17</v>
      </c>
      <c r="M25">
        <v>10</v>
      </c>
      <c r="N25" t="str">
        <f t="shared" si="2"/>
        <v>T</v>
      </c>
      <c r="O25" t="str">
        <f t="shared" si="3"/>
        <v>E</v>
      </c>
      <c r="P25">
        <f t="shared" si="4"/>
        <v>19</v>
      </c>
      <c r="Q25">
        <f t="shared" si="5"/>
        <v>4</v>
      </c>
      <c r="R25">
        <f t="shared" si="6"/>
        <v>10</v>
      </c>
      <c r="S25">
        <f t="shared" si="7"/>
        <v>14</v>
      </c>
      <c r="T25" t="str">
        <f t="shared" si="8"/>
        <v>K</v>
      </c>
      <c r="U25" t="str">
        <f t="shared" si="9"/>
        <v>O</v>
      </c>
      <c r="V25">
        <f t="shared" si="10"/>
        <v>16.333333333333332</v>
      </c>
      <c r="W25">
        <f t="shared" si="11"/>
        <v>10.375</v>
      </c>
    </row>
    <row r="26" spans="1:23">
      <c r="A26">
        <v>38</v>
      </c>
      <c r="B26" t="s">
        <v>316</v>
      </c>
      <c r="C26" t="s">
        <v>126</v>
      </c>
      <c r="D26">
        <v>13</v>
      </c>
      <c r="F26">
        <v>113</v>
      </c>
      <c r="G26" t="s">
        <v>187</v>
      </c>
      <c r="H26" t="s">
        <v>105</v>
      </c>
      <c r="I26">
        <v>24</v>
      </c>
      <c r="J26">
        <f t="shared" si="0"/>
        <v>11</v>
      </c>
      <c r="K26">
        <f t="shared" si="1"/>
        <v>11.333333333333334</v>
      </c>
      <c r="L26">
        <v>21</v>
      </c>
      <c r="M26">
        <v>22</v>
      </c>
      <c r="N26" t="str">
        <f t="shared" si="2"/>
        <v>E</v>
      </c>
      <c r="O26" t="str">
        <f t="shared" si="3"/>
        <v>E</v>
      </c>
      <c r="P26">
        <f t="shared" si="4"/>
        <v>4</v>
      </c>
      <c r="Q26">
        <f t="shared" si="5"/>
        <v>4</v>
      </c>
      <c r="R26">
        <f t="shared" si="6"/>
        <v>25</v>
      </c>
      <c r="S26">
        <f t="shared" si="7"/>
        <v>0</v>
      </c>
      <c r="T26" t="str">
        <f t="shared" si="8"/>
        <v>Z</v>
      </c>
      <c r="U26" t="str">
        <f t="shared" si="9"/>
        <v>A</v>
      </c>
      <c r="V26">
        <f t="shared" si="10"/>
        <v>16.333333333333332</v>
      </c>
      <c r="W26">
        <f t="shared" si="11"/>
        <v>11.041666666666666</v>
      </c>
    </row>
    <row r="27" spans="1:23">
      <c r="A27">
        <v>39</v>
      </c>
      <c r="B27" t="s">
        <v>111</v>
      </c>
      <c r="C27" t="s">
        <v>111</v>
      </c>
      <c r="D27">
        <v>23</v>
      </c>
      <c r="F27">
        <v>114</v>
      </c>
      <c r="G27" t="s">
        <v>188</v>
      </c>
      <c r="H27" t="s">
        <v>130</v>
      </c>
      <c r="I27">
        <v>7</v>
      </c>
      <c r="J27">
        <f t="shared" si="0"/>
        <v>4</v>
      </c>
      <c r="K27">
        <f t="shared" si="1"/>
        <v>11.25</v>
      </c>
      <c r="L27">
        <v>16</v>
      </c>
      <c r="M27">
        <v>6</v>
      </c>
      <c r="N27" t="str">
        <f t="shared" si="2"/>
        <v>X</v>
      </c>
      <c r="O27" t="str">
        <f t="shared" si="3"/>
        <v>E</v>
      </c>
      <c r="P27">
        <f t="shared" si="4"/>
        <v>23</v>
      </c>
      <c r="Q27">
        <f t="shared" si="5"/>
        <v>4</v>
      </c>
      <c r="R27">
        <f t="shared" si="6"/>
        <v>13</v>
      </c>
      <c r="S27">
        <f t="shared" si="7"/>
        <v>10</v>
      </c>
      <c r="T27" t="str">
        <f t="shared" si="8"/>
        <v>N</v>
      </c>
      <c r="U27" t="str">
        <f t="shared" si="9"/>
        <v>K</v>
      </c>
      <c r="V27">
        <f t="shared" si="10"/>
        <v>17.125</v>
      </c>
      <c r="W27">
        <f t="shared" si="11"/>
        <v>11.041666666666666</v>
      </c>
    </row>
    <row r="28" spans="1:23">
      <c r="A28">
        <v>40</v>
      </c>
      <c r="B28" t="s">
        <v>317</v>
      </c>
      <c r="C28" t="s">
        <v>127</v>
      </c>
      <c r="D28">
        <v>18</v>
      </c>
      <c r="F28">
        <v>115</v>
      </c>
      <c r="G28" t="s">
        <v>189</v>
      </c>
      <c r="H28" t="s">
        <v>126</v>
      </c>
      <c r="I28">
        <v>13</v>
      </c>
      <c r="J28">
        <f t="shared" si="0"/>
        <v>5</v>
      </c>
      <c r="K28">
        <f t="shared" si="1"/>
        <v>12.125</v>
      </c>
      <c r="L28">
        <v>16</v>
      </c>
      <c r="M28">
        <v>3</v>
      </c>
      <c r="N28" t="str">
        <f t="shared" si="2"/>
        <v>O</v>
      </c>
      <c r="O28" t="str">
        <f t="shared" si="3"/>
        <v>I</v>
      </c>
      <c r="P28">
        <f t="shared" si="4"/>
        <v>14</v>
      </c>
      <c r="Q28">
        <f t="shared" si="5"/>
        <v>8</v>
      </c>
      <c r="R28">
        <f t="shared" si="6"/>
        <v>4</v>
      </c>
      <c r="S28">
        <f t="shared" si="7"/>
        <v>11</v>
      </c>
      <c r="T28" t="str">
        <f t="shared" si="8"/>
        <v>E</v>
      </c>
      <c r="U28" t="str">
        <f t="shared" si="9"/>
        <v>L</v>
      </c>
      <c r="V28">
        <f t="shared" si="10"/>
        <v>16.75</v>
      </c>
      <c r="W28">
        <f t="shared" si="11"/>
        <v>11.541666666666666</v>
      </c>
    </row>
    <row r="29" spans="1:23">
      <c r="A29">
        <v>41</v>
      </c>
      <c r="B29" t="s">
        <v>318</v>
      </c>
      <c r="C29" t="s">
        <v>105</v>
      </c>
      <c r="D29">
        <v>24</v>
      </c>
      <c r="F29">
        <v>116</v>
      </c>
      <c r="G29" t="s">
        <v>78</v>
      </c>
      <c r="H29" t="s">
        <v>123</v>
      </c>
      <c r="I29">
        <v>4</v>
      </c>
      <c r="J29">
        <f t="shared" si="0"/>
        <v>2</v>
      </c>
      <c r="K29">
        <f t="shared" si="1"/>
        <v>12.583333333333334</v>
      </c>
      <c r="L29">
        <v>15</v>
      </c>
      <c r="M29">
        <v>10</v>
      </c>
      <c r="N29" t="str">
        <f t="shared" si="2"/>
        <v>E</v>
      </c>
      <c r="O29" t="str">
        <f t="shared" si="3"/>
        <v>E</v>
      </c>
      <c r="P29">
        <f t="shared" si="4"/>
        <v>4</v>
      </c>
      <c r="Q29">
        <f t="shared" si="5"/>
        <v>4</v>
      </c>
      <c r="R29">
        <f t="shared" si="6"/>
        <v>19</v>
      </c>
      <c r="S29">
        <f t="shared" si="7"/>
        <v>14</v>
      </c>
      <c r="T29" t="str">
        <f t="shared" si="8"/>
        <v>T</v>
      </c>
      <c r="U29" t="str">
        <f t="shared" si="9"/>
        <v>O</v>
      </c>
    </row>
    <row r="30" spans="1:23">
      <c r="A30">
        <v>42</v>
      </c>
      <c r="B30" t="s">
        <v>319</v>
      </c>
      <c r="C30" t="s">
        <v>125</v>
      </c>
      <c r="D30">
        <v>22</v>
      </c>
      <c r="F30">
        <v>117</v>
      </c>
      <c r="G30" t="s">
        <v>190</v>
      </c>
      <c r="H30" t="s">
        <v>109</v>
      </c>
      <c r="I30">
        <v>17</v>
      </c>
      <c r="J30">
        <f t="shared" si="0"/>
        <v>13</v>
      </c>
      <c r="K30">
        <f t="shared" si="1"/>
        <v>12.541666666666666</v>
      </c>
      <c r="L30">
        <v>17</v>
      </c>
      <c r="M30">
        <v>25</v>
      </c>
      <c r="N30" t="str">
        <f t="shared" si="2"/>
        <v>T</v>
      </c>
      <c r="O30" t="str">
        <f t="shared" si="3"/>
        <v>E</v>
      </c>
      <c r="P30">
        <f t="shared" si="4"/>
        <v>19</v>
      </c>
      <c r="Q30">
        <f t="shared" si="5"/>
        <v>4</v>
      </c>
      <c r="R30">
        <f t="shared" si="6"/>
        <v>10</v>
      </c>
      <c r="S30">
        <f t="shared" si="7"/>
        <v>3</v>
      </c>
      <c r="T30" t="str">
        <f t="shared" si="8"/>
        <v>K</v>
      </c>
      <c r="U30" t="str">
        <f t="shared" si="9"/>
        <v>D</v>
      </c>
    </row>
    <row r="31" spans="1:23">
      <c r="A31">
        <v>43</v>
      </c>
      <c r="B31" t="s">
        <v>320</v>
      </c>
      <c r="C31" t="s">
        <v>124</v>
      </c>
      <c r="D31">
        <v>19</v>
      </c>
      <c r="F31">
        <v>118</v>
      </c>
      <c r="G31" t="s">
        <v>191</v>
      </c>
      <c r="H31" t="s">
        <v>124</v>
      </c>
      <c r="I31">
        <v>19</v>
      </c>
      <c r="J31">
        <f t="shared" si="0"/>
        <v>12</v>
      </c>
      <c r="K31">
        <f t="shared" si="1"/>
        <v>12.625</v>
      </c>
      <c r="L31">
        <v>13</v>
      </c>
      <c r="M31">
        <v>23</v>
      </c>
      <c r="N31" t="str">
        <f t="shared" si="2"/>
        <v>Y</v>
      </c>
      <c r="O31" t="str">
        <f t="shared" si="3"/>
        <v>D</v>
      </c>
      <c r="P31">
        <f t="shared" si="4"/>
        <v>24</v>
      </c>
      <c r="Q31">
        <f t="shared" si="5"/>
        <v>3</v>
      </c>
      <c r="R31">
        <f t="shared" si="6"/>
        <v>11</v>
      </c>
      <c r="S31">
        <f t="shared" si="7"/>
        <v>0</v>
      </c>
      <c r="T31" t="str">
        <f t="shared" si="8"/>
        <v>L</v>
      </c>
      <c r="U31" t="str">
        <f t="shared" si="9"/>
        <v>A</v>
      </c>
    </row>
    <row r="32" spans="1:23">
      <c r="A32">
        <v>44</v>
      </c>
      <c r="B32" t="s">
        <v>154</v>
      </c>
      <c r="C32" t="s">
        <v>127</v>
      </c>
      <c r="D32">
        <v>18</v>
      </c>
      <c r="F32">
        <v>119</v>
      </c>
      <c r="G32" t="s">
        <v>192</v>
      </c>
      <c r="H32" t="s">
        <v>132</v>
      </c>
      <c r="I32">
        <v>3</v>
      </c>
      <c r="J32">
        <f t="shared" si="0"/>
        <v>21</v>
      </c>
      <c r="K32">
        <f t="shared" si="1"/>
        <v>13.041666666666666</v>
      </c>
      <c r="L32">
        <v>6</v>
      </c>
      <c r="M32">
        <v>19</v>
      </c>
      <c r="N32" t="str">
        <f t="shared" si="2"/>
        <v>W</v>
      </c>
      <c r="O32" t="str">
        <f t="shared" si="3"/>
        <v>N</v>
      </c>
      <c r="P32">
        <f t="shared" si="4"/>
        <v>22</v>
      </c>
      <c r="Q32">
        <f t="shared" si="5"/>
        <v>13</v>
      </c>
      <c r="R32">
        <f t="shared" si="6"/>
        <v>2</v>
      </c>
      <c r="S32">
        <f t="shared" si="7"/>
        <v>6</v>
      </c>
      <c r="T32" t="str">
        <f t="shared" si="8"/>
        <v>C</v>
      </c>
      <c r="U32" t="str">
        <f t="shared" si="9"/>
        <v>G</v>
      </c>
    </row>
    <row r="33" spans="1:21">
      <c r="A33">
        <v>45</v>
      </c>
      <c r="B33" t="s">
        <v>50</v>
      </c>
      <c r="C33" t="s">
        <v>105</v>
      </c>
      <c r="D33">
        <v>24</v>
      </c>
      <c r="F33">
        <v>120</v>
      </c>
      <c r="G33" t="s">
        <v>193</v>
      </c>
      <c r="H33" t="s">
        <v>109</v>
      </c>
      <c r="I33">
        <v>17</v>
      </c>
      <c r="J33">
        <f t="shared" si="0"/>
        <v>15</v>
      </c>
      <c r="K33">
        <f t="shared" si="1"/>
        <v>13.083333333333334</v>
      </c>
      <c r="L33">
        <v>10</v>
      </c>
      <c r="M33">
        <v>9</v>
      </c>
      <c r="N33" t="str">
        <f t="shared" si="2"/>
        <v>S</v>
      </c>
      <c r="O33" t="str">
        <f t="shared" si="3"/>
        <v>T</v>
      </c>
      <c r="P33">
        <f t="shared" si="4"/>
        <v>18</v>
      </c>
      <c r="Q33">
        <f t="shared" si="5"/>
        <v>19</v>
      </c>
      <c r="R33">
        <f t="shared" si="6"/>
        <v>2</v>
      </c>
      <c r="S33">
        <f t="shared" si="7"/>
        <v>2</v>
      </c>
      <c r="T33" t="str">
        <f t="shared" si="8"/>
        <v>C</v>
      </c>
      <c r="U33" t="str">
        <f t="shared" si="9"/>
        <v>C</v>
      </c>
    </row>
    <row r="34" spans="1:21">
      <c r="A34">
        <v>46</v>
      </c>
      <c r="B34" t="s">
        <v>321</v>
      </c>
      <c r="C34" t="s">
        <v>132</v>
      </c>
      <c r="D34">
        <v>3</v>
      </c>
      <c r="F34">
        <v>121</v>
      </c>
      <c r="G34" t="s">
        <v>77</v>
      </c>
      <c r="H34" t="s">
        <v>132</v>
      </c>
      <c r="I34">
        <v>3</v>
      </c>
      <c r="J34">
        <f t="shared" si="0"/>
        <v>6</v>
      </c>
      <c r="K34">
        <f t="shared" si="1"/>
        <v>12.541666666666666</v>
      </c>
      <c r="L34">
        <v>18</v>
      </c>
      <c r="M34">
        <v>2</v>
      </c>
      <c r="N34" t="str">
        <f t="shared" si="2"/>
        <v>S</v>
      </c>
      <c r="O34" t="str">
        <f t="shared" si="3"/>
        <v>R</v>
      </c>
      <c r="P34">
        <f t="shared" si="4"/>
        <v>18</v>
      </c>
      <c r="Q34">
        <f t="shared" si="5"/>
        <v>17</v>
      </c>
      <c r="R34">
        <f t="shared" si="6"/>
        <v>10</v>
      </c>
      <c r="S34">
        <f t="shared" si="7"/>
        <v>19</v>
      </c>
      <c r="T34" t="str">
        <f t="shared" si="8"/>
        <v>K</v>
      </c>
      <c r="U34" t="str">
        <f t="shared" si="9"/>
        <v>T</v>
      </c>
    </row>
    <row r="35" spans="1:21">
      <c r="A35">
        <v>47</v>
      </c>
      <c r="B35" t="s">
        <v>322</v>
      </c>
      <c r="C35" t="s">
        <v>127</v>
      </c>
      <c r="D35">
        <v>18</v>
      </c>
      <c r="F35">
        <v>122</v>
      </c>
      <c r="G35" t="s">
        <v>194</v>
      </c>
      <c r="H35" t="s">
        <v>126</v>
      </c>
      <c r="I35">
        <v>13</v>
      </c>
      <c r="J35">
        <f t="shared" si="0"/>
        <v>5</v>
      </c>
      <c r="K35">
        <f t="shared" si="1"/>
        <v>12.333333333333334</v>
      </c>
      <c r="L35">
        <v>18</v>
      </c>
      <c r="M35">
        <v>3</v>
      </c>
      <c r="N35" t="str">
        <f t="shared" si="2"/>
        <v>E</v>
      </c>
      <c r="O35" t="str">
        <f t="shared" si="3"/>
        <v>M</v>
      </c>
      <c r="P35">
        <f t="shared" si="4"/>
        <v>4</v>
      </c>
      <c r="Q35">
        <f t="shared" si="5"/>
        <v>12</v>
      </c>
      <c r="R35">
        <f t="shared" si="6"/>
        <v>22</v>
      </c>
      <c r="S35">
        <f t="shared" si="7"/>
        <v>15</v>
      </c>
      <c r="T35" t="str">
        <f t="shared" si="8"/>
        <v>W</v>
      </c>
      <c r="U35" t="str">
        <f t="shared" si="9"/>
        <v>P</v>
      </c>
    </row>
    <row r="36" spans="1:21">
      <c r="A36">
        <v>48</v>
      </c>
      <c r="B36" t="s">
        <v>145</v>
      </c>
      <c r="C36" t="s">
        <v>132</v>
      </c>
      <c r="D36">
        <v>3</v>
      </c>
      <c r="F36">
        <v>123</v>
      </c>
      <c r="G36" t="s">
        <v>195</v>
      </c>
      <c r="H36" t="s">
        <v>134</v>
      </c>
      <c r="I36">
        <v>6</v>
      </c>
      <c r="J36">
        <f t="shared" si="0"/>
        <v>9</v>
      </c>
      <c r="K36">
        <f t="shared" si="1"/>
        <v>12.5</v>
      </c>
      <c r="L36">
        <v>14</v>
      </c>
      <c r="M36">
        <v>8</v>
      </c>
      <c r="N36" t="str">
        <f t="shared" si="2"/>
        <v>X</v>
      </c>
      <c r="O36" t="str">
        <f t="shared" si="3"/>
        <v>E</v>
      </c>
      <c r="P36">
        <f t="shared" si="4"/>
        <v>23</v>
      </c>
      <c r="Q36">
        <f t="shared" si="5"/>
        <v>4</v>
      </c>
      <c r="R36">
        <f t="shared" si="6"/>
        <v>11</v>
      </c>
      <c r="S36">
        <f t="shared" si="7"/>
        <v>12</v>
      </c>
      <c r="T36" t="str">
        <f t="shared" si="8"/>
        <v>L</v>
      </c>
      <c r="U36" t="str">
        <f t="shared" si="9"/>
        <v>M</v>
      </c>
    </row>
    <row r="37" spans="1:21">
      <c r="A37">
        <v>49</v>
      </c>
      <c r="B37" t="s">
        <v>146</v>
      </c>
      <c r="C37" t="s">
        <v>124</v>
      </c>
      <c r="D37">
        <v>19</v>
      </c>
      <c r="F37">
        <v>124</v>
      </c>
      <c r="G37" t="s">
        <v>78</v>
      </c>
      <c r="H37" t="s">
        <v>123</v>
      </c>
      <c r="I37">
        <v>4</v>
      </c>
      <c r="J37">
        <f t="shared" si="0"/>
        <v>23</v>
      </c>
      <c r="K37">
        <f t="shared" si="1"/>
        <v>12.791666666666666</v>
      </c>
      <c r="L37">
        <v>19</v>
      </c>
      <c r="M37">
        <v>6</v>
      </c>
      <c r="N37" t="str">
        <f t="shared" si="2"/>
        <v>T</v>
      </c>
      <c r="O37" t="str">
        <f t="shared" si="3"/>
        <v>D</v>
      </c>
      <c r="P37">
        <f t="shared" si="4"/>
        <v>19</v>
      </c>
      <c r="Q37">
        <f t="shared" si="5"/>
        <v>3</v>
      </c>
      <c r="R37">
        <f t="shared" si="6"/>
        <v>12</v>
      </c>
      <c r="S37">
        <f t="shared" si="7"/>
        <v>9</v>
      </c>
      <c r="T37" t="str">
        <f t="shared" si="8"/>
        <v>M</v>
      </c>
      <c r="U37" t="str">
        <f t="shared" si="9"/>
        <v>J</v>
      </c>
    </row>
    <row r="38" spans="1:21">
      <c r="A38">
        <v>50</v>
      </c>
      <c r="B38" t="s">
        <v>147</v>
      </c>
      <c r="C38" t="s">
        <v>123</v>
      </c>
      <c r="D38">
        <v>4</v>
      </c>
      <c r="F38">
        <v>125</v>
      </c>
      <c r="G38" t="s">
        <v>196</v>
      </c>
      <c r="H38" t="s">
        <v>123</v>
      </c>
      <c r="I38">
        <v>4</v>
      </c>
      <c r="J38">
        <f t="shared" si="0"/>
        <v>8</v>
      </c>
      <c r="K38">
        <f t="shared" si="1"/>
        <v>12.541666666666666</v>
      </c>
      <c r="L38">
        <v>22</v>
      </c>
      <c r="M38">
        <v>10</v>
      </c>
      <c r="N38" t="str">
        <f t="shared" si="2"/>
        <v>S</v>
      </c>
      <c r="O38" t="str">
        <f t="shared" si="3"/>
        <v>E</v>
      </c>
      <c r="P38">
        <f t="shared" si="4"/>
        <v>18</v>
      </c>
      <c r="Q38">
        <f t="shared" si="5"/>
        <v>4</v>
      </c>
      <c r="R38">
        <f t="shared" si="6"/>
        <v>14</v>
      </c>
      <c r="S38">
        <f t="shared" si="7"/>
        <v>14</v>
      </c>
      <c r="T38" t="str">
        <f t="shared" si="8"/>
        <v>O</v>
      </c>
      <c r="U38" t="str">
        <f t="shared" si="9"/>
        <v>O</v>
      </c>
    </row>
    <row r="39" spans="1:21">
      <c r="A39">
        <v>51</v>
      </c>
      <c r="B39" t="s">
        <v>148</v>
      </c>
      <c r="C39" t="s">
        <v>123</v>
      </c>
      <c r="D39">
        <v>4</v>
      </c>
      <c r="F39">
        <v>126</v>
      </c>
      <c r="G39" t="s">
        <v>131</v>
      </c>
      <c r="H39" t="s">
        <v>131</v>
      </c>
      <c r="I39">
        <v>0</v>
      </c>
      <c r="J39">
        <f t="shared" si="0"/>
        <v>4</v>
      </c>
      <c r="K39">
        <f t="shared" si="1"/>
        <v>13.125</v>
      </c>
      <c r="L39">
        <v>19</v>
      </c>
      <c r="M39">
        <v>20</v>
      </c>
      <c r="N39" t="str">
        <f t="shared" si="2"/>
        <v>N</v>
      </c>
      <c r="O39" t="str">
        <f t="shared" si="3"/>
        <v>O</v>
      </c>
      <c r="P39">
        <f t="shared" si="4"/>
        <v>13</v>
      </c>
      <c r="Q39">
        <f t="shared" si="5"/>
        <v>14</v>
      </c>
      <c r="R39">
        <f t="shared" si="6"/>
        <v>6</v>
      </c>
      <c r="S39">
        <f t="shared" si="7"/>
        <v>8</v>
      </c>
      <c r="T39" t="str">
        <f t="shared" si="8"/>
        <v>G</v>
      </c>
      <c r="U39" t="str">
        <f t="shared" si="9"/>
        <v>I</v>
      </c>
    </row>
    <row r="40" spans="1:21">
      <c r="A40">
        <v>52</v>
      </c>
      <c r="B40" t="s">
        <v>111</v>
      </c>
      <c r="C40" t="s">
        <v>111</v>
      </c>
      <c r="D40">
        <v>23</v>
      </c>
      <c r="F40">
        <v>127</v>
      </c>
      <c r="G40" t="s">
        <v>197</v>
      </c>
      <c r="H40" t="s">
        <v>123</v>
      </c>
      <c r="I40">
        <v>4</v>
      </c>
      <c r="J40">
        <f t="shared" si="0"/>
        <v>1</v>
      </c>
      <c r="K40">
        <f t="shared" si="1"/>
        <v>13.916666666666666</v>
      </c>
      <c r="L40">
        <v>16</v>
      </c>
      <c r="M40">
        <v>7</v>
      </c>
      <c r="N40" t="str">
        <f t="shared" si="2"/>
        <v>S</v>
      </c>
      <c r="O40" t="str">
        <f t="shared" si="3"/>
        <v>R</v>
      </c>
      <c r="P40">
        <f t="shared" si="4"/>
        <v>18</v>
      </c>
      <c r="Q40">
        <f t="shared" si="5"/>
        <v>17</v>
      </c>
      <c r="R40">
        <f t="shared" si="6"/>
        <v>8</v>
      </c>
      <c r="S40">
        <f t="shared" si="7"/>
        <v>24</v>
      </c>
      <c r="T40" t="str">
        <f t="shared" si="8"/>
        <v>I</v>
      </c>
      <c r="U40" t="str">
        <f t="shared" si="9"/>
        <v>Y</v>
      </c>
    </row>
    <row r="41" spans="1:21">
      <c r="A41">
        <v>53</v>
      </c>
      <c r="B41" t="s">
        <v>149</v>
      </c>
      <c r="C41" t="s">
        <v>137</v>
      </c>
      <c r="D41">
        <v>14</v>
      </c>
      <c r="F41">
        <v>128</v>
      </c>
      <c r="G41" t="s">
        <v>133</v>
      </c>
      <c r="H41" t="s">
        <v>133</v>
      </c>
      <c r="I41">
        <v>8</v>
      </c>
      <c r="J41">
        <f t="shared" si="0"/>
        <v>22</v>
      </c>
      <c r="K41">
        <f t="shared" si="1"/>
        <v>14.333333333333334</v>
      </c>
      <c r="L41">
        <v>18</v>
      </c>
      <c r="M41">
        <v>20</v>
      </c>
      <c r="N41" t="str">
        <f t="shared" si="2"/>
        <v>T</v>
      </c>
      <c r="O41" t="str">
        <f t="shared" si="3"/>
        <v>Y</v>
      </c>
      <c r="P41">
        <f t="shared" si="4"/>
        <v>19</v>
      </c>
      <c r="Q41">
        <f t="shared" si="5"/>
        <v>24</v>
      </c>
      <c r="R41">
        <f t="shared" si="6"/>
        <v>11</v>
      </c>
      <c r="S41">
        <f t="shared" si="7"/>
        <v>18</v>
      </c>
      <c r="T41" t="str">
        <f t="shared" si="8"/>
        <v>L</v>
      </c>
      <c r="U41" t="str">
        <f t="shared" si="9"/>
        <v>S</v>
      </c>
    </row>
    <row r="42" spans="1:21">
      <c r="A42">
        <v>54</v>
      </c>
      <c r="B42" t="s">
        <v>150</v>
      </c>
      <c r="C42" t="s">
        <v>127</v>
      </c>
      <c r="D42">
        <v>18</v>
      </c>
      <c r="F42">
        <v>129</v>
      </c>
      <c r="G42" t="s">
        <v>198</v>
      </c>
      <c r="H42" t="s">
        <v>132</v>
      </c>
      <c r="I42">
        <v>3</v>
      </c>
      <c r="J42">
        <f t="shared" si="0"/>
        <v>21</v>
      </c>
      <c r="K42">
        <f t="shared" si="1"/>
        <v>13.833333333333334</v>
      </c>
      <c r="L42">
        <v>9</v>
      </c>
      <c r="M42">
        <v>0</v>
      </c>
      <c r="N42" t="str">
        <f t="shared" si="2"/>
        <v>E</v>
      </c>
      <c r="O42" t="str">
        <f t="shared" si="3"/>
        <v>S</v>
      </c>
      <c r="P42">
        <f t="shared" si="4"/>
        <v>4</v>
      </c>
      <c r="Q42">
        <f t="shared" si="5"/>
        <v>18</v>
      </c>
      <c r="R42">
        <f t="shared" si="6"/>
        <v>13</v>
      </c>
      <c r="S42">
        <f t="shared" si="7"/>
        <v>18</v>
      </c>
      <c r="T42" t="str">
        <f t="shared" si="8"/>
        <v>N</v>
      </c>
      <c r="U42" t="str">
        <f t="shared" si="9"/>
        <v>S</v>
      </c>
    </row>
    <row r="43" spans="1:21">
      <c r="A43">
        <v>55</v>
      </c>
      <c r="B43" t="s">
        <v>78</v>
      </c>
      <c r="C43" t="s">
        <v>123</v>
      </c>
      <c r="D43">
        <v>4</v>
      </c>
      <c r="F43">
        <v>130</v>
      </c>
      <c r="G43" t="s">
        <v>78</v>
      </c>
      <c r="H43" t="s">
        <v>123</v>
      </c>
      <c r="I43">
        <v>4</v>
      </c>
      <c r="J43">
        <f t="shared" si="0"/>
        <v>8</v>
      </c>
      <c r="K43">
        <f t="shared" si="1"/>
        <v>12.958333333333334</v>
      </c>
      <c r="L43">
        <v>16</v>
      </c>
      <c r="M43">
        <v>20</v>
      </c>
      <c r="N43" t="str">
        <f t="shared" si="2"/>
        <v>H</v>
      </c>
      <c r="O43" t="str">
        <f t="shared" si="3"/>
        <v>E</v>
      </c>
      <c r="P43">
        <f t="shared" si="4"/>
        <v>7</v>
      </c>
      <c r="Q43">
        <f t="shared" si="5"/>
        <v>4</v>
      </c>
      <c r="R43">
        <f t="shared" si="6"/>
        <v>23</v>
      </c>
      <c r="S43">
        <f t="shared" si="7"/>
        <v>24</v>
      </c>
      <c r="T43" t="str">
        <f t="shared" si="8"/>
        <v>X</v>
      </c>
      <c r="U43" t="str">
        <f t="shared" si="9"/>
        <v>Y</v>
      </c>
    </row>
    <row r="44" spans="1:21">
      <c r="A44">
        <v>56</v>
      </c>
      <c r="B44" t="s">
        <v>151</v>
      </c>
      <c r="C44" t="s">
        <v>124</v>
      </c>
      <c r="D44">
        <v>19</v>
      </c>
      <c r="F44">
        <v>131</v>
      </c>
      <c r="G44" t="s">
        <v>199</v>
      </c>
      <c r="H44" t="s">
        <v>123</v>
      </c>
      <c r="I44">
        <v>4</v>
      </c>
      <c r="J44">
        <f t="shared" si="0"/>
        <v>23</v>
      </c>
      <c r="K44">
        <f t="shared" si="1"/>
        <v>13.5</v>
      </c>
      <c r="L44">
        <v>18</v>
      </c>
      <c r="M44">
        <v>4</v>
      </c>
      <c r="N44" t="str">
        <f t="shared" si="2"/>
        <v>Y</v>
      </c>
      <c r="O44" t="str">
        <f t="shared" si="3"/>
        <v>M</v>
      </c>
      <c r="P44">
        <f t="shared" si="4"/>
        <v>24</v>
      </c>
      <c r="Q44">
        <f t="shared" si="5"/>
        <v>12</v>
      </c>
      <c r="R44">
        <f t="shared" si="6"/>
        <v>16</v>
      </c>
      <c r="S44">
        <f t="shared" si="7"/>
        <v>16</v>
      </c>
      <c r="T44" t="str">
        <f t="shared" si="8"/>
        <v>Q</v>
      </c>
      <c r="U44" t="str">
        <f t="shared" si="9"/>
        <v>Q</v>
      </c>
    </row>
    <row r="45" spans="1:21">
      <c r="A45">
        <v>57</v>
      </c>
      <c r="B45" t="s">
        <v>316</v>
      </c>
      <c r="C45" t="s">
        <v>126</v>
      </c>
      <c r="D45">
        <v>13</v>
      </c>
      <c r="F45">
        <v>132</v>
      </c>
      <c r="G45" t="s">
        <v>77</v>
      </c>
      <c r="H45" t="s">
        <v>132</v>
      </c>
      <c r="I45">
        <v>3</v>
      </c>
      <c r="J45">
        <f t="shared" si="0"/>
        <v>16</v>
      </c>
      <c r="K45">
        <f t="shared" si="1"/>
        <v>12.75</v>
      </c>
      <c r="L45">
        <v>18</v>
      </c>
      <c r="M45">
        <v>10</v>
      </c>
      <c r="N45" t="str">
        <f t="shared" si="2"/>
        <v>S</v>
      </c>
      <c r="O45" t="str">
        <f t="shared" si="3"/>
        <v>D</v>
      </c>
      <c r="P45">
        <f t="shared" si="4"/>
        <v>18</v>
      </c>
      <c r="Q45">
        <f t="shared" si="5"/>
        <v>3</v>
      </c>
      <c r="R45">
        <f t="shared" si="6"/>
        <v>10</v>
      </c>
      <c r="S45">
        <f t="shared" si="7"/>
        <v>13</v>
      </c>
      <c r="T45" t="str">
        <f t="shared" si="8"/>
        <v>K</v>
      </c>
      <c r="U45" t="str">
        <f t="shared" si="9"/>
        <v>N</v>
      </c>
    </row>
    <row r="46" spans="1:21">
      <c r="A46">
        <v>58</v>
      </c>
      <c r="B46" t="s">
        <v>152</v>
      </c>
      <c r="C46" t="s">
        <v>105</v>
      </c>
      <c r="D46">
        <v>24</v>
      </c>
      <c r="F46">
        <v>133</v>
      </c>
      <c r="G46" t="s">
        <v>200</v>
      </c>
      <c r="H46" t="s">
        <v>132</v>
      </c>
      <c r="I46">
        <v>3</v>
      </c>
      <c r="J46">
        <f t="shared" si="0"/>
        <v>1</v>
      </c>
      <c r="K46">
        <f t="shared" si="1"/>
        <v>13</v>
      </c>
      <c r="L46">
        <v>4</v>
      </c>
      <c r="M46">
        <v>2</v>
      </c>
      <c r="N46" t="str">
        <f t="shared" si="2"/>
        <v>T</v>
      </c>
      <c r="O46" t="str">
        <f t="shared" si="3"/>
        <v>M</v>
      </c>
      <c r="P46">
        <f t="shared" si="4"/>
        <v>19</v>
      </c>
      <c r="Q46">
        <f t="shared" si="5"/>
        <v>12</v>
      </c>
      <c r="R46">
        <f t="shared" si="6"/>
        <v>23</v>
      </c>
      <c r="S46">
        <f t="shared" si="7"/>
        <v>14</v>
      </c>
      <c r="T46" t="str">
        <f t="shared" si="8"/>
        <v>X</v>
      </c>
      <c r="U46" t="str">
        <f t="shared" si="9"/>
        <v>O</v>
      </c>
    </row>
    <row r="47" spans="1:21">
      <c r="A47">
        <v>59</v>
      </c>
      <c r="B47" t="s">
        <v>153</v>
      </c>
      <c r="C47" t="s">
        <v>125</v>
      </c>
      <c r="D47">
        <v>22</v>
      </c>
      <c r="F47">
        <v>134</v>
      </c>
      <c r="G47" t="s">
        <v>189</v>
      </c>
      <c r="H47" t="s">
        <v>126</v>
      </c>
      <c r="I47">
        <v>13</v>
      </c>
      <c r="J47">
        <f t="shared" si="0"/>
        <v>9</v>
      </c>
      <c r="K47">
        <f t="shared" si="1"/>
        <v>13.666666666666666</v>
      </c>
      <c r="L47">
        <v>10</v>
      </c>
      <c r="M47">
        <v>0</v>
      </c>
      <c r="N47" t="str">
        <f t="shared" si="2"/>
        <v>Y</v>
      </c>
      <c r="O47" t="str">
        <f t="shared" si="3"/>
        <v>T</v>
      </c>
      <c r="P47">
        <f t="shared" si="4"/>
        <v>24</v>
      </c>
      <c r="Q47">
        <f t="shared" si="5"/>
        <v>19</v>
      </c>
      <c r="R47">
        <f t="shared" si="6"/>
        <v>8</v>
      </c>
      <c r="S47">
        <f t="shared" si="7"/>
        <v>19</v>
      </c>
      <c r="T47" t="str">
        <f t="shared" si="8"/>
        <v>I</v>
      </c>
      <c r="U47" t="str">
        <f t="shared" si="9"/>
        <v>T</v>
      </c>
    </row>
    <row r="48" spans="1:21">
      <c r="A48">
        <v>60</v>
      </c>
      <c r="B48" t="s">
        <v>154</v>
      </c>
      <c r="C48" t="s">
        <v>127</v>
      </c>
      <c r="D48">
        <v>18</v>
      </c>
      <c r="F48">
        <v>135</v>
      </c>
      <c r="G48" t="s">
        <v>78</v>
      </c>
      <c r="H48" t="s">
        <v>123</v>
      </c>
      <c r="I48">
        <v>4</v>
      </c>
      <c r="J48">
        <f t="shared" si="0"/>
        <v>22</v>
      </c>
      <c r="K48">
        <f t="shared" si="1"/>
        <v>13.875</v>
      </c>
      <c r="L48">
        <v>25</v>
      </c>
      <c r="M48">
        <v>17</v>
      </c>
      <c r="N48" t="str">
        <f t="shared" si="2"/>
        <v>R</v>
      </c>
      <c r="O48" t="str">
        <f t="shared" si="3"/>
        <v>X</v>
      </c>
      <c r="P48">
        <f t="shared" si="4"/>
        <v>17</v>
      </c>
      <c r="Q48">
        <f t="shared" si="5"/>
        <v>23</v>
      </c>
      <c r="R48">
        <f t="shared" si="6"/>
        <v>16</v>
      </c>
      <c r="S48">
        <f t="shared" si="7"/>
        <v>14</v>
      </c>
      <c r="T48" t="str">
        <f t="shared" si="8"/>
        <v>Q</v>
      </c>
      <c r="U48" t="str">
        <f t="shared" si="9"/>
        <v>O</v>
      </c>
    </row>
    <row r="49" spans="1:21">
      <c r="A49">
        <v>61</v>
      </c>
      <c r="B49" t="s">
        <v>45</v>
      </c>
      <c r="C49" t="s">
        <v>127</v>
      </c>
      <c r="D49">
        <v>18</v>
      </c>
      <c r="F49">
        <v>136</v>
      </c>
      <c r="G49" t="s">
        <v>201</v>
      </c>
      <c r="H49" t="s">
        <v>124</v>
      </c>
      <c r="I49">
        <v>19</v>
      </c>
      <c r="J49">
        <f t="shared" si="0"/>
        <v>11</v>
      </c>
      <c r="K49">
        <f t="shared" si="1"/>
        <v>13.166666666666666</v>
      </c>
      <c r="L49">
        <v>25</v>
      </c>
      <c r="N49" t="str">
        <f t="shared" si="2"/>
        <v>T</v>
      </c>
      <c r="O49" t="str">
        <f t="shared" si="3"/>
        <v>U</v>
      </c>
      <c r="P49">
        <f t="shared" si="4"/>
        <v>19</v>
      </c>
      <c r="Q49">
        <f t="shared" si="5"/>
        <v>20</v>
      </c>
      <c r="R49">
        <f t="shared" si="6"/>
        <v>18</v>
      </c>
      <c r="S49">
        <f t="shared" si="7"/>
        <v>20</v>
      </c>
      <c r="T49" t="str">
        <f t="shared" si="8"/>
        <v>S</v>
      </c>
      <c r="U49" t="str">
        <f t="shared" si="9"/>
        <v>U</v>
      </c>
    </row>
    <row r="50" spans="1:21">
      <c r="A50">
        <v>62</v>
      </c>
      <c r="B50" t="s">
        <v>155</v>
      </c>
      <c r="C50" t="s">
        <v>127</v>
      </c>
      <c r="D50">
        <v>18</v>
      </c>
      <c r="F50">
        <v>137</v>
      </c>
      <c r="G50" t="s">
        <v>202</v>
      </c>
      <c r="H50" t="s">
        <v>109</v>
      </c>
      <c r="I50">
        <v>17</v>
      </c>
      <c r="J50">
        <f t="shared" si="0"/>
        <v>9</v>
      </c>
      <c r="K50">
        <f t="shared" si="1"/>
        <v>13.25</v>
      </c>
      <c r="L50">
        <v>22</v>
      </c>
      <c r="N50" t="str">
        <f t="shared" si="2"/>
        <v>X</v>
      </c>
      <c r="O50" t="str">
        <f t="shared" si="3"/>
        <v>E</v>
      </c>
      <c r="P50">
        <f t="shared" si="4"/>
        <v>23</v>
      </c>
      <c r="Q50">
        <f t="shared" si="5"/>
        <v>4</v>
      </c>
      <c r="R50">
        <f t="shared" si="6"/>
        <v>19</v>
      </c>
      <c r="S50">
        <f t="shared" si="7"/>
        <v>4</v>
      </c>
      <c r="T50" t="str">
        <f t="shared" si="8"/>
        <v>T</v>
      </c>
      <c r="U50" t="str">
        <f t="shared" si="9"/>
        <v>E</v>
      </c>
    </row>
    <row r="51" spans="1:21">
      <c r="A51">
        <v>63</v>
      </c>
      <c r="B51" t="s">
        <v>156</v>
      </c>
      <c r="C51" t="s">
        <v>124</v>
      </c>
      <c r="D51">
        <v>19</v>
      </c>
      <c r="F51">
        <v>138</v>
      </c>
      <c r="G51" t="s">
        <v>203</v>
      </c>
      <c r="H51" t="s">
        <v>134</v>
      </c>
      <c r="I51">
        <v>6</v>
      </c>
      <c r="J51">
        <f t="shared" si="0"/>
        <v>25</v>
      </c>
      <c r="K51">
        <f t="shared" si="1"/>
        <v>12.916666666666666</v>
      </c>
      <c r="L51">
        <v>0</v>
      </c>
      <c r="N51" t="str">
        <f t="shared" si="2"/>
        <v>O</v>
      </c>
      <c r="O51" t="str">
        <f t="shared" si="3"/>
        <v>Q</v>
      </c>
      <c r="P51">
        <f t="shared" si="4"/>
        <v>14</v>
      </c>
      <c r="Q51">
        <f t="shared" si="5"/>
        <v>16</v>
      </c>
      <c r="R51">
        <f t="shared" si="6"/>
        <v>14</v>
      </c>
      <c r="S51">
        <f t="shared" si="7"/>
        <v>16</v>
      </c>
      <c r="T51" t="str">
        <f t="shared" si="8"/>
        <v>O</v>
      </c>
      <c r="U51" t="str">
        <f t="shared" si="9"/>
        <v>Q</v>
      </c>
    </row>
    <row r="52" spans="1:21">
      <c r="A52">
        <v>64</v>
      </c>
      <c r="B52" t="s">
        <v>157</v>
      </c>
      <c r="C52" t="s">
        <v>123</v>
      </c>
      <c r="D52">
        <v>4</v>
      </c>
      <c r="F52">
        <v>139</v>
      </c>
      <c r="G52" t="s">
        <v>204</v>
      </c>
      <c r="H52" t="s">
        <v>110</v>
      </c>
      <c r="I52">
        <v>12</v>
      </c>
      <c r="J52">
        <f t="shared" si="0"/>
        <v>16</v>
      </c>
      <c r="K52">
        <f t="shared" si="1"/>
        <v>12.833333333333334</v>
      </c>
      <c r="R52">
        <f>AVERAGE(R2:R51)</f>
        <v>13.4</v>
      </c>
      <c r="S52">
        <f>AVERAGE(S2:S51)</f>
        <v>12.2</v>
      </c>
    </row>
    <row r="53" spans="1:21">
      <c r="A53">
        <v>65</v>
      </c>
      <c r="B53" t="s">
        <v>111</v>
      </c>
      <c r="C53" t="s">
        <v>111</v>
      </c>
      <c r="D53">
        <v>23</v>
      </c>
      <c r="F53">
        <v>140</v>
      </c>
      <c r="G53" t="s">
        <v>78</v>
      </c>
      <c r="H53" t="s">
        <v>123</v>
      </c>
      <c r="I53">
        <v>4</v>
      </c>
      <c r="J53">
        <f t="shared" si="0"/>
        <v>1</v>
      </c>
      <c r="K53">
        <f t="shared" si="1"/>
        <v>12.333333333333334</v>
      </c>
    </row>
    <row r="54" spans="1:21">
      <c r="A54">
        <v>66</v>
      </c>
      <c r="B54" t="s">
        <v>226</v>
      </c>
      <c r="C54" t="s">
        <v>105</v>
      </c>
      <c r="D54">
        <v>24</v>
      </c>
      <c r="F54">
        <v>141</v>
      </c>
      <c r="G54" t="s">
        <v>205</v>
      </c>
      <c r="H54" t="s">
        <v>109</v>
      </c>
      <c r="I54">
        <v>17</v>
      </c>
      <c r="J54">
        <f t="shared" si="0"/>
        <v>15</v>
      </c>
    </row>
    <row r="55" spans="1:21">
      <c r="A55">
        <v>67</v>
      </c>
      <c r="B55" t="s">
        <v>227</v>
      </c>
      <c r="C55" t="s">
        <v>124</v>
      </c>
      <c r="D55">
        <v>19</v>
      </c>
      <c r="F55">
        <v>142</v>
      </c>
      <c r="G55" t="s">
        <v>206</v>
      </c>
      <c r="H55" t="s">
        <v>132</v>
      </c>
      <c r="I55">
        <v>3</v>
      </c>
      <c r="J55">
        <f t="shared" si="0"/>
        <v>22</v>
      </c>
    </row>
    <row r="56" spans="1:21">
      <c r="A56">
        <v>68</v>
      </c>
      <c r="B56" t="s">
        <v>228</v>
      </c>
      <c r="C56" t="s">
        <v>127</v>
      </c>
      <c r="D56">
        <v>18</v>
      </c>
      <c r="F56">
        <v>143</v>
      </c>
      <c r="G56" t="s">
        <v>78</v>
      </c>
      <c r="H56" t="s">
        <v>123</v>
      </c>
      <c r="I56">
        <v>4</v>
      </c>
      <c r="J56">
        <f t="shared" si="0"/>
        <v>22</v>
      </c>
    </row>
    <row r="57" spans="1:21">
      <c r="A57">
        <v>69</v>
      </c>
      <c r="B57" t="s">
        <v>229</v>
      </c>
      <c r="C57" t="s">
        <v>105</v>
      </c>
      <c r="D57">
        <v>24</v>
      </c>
      <c r="F57">
        <v>144</v>
      </c>
      <c r="G57" t="s">
        <v>207</v>
      </c>
      <c r="H57" t="s">
        <v>123</v>
      </c>
      <c r="I57">
        <v>4</v>
      </c>
      <c r="J57">
        <f t="shared" si="0"/>
        <v>2</v>
      </c>
    </row>
    <row r="58" spans="1:21">
      <c r="A58">
        <v>70</v>
      </c>
      <c r="B58" t="s">
        <v>230</v>
      </c>
      <c r="C58" t="s">
        <v>126</v>
      </c>
      <c r="D58">
        <v>13</v>
      </c>
      <c r="F58">
        <v>145</v>
      </c>
      <c r="G58" t="s">
        <v>313</v>
      </c>
      <c r="H58" t="s">
        <v>137</v>
      </c>
      <c r="I58">
        <v>14</v>
      </c>
      <c r="J58">
        <f t="shared" si="0"/>
        <v>1</v>
      </c>
    </row>
    <row r="59" spans="1:21">
      <c r="A59">
        <v>71</v>
      </c>
      <c r="B59" t="s">
        <v>231</v>
      </c>
      <c r="C59" t="s">
        <v>127</v>
      </c>
      <c r="D59">
        <v>18</v>
      </c>
      <c r="F59">
        <v>146</v>
      </c>
      <c r="G59" t="s">
        <v>208</v>
      </c>
      <c r="H59" t="s">
        <v>109</v>
      </c>
      <c r="I59">
        <v>17</v>
      </c>
      <c r="J59">
        <f t="shared" si="0"/>
        <v>9</v>
      </c>
    </row>
    <row r="60" spans="1:21">
      <c r="A60">
        <v>72</v>
      </c>
      <c r="B60" t="s">
        <v>232</v>
      </c>
      <c r="C60" t="s">
        <v>111</v>
      </c>
      <c r="D60">
        <v>23</v>
      </c>
      <c r="F60">
        <v>147</v>
      </c>
      <c r="G60" t="s">
        <v>209</v>
      </c>
      <c r="H60" t="s">
        <v>124</v>
      </c>
      <c r="I60">
        <v>19</v>
      </c>
      <c r="J60">
        <f t="shared" si="0"/>
        <v>16</v>
      </c>
    </row>
    <row r="61" spans="1:21">
      <c r="A61">
        <v>73</v>
      </c>
      <c r="B61" t="s">
        <v>233</v>
      </c>
      <c r="C61" t="s">
        <v>124</v>
      </c>
      <c r="D61">
        <v>19</v>
      </c>
      <c r="F61">
        <v>148</v>
      </c>
      <c r="G61" t="s">
        <v>114</v>
      </c>
      <c r="H61" t="s">
        <v>105</v>
      </c>
      <c r="I61">
        <v>24</v>
      </c>
      <c r="J61">
        <f t="shared" si="0"/>
        <v>17</v>
      </c>
    </row>
    <row r="62" spans="1:21">
      <c r="A62">
        <v>74</v>
      </c>
      <c r="B62" t="s">
        <v>234</v>
      </c>
      <c r="C62" t="s">
        <v>123</v>
      </c>
      <c r="D62">
        <v>4</v>
      </c>
      <c r="F62">
        <v>149</v>
      </c>
      <c r="G62" t="s">
        <v>115</v>
      </c>
      <c r="H62" t="s">
        <v>127</v>
      </c>
      <c r="I62">
        <v>18</v>
      </c>
      <c r="J62">
        <f t="shared" si="0"/>
        <v>22</v>
      </c>
    </row>
    <row r="63" spans="1:21">
      <c r="A63">
        <v>75</v>
      </c>
      <c r="B63" t="s">
        <v>235</v>
      </c>
      <c r="C63" t="s">
        <v>127</v>
      </c>
      <c r="D63">
        <v>18</v>
      </c>
      <c r="F63">
        <v>150</v>
      </c>
      <c r="G63" t="s">
        <v>39</v>
      </c>
      <c r="H63" t="s">
        <v>138</v>
      </c>
      <c r="I63">
        <v>5</v>
      </c>
      <c r="J63">
        <f t="shared" si="0"/>
        <v>23</v>
      </c>
    </row>
    <row r="64" spans="1:21">
      <c r="A64">
        <v>76</v>
      </c>
      <c r="B64" t="s">
        <v>236</v>
      </c>
      <c r="C64" t="s">
        <v>130</v>
      </c>
      <c r="D64">
        <v>7</v>
      </c>
      <c r="F64">
        <v>151</v>
      </c>
      <c r="G64" t="s">
        <v>78</v>
      </c>
      <c r="H64" t="s">
        <v>123</v>
      </c>
      <c r="I64">
        <v>4</v>
      </c>
      <c r="J64">
        <f t="shared" si="0"/>
        <v>11</v>
      </c>
    </row>
    <row r="65" spans="1:10">
      <c r="A65">
        <v>77</v>
      </c>
      <c r="B65" t="s">
        <v>237</v>
      </c>
      <c r="C65" t="s">
        <v>105</v>
      </c>
      <c r="D65">
        <v>24</v>
      </c>
      <c r="F65">
        <v>152</v>
      </c>
      <c r="G65" t="s">
        <v>116</v>
      </c>
      <c r="H65" t="s">
        <v>110</v>
      </c>
      <c r="I65">
        <v>12</v>
      </c>
      <c r="J65">
        <f t="shared" si="0"/>
        <v>10</v>
      </c>
    </row>
    <row r="66" spans="1:10">
      <c r="A66">
        <v>78</v>
      </c>
      <c r="B66" t="s">
        <v>230</v>
      </c>
      <c r="C66" t="s">
        <v>126</v>
      </c>
      <c r="D66">
        <v>13</v>
      </c>
      <c r="F66">
        <v>153</v>
      </c>
      <c r="G66" t="s">
        <v>117</v>
      </c>
      <c r="H66" t="s">
        <v>126</v>
      </c>
      <c r="I66">
        <v>13</v>
      </c>
      <c r="J66">
        <f t="shared" si="0"/>
        <v>0</v>
      </c>
    </row>
    <row r="67" spans="1:10">
      <c r="A67">
        <v>79</v>
      </c>
      <c r="B67" t="s">
        <v>228</v>
      </c>
      <c r="C67" t="s">
        <v>127</v>
      </c>
      <c r="D67">
        <v>18</v>
      </c>
      <c r="F67">
        <v>154</v>
      </c>
      <c r="G67" t="s">
        <v>118</v>
      </c>
      <c r="H67" t="s">
        <v>132</v>
      </c>
      <c r="I67">
        <v>3</v>
      </c>
      <c r="J67">
        <f t="shared" ref="J67:J76" si="12">MOD(D67+I67,26)</f>
        <v>21</v>
      </c>
    </row>
    <row r="68" spans="1:10">
      <c r="A68">
        <v>80</v>
      </c>
      <c r="B68" t="s">
        <v>227</v>
      </c>
      <c r="C68" t="s">
        <v>124</v>
      </c>
      <c r="D68">
        <v>19</v>
      </c>
      <c r="F68">
        <v>155</v>
      </c>
      <c r="G68" t="s">
        <v>204</v>
      </c>
      <c r="H68" t="s">
        <v>110</v>
      </c>
      <c r="I68">
        <v>12</v>
      </c>
      <c r="J68">
        <f t="shared" si="12"/>
        <v>5</v>
      </c>
    </row>
    <row r="69" spans="1:10">
      <c r="A69">
        <v>81</v>
      </c>
      <c r="B69" t="s">
        <v>231</v>
      </c>
      <c r="C69" t="s">
        <v>127</v>
      </c>
      <c r="D69">
        <v>18</v>
      </c>
      <c r="F69">
        <v>156</v>
      </c>
      <c r="G69" t="s">
        <v>78</v>
      </c>
      <c r="H69" t="s">
        <v>123</v>
      </c>
      <c r="I69">
        <v>4</v>
      </c>
      <c r="J69">
        <f t="shared" si="12"/>
        <v>22</v>
      </c>
    </row>
    <row r="70" spans="1:10">
      <c r="A70">
        <v>82</v>
      </c>
      <c r="B70" t="s">
        <v>238</v>
      </c>
      <c r="C70" t="s">
        <v>105</v>
      </c>
      <c r="D70">
        <v>24</v>
      </c>
      <c r="F70">
        <v>157</v>
      </c>
      <c r="G70" t="s">
        <v>119</v>
      </c>
      <c r="H70" t="s">
        <v>124</v>
      </c>
      <c r="I70">
        <v>19</v>
      </c>
      <c r="J70">
        <f t="shared" si="12"/>
        <v>17</v>
      </c>
    </row>
    <row r="71" spans="1:10">
      <c r="A71">
        <v>83</v>
      </c>
      <c r="B71" t="s">
        <v>239</v>
      </c>
      <c r="C71" t="s">
        <v>109</v>
      </c>
      <c r="D71">
        <v>17</v>
      </c>
      <c r="F71">
        <v>158</v>
      </c>
      <c r="G71" t="s">
        <v>111</v>
      </c>
      <c r="H71" t="s">
        <v>111</v>
      </c>
      <c r="I71">
        <v>23</v>
      </c>
      <c r="J71">
        <f t="shared" si="12"/>
        <v>14</v>
      </c>
    </row>
    <row r="72" spans="1:10">
      <c r="A72">
        <v>84</v>
      </c>
      <c r="B72" t="s">
        <v>235</v>
      </c>
      <c r="C72" t="s">
        <v>127</v>
      </c>
      <c r="D72">
        <v>18</v>
      </c>
      <c r="F72">
        <v>159</v>
      </c>
      <c r="G72" t="s">
        <v>120</v>
      </c>
      <c r="H72" t="s">
        <v>126</v>
      </c>
      <c r="I72">
        <v>13</v>
      </c>
      <c r="J72">
        <f t="shared" si="12"/>
        <v>5</v>
      </c>
    </row>
    <row r="73" spans="1:10">
      <c r="A73">
        <v>85</v>
      </c>
      <c r="B73" t="s">
        <v>240</v>
      </c>
      <c r="C73" t="s">
        <v>124</v>
      </c>
      <c r="D73">
        <v>19</v>
      </c>
      <c r="F73">
        <v>160</v>
      </c>
      <c r="G73" t="s">
        <v>121</v>
      </c>
      <c r="H73" t="s">
        <v>128</v>
      </c>
      <c r="I73">
        <v>20</v>
      </c>
      <c r="J73">
        <f t="shared" si="12"/>
        <v>13</v>
      </c>
    </row>
    <row r="74" spans="1:10">
      <c r="A74">
        <v>86</v>
      </c>
      <c r="B74" t="s">
        <v>111</v>
      </c>
      <c r="C74" t="s">
        <v>111</v>
      </c>
      <c r="D74">
        <v>23</v>
      </c>
      <c r="F74">
        <v>161</v>
      </c>
      <c r="G74" t="s">
        <v>13</v>
      </c>
      <c r="H74" t="s">
        <v>123</v>
      </c>
      <c r="I74">
        <v>4</v>
      </c>
      <c r="J74">
        <f t="shared" si="12"/>
        <v>1</v>
      </c>
    </row>
    <row r="75" spans="1:10">
      <c r="A75">
        <v>87</v>
      </c>
      <c r="B75" t="s">
        <v>241</v>
      </c>
      <c r="C75" t="s">
        <v>109</v>
      </c>
      <c r="D75">
        <v>17</v>
      </c>
      <c r="F75">
        <v>162</v>
      </c>
      <c r="G75" t="s">
        <v>14</v>
      </c>
      <c r="H75" t="s">
        <v>134</v>
      </c>
      <c r="I75">
        <v>6</v>
      </c>
      <c r="J75">
        <f t="shared" si="12"/>
        <v>23</v>
      </c>
    </row>
    <row r="76" spans="1:10">
      <c r="A76">
        <v>88</v>
      </c>
      <c r="B76" t="s">
        <v>242</v>
      </c>
      <c r="C76" t="s">
        <v>137</v>
      </c>
      <c r="D76">
        <v>14</v>
      </c>
      <c r="F76">
        <v>163</v>
      </c>
      <c r="G76" t="s">
        <v>139</v>
      </c>
      <c r="H76" t="s">
        <v>139</v>
      </c>
      <c r="I76">
        <v>16</v>
      </c>
      <c r="J76">
        <f t="shared" si="12"/>
        <v>4</v>
      </c>
    </row>
    <row r="79" spans="1:10">
      <c r="A79" t="s">
        <v>283</v>
      </c>
      <c r="J79">
        <f>LEN(A79)</f>
        <v>50</v>
      </c>
    </row>
    <row r="80" spans="1:10">
      <c r="A80" t="s">
        <v>284</v>
      </c>
      <c r="J80">
        <f>LEN(A80)</f>
        <v>100</v>
      </c>
    </row>
    <row r="81" spans="1:1">
      <c r="A81" t="str">
        <f>RIGHT(A80,50)</f>
        <v>YYEFETDRTEYDHSIAYNETDDNEEEIEEDNTRMEDEORYSEMDMTXUEQ</v>
      </c>
    </row>
  </sheetData>
  <sheetCalcPr fullCalcOnLoad="1"/>
  <phoneticPr fontId="2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topLeftCell="A85" workbookViewId="0">
      <selection activeCell="J154" sqref="J154"/>
    </sheetView>
  </sheetViews>
  <sheetFormatPr baseColWidth="10" defaultRowHeight="13"/>
  <sheetData>
    <row r="1" spans="1:10">
      <c r="A1" t="s">
        <v>1</v>
      </c>
      <c r="E1" t="s">
        <v>2</v>
      </c>
    </row>
    <row r="2" spans="1:10">
      <c r="A2">
        <f>1</f>
        <v>1</v>
      </c>
      <c r="B2">
        <f>MOD(A2,3)</f>
        <v>1</v>
      </c>
      <c r="C2">
        <f>IF(B2=0,1,0)</f>
        <v>0</v>
      </c>
      <c r="D2">
        <f>B2+C2</f>
        <v>1</v>
      </c>
      <c r="E2">
        <f>MOD(D2+1,2)</f>
        <v>0</v>
      </c>
      <c r="F2" t="s">
        <v>124</v>
      </c>
      <c r="G2" t="str">
        <f>IF(E2=1,F2,"")</f>
        <v/>
      </c>
      <c r="H2" t="str">
        <f>G2</f>
        <v/>
      </c>
      <c r="I2" t="str">
        <f>IF(E2=0,F2,"")</f>
        <v>T</v>
      </c>
      <c r="J2" t="str">
        <f>I2</f>
        <v>T</v>
      </c>
    </row>
    <row r="3" spans="1:10">
      <c r="A3">
        <f>1+A2</f>
        <v>2</v>
      </c>
      <c r="B3">
        <f t="shared" ref="B3:B66" si="0">MOD(A3,3)</f>
        <v>2</v>
      </c>
      <c r="C3">
        <f t="shared" ref="C3:C66" si="1">IF(B3=0,1,0)</f>
        <v>0</v>
      </c>
      <c r="D3">
        <f t="shared" ref="D3:D66" si="2">B3+C3</f>
        <v>2</v>
      </c>
      <c r="E3">
        <f t="shared" ref="E3:E66" si="3">MOD(D3+1,2)</f>
        <v>1</v>
      </c>
      <c r="F3" t="s">
        <v>127</v>
      </c>
      <c r="G3" t="str">
        <f t="shared" ref="G3:G66" si="4">IF(E3=1,F3,"")</f>
        <v>S</v>
      </c>
      <c r="H3" t="str">
        <f>H2&amp;G3</f>
        <v>S</v>
      </c>
      <c r="I3" t="str">
        <f t="shared" ref="I3:I66" si="5">IF(E3=0,F3,"")</f>
        <v/>
      </c>
      <c r="J3" t="str">
        <f>J2&amp;I3</f>
        <v>T</v>
      </c>
    </row>
    <row r="4" spans="1:10">
      <c r="A4">
        <f t="shared" ref="A4:A67" si="6">1+A3</f>
        <v>3</v>
      </c>
      <c r="B4">
        <f t="shared" si="0"/>
        <v>0</v>
      </c>
      <c r="C4">
        <f t="shared" si="1"/>
        <v>1</v>
      </c>
      <c r="D4">
        <f t="shared" si="2"/>
        <v>1</v>
      </c>
      <c r="E4">
        <f t="shared" si="3"/>
        <v>0</v>
      </c>
      <c r="F4" t="s">
        <v>105</v>
      </c>
      <c r="G4" t="str">
        <f t="shared" si="4"/>
        <v/>
      </c>
      <c r="H4" t="str">
        <f t="shared" ref="H4:H67" si="7">H3&amp;G4</f>
        <v>S</v>
      </c>
      <c r="I4" t="str">
        <f t="shared" si="5"/>
        <v>Y</v>
      </c>
      <c r="J4" t="str">
        <f t="shared" ref="J4:J67" si="8">J3&amp;I4</f>
        <v>TY</v>
      </c>
    </row>
    <row r="5" spans="1:10">
      <c r="A5">
        <f t="shared" si="6"/>
        <v>4</v>
      </c>
      <c r="B5">
        <f t="shared" si="0"/>
        <v>1</v>
      </c>
      <c r="C5">
        <f t="shared" si="1"/>
        <v>0</v>
      </c>
      <c r="D5">
        <f t="shared" si="2"/>
        <v>1</v>
      </c>
      <c r="E5">
        <f t="shared" si="3"/>
        <v>0</v>
      </c>
      <c r="F5" t="s">
        <v>123</v>
      </c>
      <c r="G5" t="str">
        <f t="shared" si="4"/>
        <v/>
      </c>
      <c r="H5" t="str">
        <f t="shared" si="7"/>
        <v>S</v>
      </c>
      <c r="I5" t="str">
        <f t="shared" si="5"/>
        <v>E</v>
      </c>
      <c r="J5" t="str">
        <f t="shared" si="8"/>
        <v>TYE</v>
      </c>
    </row>
    <row r="6" spans="1:10">
      <c r="A6">
        <f t="shared" si="6"/>
        <v>5</v>
      </c>
      <c r="B6">
        <f t="shared" si="0"/>
        <v>2</v>
      </c>
      <c r="C6">
        <f t="shared" si="1"/>
        <v>0</v>
      </c>
      <c r="D6">
        <f t="shared" si="2"/>
        <v>2</v>
      </c>
      <c r="E6">
        <f t="shared" si="3"/>
        <v>1</v>
      </c>
      <c r="F6" t="s">
        <v>127</v>
      </c>
      <c r="G6" t="str">
        <f t="shared" si="4"/>
        <v>S</v>
      </c>
      <c r="H6" t="str">
        <f t="shared" si="7"/>
        <v>SS</v>
      </c>
      <c r="I6" t="str">
        <f t="shared" si="5"/>
        <v/>
      </c>
      <c r="J6" t="str">
        <f t="shared" si="8"/>
        <v>TYE</v>
      </c>
    </row>
    <row r="7" spans="1:10">
      <c r="A7">
        <f t="shared" si="6"/>
        <v>6</v>
      </c>
      <c r="B7">
        <f t="shared" si="0"/>
        <v>0</v>
      </c>
      <c r="C7">
        <f t="shared" si="1"/>
        <v>1</v>
      </c>
      <c r="D7">
        <f t="shared" si="2"/>
        <v>1</v>
      </c>
      <c r="E7">
        <f t="shared" si="3"/>
        <v>0</v>
      </c>
      <c r="F7" t="s">
        <v>124</v>
      </c>
      <c r="G7" t="str">
        <f t="shared" si="4"/>
        <v/>
      </c>
      <c r="H7" t="str">
        <f t="shared" si="7"/>
        <v>SS</v>
      </c>
      <c r="I7" t="str">
        <f t="shared" si="5"/>
        <v>T</v>
      </c>
      <c r="J7" t="str">
        <f t="shared" si="8"/>
        <v>TYET</v>
      </c>
    </row>
    <row r="8" spans="1:10">
      <c r="A8">
        <f t="shared" si="6"/>
        <v>7</v>
      </c>
      <c r="B8">
        <f t="shared" si="0"/>
        <v>1</v>
      </c>
      <c r="C8">
        <f t="shared" si="1"/>
        <v>0</v>
      </c>
      <c r="D8">
        <f t="shared" si="2"/>
        <v>1</v>
      </c>
      <c r="E8">
        <f t="shared" si="3"/>
        <v>0</v>
      </c>
      <c r="F8" t="s">
        <v>123</v>
      </c>
      <c r="G8" t="str">
        <f t="shared" si="4"/>
        <v/>
      </c>
      <c r="H8" t="str">
        <f t="shared" si="7"/>
        <v>SS</v>
      </c>
      <c r="I8" t="str">
        <f t="shared" si="5"/>
        <v>E</v>
      </c>
      <c r="J8" t="str">
        <f t="shared" si="8"/>
        <v>TYETE</v>
      </c>
    </row>
    <row r="9" spans="1:10">
      <c r="A9">
        <f t="shared" si="6"/>
        <v>8</v>
      </c>
      <c r="B9">
        <f t="shared" si="0"/>
        <v>2</v>
      </c>
      <c r="C9">
        <f t="shared" si="1"/>
        <v>0</v>
      </c>
      <c r="D9">
        <f t="shared" si="2"/>
        <v>2</v>
      </c>
      <c r="E9">
        <f t="shared" si="3"/>
        <v>1</v>
      </c>
      <c r="F9" t="s">
        <v>105</v>
      </c>
      <c r="G9" t="str">
        <f t="shared" si="4"/>
        <v>Y</v>
      </c>
      <c r="H9" t="str">
        <f t="shared" si="7"/>
        <v>SSY</v>
      </c>
      <c r="I9" t="str">
        <f t="shared" si="5"/>
        <v/>
      </c>
      <c r="J9" t="str">
        <f t="shared" si="8"/>
        <v>TYETE</v>
      </c>
    </row>
    <row r="10" spans="1:10">
      <c r="A10">
        <f t="shared" si="6"/>
        <v>9</v>
      </c>
      <c r="B10">
        <f t="shared" si="0"/>
        <v>0</v>
      </c>
      <c r="C10">
        <f t="shared" si="1"/>
        <v>1</v>
      </c>
      <c r="D10">
        <f t="shared" si="2"/>
        <v>1</v>
      </c>
      <c r="E10">
        <f t="shared" si="3"/>
        <v>0</v>
      </c>
      <c r="F10" t="s">
        <v>132</v>
      </c>
      <c r="G10" t="str">
        <f t="shared" si="4"/>
        <v/>
      </c>
      <c r="H10" t="str">
        <f t="shared" si="7"/>
        <v>SSY</v>
      </c>
      <c r="I10" t="str">
        <f t="shared" si="5"/>
        <v>D</v>
      </c>
      <c r="J10" t="str">
        <f t="shared" si="8"/>
        <v>TYETED</v>
      </c>
    </row>
    <row r="11" spans="1:10">
      <c r="A11">
        <f t="shared" si="6"/>
        <v>10</v>
      </c>
      <c r="B11">
        <f t="shared" si="0"/>
        <v>1</v>
      </c>
      <c r="C11">
        <f t="shared" si="1"/>
        <v>0</v>
      </c>
      <c r="D11">
        <f t="shared" si="2"/>
        <v>1</v>
      </c>
      <c r="E11">
        <f t="shared" si="3"/>
        <v>0</v>
      </c>
      <c r="F11" t="s">
        <v>123</v>
      </c>
      <c r="G11" t="str">
        <f t="shared" si="4"/>
        <v/>
      </c>
      <c r="H11" t="str">
        <f t="shared" si="7"/>
        <v>SSY</v>
      </c>
      <c r="I11" t="str">
        <f t="shared" si="5"/>
        <v>E</v>
      </c>
      <c r="J11" t="str">
        <f t="shared" si="8"/>
        <v>TYETEDE</v>
      </c>
    </row>
    <row r="12" spans="1:10">
      <c r="A12">
        <f t="shared" si="6"/>
        <v>11</v>
      </c>
      <c r="B12">
        <f t="shared" si="0"/>
        <v>2</v>
      </c>
      <c r="C12">
        <f t="shared" si="1"/>
        <v>0</v>
      </c>
      <c r="D12">
        <f t="shared" si="2"/>
        <v>2</v>
      </c>
      <c r="E12">
        <f t="shared" si="3"/>
        <v>1</v>
      </c>
      <c r="F12" t="s">
        <v>127</v>
      </c>
      <c r="G12" t="str">
        <f t="shared" si="4"/>
        <v>S</v>
      </c>
      <c r="H12" t="str">
        <f t="shared" si="7"/>
        <v>SSYS</v>
      </c>
      <c r="I12" t="str">
        <f t="shared" si="5"/>
        <v/>
      </c>
      <c r="J12" t="str">
        <f t="shared" si="8"/>
        <v>TYETEDE</v>
      </c>
    </row>
    <row r="13" spans="1:10">
      <c r="A13">
        <f t="shared" si="6"/>
        <v>12</v>
      </c>
      <c r="B13">
        <f t="shared" si="0"/>
        <v>0</v>
      </c>
      <c r="C13">
        <f t="shared" si="1"/>
        <v>1</v>
      </c>
      <c r="D13">
        <f t="shared" si="2"/>
        <v>1</v>
      </c>
      <c r="E13">
        <f t="shared" si="3"/>
        <v>0</v>
      </c>
      <c r="F13" t="s">
        <v>136</v>
      </c>
      <c r="G13" t="str">
        <f t="shared" si="4"/>
        <v/>
      </c>
      <c r="H13" t="str">
        <f t="shared" si="7"/>
        <v>SSYS</v>
      </c>
      <c r="I13" t="str">
        <f t="shared" si="5"/>
        <v>C</v>
      </c>
      <c r="J13" t="str">
        <f t="shared" si="8"/>
        <v>TYETEDEC</v>
      </c>
    </row>
    <row r="14" spans="1:10">
      <c r="A14">
        <f t="shared" si="6"/>
        <v>13</v>
      </c>
      <c r="B14">
        <f t="shared" si="0"/>
        <v>1</v>
      </c>
      <c r="C14">
        <f t="shared" si="1"/>
        <v>0</v>
      </c>
      <c r="D14">
        <f t="shared" si="2"/>
        <v>1</v>
      </c>
      <c r="E14">
        <f t="shared" si="3"/>
        <v>0</v>
      </c>
      <c r="F14" t="s">
        <v>132</v>
      </c>
      <c r="G14" t="str">
        <f t="shared" si="4"/>
        <v/>
      </c>
      <c r="H14" t="str">
        <f t="shared" si="7"/>
        <v>SSYS</v>
      </c>
      <c r="I14" t="str">
        <f t="shared" si="5"/>
        <v>D</v>
      </c>
      <c r="J14" t="str">
        <f t="shared" si="8"/>
        <v>TYETEDECD</v>
      </c>
    </row>
    <row r="15" spans="1:10">
      <c r="A15">
        <f t="shared" si="6"/>
        <v>14</v>
      </c>
      <c r="B15">
        <f t="shared" si="0"/>
        <v>2</v>
      </c>
      <c r="C15">
        <f t="shared" si="1"/>
        <v>0</v>
      </c>
      <c r="D15">
        <f t="shared" si="2"/>
        <v>2</v>
      </c>
      <c r="E15">
        <f t="shared" si="3"/>
        <v>1</v>
      </c>
      <c r="F15" t="s">
        <v>111</v>
      </c>
      <c r="G15" t="str">
        <f t="shared" si="4"/>
        <v>X</v>
      </c>
      <c r="H15" t="str">
        <f t="shared" si="7"/>
        <v>SSYSX</v>
      </c>
      <c r="I15" t="str">
        <f t="shared" si="5"/>
        <v/>
      </c>
      <c r="J15" t="str">
        <f t="shared" si="8"/>
        <v>TYETEDECD</v>
      </c>
    </row>
    <row r="16" spans="1:10">
      <c r="A16">
        <f t="shared" si="6"/>
        <v>15</v>
      </c>
      <c r="B16">
        <f t="shared" si="0"/>
        <v>0</v>
      </c>
      <c r="C16">
        <f t="shared" si="1"/>
        <v>1</v>
      </c>
      <c r="D16">
        <f t="shared" si="2"/>
        <v>1</v>
      </c>
      <c r="E16">
        <f t="shared" si="3"/>
        <v>0</v>
      </c>
      <c r="F16" t="s">
        <v>123</v>
      </c>
      <c r="G16" t="str">
        <f t="shared" si="4"/>
        <v/>
      </c>
      <c r="H16" t="str">
        <f t="shared" si="7"/>
        <v>SSYSX</v>
      </c>
      <c r="I16" t="str">
        <f t="shared" si="5"/>
        <v>E</v>
      </c>
      <c r="J16" t="str">
        <f t="shared" si="8"/>
        <v>TYETEDECDE</v>
      </c>
    </row>
    <row r="17" spans="1:10">
      <c r="A17">
        <f t="shared" si="6"/>
        <v>16</v>
      </c>
      <c r="B17">
        <f t="shared" si="0"/>
        <v>1</v>
      </c>
      <c r="C17">
        <f t="shared" si="1"/>
        <v>0</v>
      </c>
      <c r="D17">
        <f t="shared" si="2"/>
        <v>1</v>
      </c>
      <c r="E17">
        <f t="shared" si="3"/>
        <v>0</v>
      </c>
      <c r="F17" t="s">
        <v>126</v>
      </c>
      <c r="G17" t="str">
        <f t="shared" si="4"/>
        <v/>
      </c>
      <c r="H17" t="str">
        <f t="shared" si="7"/>
        <v>SSYSX</v>
      </c>
      <c r="I17" t="str">
        <f t="shared" si="5"/>
        <v>N</v>
      </c>
      <c r="J17" t="str">
        <f t="shared" si="8"/>
        <v>TYETEDECDEN</v>
      </c>
    </row>
    <row r="18" spans="1:10">
      <c r="A18">
        <f t="shared" si="6"/>
        <v>17</v>
      </c>
      <c r="B18">
        <f t="shared" si="0"/>
        <v>2</v>
      </c>
      <c r="C18">
        <f t="shared" si="1"/>
        <v>0</v>
      </c>
      <c r="D18">
        <f t="shared" si="2"/>
        <v>2</v>
      </c>
      <c r="E18">
        <f t="shared" si="3"/>
        <v>1</v>
      </c>
      <c r="F18" t="s">
        <v>127</v>
      </c>
      <c r="G18" t="str">
        <f t="shared" si="4"/>
        <v>S</v>
      </c>
      <c r="H18" t="str">
        <f t="shared" si="7"/>
        <v>SSYSXS</v>
      </c>
      <c r="I18" t="str">
        <f t="shared" si="5"/>
        <v/>
      </c>
      <c r="J18" t="str">
        <f t="shared" si="8"/>
        <v>TYETEDECDEN</v>
      </c>
    </row>
    <row r="19" spans="1:10">
      <c r="A19">
        <f t="shared" si="6"/>
        <v>18</v>
      </c>
      <c r="B19">
        <f t="shared" si="0"/>
        <v>0</v>
      </c>
      <c r="C19">
        <f t="shared" si="1"/>
        <v>1</v>
      </c>
      <c r="D19">
        <f t="shared" si="2"/>
        <v>1</v>
      </c>
      <c r="E19">
        <f t="shared" si="3"/>
        <v>0</v>
      </c>
      <c r="F19" t="s">
        <v>132</v>
      </c>
      <c r="G19" t="str">
        <f t="shared" si="4"/>
        <v/>
      </c>
      <c r="H19" t="str">
        <f t="shared" si="7"/>
        <v>SSYSXS</v>
      </c>
      <c r="I19" t="str">
        <f t="shared" si="5"/>
        <v>D</v>
      </c>
      <c r="J19" t="str">
        <f t="shared" si="8"/>
        <v>TYETEDECDEND</v>
      </c>
    </row>
    <row r="20" spans="1:10">
      <c r="A20">
        <f t="shared" si="6"/>
        <v>19</v>
      </c>
      <c r="B20">
        <f t="shared" si="0"/>
        <v>1</v>
      </c>
      <c r="C20">
        <f t="shared" si="1"/>
        <v>0</v>
      </c>
      <c r="D20">
        <f t="shared" si="2"/>
        <v>1</v>
      </c>
      <c r="E20">
        <f t="shared" si="3"/>
        <v>0</v>
      </c>
      <c r="F20" t="s">
        <v>132</v>
      </c>
      <c r="G20" t="str">
        <f t="shared" si="4"/>
        <v/>
      </c>
      <c r="H20" t="str">
        <f t="shared" si="7"/>
        <v>SSYSXS</v>
      </c>
      <c r="I20" t="str">
        <f t="shared" si="5"/>
        <v>D</v>
      </c>
      <c r="J20" t="str">
        <f t="shared" si="8"/>
        <v>TYETEDECDENDD</v>
      </c>
    </row>
    <row r="21" spans="1:10">
      <c r="A21">
        <f t="shared" si="6"/>
        <v>20</v>
      </c>
      <c r="B21">
        <f t="shared" si="0"/>
        <v>2</v>
      </c>
      <c r="C21">
        <f t="shared" si="1"/>
        <v>0</v>
      </c>
      <c r="D21">
        <f t="shared" si="2"/>
        <v>2</v>
      </c>
      <c r="E21">
        <f t="shared" si="3"/>
        <v>1</v>
      </c>
      <c r="F21" t="s">
        <v>132</v>
      </c>
      <c r="G21" t="str">
        <f t="shared" si="4"/>
        <v>D</v>
      </c>
      <c r="H21" t="str">
        <f t="shared" si="7"/>
        <v>SSYSXSD</v>
      </c>
      <c r="I21" t="str">
        <f t="shared" si="5"/>
        <v/>
      </c>
      <c r="J21" t="str">
        <f t="shared" si="8"/>
        <v>TYETEDECDENDD</v>
      </c>
    </row>
    <row r="22" spans="1:10">
      <c r="A22">
        <f t="shared" si="6"/>
        <v>21</v>
      </c>
      <c r="B22">
        <f t="shared" si="0"/>
        <v>0</v>
      </c>
      <c r="C22">
        <f t="shared" si="1"/>
        <v>1</v>
      </c>
      <c r="D22">
        <f t="shared" si="2"/>
        <v>1</v>
      </c>
      <c r="E22">
        <f t="shared" si="3"/>
        <v>0</v>
      </c>
      <c r="F22" t="s">
        <v>132</v>
      </c>
      <c r="G22" t="str">
        <f t="shared" si="4"/>
        <v/>
      </c>
      <c r="H22" t="str">
        <f t="shared" si="7"/>
        <v>SSYSXSD</v>
      </c>
      <c r="I22" t="str">
        <f t="shared" si="5"/>
        <v>D</v>
      </c>
      <c r="J22" t="str">
        <f t="shared" si="8"/>
        <v>TYETEDECDENDDD</v>
      </c>
    </row>
    <row r="23" spans="1:10">
      <c r="A23">
        <f t="shared" si="6"/>
        <v>22</v>
      </c>
      <c r="B23">
        <f t="shared" si="0"/>
        <v>1</v>
      </c>
      <c r="C23">
        <f t="shared" si="1"/>
        <v>0</v>
      </c>
      <c r="D23">
        <f t="shared" si="2"/>
        <v>1</v>
      </c>
      <c r="E23">
        <f t="shared" si="3"/>
        <v>0</v>
      </c>
      <c r="F23" t="s">
        <v>137</v>
      </c>
      <c r="G23" t="str">
        <f t="shared" si="4"/>
        <v/>
      </c>
      <c r="H23" t="str">
        <f t="shared" si="7"/>
        <v>SSYSXSD</v>
      </c>
      <c r="I23" t="str">
        <f t="shared" si="5"/>
        <v>O</v>
      </c>
      <c r="J23" t="str">
        <f t="shared" si="8"/>
        <v>TYETEDECDENDDDO</v>
      </c>
    </row>
    <row r="24" spans="1:10">
      <c r="A24">
        <f t="shared" si="6"/>
        <v>23</v>
      </c>
      <c r="B24">
        <f t="shared" si="0"/>
        <v>2</v>
      </c>
      <c r="C24">
        <f t="shared" si="1"/>
        <v>0</v>
      </c>
      <c r="D24">
        <f t="shared" si="2"/>
        <v>2</v>
      </c>
      <c r="E24">
        <f t="shared" si="3"/>
        <v>1</v>
      </c>
      <c r="F24" t="s">
        <v>126</v>
      </c>
      <c r="G24" t="str">
        <f t="shared" si="4"/>
        <v>N</v>
      </c>
      <c r="H24" t="str">
        <f t="shared" si="7"/>
        <v>SSYSXSDN</v>
      </c>
      <c r="I24" t="str">
        <f t="shared" si="5"/>
        <v/>
      </c>
      <c r="J24" t="str">
        <f t="shared" si="8"/>
        <v>TYETEDECDENDDDO</v>
      </c>
    </row>
    <row r="25" spans="1:10">
      <c r="A25">
        <f t="shared" si="6"/>
        <v>24</v>
      </c>
      <c r="B25">
        <f t="shared" si="0"/>
        <v>0</v>
      </c>
      <c r="C25">
        <f t="shared" si="1"/>
        <v>1</v>
      </c>
      <c r="D25">
        <f t="shared" si="2"/>
        <v>1</v>
      </c>
      <c r="E25">
        <f t="shared" si="3"/>
        <v>0</v>
      </c>
      <c r="F25" t="s">
        <v>126</v>
      </c>
      <c r="G25" t="str">
        <f t="shared" si="4"/>
        <v/>
      </c>
      <c r="H25" t="str">
        <f t="shared" si="7"/>
        <v>SSYSXSDN</v>
      </c>
      <c r="I25" t="str">
        <f t="shared" si="5"/>
        <v>N</v>
      </c>
      <c r="J25" t="str">
        <f t="shared" si="8"/>
        <v>TYETEDECDENDDDON</v>
      </c>
    </row>
    <row r="26" spans="1:10">
      <c r="A26">
        <f t="shared" si="6"/>
        <v>25</v>
      </c>
      <c r="B26">
        <f t="shared" si="0"/>
        <v>1</v>
      </c>
      <c r="C26">
        <f t="shared" si="1"/>
        <v>0</v>
      </c>
      <c r="D26">
        <f t="shared" si="2"/>
        <v>1</v>
      </c>
      <c r="E26">
        <f t="shared" si="3"/>
        <v>0</v>
      </c>
      <c r="F26" t="s">
        <v>126</v>
      </c>
      <c r="G26" t="str">
        <f t="shared" si="4"/>
        <v/>
      </c>
      <c r="H26" t="str">
        <f t="shared" si="7"/>
        <v>SSYSXSDN</v>
      </c>
      <c r="I26" t="str">
        <f t="shared" si="5"/>
        <v>N</v>
      </c>
      <c r="J26" t="str">
        <f t="shared" si="8"/>
        <v>TYETEDECDENDDDONN</v>
      </c>
    </row>
    <row r="27" spans="1:10">
      <c r="A27">
        <f t="shared" si="6"/>
        <v>26</v>
      </c>
      <c r="B27">
        <f t="shared" si="0"/>
        <v>2</v>
      </c>
      <c r="C27">
        <f t="shared" si="1"/>
        <v>0</v>
      </c>
      <c r="D27">
        <f t="shared" si="2"/>
        <v>2</v>
      </c>
      <c r="E27">
        <f t="shared" si="3"/>
        <v>1</v>
      </c>
      <c r="F27" t="s">
        <v>111</v>
      </c>
      <c r="G27" t="str">
        <f t="shared" si="4"/>
        <v>X</v>
      </c>
      <c r="H27" t="str">
        <f t="shared" si="7"/>
        <v>SSYSXSDNX</v>
      </c>
      <c r="I27" t="str">
        <f t="shared" si="5"/>
        <v/>
      </c>
      <c r="J27" t="str">
        <f t="shared" si="8"/>
        <v>TYETEDECDENDDDONN</v>
      </c>
    </row>
    <row r="28" spans="1:10">
      <c r="A28">
        <f t="shared" si="6"/>
        <v>27</v>
      </c>
      <c r="B28">
        <f t="shared" si="0"/>
        <v>0</v>
      </c>
      <c r="C28">
        <f t="shared" si="1"/>
        <v>1</v>
      </c>
      <c r="D28">
        <f t="shared" si="2"/>
        <v>1</v>
      </c>
      <c r="E28">
        <f t="shared" si="3"/>
        <v>0</v>
      </c>
      <c r="F28" t="s">
        <v>127</v>
      </c>
      <c r="G28" t="str">
        <f t="shared" si="4"/>
        <v/>
      </c>
      <c r="H28" t="str">
        <f t="shared" si="7"/>
        <v>SSYSXSDNX</v>
      </c>
      <c r="I28" t="str">
        <f t="shared" si="5"/>
        <v>S</v>
      </c>
      <c r="J28" t="str">
        <f t="shared" si="8"/>
        <v>TYETEDECDENDDDONNS</v>
      </c>
    </row>
    <row r="29" spans="1:10">
      <c r="A29">
        <f t="shared" si="6"/>
        <v>28</v>
      </c>
      <c r="B29">
        <f t="shared" si="0"/>
        <v>1</v>
      </c>
      <c r="C29">
        <f t="shared" si="1"/>
        <v>0</v>
      </c>
      <c r="D29">
        <f t="shared" si="2"/>
        <v>1</v>
      </c>
      <c r="E29">
        <f t="shared" si="3"/>
        <v>0</v>
      </c>
      <c r="F29" t="s">
        <v>105</v>
      </c>
      <c r="G29" t="str">
        <f t="shared" si="4"/>
        <v/>
      </c>
      <c r="H29" t="str">
        <f t="shared" si="7"/>
        <v>SSYSXSDNX</v>
      </c>
      <c r="I29" t="str">
        <f t="shared" si="5"/>
        <v>Y</v>
      </c>
      <c r="J29" t="str">
        <f t="shared" si="8"/>
        <v>TYETEDECDENDDDONNSY</v>
      </c>
    </row>
    <row r="30" spans="1:10">
      <c r="A30">
        <f t="shared" si="6"/>
        <v>29</v>
      </c>
      <c r="B30">
        <f t="shared" si="0"/>
        <v>2</v>
      </c>
      <c r="C30">
        <f t="shared" si="1"/>
        <v>0</v>
      </c>
      <c r="D30">
        <f t="shared" si="2"/>
        <v>2</v>
      </c>
      <c r="E30">
        <f t="shared" si="3"/>
        <v>1</v>
      </c>
      <c r="F30" t="s">
        <v>125</v>
      </c>
      <c r="G30" t="str">
        <f t="shared" si="4"/>
        <v>W</v>
      </c>
      <c r="H30" t="str">
        <f t="shared" si="7"/>
        <v>SSYSXSDNXW</v>
      </c>
      <c r="I30" t="str">
        <f t="shared" si="5"/>
        <v/>
      </c>
      <c r="J30" t="str">
        <f t="shared" si="8"/>
        <v>TYETEDECDENDDDONNSY</v>
      </c>
    </row>
    <row r="31" spans="1:10">
      <c r="A31">
        <f t="shared" si="6"/>
        <v>30</v>
      </c>
      <c r="B31">
        <f t="shared" si="0"/>
        <v>0</v>
      </c>
      <c r="C31">
        <f t="shared" si="1"/>
        <v>1</v>
      </c>
      <c r="D31">
        <f t="shared" si="2"/>
        <v>1</v>
      </c>
      <c r="E31">
        <f t="shared" si="3"/>
        <v>0</v>
      </c>
      <c r="F31" t="s">
        <v>124</v>
      </c>
      <c r="G31" t="str">
        <f t="shared" si="4"/>
        <v/>
      </c>
      <c r="H31" t="str">
        <f t="shared" si="7"/>
        <v>SSYSXSDNXW</v>
      </c>
      <c r="I31" t="str">
        <f t="shared" si="5"/>
        <v>T</v>
      </c>
      <c r="J31" t="str">
        <f t="shared" si="8"/>
        <v>TYETEDECDENDDDONNSYT</v>
      </c>
    </row>
    <row r="32" spans="1:10">
      <c r="A32">
        <f t="shared" si="6"/>
        <v>31</v>
      </c>
      <c r="B32">
        <f t="shared" si="0"/>
        <v>1</v>
      </c>
      <c r="C32">
        <f t="shared" si="1"/>
        <v>0</v>
      </c>
      <c r="D32">
        <f t="shared" si="2"/>
        <v>1</v>
      </c>
      <c r="E32">
        <f t="shared" si="3"/>
        <v>0</v>
      </c>
      <c r="F32" t="s">
        <v>127</v>
      </c>
      <c r="G32" t="str">
        <f t="shared" si="4"/>
        <v/>
      </c>
      <c r="H32" t="str">
        <f t="shared" si="7"/>
        <v>SSYSXSDNXW</v>
      </c>
      <c r="I32" t="str">
        <f t="shared" si="5"/>
        <v>S</v>
      </c>
      <c r="J32" t="str">
        <f t="shared" si="8"/>
        <v>TYETEDECDENDDDONNSYTS</v>
      </c>
    </row>
    <row r="33" spans="1:10">
      <c r="A33">
        <f t="shared" si="6"/>
        <v>32</v>
      </c>
      <c r="B33">
        <f t="shared" si="0"/>
        <v>2</v>
      </c>
      <c r="C33">
        <f t="shared" si="1"/>
        <v>0</v>
      </c>
      <c r="D33">
        <f t="shared" si="2"/>
        <v>2</v>
      </c>
      <c r="E33">
        <f t="shared" si="3"/>
        <v>1</v>
      </c>
      <c r="F33" t="s">
        <v>105</v>
      </c>
      <c r="G33" t="str">
        <f t="shared" si="4"/>
        <v>Y</v>
      </c>
      <c r="H33" t="str">
        <f t="shared" si="7"/>
        <v>SSYSXSDNXWY</v>
      </c>
      <c r="I33" t="str">
        <f t="shared" si="5"/>
        <v/>
      </c>
      <c r="J33" t="str">
        <f t="shared" si="8"/>
        <v>TYETEDECDENDDDONNSYTS</v>
      </c>
    </row>
    <row r="34" spans="1:10">
      <c r="A34">
        <f t="shared" si="6"/>
        <v>33</v>
      </c>
      <c r="B34">
        <f t="shared" si="0"/>
        <v>0</v>
      </c>
      <c r="C34">
        <f t="shared" si="1"/>
        <v>1</v>
      </c>
      <c r="D34">
        <f t="shared" si="2"/>
        <v>1</v>
      </c>
      <c r="E34">
        <f t="shared" si="3"/>
        <v>0</v>
      </c>
      <c r="F34" t="s">
        <v>132</v>
      </c>
      <c r="G34" t="str">
        <f t="shared" si="4"/>
        <v/>
      </c>
      <c r="H34" t="str">
        <f t="shared" si="7"/>
        <v>SSYSXSDNXWY</v>
      </c>
      <c r="I34" t="str">
        <f t="shared" si="5"/>
        <v>D</v>
      </c>
      <c r="J34" t="str">
        <f t="shared" si="8"/>
        <v>TYETEDECDENDDDONNSYTSD</v>
      </c>
    </row>
    <row r="35" spans="1:10">
      <c r="A35">
        <f t="shared" si="6"/>
        <v>34</v>
      </c>
      <c r="B35">
        <f t="shared" si="0"/>
        <v>1</v>
      </c>
      <c r="C35">
        <f t="shared" si="1"/>
        <v>0</v>
      </c>
      <c r="D35">
        <f t="shared" si="2"/>
        <v>1</v>
      </c>
      <c r="E35">
        <f t="shared" si="3"/>
        <v>0</v>
      </c>
      <c r="F35" t="s">
        <v>127</v>
      </c>
      <c r="G35" t="str">
        <f t="shared" si="4"/>
        <v/>
      </c>
      <c r="H35" t="str">
        <f t="shared" si="7"/>
        <v>SSYSXSDNXWY</v>
      </c>
      <c r="I35" t="str">
        <f t="shared" si="5"/>
        <v>S</v>
      </c>
      <c r="J35" t="str">
        <f t="shared" si="8"/>
        <v>TYETEDECDENDDDONNSYTSDS</v>
      </c>
    </row>
    <row r="36" spans="1:10">
      <c r="A36">
        <f t="shared" si="6"/>
        <v>35</v>
      </c>
      <c r="B36">
        <f t="shared" si="0"/>
        <v>2</v>
      </c>
      <c r="C36">
        <f t="shared" si="1"/>
        <v>0</v>
      </c>
      <c r="D36">
        <f t="shared" si="2"/>
        <v>2</v>
      </c>
      <c r="E36">
        <f t="shared" si="3"/>
        <v>1</v>
      </c>
      <c r="F36" t="s">
        <v>132</v>
      </c>
      <c r="G36" t="str">
        <f t="shared" si="4"/>
        <v>D</v>
      </c>
      <c r="H36" t="str">
        <f t="shared" si="7"/>
        <v>SSYSXSDNXWYD</v>
      </c>
      <c r="I36" t="str">
        <f t="shared" si="5"/>
        <v/>
      </c>
      <c r="J36" t="str">
        <f t="shared" si="8"/>
        <v>TYETEDECDENDDDONNSYTSDS</v>
      </c>
    </row>
    <row r="37" spans="1:10">
      <c r="A37">
        <f t="shared" si="6"/>
        <v>36</v>
      </c>
      <c r="B37">
        <f t="shared" si="0"/>
        <v>0</v>
      </c>
      <c r="C37">
        <f t="shared" si="1"/>
        <v>1</v>
      </c>
      <c r="D37">
        <f t="shared" si="2"/>
        <v>1</v>
      </c>
      <c r="E37">
        <f t="shared" si="3"/>
        <v>0</v>
      </c>
      <c r="F37" t="s">
        <v>124</v>
      </c>
      <c r="G37" t="str">
        <f t="shared" si="4"/>
        <v/>
      </c>
      <c r="H37" t="str">
        <f t="shared" si="7"/>
        <v>SSYSXSDNXWYD</v>
      </c>
      <c r="I37" t="str">
        <f t="shared" si="5"/>
        <v>T</v>
      </c>
      <c r="J37" t="str">
        <f t="shared" si="8"/>
        <v>TYETEDECDENDDDONNSYTSDST</v>
      </c>
    </row>
    <row r="38" spans="1:10">
      <c r="A38">
        <f t="shared" si="6"/>
        <v>37</v>
      </c>
      <c r="B38">
        <f t="shared" si="0"/>
        <v>1</v>
      </c>
      <c r="C38">
        <f t="shared" si="1"/>
        <v>0</v>
      </c>
      <c r="D38">
        <f t="shared" si="2"/>
        <v>1</v>
      </c>
      <c r="E38">
        <f t="shared" si="3"/>
        <v>0</v>
      </c>
      <c r="F38" t="s">
        <v>123</v>
      </c>
      <c r="G38" t="str">
        <f t="shared" si="4"/>
        <v/>
      </c>
      <c r="H38" t="str">
        <f t="shared" si="7"/>
        <v>SSYSXSDNXWYD</v>
      </c>
      <c r="I38" t="str">
        <f t="shared" si="5"/>
        <v>E</v>
      </c>
      <c r="J38" t="str">
        <f t="shared" si="8"/>
        <v>TYETEDECDENDDDONNSYTSDSTE</v>
      </c>
    </row>
    <row r="39" spans="1:10">
      <c r="A39">
        <f t="shared" si="6"/>
        <v>38</v>
      </c>
      <c r="B39">
        <f t="shared" si="0"/>
        <v>2</v>
      </c>
      <c r="C39">
        <f t="shared" si="1"/>
        <v>0</v>
      </c>
      <c r="D39">
        <f t="shared" si="2"/>
        <v>2</v>
      </c>
      <c r="E39">
        <f t="shared" si="3"/>
        <v>1</v>
      </c>
      <c r="F39" t="s">
        <v>123</v>
      </c>
      <c r="G39" t="str">
        <f t="shared" si="4"/>
        <v>E</v>
      </c>
      <c r="H39" t="str">
        <f t="shared" si="7"/>
        <v>SSYSXSDNXWYDE</v>
      </c>
      <c r="I39" t="str">
        <f t="shared" si="5"/>
        <v/>
      </c>
      <c r="J39" t="str">
        <f t="shared" si="8"/>
        <v>TYETEDECDENDDDONNSYTSDSTE</v>
      </c>
    </row>
    <row r="40" spans="1:10">
      <c r="A40">
        <f t="shared" si="6"/>
        <v>39</v>
      </c>
      <c r="B40">
        <f t="shared" si="0"/>
        <v>0</v>
      </c>
      <c r="C40">
        <f t="shared" si="1"/>
        <v>1</v>
      </c>
      <c r="D40">
        <f t="shared" si="2"/>
        <v>1</v>
      </c>
      <c r="E40">
        <f t="shared" si="3"/>
        <v>0</v>
      </c>
      <c r="F40" t="s">
        <v>111</v>
      </c>
      <c r="G40" t="str">
        <f t="shared" si="4"/>
        <v/>
      </c>
      <c r="H40" t="str">
        <f t="shared" si="7"/>
        <v>SSYSXSDNXWYDE</v>
      </c>
      <c r="I40" t="str">
        <f t="shared" si="5"/>
        <v>X</v>
      </c>
      <c r="J40" t="str">
        <f t="shared" si="8"/>
        <v>TYETEDECDENDDDONNSYTSDSTEX</v>
      </c>
    </row>
    <row r="41" spans="1:10">
      <c r="A41">
        <f t="shared" si="6"/>
        <v>40</v>
      </c>
      <c r="B41">
        <f t="shared" si="0"/>
        <v>1</v>
      </c>
      <c r="C41">
        <f t="shared" si="1"/>
        <v>0</v>
      </c>
      <c r="D41">
        <f t="shared" si="2"/>
        <v>1</v>
      </c>
      <c r="E41">
        <f t="shared" si="3"/>
        <v>0</v>
      </c>
      <c r="F41" t="s">
        <v>137</v>
      </c>
      <c r="G41" t="str">
        <f t="shared" si="4"/>
        <v/>
      </c>
      <c r="H41" t="str">
        <f t="shared" si="7"/>
        <v>SSYSXSDNXWYDE</v>
      </c>
      <c r="I41" t="str">
        <f t="shared" si="5"/>
        <v>O</v>
      </c>
      <c r="J41" t="str">
        <f t="shared" si="8"/>
        <v>TYETEDECDENDDDONNSYTSDSTEXO</v>
      </c>
    </row>
    <row r="42" spans="1:10">
      <c r="A42">
        <f t="shared" si="6"/>
        <v>41</v>
      </c>
      <c r="B42">
        <f t="shared" si="0"/>
        <v>2</v>
      </c>
      <c r="C42">
        <f t="shared" si="1"/>
        <v>0</v>
      </c>
      <c r="D42">
        <f t="shared" si="2"/>
        <v>2</v>
      </c>
      <c r="E42">
        <f t="shared" si="3"/>
        <v>1</v>
      </c>
      <c r="F42" t="s">
        <v>127</v>
      </c>
      <c r="G42" t="str">
        <f t="shared" si="4"/>
        <v>S</v>
      </c>
      <c r="H42" t="str">
        <f t="shared" si="7"/>
        <v>SSYSXSDNXWYDES</v>
      </c>
      <c r="I42" t="str">
        <f t="shared" si="5"/>
        <v/>
      </c>
      <c r="J42" t="str">
        <f t="shared" si="8"/>
        <v>TYETEDECDENDDDONNSYTSDSTEXO</v>
      </c>
    </row>
    <row r="43" spans="1:10">
      <c r="A43">
        <f t="shared" si="6"/>
        <v>42</v>
      </c>
      <c r="B43">
        <f t="shared" si="0"/>
        <v>0</v>
      </c>
      <c r="C43">
        <f t="shared" si="1"/>
        <v>1</v>
      </c>
      <c r="D43">
        <f t="shared" si="2"/>
        <v>1</v>
      </c>
      <c r="E43">
        <f t="shared" si="3"/>
        <v>0</v>
      </c>
      <c r="F43" t="s">
        <v>123</v>
      </c>
      <c r="G43" t="str">
        <f t="shared" si="4"/>
        <v/>
      </c>
      <c r="H43" t="str">
        <f t="shared" si="7"/>
        <v>SSYSXSDNXWYDES</v>
      </c>
      <c r="I43" t="str">
        <f t="shared" si="5"/>
        <v>E</v>
      </c>
      <c r="J43" t="str">
        <f t="shared" si="8"/>
        <v>TYETEDECDENDDDONNSYTSDSTEXOE</v>
      </c>
    </row>
    <row r="44" spans="1:10">
      <c r="A44">
        <f t="shared" si="6"/>
        <v>43</v>
      </c>
      <c r="B44">
        <f t="shared" si="0"/>
        <v>1</v>
      </c>
      <c r="C44">
        <f t="shared" si="1"/>
        <v>0</v>
      </c>
      <c r="D44">
        <f t="shared" si="2"/>
        <v>1</v>
      </c>
      <c r="E44">
        <f t="shared" si="3"/>
        <v>0</v>
      </c>
      <c r="F44" t="s">
        <v>124</v>
      </c>
      <c r="G44" t="str">
        <f t="shared" si="4"/>
        <v/>
      </c>
      <c r="H44" t="str">
        <f t="shared" si="7"/>
        <v>SSYSXSDNXWYDES</v>
      </c>
      <c r="I44" t="str">
        <f t="shared" si="5"/>
        <v>T</v>
      </c>
      <c r="J44" t="str">
        <f t="shared" si="8"/>
        <v>TYETEDECDENDDDONNSYTSDSTEXOET</v>
      </c>
    </row>
    <row r="45" spans="1:10">
      <c r="A45">
        <f t="shared" si="6"/>
        <v>44</v>
      </c>
      <c r="B45">
        <f t="shared" si="0"/>
        <v>2</v>
      </c>
      <c r="C45">
        <f t="shared" si="1"/>
        <v>0</v>
      </c>
      <c r="D45">
        <f t="shared" si="2"/>
        <v>2</v>
      </c>
      <c r="E45">
        <f t="shared" si="3"/>
        <v>1</v>
      </c>
      <c r="F45" t="s">
        <v>126</v>
      </c>
      <c r="G45" t="str">
        <f t="shared" si="4"/>
        <v>N</v>
      </c>
      <c r="H45" t="str">
        <f t="shared" si="7"/>
        <v>SSYSXSDNXWYDESN</v>
      </c>
      <c r="I45" t="str">
        <f t="shared" si="5"/>
        <v/>
      </c>
      <c r="J45" t="str">
        <f t="shared" si="8"/>
        <v>TYETEDECDENDDDONNSYTSDSTEXOET</v>
      </c>
    </row>
    <row r="46" spans="1:10">
      <c r="A46">
        <f t="shared" si="6"/>
        <v>45</v>
      </c>
      <c r="B46">
        <f t="shared" si="0"/>
        <v>0</v>
      </c>
      <c r="C46">
        <f t="shared" si="1"/>
        <v>1</v>
      </c>
      <c r="D46">
        <f t="shared" si="2"/>
        <v>1</v>
      </c>
      <c r="E46">
        <f t="shared" si="3"/>
        <v>0</v>
      </c>
      <c r="F46" t="s">
        <v>105</v>
      </c>
      <c r="G46" t="str">
        <f t="shared" si="4"/>
        <v/>
      </c>
      <c r="H46" t="str">
        <f t="shared" si="7"/>
        <v>SSYSXSDNXWYDESN</v>
      </c>
      <c r="I46" t="str">
        <f t="shared" si="5"/>
        <v>Y</v>
      </c>
      <c r="J46" t="str">
        <f t="shared" si="8"/>
        <v>TYETEDECDENDDDONNSYTSDSTEXOETY</v>
      </c>
    </row>
    <row r="47" spans="1:10">
      <c r="A47">
        <f t="shared" si="6"/>
        <v>46</v>
      </c>
      <c r="B47">
        <f t="shared" si="0"/>
        <v>1</v>
      </c>
      <c r="C47">
        <f t="shared" si="1"/>
        <v>0</v>
      </c>
      <c r="D47">
        <f t="shared" si="2"/>
        <v>1</v>
      </c>
      <c r="E47">
        <f t="shared" si="3"/>
        <v>0</v>
      </c>
      <c r="F47" t="s">
        <v>125</v>
      </c>
      <c r="G47" t="str">
        <f t="shared" si="4"/>
        <v/>
      </c>
      <c r="H47" t="str">
        <f t="shared" si="7"/>
        <v>SSYSXSDNXWYDESN</v>
      </c>
      <c r="I47" t="str">
        <f t="shared" si="5"/>
        <v>W</v>
      </c>
      <c r="J47" t="str">
        <f t="shared" si="8"/>
        <v>TYETEDECDENDDDONNSYTSDSTEXOETYW</v>
      </c>
    </row>
    <row r="48" spans="1:10">
      <c r="A48">
        <f t="shared" si="6"/>
        <v>47</v>
      </c>
      <c r="B48">
        <f t="shared" si="0"/>
        <v>2</v>
      </c>
      <c r="C48">
        <f t="shared" si="1"/>
        <v>0</v>
      </c>
      <c r="D48">
        <f t="shared" si="2"/>
        <v>2</v>
      </c>
      <c r="E48">
        <f t="shared" si="3"/>
        <v>1</v>
      </c>
      <c r="F48" t="s">
        <v>127</v>
      </c>
      <c r="G48" t="str">
        <f t="shared" si="4"/>
        <v>S</v>
      </c>
      <c r="H48" t="str">
        <f t="shared" si="7"/>
        <v>SSYSXSDNXWYDESNS</v>
      </c>
      <c r="I48" t="str">
        <f t="shared" si="5"/>
        <v/>
      </c>
      <c r="J48" t="str">
        <f t="shared" si="8"/>
        <v>TYETEDECDENDDDONNSYTSDSTEXOETYW</v>
      </c>
    </row>
    <row r="49" spans="1:10">
      <c r="A49">
        <f t="shared" si="6"/>
        <v>48</v>
      </c>
      <c r="B49">
        <f t="shared" si="0"/>
        <v>0</v>
      </c>
      <c r="C49">
        <f t="shared" si="1"/>
        <v>1</v>
      </c>
      <c r="D49">
        <f t="shared" si="2"/>
        <v>1</v>
      </c>
      <c r="E49">
        <f t="shared" si="3"/>
        <v>0</v>
      </c>
      <c r="F49" t="s">
        <v>127</v>
      </c>
      <c r="G49" t="str">
        <f t="shared" si="4"/>
        <v/>
      </c>
      <c r="H49" t="str">
        <f t="shared" si="7"/>
        <v>SSYSXSDNXWYDESNS</v>
      </c>
      <c r="I49" t="str">
        <f t="shared" si="5"/>
        <v>S</v>
      </c>
      <c r="J49" t="str">
        <f t="shared" si="8"/>
        <v>TYETEDECDENDDDONNSYTSDSTEXOETYWS</v>
      </c>
    </row>
    <row r="50" spans="1:10">
      <c r="A50">
        <f t="shared" si="6"/>
        <v>49</v>
      </c>
      <c r="B50">
        <f t="shared" si="0"/>
        <v>1</v>
      </c>
      <c r="C50">
        <f t="shared" si="1"/>
        <v>0</v>
      </c>
      <c r="D50">
        <f t="shared" si="2"/>
        <v>1</v>
      </c>
      <c r="E50">
        <f t="shared" si="3"/>
        <v>0</v>
      </c>
      <c r="F50" t="s">
        <v>127</v>
      </c>
      <c r="G50" t="str">
        <f t="shared" si="4"/>
        <v/>
      </c>
      <c r="H50" t="str">
        <f t="shared" si="7"/>
        <v>SSYSXSDNXWYDESNS</v>
      </c>
      <c r="I50" t="str">
        <f t="shared" si="5"/>
        <v>S</v>
      </c>
      <c r="J50" t="str">
        <f t="shared" si="8"/>
        <v>TYETEDECDENDDDONNSYTSDSTEXOETYWSS</v>
      </c>
    </row>
    <row r="51" spans="1:10">
      <c r="A51">
        <f t="shared" si="6"/>
        <v>50</v>
      </c>
      <c r="B51">
        <f t="shared" si="0"/>
        <v>2</v>
      </c>
      <c r="C51">
        <f t="shared" si="1"/>
        <v>0</v>
      </c>
      <c r="D51">
        <f t="shared" si="2"/>
        <v>2</v>
      </c>
      <c r="E51">
        <f t="shared" si="3"/>
        <v>1</v>
      </c>
      <c r="F51" t="s">
        <v>124</v>
      </c>
      <c r="G51" t="str">
        <f t="shared" si="4"/>
        <v>T</v>
      </c>
      <c r="H51" t="str">
        <f t="shared" si="7"/>
        <v>SSYSXSDNXWYDESNST</v>
      </c>
      <c r="I51" t="str">
        <f t="shared" si="5"/>
        <v/>
      </c>
      <c r="J51" t="str">
        <f t="shared" si="8"/>
        <v>TYETEDECDENDDDONNSYTSDSTEXOETYWSS</v>
      </c>
    </row>
    <row r="52" spans="1:10">
      <c r="A52">
        <f t="shared" si="6"/>
        <v>51</v>
      </c>
      <c r="B52">
        <f t="shared" si="0"/>
        <v>0</v>
      </c>
      <c r="C52">
        <f t="shared" si="1"/>
        <v>1</v>
      </c>
      <c r="D52">
        <f t="shared" si="2"/>
        <v>1</v>
      </c>
      <c r="E52">
        <f t="shared" si="3"/>
        <v>0</v>
      </c>
      <c r="F52" t="s">
        <v>123</v>
      </c>
      <c r="G52" t="str">
        <f t="shared" si="4"/>
        <v/>
      </c>
      <c r="H52" t="str">
        <f t="shared" si="7"/>
        <v>SSYSXSDNXWYDESNST</v>
      </c>
      <c r="I52" t="str">
        <f t="shared" si="5"/>
        <v>E</v>
      </c>
      <c r="J52" t="str">
        <f t="shared" si="8"/>
        <v>TYETEDECDENDDDONNSYTSDSTEXOETYWSSE</v>
      </c>
    </row>
    <row r="53" spans="1:10">
      <c r="A53">
        <f t="shared" si="6"/>
        <v>52</v>
      </c>
      <c r="B53">
        <f t="shared" si="0"/>
        <v>1</v>
      </c>
      <c r="C53">
        <f t="shared" si="1"/>
        <v>0</v>
      </c>
      <c r="D53">
        <f t="shared" si="2"/>
        <v>1</v>
      </c>
      <c r="E53">
        <f t="shared" si="3"/>
        <v>0</v>
      </c>
      <c r="F53" t="s">
        <v>111</v>
      </c>
      <c r="G53" t="str">
        <f t="shared" si="4"/>
        <v/>
      </c>
      <c r="H53" t="str">
        <f t="shared" si="7"/>
        <v>SSYSXSDNXWYDESNST</v>
      </c>
      <c r="I53" t="str">
        <f t="shared" si="5"/>
        <v>X</v>
      </c>
      <c r="J53" t="str">
        <f t="shared" si="8"/>
        <v>TYETEDECDENDDDONNSYTSDSTEXOETYWSSEX</v>
      </c>
    </row>
    <row r="54" spans="1:10">
      <c r="A54">
        <f t="shared" si="6"/>
        <v>53</v>
      </c>
      <c r="B54">
        <f t="shared" si="0"/>
        <v>2</v>
      </c>
      <c r="C54">
        <f t="shared" si="1"/>
        <v>0</v>
      </c>
      <c r="D54">
        <f t="shared" si="2"/>
        <v>2</v>
      </c>
      <c r="E54">
        <f t="shared" si="3"/>
        <v>1</v>
      </c>
      <c r="F54" t="s">
        <v>105</v>
      </c>
      <c r="G54" t="str">
        <f t="shared" si="4"/>
        <v>Y</v>
      </c>
      <c r="H54" t="str">
        <f t="shared" si="7"/>
        <v>SSYSXSDNXWYDESNSTY</v>
      </c>
      <c r="I54" t="str">
        <f t="shared" si="5"/>
        <v/>
      </c>
      <c r="J54" t="str">
        <f t="shared" si="8"/>
        <v>TYETEDECDENDDDONNSYTSDSTEXOETYWSSEX</v>
      </c>
    </row>
    <row r="55" spans="1:10">
      <c r="A55">
        <f t="shared" si="6"/>
        <v>54</v>
      </c>
      <c r="B55">
        <f t="shared" si="0"/>
        <v>0</v>
      </c>
      <c r="C55">
        <f t="shared" si="1"/>
        <v>1</v>
      </c>
      <c r="D55">
        <f t="shared" si="2"/>
        <v>1</v>
      </c>
      <c r="E55">
        <f t="shared" si="3"/>
        <v>0</v>
      </c>
      <c r="F55" t="s">
        <v>124</v>
      </c>
      <c r="G55" t="str">
        <f t="shared" si="4"/>
        <v/>
      </c>
      <c r="H55" t="str">
        <f t="shared" si="7"/>
        <v>SSYSXSDNXWYDESNSTY</v>
      </c>
      <c r="I55" t="str">
        <f t="shared" si="5"/>
        <v>T</v>
      </c>
      <c r="J55" t="str">
        <f t="shared" si="8"/>
        <v>TYETEDECDENDDDONNSYTSDSTEXOETYWSSEXT</v>
      </c>
    </row>
    <row r="56" spans="1:10">
      <c r="A56">
        <f t="shared" si="6"/>
        <v>55</v>
      </c>
      <c r="B56">
        <f t="shared" si="0"/>
        <v>1</v>
      </c>
      <c r="C56">
        <f t="shared" si="1"/>
        <v>0</v>
      </c>
      <c r="D56">
        <f t="shared" si="2"/>
        <v>1</v>
      </c>
      <c r="E56">
        <f t="shared" si="3"/>
        <v>0</v>
      </c>
      <c r="F56" t="s">
        <v>127</v>
      </c>
      <c r="G56" t="str">
        <f t="shared" si="4"/>
        <v/>
      </c>
      <c r="H56" t="str">
        <f t="shared" si="7"/>
        <v>SSYSXSDNXWYDESNSTY</v>
      </c>
      <c r="I56" t="str">
        <f t="shared" si="5"/>
        <v>S</v>
      </c>
      <c r="J56" t="str">
        <f t="shared" si="8"/>
        <v>TYETEDECDENDDDONNSYTSDSTEXOETYWSSEXTS</v>
      </c>
    </row>
    <row r="57" spans="1:10">
      <c r="A57">
        <f t="shared" si="6"/>
        <v>56</v>
      </c>
      <c r="B57">
        <f t="shared" si="0"/>
        <v>2</v>
      </c>
      <c r="C57">
        <f t="shared" si="1"/>
        <v>0</v>
      </c>
      <c r="D57">
        <f t="shared" si="2"/>
        <v>2</v>
      </c>
      <c r="E57">
        <f t="shared" si="3"/>
        <v>1</v>
      </c>
      <c r="F57" t="s">
        <v>105</v>
      </c>
      <c r="G57" t="str">
        <f t="shared" si="4"/>
        <v>Y</v>
      </c>
      <c r="H57" t="str">
        <f t="shared" si="7"/>
        <v>SSYSXSDNXWYDESNSTYY</v>
      </c>
      <c r="I57" t="str">
        <f t="shared" si="5"/>
        <v/>
      </c>
      <c r="J57" t="str">
        <f t="shared" si="8"/>
        <v>TYETEDECDENDDDONNSYTSDSTEXOETYWSSEXTS</v>
      </c>
    </row>
    <row r="58" spans="1:10">
      <c r="A58">
        <f t="shared" si="6"/>
        <v>57</v>
      </c>
      <c r="B58">
        <f t="shared" si="0"/>
        <v>0</v>
      </c>
      <c r="C58">
        <f t="shared" si="1"/>
        <v>1</v>
      </c>
      <c r="D58">
        <f t="shared" si="2"/>
        <v>1</v>
      </c>
      <c r="E58">
        <f t="shared" si="3"/>
        <v>0</v>
      </c>
      <c r="F58" t="s">
        <v>126</v>
      </c>
      <c r="G58" t="str">
        <f t="shared" si="4"/>
        <v/>
      </c>
      <c r="H58" t="str">
        <f t="shared" si="7"/>
        <v>SSYSXSDNXWYDESNSTYY</v>
      </c>
      <c r="I58" t="str">
        <f t="shared" si="5"/>
        <v>N</v>
      </c>
      <c r="J58" t="str">
        <f t="shared" si="8"/>
        <v>TYETEDECDENDDDONNSYTSDSTEXOETYWSSEXTSN</v>
      </c>
    </row>
    <row r="59" spans="1:10">
      <c r="A59">
        <f t="shared" si="6"/>
        <v>58</v>
      </c>
      <c r="B59">
        <f t="shared" si="0"/>
        <v>1</v>
      </c>
      <c r="C59">
        <f t="shared" si="1"/>
        <v>0</v>
      </c>
      <c r="D59">
        <f t="shared" si="2"/>
        <v>1</v>
      </c>
      <c r="E59">
        <f t="shared" si="3"/>
        <v>0</v>
      </c>
      <c r="F59" t="s">
        <v>127</v>
      </c>
      <c r="G59" t="str">
        <f t="shared" si="4"/>
        <v/>
      </c>
      <c r="H59" t="str">
        <f t="shared" si="7"/>
        <v>SSYSXSDNXWYDESNSTYY</v>
      </c>
      <c r="I59" t="str">
        <f t="shared" si="5"/>
        <v>S</v>
      </c>
      <c r="J59" t="str">
        <f t="shared" si="8"/>
        <v>TYETEDECDENDDDONNSYTSDSTEXOETYWSSEXTSNS</v>
      </c>
    </row>
    <row r="60" spans="1:10">
      <c r="A60">
        <f t="shared" si="6"/>
        <v>59</v>
      </c>
      <c r="B60">
        <f t="shared" si="0"/>
        <v>2</v>
      </c>
      <c r="C60">
        <f t="shared" si="1"/>
        <v>0</v>
      </c>
      <c r="D60">
        <f t="shared" si="2"/>
        <v>2</v>
      </c>
      <c r="E60">
        <f t="shared" si="3"/>
        <v>1</v>
      </c>
      <c r="F60" t="s">
        <v>111</v>
      </c>
      <c r="G60" t="str">
        <f t="shared" si="4"/>
        <v>X</v>
      </c>
      <c r="H60" t="str">
        <f t="shared" si="7"/>
        <v>SSYSXSDNXWYDESNSTYYX</v>
      </c>
      <c r="I60" t="str">
        <f t="shared" si="5"/>
        <v/>
      </c>
      <c r="J60" t="str">
        <f t="shared" si="8"/>
        <v>TYETEDECDENDDDONNSYTSDSTEXOETYWSSEXTSNS</v>
      </c>
    </row>
    <row r="61" spans="1:10">
      <c r="A61">
        <f t="shared" si="6"/>
        <v>60</v>
      </c>
      <c r="B61">
        <f t="shared" si="0"/>
        <v>0</v>
      </c>
      <c r="C61">
        <f t="shared" si="1"/>
        <v>1</v>
      </c>
      <c r="D61">
        <f t="shared" si="2"/>
        <v>1</v>
      </c>
      <c r="E61">
        <f t="shared" si="3"/>
        <v>0</v>
      </c>
      <c r="F61" t="s">
        <v>124</v>
      </c>
      <c r="G61" t="str">
        <f t="shared" si="4"/>
        <v/>
      </c>
      <c r="H61" t="str">
        <f t="shared" si="7"/>
        <v>SSYSXSDNXWYDESNSTYYX</v>
      </c>
      <c r="I61" t="str">
        <f t="shared" si="5"/>
        <v>T</v>
      </c>
      <c r="J61" t="str">
        <f t="shared" si="8"/>
        <v>TYETEDECDENDDDONNSYTSDSTEXOETYWSSEXTSNST</v>
      </c>
    </row>
    <row r="62" spans="1:10">
      <c r="A62">
        <f t="shared" si="6"/>
        <v>61</v>
      </c>
      <c r="B62">
        <f t="shared" si="0"/>
        <v>1</v>
      </c>
      <c r="C62">
        <f t="shared" si="1"/>
        <v>0</v>
      </c>
      <c r="D62">
        <f t="shared" si="2"/>
        <v>1</v>
      </c>
      <c r="E62">
        <f t="shared" si="3"/>
        <v>0</v>
      </c>
      <c r="F62" t="s">
        <v>123</v>
      </c>
      <c r="G62" t="str">
        <f t="shared" si="4"/>
        <v/>
      </c>
      <c r="H62" t="str">
        <f t="shared" si="7"/>
        <v>SSYSXSDNXWYDESNSTYYX</v>
      </c>
      <c r="I62" t="str">
        <f t="shared" si="5"/>
        <v>E</v>
      </c>
      <c r="J62" t="str">
        <f t="shared" si="8"/>
        <v>TYETEDECDENDDDONNSYTSDSTEXOETYWSSEXTSNSTE</v>
      </c>
    </row>
    <row r="63" spans="1:10">
      <c r="A63">
        <f t="shared" si="6"/>
        <v>62</v>
      </c>
      <c r="B63">
        <f t="shared" si="0"/>
        <v>2</v>
      </c>
      <c r="C63">
        <f t="shared" si="1"/>
        <v>0</v>
      </c>
      <c r="D63">
        <f t="shared" si="2"/>
        <v>2</v>
      </c>
      <c r="E63">
        <f t="shared" si="3"/>
        <v>1</v>
      </c>
      <c r="F63" t="s">
        <v>127</v>
      </c>
      <c r="G63" t="str">
        <f t="shared" si="4"/>
        <v>S</v>
      </c>
      <c r="H63" t="str">
        <f t="shared" si="7"/>
        <v>SSYSXSDNXWYDESNSTYYXS</v>
      </c>
      <c r="I63" t="str">
        <f t="shared" si="5"/>
        <v/>
      </c>
      <c r="J63" t="str">
        <f t="shared" si="8"/>
        <v>TYETEDECDENDDDONNSYTSDSTEXOETYWSSEXTSNSTE</v>
      </c>
    </row>
    <row r="64" spans="1:10">
      <c r="A64">
        <f t="shared" si="6"/>
        <v>63</v>
      </c>
      <c r="B64">
        <f t="shared" si="0"/>
        <v>0</v>
      </c>
      <c r="C64">
        <f t="shared" si="1"/>
        <v>1</v>
      </c>
      <c r="D64">
        <f t="shared" si="2"/>
        <v>1</v>
      </c>
      <c r="E64">
        <f t="shared" si="3"/>
        <v>0</v>
      </c>
      <c r="F64" t="s">
        <v>130</v>
      </c>
      <c r="G64" t="str">
        <f t="shared" si="4"/>
        <v/>
      </c>
      <c r="H64" t="str">
        <f t="shared" si="7"/>
        <v>SSYSXSDNXWYDESNSTYYXS</v>
      </c>
      <c r="I64" t="str">
        <f t="shared" si="5"/>
        <v>H</v>
      </c>
      <c r="J64" t="str">
        <f t="shared" si="8"/>
        <v>TYETEDECDENDDDONNSYTSDSTEXOETYWSSEXTSNSTEH</v>
      </c>
    </row>
    <row r="65" spans="1:10">
      <c r="A65">
        <f t="shared" si="6"/>
        <v>64</v>
      </c>
      <c r="B65">
        <f t="shared" si="0"/>
        <v>1</v>
      </c>
      <c r="C65">
        <f t="shared" si="1"/>
        <v>0</v>
      </c>
      <c r="D65">
        <f t="shared" si="2"/>
        <v>1</v>
      </c>
      <c r="E65">
        <f t="shared" si="3"/>
        <v>0</v>
      </c>
      <c r="F65" t="s">
        <v>105</v>
      </c>
      <c r="G65" t="str">
        <f t="shared" si="4"/>
        <v/>
      </c>
      <c r="H65" t="str">
        <f t="shared" si="7"/>
        <v>SSYSXSDNXWYDESNSTYYXS</v>
      </c>
      <c r="I65" t="str">
        <f t="shared" si="5"/>
        <v>Y</v>
      </c>
      <c r="J65" t="str">
        <f t="shared" si="8"/>
        <v>TYETEDECDENDDDONNSYTSDSTEXOETYWSSEXTSNSTEHY</v>
      </c>
    </row>
    <row r="66" spans="1:10">
      <c r="A66">
        <f t="shared" si="6"/>
        <v>65</v>
      </c>
      <c r="B66">
        <f t="shared" si="0"/>
        <v>2</v>
      </c>
      <c r="C66">
        <f t="shared" si="1"/>
        <v>0</v>
      </c>
      <c r="D66">
        <f t="shared" si="2"/>
        <v>2</v>
      </c>
      <c r="E66">
        <f t="shared" si="3"/>
        <v>1</v>
      </c>
      <c r="F66" t="s">
        <v>126</v>
      </c>
      <c r="G66" t="str">
        <f t="shared" si="4"/>
        <v>N</v>
      </c>
      <c r="H66" t="str">
        <f t="shared" si="7"/>
        <v>SSYSXSDNXWYDESNSTYYXSN</v>
      </c>
      <c r="I66" t="str">
        <f t="shared" si="5"/>
        <v/>
      </c>
      <c r="J66" t="str">
        <f t="shared" si="8"/>
        <v>TYETEDECDENDDDONNSYTSDSTEXOETYWSSEXTSNSTEHY</v>
      </c>
    </row>
    <row r="67" spans="1:10">
      <c r="A67">
        <f t="shared" si="6"/>
        <v>66</v>
      </c>
      <c r="B67">
        <f t="shared" ref="B67:B130" si="9">MOD(A67,3)</f>
        <v>0</v>
      </c>
      <c r="C67">
        <f t="shared" ref="C67:C130" si="10">IF(B67=0,1,0)</f>
        <v>1</v>
      </c>
      <c r="D67">
        <f t="shared" ref="D67:D130" si="11">B67+C67</f>
        <v>1</v>
      </c>
      <c r="E67">
        <f t="shared" ref="E67:E130" si="12">MOD(D67+1,2)</f>
        <v>0</v>
      </c>
      <c r="F67" t="s">
        <v>127</v>
      </c>
      <c r="G67" t="str">
        <f t="shared" ref="G67:G130" si="13">IF(E67=1,F67,"")</f>
        <v/>
      </c>
      <c r="H67" t="str">
        <f t="shared" si="7"/>
        <v>SSYSXSDNXWYDESNSTYYXSN</v>
      </c>
      <c r="I67" t="str">
        <f t="shared" ref="I67:I130" si="14">IF(E67=0,F67,"")</f>
        <v>S</v>
      </c>
      <c r="J67" t="str">
        <f t="shared" si="8"/>
        <v>TYETEDECDENDDDONNSYTSDSTEXOETYWSSEXTSNSTEHYS</v>
      </c>
    </row>
    <row r="68" spans="1:10">
      <c r="A68">
        <f t="shared" ref="A68:A131" si="15">1+A67</f>
        <v>67</v>
      </c>
      <c r="B68">
        <f t="shared" si="9"/>
        <v>1</v>
      </c>
      <c r="C68">
        <f t="shared" si="10"/>
        <v>0</v>
      </c>
      <c r="D68">
        <f t="shared" si="11"/>
        <v>1</v>
      </c>
      <c r="E68">
        <f t="shared" si="12"/>
        <v>0</v>
      </c>
      <c r="F68" t="s">
        <v>124</v>
      </c>
      <c r="G68" t="str">
        <f t="shared" si="13"/>
        <v/>
      </c>
      <c r="H68" t="str">
        <f t="shared" ref="H68:H131" si="16">H67&amp;G68</f>
        <v>SSYSXSDNXWYDESNSTYYXSN</v>
      </c>
      <c r="I68" t="str">
        <f t="shared" si="14"/>
        <v>T</v>
      </c>
      <c r="J68" t="str">
        <f t="shared" ref="J68:J131" si="17">J67&amp;I68</f>
        <v>TYETEDECDENDDDONNSYTSDSTEXOETYWSSEXTSNSTEHYST</v>
      </c>
    </row>
    <row r="69" spans="1:10">
      <c r="A69">
        <f t="shared" si="15"/>
        <v>68</v>
      </c>
      <c r="B69">
        <f t="shared" si="9"/>
        <v>2</v>
      </c>
      <c r="C69">
        <f t="shared" si="10"/>
        <v>0</v>
      </c>
      <c r="D69">
        <f t="shared" si="11"/>
        <v>2</v>
      </c>
      <c r="E69">
        <f t="shared" si="12"/>
        <v>1</v>
      </c>
      <c r="F69" t="s">
        <v>127</v>
      </c>
      <c r="G69" t="str">
        <f t="shared" si="13"/>
        <v>S</v>
      </c>
      <c r="H69" t="str">
        <f t="shared" si="16"/>
        <v>SSYSXSDNXWYDESNSTYYXSNS</v>
      </c>
      <c r="I69" t="str">
        <f t="shared" si="14"/>
        <v/>
      </c>
      <c r="J69" t="str">
        <f t="shared" si="17"/>
        <v>TYETEDECDENDDDONNSYTSDSTEXOETYWSSEXTSNSTEHYST</v>
      </c>
    </row>
    <row r="70" spans="1:10">
      <c r="A70">
        <f t="shared" si="15"/>
        <v>69</v>
      </c>
      <c r="B70">
        <f t="shared" si="9"/>
        <v>0</v>
      </c>
      <c r="C70">
        <f t="shared" si="10"/>
        <v>1</v>
      </c>
      <c r="D70">
        <f t="shared" si="11"/>
        <v>1</v>
      </c>
      <c r="E70">
        <f t="shared" si="12"/>
        <v>0</v>
      </c>
      <c r="F70" t="s">
        <v>105</v>
      </c>
      <c r="G70" t="str">
        <f t="shared" si="13"/>
        <v/>
      </c>
      <c r="H70" t="str">
        <f t="shared" si="16"/>
        <v>SSYSXSDNXWYDESNSTYYXSNS</v>
      </c>
      <c r="I70" t="str">
        <f t="shared" si="14"/>
        <v>Y</v>
      </c>
      <c r="J70" t="str">
        <f t="shared" si="17"/>
        <v>TYETEDECDENDDDONNSYTSDSTEXOETYWSSEXTSNSTEHYSTY</v>
      </c>
    </row>
    <row r="71" spans="1:10">
      <c r="A71">
        <f t="shared" si="15"/>
        <v>70</v>
      </c>
      <c r="B71">
        <f t="shared" si="9"/>
        <v>1</v>
      </c>
      <c r="C71">
        <f t="shared" si="10"/>
        <v>0</v>
      </c>
      <c r="D71">
        <f t="shared" si="11"/>
        <v>1</v>
      </c>
      <c r="E71">
        <f t="shared" si="12"/>
        <v>0</v>
      </c>
      <c r="F71" t="s">
        <v>109</v>
      </c>
      <c r="G71" t="str">
        <f t="shared" si="13"/>
        <v/>
      </c>
      <c r="H71" t="str">
        <f t="shared" si="16"/>
        <v>SSYSXSDNXWYDESNSTYYXSNS</v>
      </c>
      <c r="I71" t="str">
        <f t="shared" si="14"/>
        <v>R</v>
      </c>
      <c r="J71" t="str">
        <f t="shared" si="17"/>
        <v>TYETEDECDENDDDONNSYTSDSTEXOETYWSSEXTSNSTEHYSTYR</v>
      </c>
    </row>
    <row r="72" spans="1:10">
      <c r="A72">
        <f t="shared" si="15"/>
        <v>71</v>
      </c>
      <c r="B72">
        <f t="shared" si="9"/>
        <v>2</v>
      </c>
      <c r="C72">
        <f t="shared" si="10"/>
        <v>0</v>
      </c>
      <c r="D72">
        <f t="shared" si="11"/>
        <v>2</v>
      </c>
      <c r="E72">
        <f t="shared" si="12"/>
        <v>1</v>
      </c>
      <c r="F72" t="s">
        <v>127</v>
      </c>
      <c r="G72" t="str">
        <f t="shared" si="13"/>
        <v>S</v>
      </c>
      <c r="H72" t="str">
        <f t="shared" si="16"/>
        <v>SSYSXSDNXWYDESNSTYYXSNSS</v>
      </c>
      <c r="I72" t="str">
        <f t="shared" si="14"/>
        <v/>
      </c>
      <c r="J72" t="str">
        <f t="shared" si="17"/>
        <v>TYETEDECDENDDDONNSYTSDSTEXOETYWSSEXTSNSTEHYSTYR</v>
      </c>
    </row>
    <row r="73" spans="1:10">
      <c r="A73">
        <f t="shared" si="15"/>
        <v>72</v>
      </c>
      <c r="B73">
        <f t="shared" si="9"/>
        <v>0</v>
      </c>
      <c r="C73">
        <f t="shared" si="10"/>
        <v>1</v>
      </c>
      <c r="D73">
        <f t="shared" si="11"/>
        <v>1</v>
      </c>
      <c r="E73">
        <f t="shared" si="12"/>
        <v>0</v>
      </c>
      <c r="F73" t="s">
        <v>124</v>
      </c>
      <c r="G73" t="str">
        <f t="shared" si="13"/>
        <v/>
      </c>
      <c r="H73" t="str">
        <f t="shared" si="16"/>
        <v>SSYSXSDNXWYDESNSTYYXSNSS</v>
      </c>
      <c r="I73" t="str">
        <f t="shared" si="14"/>
        <v>T</v>
      </c>
      <c r="J73" t="str">
        <f t="shared" si="17"/>
        <v>TYETEDECDENDDDONNSYTSDSTEXOETYWSSEXTSNSTEHYSTYRT</v>
      </c>
    </row>
    <row r="74" spans="1:10">
      <c r="A74">
        <f t="shared" si="15"/>
        <v>73</v>
      </c>
      <c r="B74">
        <f t="shared" si="9"/>
        <v>1</v>
      </c>
      <c r="C74">
        <f t="shared" si="10"/>
        <v>0</v>
      </c>
      <c r="D74">
        <f t="shared" si="11"/>
        <v>1</v>
      </c>
      <c r="E74">
        <f t="shared" si="12"/>
        <v>0</v>
      </c>
      <c r="F74" t="s">
        <v>111</v>
      </c>
      <c r="G74" t="str">
        <f t="shared" si="13"/>
        <v/>
      </c>
      <c r="H74" t="str">
        <f t="shared" si="16"/>
        <v>SSYSXSDNXWYDESNSTYYXSNSS</v>
      </c>
      <c r="I74" t="str">
        <f t="shared" si="14"/>
        <v>X</v>
      </c>
      <c r="J74" t="str">
        <f t="shared" si="17"/>
        <v>TYETEDECDENDDDONNSYTSDSTEXOETYWSSEXTSNSTEHYSTYRTX</v>
      </c>
    </row>
    <row r="75" spans="1:10">
      <c r="A75">
        <f t="shared" si="15"/>
        <v>74</v>
      </c>
      <c r="B75">
        <f t="shared" si="9"/>
        <v>2</v>
      </c>
      <c r="C75">
        <f t="shared" si="10"/>
        <v>0</v>
      </c>
      <c r="D75">
        <f t="shared" si="11"/>
        <v>2</v>
      </c>
      <c r="E75">
        <f t="shared" si="12"/>
        <v>1</v>
      </c>
      <c r="F75" t="s">
        <v>109</v>
      </c>
      <c r="G75" t="str">
        <f t="shared" si="13"/>
        <v>R</v>
      </c>
      <c r="H75" t="str">
        <f t="shared" si="16"/>
        <v>SSYSXSDNXWYDESNSTYYXSNSSR</v>
      </c>
      <c r="I75" t="str">
        <f t="shared" si="14"/>
        <v/>
      </c>
      <c r="J75" t="str">
        <f t="shared" si="17"/>
        <v>TYETEDECDENDDDONNSYTSDSTEXOETYWSSEXTSNSTEHYSTYRTX</v>
      </c>
    </row>
    <row r="76" spans="1:10">
      <c r="A76">
        <f t="shared" si="15"/>
        <v>75</v>
      </c>
      <c r="B76">
        <f t="shared" si="9"/>
        <v>0</v>
      </c>
      <c r="C76">
        <f t="shared" si="10"/>
        <v>1</v>
      </c>
      <c r="D76">
        <f t="shared" si="11"/>
        <v>1</v>
      </c>
      <c r="E76">
        <f t="shared" si="12"/>
        <v>0</v>
      </c>
      <c r="F76" t="s">
        <v>137</v>
      </c>
      <c r="G76" t="str">
        <f t="shared" si="13"/>
        <v/>
      </c>
      <c r="H76" t="str">
        <f t="shared" si="16"/>
        <v>SSYSXSDNXWYDESNSTYYXSNSSR</v>
      </c>
      <c r="I76" t="str">
        <f t="shared" si="14"/>
        <v>O</v>
      </c>
      <c r="J76" t="str">
        <f t="shared" si="17"/>
        <v>TYETEDECDENDDDONNSYTSDSTEXOETYWSSEXTSNSTEHYSTYRTXO</v>
      </c>
    </row>
    <row r="77" spans="1:10">
      <c r="A77">
        <f t="shared" si="15"/>
        <v>76</v>
      </c>
      <c r="B77">
        <f t="shared" si="9"/>
        <v>1</v>
      </c>
      <c r="C77">
        <f t="shared" si="10"/>
        <v>0</v>
      </c>
      <c r="D77">
        <f t="shared" si="11"/>
        <v>1</v>
      </c>
      <c r="E77">
        <f t="shared" si="12"/>
        <v>0</v>
      </c>
      <c r="F77" t="s">
        <v>105</v>
      </c>
      <c r="G77" t="str">
        <f t="shared" si="13"/>
        <v/>
      </c>
      <c r="H77" t="str">
        <f t="shared" si="16"/>
        <v>SSYSXSDNXWYDESNSTYYXSNSSR</v>
      </c>
      <c r="I77" t="str">
        <f t="shared" si="14"/>
        <v>Y</v>
      </c>
      <c r="J77" t="str">
        <f t="shared" si="17"/>
        <v>TYETEDECDENDDDONNSYTSDSTEXOETYWSSEXTSNSTEHYSTYRTXOY</v>
      </c>
    </row>
    <row r="78" spans="1:10">
      <c r="A78">
        <f t="shared" si="15"/>
        <v>77</v>
      </c>
      <c r="B78">
        <f t="shared" si="9"/>
        <v>2</v>
      </c>
      <c r="C78">
        <f t="shared" si="10"/>
        <v>0</v>
      </c>
      <c r="D78">
        <f t="shared" si="11"/>
        <v>2</v>
      </c>
      <c r="E78">
        <f t="shared" si="12"/>
        <v>1</v>
      </c>
      <c r="F78" t="s">
        <v>105</v>
      </c>
      <c r="G78" t="str">
        <f t="shared" si="13"/>
        <v>Y</v>
      </c>
      <c r="H78" t="str">
        <f t="shared" si="16"/>
        <v>SSYSXSDNXWYDESNSTYYXSNSSRY</v>
      </c>
      <c r="I78" t="str">
        <f t="shared" si="14"/>
        <v/>
      </c>
      <c r="J78" t="str">
        <f t="shared" si="17"/>
        <v>TYETEDECDENDDDONNSYTSDSTEXOETYWSSEXTSNSTEHYSTYRTXOY</v>
      </c>
    </row>
    <row r="79" spans="1:10">
      <c r="A79">
        <f t="shared" si="15"/>
        <v>78</v>
      </c>
      <c r="B79">
        <f t="shared" si="9"/>
        <v>0</v>
      </c>
      <c r="C79">
        <f t="shared" si="10"/>
        <v>1</v>
      </c>
      <c r="D79">
        <f t="shared" si="11"/>
        <v>1</v>
      </c>
      <c r="E79">
        <f t="shared" si="12"/>
        <v>0</v>
      </c>
      <c r="F79" t="s">
        <v>105</v>
      </c>
      <c r="G79" t="str">
        <f t="shared" si="13"/>
        <v/>
      </c>
      <c r="H79" t="str">
        <f t="shared" si="16"/>
        <v>SSYSXSDNXWYDESNSTYYXSNSSRY</v>
      </c>
      <c r="I79" t="str">
        <f t="shared" si="14"/>
        <v>Y</v>
      </c>
      <c r="J79" t="str">
        <f t="shared" si="17"/>
        <v>TYETEDECDENDDDONNSYTSDSTEXOETYWSSEXTSNSTEHYSTYRTXOYY</v>
      </c>
    </row>
    <row r="80" spans="1:10">
      <c r="A80">
        <f t="shared" si="15"/>
        <v>79</v>
      </c>
      <c r="B80">
        <f t="shared" si="9"/>
        <v>1</v>
      </c>
      <c r="C80">
        <f t="shared" si="10"/>
        <v>0</v>
      </c>
      <c r="D80">
        <f t="shared" si="11"/>
        <v>1</v>
      </c>
      <c r="E80">
        <f t="shared" si="12"/>
        <v>0</v>
      </c>
      <c r="F80" t="s">
        <v>123</v>
      </c>
      <c r="G80" t="str">
        <f t="shared" si="13"/>
        <v/>
      </c>
      <c r="H80" t="str">
        <f t="shared" si="16"/>
        <v>SSYSXSDNXWYDESNSTYYXSNSSRY</v>
      </c>
      <c r="I80" t="str">
        <f t="shared" si="14"/>
        <v>E</v>
      </c>
      <c r="J80" t="str">
        <f t="shared" si="17"/>
        <v>TYETEDECDENDDDONNSYTSDSTEXOETYWSSEXTSNSTEHYSTYRTXOYYE</v>
      </c>
    </row>
    <row r="81" spans="1:10">
      <c r="A81">
        <f t="shared" si="15"/>
        <v>80</v>
      </c>
      <c r="B81">
        <f t="shared" si="9"/>
        <v>2</v>
      </c>
      <c r="C81">
        <f t="shared" si="10"/>
        <v>0</v>
      </c>
      <c r="D81">
        <f t="shared" si="11"/>
        <v>2</v>
      </c>
      <c r="E81">
        <f t="shared" si="12"/>
        <v>1</v>
      </c>
      <c r="F81" t="s">
        <v>127</v>
      </c>
      <c r="G81" t="str">
        <f t="shared" si="13"/>
        <v>S</v>
      </c>
      <c r="H81" t="str">
        <f t="shared" si="16"/>
        <v>SSYSXSDNXWYDESNSTYYXSNSSRYS</v>
      </c>
      <c r="I81" t="str">
        <f t="shared" si="14"/>
        <v/>
      </c>
      <c r="J81" t="str">
        <f t="shared" si="17"/>
        <v>TYETEDECDENDDDONNSYTSDSTEXOETYWSSEXTSNSTEHYSTYRTXOYYE</v>
      </c>
    </row>
    <row r="82" spans="1:10">
      <c r="A82">
        <f t="shared" si="15"/>
        <v>81</v>
      </c>
      <c r="B82">
        <f t="shared" si="9"/>
        <v>0</v>
      </c>
      <c r="C82">
        <f t="shared" si="10"/>
        <v>1</v>
      </c>
      <c r="D82">
        <f t="shared" si="11"/>
        <v>1</v>
      </c>
      <c r="E82">
        <f t="shared" si="12"/>
        <v>0</v>
      </c>
      <c r="F82" t="s">
        <v>138</v>
      </c>
      <c r="G82" t="str">
        <f t="shared" si="13"/>
        <v/>
      </c>
      <c r="H82" t="str">
        <f t="shared" si="16"/>
        <v>SSYSXSDNXWYDESNSTYYXSNSSRYS</v>
      </c>
      <c r="I82" t="str">
        <f t="shared" si="14"/>
        <v>F</v>
      </c>
      <c r="J82" t="str">
        <f t="shared" si="17"/>
        <v>TYETEDECDENDDDONNSYTSDSTEXOETYWSSEXTSNSTEHYSTYRTXOYYEF</v>
      </c>
    </row>
    <row r="83" spans="1:10">
      <c r="A83">
        <f t="shared" si="15"/>
        <v>82</v>
      </c>
      <c r="B83">
        <f t="shared" si="9"/>
        <v>1</v>
      </c>
      <c r="C83">
        <f t="shared" si="10"/>
        <v>0</v>
      </c>
      <c r="D83">
        <f t="shared" si="11"/>
        <v>1</v>
      </c>
      <c r="E83">
        <f t="shared" si="12"/>
        <v>0</v>
      </c>
      <c r="F83" t="s">
        <v>123</v>
      </c>
      <c r="G83" t="str">
        <f t="shared" si="13"/>
        <v/>
      </c>
      <c r="H83" t="str">
        <f t="shared" si="16"/>
        <v>SSYSXSDNXWYDESNSTYYXSNSSRYS</v>
      </c>
      <c r="I83" t="str">
        <f t="shared" si="14"/>
        <v>E</v>
      </c>
      <c r="J83" t="str">
        <f t="shared" si="17"/>
        <v>TYETEDECDENDDDONNSYTSDSTEXOETYWSSEXTSNSTEHYSTYRTXOYYEFE</v>
      </c>
    </row>
    <row r="84" spans="1:10">
      <c r="A84">
        <f t="shared" si="15"/>
        <v>83</v>
      </c>
      <c r="B84">
        <f t="shared" si="9"/>
        <v>2</v>
      </c>
      <c r="C84">
        <f t="shared" si="10"/>
        <v>0</v>
      </c>
      <c r="D84">
        <f t="shared" si="11"/>
        <v>2</v>
      </c>
      <c r="E84">
        <f t="shared" si="12"/>
        <v>1</v>
      </c>
      <c r="F84" t="s">
        <v>127</v>
      </c>
      <c r="G84" t="str">
        <f t="shared" si="13"/>
        <v>S</v>
      </c>
      <c r="H84" t="str">
        <f t="shared" si="16"/>
        <v>SSYSXSDNXWYDESNSTYYXSNSSRYSS</v>
      </c>
      <c r="I84" t="str">
        <f t="shared" si="14"/>
        <v/>
      </c>
      <c r="J84" t="str">
        <f t="shared" si="17"/>
        <v>TYETEDECDENDDDONNSYTSDSTEXOETYWSSEXTSNSTEHYSTYRTXOYYEFE</v>
      </c>
    </row>
    <row r="85" spans="1:10">
      <c r="A85">
        <f t="shared" si="15"/>
        <v>84</v>
      </c>
      <c r="B85">
        <f t="shared" si="9"/>
        <v>0</v>
      </c>
      <c r="C85">
        <f t="shared" si="10"/>
        <v>1</v>
      </c>
      <c r="D85">
        <f t="shared" si="11"/>
        <v>1</v>
      </c>
      <c r="E85">
        <f t="shared" si="12"/>
        <v>0</v>
      </c>
      <c r="F85" t="s">
        <v>124</v>
      </c>
      <c r="G85" t="str">
        <f t="shared" si="13"/>
        <v/>
      </c>
      <c r="H85" t="str">
        <f t="shared" si="16"/>
        <v>SSYSXSDNXWYDESNSTYYXSNSSRYSS</v>
      </c>
      <c r="I85" t="str">
        <f t="shared" si="14"/>
        <v>T</v>
      </c>
      <c r="J85" t="str">
        <f t="shared" si="17"/>
        <v>TYETEDECDENDDDONNSYTSDSTEXOETYWSSEXTSNSTEHYSTYRTXOYYEFET</v>
      </c>
    </row>
    <row r="86" spans="1:10">
      <c r="A86">
        <f t="shared" si="15"/>
        <v>85</v>
      </c>
      <c r="B86">
        <f t="shared" si="9"/>
        <v>1</v>
      </c>
      <c r="C86">
        <f t="shared" si="10"/>
        <v>0</v>
      </c>
      <c r="D86">
        <f t="shared" si="11"/>
        <v>1</v>
      </c>
      <c r="E86">
        <f t="shared" si="12"/>
        <v>0</v>
      </c>
      <c r="F86" t="s">
        <v>132</v>
      </c>
      <c r="G86" t="str">
        <f t="shared" si="13"/>
        <v/>
      </c>
      <c r="H86" t="str">
        <f t="shared" si="16"/>
        <v>SSYSXSDNXWYDESNSTYYXSNSSRYSS</v>
      </c>
      <c r="I86" t="str">
        <f t="shared" si="14"/>
        <v>D</v>
      </c>
      <c r="J86" t="str">
        <f t="shared" si="17"/>
        <v>TYETEDECDENDDDONNSYTSDSTEXOETYWSSEXTSNSTEHYSTYRTXOYYEFETD</v>
      </c>
    </row>
    <row r="87" spans="1:10">
      <c r="A87">
        <f t="shared" si="15"/>
        <v>86</v>
      </c>
      <c r="B87">
        <f t="shared" si="9"/>
        <v>2</v>
      </c>
      <c r="C87">
        <f t="shared" si="10"/>
        <v>0</v>
      </c>
      <c r="D87">
        <f t="shared" si="11"/>
        <v>2</v>
      </c>
      <c r="E87">
        <f t="shared" si="12"/>
        <v>1</v>
      </c>
      <c r="F87" t="s">
        <v>123</v>
      </c>
      <c r="G87" t="str">
        <f t="shared" si="13"/>
        <v>E</v>
      </c>
      <c r="H87" t="str">
        <f t="shared" si="16"/>
        <v>SSYSXSDNXWYDESNSTYYXSNSSRYSSE</v>
      </c>
      <c r="I87" t="str">
        <f t="shared" si="14"/>
        <v/>
      </c>
      <c r="J87" t="str">
        <f t="shared" si="17"/>
        <v>TYETEDECDENDDDONNSYTSDSTEXOETYWSSEXTSNSTEHYSTYRTXOYYEFETD</v>
      </c>
    </row>
    <row r="88" spans="1:10">
      <c r="A88">
        <f t="shared" si="15"/>
        <v>87</v>
      </c>
      <c r="B88">
        <f t="shared" si="9"/>
        <v>0</v>
      </c>
      <c r="C88">
        <f t="shared" si="10"/>
        <v>1</v>
      </c>
      <c r="D88">
        <f t="shared" si="11"/>
        <v>1</v>
      </c>
      <c r="E88">
        <f t="shared" si="12"/>
        <v>0</v>
      </c>
      <c r="F88" t="s">
        <v>109</v>
      </c>
      <c r="G88" t="str">
        <f t="shared" si="13"/>
        <v/>
      </c>
      <c r="H88" t="str">
        <f t="shared" si="16"/>
        <v>SSYSXSDNXWYDESNSTYYXSNSSRYSSE</v>
      </c>
      <c r="I88" t="str">
        <f t="shared" si="14"/>
        <v>R</v>
      </c>
      <c r="J88" t="str">
        <f t="shared" si="17"/>
        <v>TYETEDECDENDDDONNSYTSDSTEXOETYWSSEXTSNSTEHYSTYRTXOYYEFETDR</v>
      </c>
    </row>
    <row r="89" spans="1:10">
      <c r="A89">
        <f t="shared" si="15"/>
        <v>88</v>
      </c>
      <c r="B89">
        <f t="shared" si="9"/>
        <v>1</v>
      </c>
      <c r="C89">
        <f t="shared" si="10"/>
        <v>0</v>
      </c>
      <c r="D89">
        <f t="shared" si="11"/>
        <v>1</v>
      </c>
      <c r="E89">
        <f t="shared" si="12"/>
        <v>0</v>
      </c>
      <c r="F89" t="s">
        <v>124</v>
      </c>
      <c r="G89" t="str">
        <f t="shared" si="13"/>
        <v/>
      </c>
      <c r="H89" t="str">
        <f t="shared" si="16"/>
        <v>SSYSXSDNXWYDESNSTYYXSNSSRYSSE</v>
      </c>
      <c r="I89" t="str">
        <f t="shared" si="14"/>
        <v>T</v>
      </c>
      <c r="J89" t="str">
        <f t="shared" si="17"/>
        <v>TYETEDECDENDDDONNSYTSDSTEXOETYWSSEXTSNSTEHYSTYRTXOYYEFETDRT</v>
      </c>
    </row>
    <row r="90" spans="1:10">
      <c r="A90">
        <f t="shared" si="15"/>
        <v>89</v>
      </c>
      <c r="B90">
        <f t="shared" si="9"/>
        <v>2</v>
      </c>
      <c r="C90">
        <f t="shared" si="10"/>
        <v>0</v>
      </c>
      <c r="D90">
        <f t="shared" si="11"/>
        <v>2</v>
      </c>
      <c r="E90">
        <f t="shared" si="12"/>
        <v>1</v>
      </c>
      <c r="F90" t="s">
        <v>138</v>
      </c>
      <c r="G90" t="str">
        <f t="shared" si="13"/>
        <v>F</v>
      </c>
      <c r="H90" t="str">
        <f t="shared" si="16"/>
        <v>SSYSXSDNXWYDESNSTYYXSNSSRYSSEF</v>
      </c>
      <c r="I90" t="str">
        <f t="shared" si="14"/>
        <v/>
      </c>
      <c r="J90" t="str">
        <f t="shared" si="17"/>
        <v>TYETEDECDENDDDONNSYTSDSTEXOETYWSSEXTSNSTEHYSTYRTXOYYEFETDRT</v>
      </c>
    </row>
    <row r="91" spans="1:10">
      <c r="A91">
        <f t="shared" si="15"/>
        <v>90</v>
      </c>
      <c r="B91">
        <f t="shared" si="9"/>
        <v>0</v>
      </c>
      <c r="C91">
        <f t="shared" si="10"/>
        <v>1</v>
      </c>
      <c r="D91">
        <f t="shared" si="11"/>
        <v>1</v>
      </c>
      <c r="E91">
        <f t="shared" si="12"/>
        <v>0</v>
      </c>
      <c r="F91" t="s">
        <v>123</v>
      </c>
      <c r="G91" t="str">
        <f t="shared" si="13"/>
        <v/>
      </c>
      <c r="H91" t="str">
        <f t="shared" si="16"/>
        <v>SSYSXSDNXWYDESNSTYYXSNSSRYSSEF</v>
      </c>
      <c r="I91" t="str">
        <f t="shared" si="14"/>
        <v>E</v>
      </c>
      <c r="J91" t="str">
        <f t="shared" si="17"/>
        <v>TYETEDECDENDDDONNSYTSDSTEXOETYWSSEXTSNSTEHYSTYRTXOYYEFETDRTE</v>
      </c>
    </row>
    <row r="92" spans="1:10">
      <c r="A92">
        <f t="shared" si="15"/>
        <v>91</v>
      </c>
      <c r="B92">
        <f t="shared" si="9"/>
        <v>1</v>
      </c>
      <c r="C92">
        <f t="shared" si="10"/>
        <v>0</v>
      </c>
      <c r="D92">
        <f t="shared" si="11"/>
        <v>1</v>
      </c>
      <c r="E92">
        <f t="shared" si="12"/>
        <v>0</v>
      </c>
      <c r="F92" t="s">
        <v>105</v>
      </c>
      <c r="G92" t="str">
        <f t="shared" si="13"/>
        <v/>
      </c>
      <c r="H92" t="str">
        <f t="shared" si="16"/>
        <v>SSYSXSDNXWYDESNSTYYXSNSSRYSSEF</v>
      </c>
      <c r="I92" t="str">
        <f t="shared" si="14"/>
        <v>Y</v>
      </c>
      <c r="J92" t="str">
        <f t="shared" si="17"/>
        <v>TYETEDECDENDDDONNSYTSDSTEXOETYWSSEXTSNSTEHYSTYRTXOYYEFETDRTEY</v>
      </c>
    </row>
    <row r="93" spans="1:10">
      <c r="A93">
        <f t="shared" si="15"/>
        <v>92</v>
      </c>
      <c r="B93">
        <f t="shared" si="9"/>
        <v>2</v>
      </c>
      <c r="C93">
        <f t="shared" si="10"/>
        <v>0</v>
      </c>
      <c r="D93">
        <f t="shared" si="11"/>
        <v>2</v>
      </c>
      <c r="E93">
        <f t="shared" si="12"/>
        <v>1</v>
      </c>
      <c r="F93" t="s">
        <v>127</v>
      </c>
      <c r="G93" t="str">
        <f t="shared" si="13"/>
        <v>S</v>
      </c>
      <c r="H93" t="str">
        <f t="shared" si="16"/>
        <v>SSYSXSDNXWYDESNSTYYXSNSSRYSSEFS</v>
      </c>
      <c r="I93" t="str">
        <f t="shared" si="14"/>
        <v/>
      </c>
      <c r="J93" t="str">
        <f t="shared" si="17"/>
        <v>TYETEDECDENDDDONNSYTSDSTEXOETYWSSEXTSNSTEHYSTYRTXOYYEFETDRTEY</v>
      </c>
    </row>
    <row r="94" spans="1:10">
      <c r="A94">
        <f t="shared" si="15"/>
        <v>93</v>
      </c>
      <c r="B94">
        <f t="shared" si="9"/>
        <v>0</v>
      </c>
      <c r="C94">
        <f t="shared" si="10"/>
        <v>1</v>
      </c>
      <c r="D94">
        <f t="shared" si="11"/>
        <v>1</v>
      </c>
      <c r="E94">
        <f t="shared" si="12"/>
        <v>0</v>
      </c>
      <c r="F94" t="s">
        <v>132</v>
      </c>
      <c r="G94" t="str">
        <f t="shared" si="13"/>
        <v/>
      </c>
      <c r="H94" t="str">
        <f t="shared" si="16"/>
        <v>SSYSXSDNXWYDESNSTYYXSNSSRYSSEFS</v>
      </c>
      <c r="I94" t="str">
        <f t="shared" si="14"/>
        <v>D</v>
      </c>
      <c r="J94" t="str">
        <f t="shared" si="17"/>
        <v>TYETEDECDENDDDONNSYTSDSTEXOETYWSSEXTSNSTEHYSTYRTXOYYEFETDRTEYD</v>
      </c>
    </row>
    <row r="95" spans="1:10">
      <c r="A95">
        <f t="shared" si="15"/>
        <v>94</v>
      </c>
      <c r="B95">
        <f t="shared" si="9"/>
        <v>1</v>
      </c>
      <c r="C95">
        <f t="shared" si="10"/>
        <v>0</v>
      </c>
      <c r="D95">
        <f t="shared" si="11"/>
        <v>1</v>
      </c>
      <c r="E95">
        <f t="shared" si="12"/>
        <v>0</v>
      </c>
      <c r="F95" t="s">
        <v>130</v>
      </c>
      <c r="G95" t="str">
        <f t="shared" si="13"/>
        <v/>
      </c>
      <c r="H95" t="str">
        <f t="shared" si="16"/>
        <v>SSYSXSDNXWYDESNSTYYXSNSSRYSSEFS</v>
      </c>
      <c r="I95" t="str">
        <f t="shared" si="14"/>
        <v>H</v>
      </c>
      <c r="J95" t="str">
        <f t="shared" si="17"/>
        <v>TYETEDECDENDDDONNSYTSDSTEXOETYWSSEXTSNSTEHYSTYRTXOYYEFETDRTEYDH</v>
      </c>
    </row>
    <row r="96" spans="1:10">
      <c r="A96">
        <f t="shared" si="15"/>
        <v>95</v>
      </c>
      <c r="B96">
        <f t="shared" si="9"/>
        <v>2</v>
      </c>
      <c r="C96">
        <f t="shared" si="10"/>
        <v>0</v>
      </c>
      <c r="D96">
        <f t="shared" si="11"/>
        <v>2</v>
      </c>
      <c r="E96">
        <f t="shared" si="12"/>
        <v>1</v>
      </c>
      <c r="F96" t="s">
        <v>134</v>
      </c>
      <c r="G96" t="str">
        <f t="shared" si="13"/>
        <v>G</v>
      </c>
      <c r="H96" t="str">
        <f t="shared" si="16"/>
        <v>SSYSXSDNXWYDESNSTYYXSNSSRYSSEFSG</v>
      </c>
      <c r="I96" t="str">
        <f t="shared" si="14"/>
        <v/>
      </c>
      <c r="J96" t="str">
        <f t="shared" si="17"/>
        <v>TYETEDECDENDDDONNSYTSDSTEXOETYWSSEXTSNSTEHYSTYRTXOYYEFETDRTEYDH</v>
      </c>
    </row>
    <row r="97" spans="1:10">
      <c r="A97">
        <f t="shared" si="15"/>
        <v>96</v>
      </c>
      <c r="B97">
        <f t="shared" si="9"/>
        <v>0</v>
      </c>
      <c r="C97">
        <f t="shared" si="10"/>
        <v>1</v>
      </c>
      <c r="D97">
        <f t="shared" si="11"/>
        <v>1</v>
      </c>
      <c r="E97">
        <f t="shared" si="12"/>
        <v>0</v>
      </c>
      <c r="F97" t="s">
        <v>127</v>
      </c>
      <c r="G97" t="str">
        <f t="shared" si="13"/>
        <v/>
      </c>
      <c r="H97" t="str">
        <f t="shared" si="16"/>
        <v>SSYSXSDNXWYDESNSTYYXSNSSRYSSEFSG</v>
      </c>
      <c r="I97" t="str">
        <f t="shared" si="14"/>
        <v>S</v>
      </c>
      <c r="J97" t="str">
        <f t="shared" si="17"/>
        <v>TYETEDECDENDDDONNSYTSDSTEXOETYWSSEXTSNSTEHYSTYRTXOYYEFETDRTEYDHS</v>
      </c>
    </row>
    <row r="98" spans="1:10">
      <c r="A98">
        <f t="shared" si="15"/>
        <v>97</v>
      </c>
      <c r="B98">
        <f t="shared" si="9"/>
        <v>1</v>
      </c>
      <c r="C98">
        <f t="shared" si="10"/>
        <v>0</v>
      </c>
      <c r="D98">
        <f t="shared" si="11"/>
        <v>1</v>
      </c>
      <c r="E98">
        <f t="shared" si="12"/>
        <v>0</v>
      </c>
      <c r="F98" t="s">
        <v>133</v>
      </c>
      <c r="G98" t="str">
        <f t="shared" si="13"/>
        <v/>
      </c>
      <c r="H98" t="str">
        <f t="shared" si="16"/>
        <v>SSYSXSDNXWYDESNSTYYXSNSSRYSSEFSG</v>
      </c>
      <c r="I98" t="str">
        <f t="shared" si="14"/>
        <v>I</v>
      </c>
      <c r="J98" t="str">
        <f t="shared" si="17"/>
        <v>TYETEDECDENDDDONNSYTSDSTEXOETYWSSEXTSNSTEHYSTYRTXOYYEFETDRTEYDHSI</v>
      </c>
    </row>
    <row r="99" spans="1:10">
      <c r="A99">
        <f t="shared" si="15"/>
        <v>98</v>
      </c>
      <c r="B99">
        <f t="shared" si="9"/>
        <v>2</v>
      </c>
      <c r="C99">
        <f t="shared" si="10"/>
        <v>0</v>
      </c>
      <c r="D99">
        <f t="shared" si="11"/>
        <v>2</v>
      </c>
      <c r="E99">
        <f t="shared" si="12"/>
        <v>1</v>
      </c>
      <c r="F99" t="s">
        <v>123</v>
      </c>
      <c r="G99" t="str">
        <f t="shared" si="13"/>
        <v>E</v>
      </c>
      <c r="H99" t="str">
        <f t="shared" si="16"/>
        <v>SSYSXSDNXWYDESNSTYYXSNSSRYSSEFSGE</v>
      </c>
      <c r="I99" t="str">
        <f t="shared" si="14"/>
        <v/>
      </c>
      <c r="J99" t="str">
        <f t="shared" si="17"/>
        <v>TYETEDECDENDDDONNSYTSDSTEXOETYWSSEXTSNSTEHYSTYRTXOYYEFETDRTEYDHSI</v>
      </c>
    </row>
    <row r="100" spans="1:10">
      <c r="A100">
        <f t="shared" si="15"/>
        <v>99</v>
      </c>
      <c r="B100">
        <f t="shared" si="9"/>
        <v>0</v>
      </c>
      <c r="C100">
        <f t="shared" si="10"/>
        <v>1</v>
      </c>
      <c r="D100">
        <f t="shared" si="11"/>
        <v>1</v>
      </c>
      <c r="E100">
        <f t="shared" si="12"/>
        <v>0</v>
      </c>
      <c r="F100" t="s">
        <v>131</v>
      </c>
      <c r="G100" t="str">
        <f t="shared" si="13"/>
        <v/>
      </c>
      <c r="H100" t="str">
        <f t="shared" si="16"/>
        <v>SSYSXSDNXWYDESNSTYYXSNSSRYSSEFSGE</v>
      </c>
      <c r="I100" t="str">
        <f t="shared" si="14"/>
        <v>A</v>
      </c>
      <c r="J100" t="str">
        <f t="shared" si="17"/>
        <v>TYETEDECDENDDDONNSYTSDSTEXOETYWSSEXTSNSTEHYSTYRTXOYYEFETDRTEYDHSIA</v>
      </c>
    </row>
    <row r="101" spans="1:10">
      <c r="A101">
        <f t="shared" si="15"/>
        <v>100</v>
      </c>
      <c r="B101">
        <f t="shared" si="9"/>
        <v>1</v>
      </c>
      <c r="C101">
        <f t="shared" si="10"/>
        <v>0</v>
      </c>
      <c r="D101">
        <f t="shared" si="11"/>
        <v>1</v>
      </c>
      <c r="E101">
        <f t="shared" si="12"/>
        <v>0</v>
      </c>
      <c r="F101" t="s">
        <v>105</v>
      </c>
      <c r="G101" t="str">
        <f t="shared" si="13"/>
        <v/>
      </c>
      <c r="H101" t="str">
        <f t="shared" si="16"/>
        <v>SSYSXSDNXWYDESNSTYYXSNSSRYSSEFSGE</v>
      </c>
      <c r="I101" t="str">
        <f t="shared" si="14"/>
        <v>Y</v>
      </c>
      <c r="J101" t="str">
        <f t="shared" si="17"/>
        <v>TYETEDECDENDDDONNSYTSDSTEXOETYWSSEXTSNSTEHYSTYRTXOYYEFETDRTEYDHSIAY</v>
      </c>
    </row>
    <row r="102" spans="1:10">
      <c r="A102">
        <f t="shared" si="15"/>
        <v>101</v>
      </c>
      <c r="B102">
        <f t="shared" si="9"/>
        <v>2</v>
      </c>
      <c r="C102">
        <f t="shared" si="10"/>
        <v>0</v>
      </c>
      <c r="D102">
        <f t="shared" si="11"/>
        <v>2</v>
      </c>
      <c r="E102">
        <f t="shared" si="12"/>
        <v>1</v>
      </c>
      <c r="F102" t="s">
        <v>130</v>
      </c>
      <c r="G102" t="str">
        <f t="shared" si="13"/>
        <v>H</v>
      </c>
      <c r="H102" t="str">
        <f t="shared" si="16"/>
        <v>SSYSXSDNXWYDESNSTYYXSNSSRYSSEFSGEH</v>
      </c>
      <c r="I102" t="str">
        <f t="shared" si="14"/>
        <v/>
      </c>
      <c r="J102" t="str">
        <f t="shared" si="17"/>
        <v>TYETEDECDENDDDONNSYTSDSTEXOETYWSSEXTSNSTEHYSTYRTXOYYEFETDRTEYDHSIAY</v>
      </c>
    </row>
    <row r="103" spans="1:10">
      <c r="A103">
        <f t="shared" si="15"/>
        <v>102</v>
      </c>
      <c r="B103">
        <f t="shared" si="9"/>
        <v>0</v>
      </c>
      <c r="C103">
        <f t="shared" si="10"/>
        <v>1</v>
      </c>
      <c r="D103">
        <f t="shared" si="11"/>
        <v>1</v>
      </c>
      <c r="E103">
        <f t="shared" si="12"/>
        <v>0</v>
      </c>
      <c r="F103" t="s">
        <v>126</v>
      </c>
      <c r="G103" t="str">
        <f t="shared" si="13"/>
        <v/>
      </c>
      <c r="H103" t="str">
        <f t="shared" si="16"/>
        <v>SSYSXSDNXWYDESNSTYYXSNSSRYSSEFSGEH</v>
      </c>
      <c r="I103" t="str">
        <f t="shared" si="14"/>
        <v>N</v>
      </c>
      <c r="J103" t="str">
        <f t="shared" si="17"/>
        <v>TYETEDECDENDDDONNSYTSDSTEXOETYWSSEXTSNSTEHYSTYRTXOYYEFETDRTEYDHSIAYN</v>
      </c>
    </row>
    <row r="104" spans="1:10">
      <c r="A104">
        <f t="shared" si="15"/>
        <v>103</v>
      </c>
      <c r="B104">
        <f t="shared" si="9"/>
        <v>1</v>
      </c>
      <c r="C104">
        <f t="shared" si="10"/>
        <v>0</v>
      </c>
      <c r="D104">
        <f t="shared" si="11"/>
        <v>1</v>
      </c>
      <c r="E104">
        <f t="shared" si="12"/>
        <v>0</v>
      </c>
      <c r="F104" t="s">
        <v>123</v>
      </c>
      <c r="G104" t="str">
        <f t="shared" si="13"/>
        <v/>
      </c>
      <c r="H104" t="str">
        <f t="shared" si="16"/>
        <v>SSYSXSDNXWYDESNSTYYXSNSSRYSSEFSGEH</v>
      </c>
      <c r="I104" t="str">
        <f t="shared" si="14"/>
        <v>E</v>
      </c>
      <c r="J104" t="str">
        <f t="shared" si="17"/>
        <v>TYETEDECDENDDDONNSYTSDSTEXOETYWSSEXTSNSTEHYSTYRTXOYYEFETDRTEYDHSIAYNE</v>
      </c>
    </row>
    <row r="105" spans="1:10">
      <c r="A105">
        <f t="shared" si="15"/>
        <v>104</v>
      </c>
      <c r="B105">
        <f t="shared" si="9"/>
        <v>2</v>
      </c>
      <c r="C105">
        <f t="shared" si="10"/>
        <v>0</v>
      </c>
      <c r="D105">
        <f t="shared" si="11"/>
        <v>2</v>
      </c>
      <c r="E105">
        <f t="shared" si="12"/>
        <v>1</v>
      </c>
      <c r="F105" t="s">
        <v>109</v>
      </c>
      <c r="G105" t="str">
        <f t="shared" si="13"/>
        <v>R</v>
      </c>
      <c r="H105" t="str">
        <f t="shared" si="16"/>
        <v>SSYSXSDNXWYDESNSTYYXSNSSRYSSEFSGEHR</v>
      </c>
      <c r="I105" t="str">
        <f t="shared" si="14"/>
        <v/>
      </c>
      <c r="J105" t="str">
        <f t="shared" si="17"/>
        <v>TYETEDECDENDDDONNSYTSDSTEXOETYWSSEXTSNSTEHYSTYRTXOYYEFETDRTEYDHSIAYNE</v>
      </c>
    </row>
    <row r="106" spans="1:10">
      <c r="A106">
        <f t="shared" si="15"/>
        <v>105</v>
      </c>
      <c r="B106">
        <f t="shared" si="9"/>
        <v>0</v>
      </c>
      <c r="C106">
        <f t="shared" si="10"/>
        <v>1</v>
      </c>
      <c r="D106">
        <f t="shared" si="11"/>
        <v>1</v>
      </c>
      <c r="E106">
        <f t="shared" si="12"/>
        <v>0</v>
      </c>
      <c r="F106" t="s">
        <v>124</v>
      </c>
      <c r="G106" t="str">
        <f t="shared" si="13"/>
        <v/>
      </c>
      <c r="H106" t="str">
        <f t="shared" si="16"/>
        <v>SSYSXSDNXWYDESNSTYYXSNSSRYSSEFSGEHR</v>
      </c>
      <c r="I106" t="str">
        <f t="shared" si="14"/>
        <v>T</v>
      </c>
      <c r="J106" t="str">
        <f t="shared" si="17"/>
        <v>TYETEDECDENDDDONNSYTSDSTEXOETYWSSEXTSNSTEHYSTYRTXOYYEFETDRTEYDHSIAYNET</v>
      </c>
    </row>
    <row r="107" spans="1:10">
      <c r="A107">
        <f t="shared" si="15"/>
        <v>106</v>
      </c>
      <c r="B107">
        <f t="shared" si="9"/>
        <v>1</v>
      </c>
      <c r="C107">
        <f t="shared" si="10"/>
        <v>0</v>
      </c>
      <c r="D107">
        <f t="shared" si="11"/>
        <v>1</v>
      </c>
      <c r="E107">
        <f t="shared" si="12"/>
        <v>0</v>
      </c>
      <c r="F107" t="s">
        <v>132</v>
      </c>
      <c r="G107" t="str">
        <f t="shared" si="13"/>
        <v/>
      </c>
      <c r="H107" t="str">
        <f t="shared" si="16"/>
        <v>SSYSXSDNXWYDESNSTYYXSNSSRYSSEFSGEHR</v>
      </c>
      <c r="I107" t="str">
        <f t="shared" si="14"/>
        <v>D</v>
      </c>
      <c r="J107" t="str">
        <f t="shared" si="17"/>
        <v>TYETEDECDENDDDONNSYTSDSTEXOETYWSSEXTSNSTEHYSTYRTXOYYEFETDRTEYDHSIAYNETD</v>
      </c>
    </row>
    <row r="108" spans="1:10">
      <c r="A108">
        <f t="shared" si="15"/>
        <v>107</v>
      </c>
      <c r="B108">
        <f t="shared" si="9"/>
        <v>2</v>
      </c>
      <c r="C108">
        <f t="shared" si="10"/>
        <v>0</v>
      </c>
      <c r="D108">
        <f t="shared" si="11"/>
        <v>2</v>
      </c>
      <c r="E108">
        <f t="shared" si="12"/>
        <v>1</v>
      </c>
      <c r="F108" t="s">
        <v>109</v>
      </c>
      <c r="G108" t="str">
        <f t="shared" si="13"/>
        <v>R</v>
      </c>
      <c r="H108" t="str">
        <f t="shared" si="16"/>
        <v>SSYSXSDNXWYDESNSTYYXSNSSRYSSEFSGEHRR</v>
      </c>
      <c r="I108" t="str">
        <f t="shared" si="14"/>
        <v/>
      </c>
      <c r="J108" t="str">
        <f t="shared" si="17"/>
        <v>TYETEDECDENDDDONNSYTSDSTEXOETYWSSEXTSNSTEHYSTYRTXOYYEFETDRTEYDHSIAYNETD</v>
      </c>
    </row>
    <row r="109" spans="1:10">
      <c r="A109">
        <f t="shared" si="15"/>
        <v>108</v>
      </c>
      <c r="B109">
        <f t="shared" si="9"/>
        <v>0</v>
      </c>
      <c r="C109">
        <f t="shared" si="10"/>
        <v>1</v>
      </c>
      <c r="D109">
        <f t="shared" si="11"/>
        <v>1</v>
      </c>
      <c r="E109">
        <f t="shared" si="12"/>
        <v>0</v>
      </c>
      <c r="F109" t="s">
        <v>132</v>
      </c>
      <c r="G109" t="str">
        <f t="shared" si="13"/>
        <v/>
      </c>
      <c r="H109" t="str">
        <f t="shared" si="16"/>
        <v>SSYSXSDNXWYDESNSTYYXSNSSRYSSEFSGEHRR</v>
      </c>
      <c r="I109" t="str">
        <f t="shared" si="14"/>
        <v>D</v>
      </c>
      <c r="J109" t="str">
        <f t="shared" si="17"/>
        <v>TYETEDECDENDDDONNSYTSDSTEXOETYWSSEXTSNSTEHYSTYRTXOYYEFETDRTEYDHSIAYNETDD</v>
      </c>
    </row>
    <row r="110" spans="1:10">
      <c r="A110">
        <f t="shared" si="15"/>
        <v>109</v>
      </c>
      <c r="B110">
        <f t="shared" si="9"/>
        <v>1</v>
      </c>
      <c r="C110">
        <f t="shared" si="10"/>
        <v>0</v>
      </c>
      <c r="D110">
        <f t="shared" si="11"/>
        <v>1</v>
      </c>
      <c r="E110">
        <f t="shared" si="12"/>
        <v>0</v>
      </c>
      <c r="F110" t="s">
        <v>126</v>
      </c>
      <c r="G110" t="str">
        <f t="shared" si="13"/>
        <v/>
      </c>
      <c r="H110" t="str">
        <f t="shared" si="16"/>
        <v>SSYSXSDNXWYDESNSTYYXSNSSRYSSEFSGEHRR</v>
      </c>
      <c r="I110" t="str">
        <f t="shared" si="14"/>
        <v>N</v>
      </c>
      <c r="J110" t="str">
        <f t="shared" si="17"/>
        <v>TYETEDECDENDDDONNSYTSDSTEXOETYWSSEXTSNSTEHYSTYRTXOYYEFETDRTEYDHSIAYNETDDN</v>
      </c>
    </row>
    <row r="111" spans="1:10">
      <c r="A111">
        <f t="shared" si="15"/>
        <v>110</v>
      </c>
      <c r="B111">
        <f t="shared" si="9"/>
        <v>2</v>
      </c>
      <c r="C111">
        <f t="shared" si="10"/>
        <v>0</v>
      </c>
      <c r="D111">
        <f t="shared" si="11"/>
        <v>2</v>
      </c>
      <c r="E111">
        <f t="shared" si="12"/>
        <v>1</v>
      </c>
      <c r="F111" t="s">
        <v>134</v>
      </c>
      <c r="G111" t="str">
        <f t="shared" si="13"/>
        <v>G</v>
      </c>
      <c r="H111" t="str">
        <f t="shared" si="16"/>
        <v>SSYSXSDNXWYDESNSTYYXSNSSRYSSEFSGEHRRG</v>
      </c>
      <c r="I111" t="str">
        <f t="shared" si="14"/>
        <v/>
      </c>
      <c r="J111" t="str">
        <f t="shared" si="17"/>
        <v>TYETEDECDENDDDONNSYTSDSTEXOETYWSSEXTSNSTEHYSTYRTXOYYEFETDRTEYDHSIAYNETDDN</v>
      </c>
    </row>
    <row r="112" spans="1:10">
      <c r="A112">
        <f t="shared" si="15"/>
        <v>111</v>
      </c>
      <c r="B112">
        <f t="shared" si="9"/>
        <v>0</v>
      </c>
      <c r="C112">
        <f t="shared" si="10"/>
        <v>1</v>
      </c>
      <c r="D112">
        <f t="shared" si="11"/>
        <v>1</v>
      </c>
      <c r="E112">
        <f t="shared" si="12"/>
        <v>0</v>
      </c>
      <c r="F112" t="s">
        <v>123</v>
      </c>
      <c r="G112" t="str">
        <f t="shared" si="13"/>
        <v/>
      </c>
      <c r="H112" t="str">
        <f t="shared" si="16"/>
        <v>SSYSXSDNXWYDESNSTYYXSNSSRYSSEFSGEHRRG</v>
      </c>
      <c r="I112" t="str">
        <f t="shared" si="14"/>
        <v>E</v>
      </c>
      <c r="J112" t="str">
        <f t="shared" si="17"/>
        <v>TYETEDECDENDDDONNSYTSDSTEXOETYWSSEXTSNSTEHYSTYRTXOYYEFETDRTEYDHSIAYNETDDNE</v>
      </c>
    </row>
    <row r="113" spans="1:10">
      <c r="A113">
        <f t="shared" si="15"/>
        <v>112</v>
      </c>
      <c r="B113">
        <f t="shared" si="9"/>
        <v>1</v>
      </c>
      <c r="C113">
        <f t="shared" si="10"/>
        <v>0</v>
      </c>
      <c r="D113">
        <f t="shared" si="11"/>
        <v>1</v>
      </c>
      <c r="E113">
        <f t="shared" si="12"/>
        <v>0</v>
      </c>
      <c r="F113" t="s">
        <v>123</v>
      </c>
      <c r="G113" t="str">
        <f t="shared" si="13"/>
        <v/>
      </c>
      <c r="H113" t="str">
        <f t="shared" si="16"/>
        <v>SSYSXSDNXWYDESNSTYYXSNSSRYSSEFSGEHRRG</v>
      </c>
      <c r="I113" t="str">
        <f t="shared" si="14"/>
        <v>E</v>
      </c>
      <c r="J113" t="str">
        <f t="shared" si="17"/>
        <v>TYETEDECDENDDDONNSYTSDSTEXOETYWSSEXTSNSTEHYSTYRTXOYYEFETDRTEYDHSIAYNETDDNEE</v>
      </c>
    </row>
    <row r="114" spans="1:10">
      <c r="A114">
        <f t="shared" si="15"/>
        <v>113</v>
      </c>
      <c r="B114">
        <f t="shared" si="9"/>
        <v>2</v>
      </c>
      <c r="C114">
        <f t="shared" si="10"/>
        <v>0</v>
      </c>
      <c r="D114">
        <f t="shared" si="11"/>
        <v>2</v>
      </c>
      <c r="E114">
        <f t="shared" si="12"/>
        <v>1</v>
      </c>
      <c r="F114" t="s">
        <v>131</v>
      </c>
      <c r="G114" t="str">
        <f t="shared" si="13"/>
        <v>A</v>
      </c>
      <c r="H114" t="str">
        <f t="shared" si="16"/>
        <v>SSYSXSDNXWYDESNSTYYXSNSSRYSSEFSGEHRRGA</v>
      </c>
      <c r="I114" t="str">
        <f t="shared" si="14"/>
        <v/>
      </c>
      <c r="J114" t="str">
        <f t="shared" si="17"/>
        <v>TYETEDECDENDDDONNSYTSDSTEXOETYWSSEXTSNSTEHYSTYRTXOYYEFETDRTEYDHSIAYNETDDNEE</v>
      </c>
    </row>
    <row r="115" spans="1:10">
      <c r="A115">
        <f t="shared" si="15"/>
        <v>114</v>
      </c>
      <c r="B115">
        <f t="shared" si="9"/>
        <v>0</v>
      </c>
      <c r="C115">
        <f t="shared" si="10"/>
        <v>1</v>
      </c>
      <c r="D115">
        <f t="shared" si="11"/>
        <v>1</v>
      </c>
      <c r="E115">
        <f t="shared" si="12"/>
        <v>0</v>
      </c>
      <c r="F115" t="s">
        <v>123</v>
      </c>
      <c r="G115" t="str">
        <f t="shared" si="13"/>
        <v/>
      </c>
      <c r="H115" t="str">
        <f t="shared" si="16"/>
        <v>SSYSXSDNXWYDESNSTYYXSNSSRYSSEFSGEHRRGA</v>
      </c>
      <c r="I115" t="str">
        <f t="shared" si="14"/>
        <v>E</v>
      </c>
      <c r="J115" t="str">
        <f t="shared" si="17"/>
        <v>TYETEDECDENDDDONNSYTSDSTEXOETYWSSEXTSNSTEHYSTYRTXOYYEFETDRTEYDHSIAYNETDDNEEE</v>
      </c>
    </row>
    <row r="116" spans="1:10">
      <c r="A116">
        <f t="shared" si="15"/>
        <v>115</v>
      </c>
      <c r="B116">
        <f t="shared" si="9"/>
        <v>1</v>
      </c>
      <c r="C116">
        <f t="shared" si="10"/>
        <v>0</v>
      </c>
      <c r="D116">
        <f t="shared" si="11"/>
        <v>1</v>
      </c>
      <c r="E116">
        <f t="shared" si="12"/>
        <v>0</v>
      </c>
      <c r="F116" t="s">
        <v>133</v>
      </c>
      <c r="G116" t="str">
        <f t="shared" si="13"/>
        <v/>
      </c>
      <c r="H116" t="str">
        <f t="shared" si="16"/>
        <v>SSYSXSDNXWYDESNSTYYXSNSSRYSSEFSGEHRRGA</v>
      </c>
      <c r="I116" t="str">
        <f t="shared" si="14"/>
        <v>I</v>
      </c>
      <c r="J116" t="str">
        <f t="shared" si="17"/>
        <v>TYETEDECDENDDDONNSYTSDSTEXOETYWSSEXTSNSTEHYSTYRTXOYYEFETDRTEYDHSIAYNETDDNEEEI</v>
      </c>
    </row>
    <row r="117" spans="1:10">
      <c r="A117">
        <f t="shared" si="15"/>
        <v>116</v>
      </c>
      <c r="B117">
        <f t="shared" si="9"/>
        <v>2</v>
      </c>
      <c r="C117">
        <f t="shared" si="10"/>
        <v>0</v>
      </c>
      <c r="D117">
        <f t="shared" si="11"/>
        <v>2</v>
      </c>
      <c r="E117">
        <f t="shared" si="12"/>
        <v>1</v>
      </c>
      <c r="F117" t="s">
        <v>132</v>
      </c>
      <c r="G117" t="str">
        <f t="shared" si="13"/>
        <v>D</v>
      </c>
      <c r="H117" t="str">
        <f t="shared" si="16"/>
        <v>SSYSXSDNXWYDESNSTYYXSNSSRYSSEFSGEHRRGAD</v>
      </c>
      <c r="I117" t="str">
        <f t="shared" si="14"/>
        <v/>
      </c>
      <c r="J117" t="str">
        <f t="shared" si="17"/>
        <v>TYETEDECDENDDDONNSYTSDSTEXOETYWSSEXTSNSTEHYSTYRTXOYYEFETDRTEYDHSIAYNETDDNEEEI</v>
      </c>
    </row>
    <row r="118" spans="1:10">
      <c r="A118">
        <f t="shared" si="15"/>
        <v>117</v>
      </c>
      <c r="B118">
        <f t="shared" si="9"/>
        <v>0</v>
      </c>
      <c r="C118">
        <f t="shared" si="10"/>
        <v>1</v>
      </c>
      <c r="D118">
        <f t="shared" si="11"/>
        <v>1</v>
      </c>
      <c r="E118">
        <f t="shared" si="12"/>
        <v>0</v>
      </c>
      <c r="F118" t="s">
        <v>123</v>
      </c>
      <c r="G118" t="str">
        <f t="shared" si="13"/>
        <v/>
      </c>
      <c r="H118" t="str">
        <f t="shared" si="16"/>
        <v>SSYSXSDNXWYDESNSTYYXSNSSRYSSEFSGEHRRGAD</v>
      </c>
      <c r="I118" t="str">
        <f t="shared" si="14"/>
        <v>E</v>
      </c>
      <c r="J118" t="str">
        <f t="shared" si="17"/>
        <v>TYETEDECDENDDDONNSYTSDSTEXOETYWSSEXTSNSTEHYSTYRTXOYYEFETDRTEYDHSIAYNETDDNEEEIE</v>
      </c>
    </row>
    <row r="119" spans="1:10">
      <c r="A119">
        <f t="shared" si="15"/>
        <v>118</v>
      </c>
      <c r="B119">
        <f t="shared" si="9"/>
        <v>1</v>
      </c>
      <c r="C119">
        <f t="shared" si="10"/>
        <v>0</v>
      </c>
      <c r="D119">
        <f t="shared" si="11"/>
        <v>1</v>
      </c>
      <c r="E119">
        <f t="shared" si="12"/>
        <v>0</v>
      </c>
      <c r="F119" t="s">
        <v>123</v>
      </c>
      <c r="G119" t="str">
        <f t="shared" si="13"/>
        <v/>
      </c>
      <c r="H119" t="str">
        <f t="shared" si="16"/>
        <v>SSYSXSDNXWYDESNSTYYXSNSSRYSSEFSGEHRRGAD</v>
      </c>
      <c r="I119" t="str">
        <f t="shared" si="14"/>
        <v>E</v>
      </c>
      <c r="J119" t="str">
        <f t="shared" si="17"/>
        <v>TYETEDECDENDDDONNSYTSDSTEXOETYWSSEXTSNSTEHYSTYRTXOYYEFETDRTEYDHSIAYNETDDNEEEIEE</v>
      </c>
    </row>
    <row r="120" spans="1:10">
      <c r="A120">
        <f t="shared" si="15"/>
        <v>119</v>
      </c>
      <c r="B120">
        <f t="shared" si="9"/>
        <v>2</v>
      </c>
      <c r="C120">
        <f t="shared" si="10"/>
        <v>0</v>
      </c>
      <c r="D120">
        <f t="shared" si="11"/>
        <v>2</v>
      </c>
      <c r="E120">
        <f t="shared" si="12"/>
        <v>1</v>
      </c>
      <c r="F120" t="s">
        <v>132</v>
      </c>
      <c r="G120" t="str">
        <f t="shared" si="13"/>
        <v>D</v>
      </c>
      <c r="H120" t="str">
        <f t="shared" si="16"/>
        <v>SSYSXSDNXWYDESNSTYYXSNSSRYSSEFSGEHRRGADD</v>
      </c>
      <c r="I120" t="str">
        <f t="shared" si="14"/>
        <v/>
      </c>
      <c r="J120" t="str">
        <f t="shared" si="17"/>
        <v>TYETEDECDENDDDONNSYTSDSTEXOETYWSSEXTSNSTEHYSTYRTXOYYEFETDRTEYDHSIAYNETDDNEEEIEE</v>
      </c>
    </row>
    <row r="121" spans="1:10">
      <c r="A121">
        <f t="shared" si="15"/>
        <v>120</v>
      </c>
      <c r="B121">
        <f t="shared" si="9"/>
        <v>0</v>
      </c>
      <c r="C121">
        <f t="shared" si="10"/>
        <v>1</v>
      </c>
      <c r="D121">
        <f t="shared" si="11"/>
        <v>1</v>
      </c>
      <c r="E121">
        <f t="shared" si="12"/>
        <v>0</v>
      </c>
      <c r="F121" t="s">
        <v>132</v>
      </c>
      <c r="G121" t="str">
        <f t="shared" si="13"/>
        <v/>
      </c>
      <c r="H121" t="str">
        <f t="shared" si="16"/>
        <v>SSYSXSDNXWYDESNSTYYXSNSSRYSSEFSGEHRRGADD</v>
      </c>
      <c r="I121" t="str">
        <f t="shared" si="14"/>
        <v>D</v>
      </c>
      <c r="J121" t="str">
        <f t="shared" si="17"/>
        <v>TYETEDECDENDDDONNSYTSDSTEXOETYWSSEXTSNSTEHYSTYRTXOYYEFETDRTEYDHSIAYNETDDNEEEIEED</v>
      </c>
    </row>
    <row r="122" spans="1:10">
      <c r="A122">
        <f t="shared" si="15"/>
        <v>121</v>
      </c>
      <c r="B122">
        <f t="shared" si="9"/>
        <v>1</v>
      </c>
      <c r="C122">
        <f t="shared" si="10"/>
        <v>0</v>
      </c>
      <c r="D122">
        <f t="shared" si="11"/>
        <v>1</v>
      </c>
      <c r="E122">
        <f t="shared" si="12"/>
        <v>0</v>
      </c>
      <c r="F122" t="s">
        <v>126</v>
      </c>
      <c r="G122" t="str">
        <f t="shared" si="13"/>
        <v/>
      </c>
      <c r="H122" t="str">
        <f t="shared" si="16"/>
        <v>SSYSXSDNXWYDESNSTYYXSNSSRYSSEFSGEHRRGADD</v>
      </c>
      <c r="I122" t="str">
        <f t="shared" si="14"/>
        <v>N</v>
      </c>
      <c r="J122" t="str">
        <f t="shared" si="17"/>
        <v>TYETEDECDENDDDONNSYTSDSTEXOETYWSSEXTSNSTEHYSTYRTXOYYEFETDRTEYDHSIAYNETDDNEEEIEEDN</v>
      </c>
    </row>
    <row r="123" spans="1:10">
      <c r="A123">
        <f t="shared" si="15"/>
        <v>122</v>
      </c>
      <c r="B123">
        <f t="shared" si="9"/>
        <v>2</v>
      </c>
      <c r="C123">
        <f t="shared" si="10"/>
        <v>0</v>
      </c>
      <c r="D123">
        <f t="shared" si="11"/>
        <v>2</v>
      </c>
      <c r="E123">
        <f t="shared" si="12"/>
        <v>1</v>
      </c>
      <c r="F123" t="s">
        <v>123</v>
      </c>
      <c r="G123" t="str">
        <f t="shared" si="13"/>
        <v>E</v>
      </c>
      <c r="H123" t="str">
        <f t="shared" si="16"/>
        <v>SSYSXSDNXWYDESNSTYYXSNSSRYSSEFSGEHRRGADDE</v>
      </c>
      <c r="I123" t="str">
        <f t="shared" si="14"/>
        <v/>
      </c>
      <c r="J123" t="str">
        <f t="shared" si="17"/>
        <v>TYETEDECDENDDDONNSYTSDSTEXOETYWSSEXTSNSTEHYSTYRTXOYYEFETDRTEYDHSIAYNETDDNEEEIEEDN</v>
      </c>
    </row>
    <row r="124" spans="1:10">
      <c r="A124">
        <f t="shared" si="15"/>
        <v>123</v>
      </c>
      <c r="B124">
        <f t="shared" si="9"/>
        <v>0</v>
      </c>
      <c r="C124">
        <f t="shared" si="10"/>
        <v>1</v>
      </c>
      <c r="D124">
        <f t="shared" si="11"/>
        <v>1</v>
      </c>
      <c r="E124">
        <f t="shared" si="12"/>
        <v>0</v>
      </c>
      <c r="F124" t="s">
        <v>124</v>
      </c>
      <c r="G124" t="str">
        <f t="shared" si="13"/>
        <v/>
      </c>
      <c r="H124" t="str">
        <f t="shared" si="16"/>
        <v>SSYSXSDNXWYDESNSTYYXSNSSRYSSEFSGEHRRGADDE</v>
      </c>
      <c r="I124" t="str">
        <f t="shared" si="14"/>
        <v>T</v>
      </c>
      <c r="J124" t="str">
        <f t="shared" si="17"/>
        <v>TYETEDECDENDDDONNSYTSDSTEXOETYWSSEXTSNSTEHYSTYRTXOYYEFETDRTEYDHSIAYNETDDNEEEIEEDNT</v>
      </c>
    </row>
    <row r="125" spans="1:10">
      <c r="A125">
        <f t="shared" si="15"/>
        <v>124</v>
      </c>
      <c r="B125">
        <f t="shared" si="9"/>
        <v>1</v>
      </c>
      <c r="C125">
        <f t="shared" si="10"/>
        <v>0</v>
      </c>
      <c r="D125">
        <f t="shared" si="11"/>
        <v>1</v>
      </c>
      <c r="E125">
        <f t="shared" si="12"/>
        <v>0</v>
      </c>
      <c r="F125" t="s">
        <v>109</v>
      </c>
      <c r="G125" t="str">
        <f t="shared" si="13"/>
        <v/>
      </c>
      <c r="H125" t="str">
        <f t="shared" si="16"/>
        <v>SSYSXSDNXWYDESNSTYYXSNSSRYSSEFSGEHRRGADDE</v>
      </c>
      <c r="I125" t="str">
        <f t="shared" si="14"/>
        <v>R</v>
      </c>
      <c r="J125" t="str">
        <f t="shared" si="17"/>
        <v>TYETEDECDENDDDONNSYTSDSTEXOETYWSSEXTSNSTEHYSTYRTXOYYEFETDRTEYDHSIAYNETDDNEEEIEEDNTR</v>
      </c>
    </row>
    <row r="126" spans="1:10">
      <c r="A126">
        <f t="shared" si="15"/>
        <v>125</v>
      </c>
      <c r="B126">
        <f t="shared" si="9"/>
        <v>2</v>
      </c>
      <c r="C126">
        <f t="shared" si="10"/>
        <v>0</v>
      </c>
      <c r="D126">
        <f t="shared" si="11"/>
        <v>2</v>
      </c>
      <c r="E126">
        <f t="shared" si="12"/>
        <v>1</v>
      </c>
      <c r="F126" t="s">
        <v>134</v>
      </c>
      <c r="G126" t="str">
        <f t="shared" si="13"/>
        <v>G</v>
      </c>
      <c r="H126" t="str">
        <f t="shared" si="16"/>
        <v>SSYSXSDNXWYDESNSTYYXSNSSRYSSEFSGEHRRGADDEG</v>
      </c>
      <c r="I126" t="str">
        <f t="shared" si="14"/>
        <v/>
      </c>
      <c r="J126" t="str">
        <f t="shared" si="17"/>
        <v>TYETEDECDENDDDONNSYTSDSTEXOETYWSSEXTSNSTEHYSTYRTXOYYEFETDRTEYDHSIAYNETDDNEEEIEEDNTR</v>
      </c>
    </row>
    <row r="127" spans="1:10">
      <c r="A127">
        <f t="shared" si="15"/>
        <v>126</v>
      </c>
      <c r="B127">
        <f t="shared" si="9"/>
        <v>0</v>
      </c>
      <c r="C127">
        <f t="shared" si="10"/>
        <v>1</v>
      </c>
      <c r="D127">
        <f t="shared" si="11"/>
        <v>1</v>
      </c>
      <c r="E127">
        <f t="shared" si="12"/>
        <v>0</v>
      </c>
      <c r="F127" t="s">
        <v>110</v>
      </c>
      <c r="G127" t="str">
        <f t="shared" si="13"/>
        <v/>
      </c>
      <c r="H127" t="str">
        <f t="shared" si="16"/>
        <v>SSYSXSDNXWYDESNSTYYXSNSSRYSSEFSGEHRRGADDEG</v>
      </c>
      <c r="I127" t="str">
        <f t="shared" si="14"/>
        <v>M</v>
      </c>
      <c r="J127" t="str">
        <f t="shared" si="17"/>
        <v>TYETEDECDENDDDONNSYTSDSTEXOETYWSSEXTSNSTEHYSTYRTXOYYEFETDRTEYDHSIAYNETDDNEEEIEEDNTRM</v>
      </c>
    </row>
    <row r="128" spans="1:10">
      <c r="A128">
        <f t="shared" si="15"/>
        <v>127</v>
      </c>
      <c r="B128">
        <f t="shared" si="9"/>
        <v>1</v>
      </c>
      <c r="C128">
        <f t="shared" si="10"/>
        <v>0</v>
      </c>
      <c r="D128">
        <f t="shared" si="11"/>
        <v>1</v>
      </c>
      <c r="E128">
        <f t="shared" si="12"/>
        <v>0</v>
      </c>
      <c r="F128" t="s">
        <v>123</v>
      </c>
      <c r="G128" t="str">
        <f t="shared" si="13"/>
        <v/>
      </c>
      <c r="H128" t="str">
        <f t="shared" si="16"/>
        <v>SSYSXSDNXWYDESNSTYYXSNSSRYSSEFSGEHRRGADDEG</v>
      </c>
      <c r="I128" t="str">
        <f t="shared" si="14"/>
        <v>E</v>
      </c>
      <c r="J128" t="str">
        <f t="shared" si="17"/>
        <v>TYETEDECDENDDDONNSYTSDSTEXOETYWSSEXTSNSTEHYSTYRTXOYYEFETDRTEYDHSIAYNETDDNEEEIEEDNTRME</v>
      </c>
    </row>
    <row r="129" spans="1:10">
      <c r="A129">
        <f t="shared" si="15"/>
        <v>128</v>
      </c>
      <c r="B129">
        <f t="shared" si="9"/>
        <v>2</v>
      </c>
      <c r="C129">
        <f t="shared" si="10"/>
        <v>0</v>
      </c>
      <c r="D129">
        <f t="shared" si="11"/>
        <v>2</v>
      </c>
      <c r="E129">
        <f t="shared" si="12"/>
        <v>1</v>
      </c>
      <c r="F129" t="s">
        <v>109</v>
      </c>
      <c r="G129" t="str">
        <f t="shared" si="13"/>
        <v>R</v>
      </c>
      <c r="H129" t="str">
        <f t="shared" si="16"/>
        <v>SSYSXSDNXWYDESNSTYYXSNSSRYSSEFSGEHRRGADDEGR</v>
      </c>
      <c r="I129" t="str">
        <f t="shared" si="14"/>
        <v/>
      </c>
      <c r="J129" t="str">
        <f t="shared" si="17"/>
        <v>TYETEDECDENDDDONNSYTSDSTEXOETYWSSEXTSNSTEHYSTYRTXOYYEFETDRTEYDHSIAYNETDDNEEEIEEDNTRME</v>
      </c>
    </row>
    <row r="130" spans="1:10">
      <c r="A130">
        <f t="shared" si="15"/>
        <v>129</v>
      </c>
      <c r="B130">
        <f t="shared" si="9"/>
        <v>0</v>
      </c>
      <c r="C130">
        <f t="shared" si="10"/>
        <v>1</v>
      </c>
      <c r="D130">
        <f t="shared" si="11"/>
        <v>1</v>
      </c>
      <c r="E130">
        <f t="shared" si="12"/>
        <v>0</v>
      </c>
      <c r="F130" t="s">
        <v>132</v>
      </c>
      <c r="G130" t="str">
        <f t="shared" si="13"/>
        <v/>
      </c>
      <c r="H130" t="str">
        <f t="shared" si="16"/>
        <v>SSYSXSDNXWYDESNSTYYXSNSSRYSSEFSGEHRRGADDEGR</v>
      </c>
      <c r="I130" t="str">
        <f t="shared" si="14"/>
        <v>D</v>
      </c>
      <c r="J130" t="str">
        <f t="shared" si="17"/>
        <v>TYETEDECDENDDDONNSYTSDSTEXOETYWSSEXTSNSTEHYSTYRTXOYYEFETDRTEYDHSIAYNETDDNEEEIEEDNTRMED</v>
      </c>
    </row>
    <row r="131" spans="1:10">
      <c r="A131">
        <f t="shared" si="15"/>
        <v>130</v>
      </c>
      <c r="B131">
        <f t="shared" ref="B131:B151" si="18">MOD(A131,3)</f>
        <v>1</v>
      </c>
      <c r="C131">
        <f t="shared" ref="C131:C151" si="19">IF(B131=0,1,0)</f>
        <v>0</v>
      </c>
      <c r="D131">
        <f t="shared" ref="D131:D151" si="20">B131+C131</f>
        <v>1</v>
      </c>
      <c r="E131">
        <f t="shared" ref="E131:E151" si="21">MOD(D131+1,2)</f>
        <v>0</v>
      </c>
      <c r="F131" t="s">
        <v>123</v>
      </c>
      <c r="G131" t="str">
        <f t="shared" ref="G131:G151" si="22">IF(E131=1,F131,"")</f>
        <v/>
      </c>
      <c r="H131" t="str">
        <f t="shared" si="16"/>
        <v>SSYSXSDNXWYDESNSTYYXSNSSRYSSEFSGEHRRGADDEGR</v>
      </c>
      <c r="I131" t="str">
        <f t="shared" ref="I131:I151" si="23">IF(E131=0,F131,"")</f>
        <v>E</v>
      </c>
      <c r="J131" t="str">
        <f t="shared" si="17"/>
        <v>TYETEDECDENDDDONNSYTSDSTEXOETYWSSEXTSNSTEHYSTYRTXOYYEFETDRTEYDHSIAYNETDDNEEEIEEDNTRMEDE</v>
      </c>
    </row>
    <row r="132" spans="1:10">
      <c r="A132">
        <f t="shared" ref="A132:A151" si="24">1+A131</f>
        <v>131</v>
      </c>
      <c r="B132">
        <f t="shared" si="18"/>
        <v>2</v>
      </c>
      <c r="C132">
        <f t="shared" si="19"/>
        <v>0</v>
      </c>
      <c r="D132">
        <f t="shared" si="20"/>
        <v>2</v>
      </c>
      <c r="E132">
        <f t="shared" si="21"/>
        <v>1</v>
      </c>
      <c r="F132" t="s">
        <v>123</v>
      </c>
      <c r="G132" t="str">
        <f t="shared" si="22"/>
        <v>E</v>
      </c>
      <c r="H132" t="str">
        <f t="shared" ref="H132:H151" si="25">H131&amp;G132</f>
        <v>SSYSXSDNXWYDESNSTYYXSNSSRYSSEFSGEHRRGADDEGRE</v>
      </c>
      <c r="I132" t="str">
        <f t="shared" si="23"/>
        <v/>
      </c>
      <c r="J132" t="str">
        <f t="shared" ref="J132:J151" si="26">J131&amp;I132</f>
        <v>TYETEDECDENDDDONNSYTSDSTEXOETYWSSEXTSNSTEHYSTYRTXOYYEFETDRTEYDHSIAYNETDDNEEEIEEDNTRMEDE</v>
      </c>
    </row>
    <row r="133" spans="1:10">
      <c r="A133">
        <f t="shared" si="24"/>
        <v>132</v>
      </c>
      <c r="B133">
        <f t="shared" si="18"/>
        <v>0</v>
      </c>
      <c r="C133">
        <f t="shared" si="19"/>
        <v>1</v>
      </c>
      <c r="D133">
        <f t="shared" si="20"/>
        <v>1</v>
      </c>
      <c r="E133">
        <f t="shared" si="21"/>
        <v>0</v>
      </c>
      <c r="F133" t="s">
        <v>137</v>
      </c>
      <c r="G133" t="str">
        <f t="shared" si="22"/>
        <v/>
      </c>
      <c r="H133" t="str">
        <f t="shared" si="25"/>
        <v>SSYSXSDNXWYDESNSTYYXSNSSRYSSEFSGEHRRGADDEGRE</v>
      </c>
      <c r="I133" t="str">
        <f t="shared" si="23"/>
        <v>O</v>
      </c>
      <c r="J133" t="str">
        <f t="shared" si="26"/>
        <v>TYETEDECDENDDDONNSYTSDSTEXOETYWSSEXTSNSTEHYSTYRTXOYYEFETDRTEYDHSIAYNETDDNEEEIEEDNTRMEDEO</v>
      </c>
    </row>
    <row r="134" spans="1:10">
      <c r="A134">
        <f t="shared" si="24"/>
        <v>133</v>
      </c>
      <c r="B134">
        <f t="shared" si="18"/>
        <v>1</v>
      </c>
      <c r="C134">
        <f t="shared" si="19"/>
        <v>0</v>
      </c>
      <c r="D134">
        <f t="shared" si="20"/>
        <v>1</v>
      </c>
      <c r="E134">
        <f t="shared" si="21"/>
        <v>0</v>
      </c>
      <c r="F134" t="s">
        <v>109</v>
      </c>
      <c r="G134" t="str">
        <f t="shared" si="22"/>
        <v/>
      </c>
      <c r="H134" t="str">
        <f t="shared" si="25"/>
        <v>SSYSXSDNXWYDESNSTYYXSNSSRYSSEFSGEHRRGADDEGRE</v>
      </c>
      <c r="I134" t="str">
        <f t="shared" si="23"/>
        <v>R</v>
      </c>
      <c r="J134" t="str">
        <f t="shared" si="26"/>
        <v>TYETEDECDENDDDONNSYTSDSTEXOETYWSSEXTSNSTEHYSTYRTXOYYEFETDRTEYDHSIAYNETDDNEEEIEEDNTRMEDEOR</v>
      </c>
    </row>
    <row r="135" spans="1:10">
      <c r="A135">
        <f t="shared" si="24"/>
        <v>134</v>
      </c>
      <c r="B135">
        <f t="shared" si="18"/>
        <v>2</v>
      </c>
      <c r="C135">
        <f t="shared" si="19"/>
        <v>0</v>
      </c>
      <c r="D135">
        <f t="shared" si="20"/>
        <v>2</v>
      </c>
      <c r="E135">
        <f t="shared" si="21"/>
        <v>1</v>
      </c>
      <c r="F135" t="s">
        <v>124</v>
      </c>
      <c r="G135" t="str">
        <f t="shared" si="22"/>
        <v>T</v>
      </c>
      <c r="H135" t="str">
        <f t="shared" si="25"/>
        <v>SSYSXSDNXWYDESNSTYYXSNSSRYSSEFSGEHRRGADDEGRET</v>
      </c>
      <c r="I135" t="str">
        <f t="shared" si="23"/>
        <v/>
      </c>
      <c r="J135" t="str">
        <f t="shared" si="26"/>
        <v>TYETEDECDENDDDONNSYTSDSTEXOETYWSSEXTSNSTEHYSTYRTXOYYEFETDRTEYDHSIAYNETDDNEEEIEEDNTRMEDEOR</v>
      </c>
    </row>
    <row r="136" spans="1:10">
      <c r="A136">
        <f t="shared" si="24"/>
        <v>135</v>
      </c>
      <c r="B136">
        <f t="shared" si="18"/>
        <v>0</v>
      </c>
      <c r="C136">
        <f t="shared" si="19"/>
        <v>1</v>
      </c>
      <c r="D136">
        <f t="shared" si="20"/>
        <v>1</v>
      </c>
      <c r="E136">
        <f t="shared" si="21"/>
        <v>0</v>
      </c>
      <c r="F136" t="s">
        <v>105</v>
      </c>
      <c r="G136" t="str">
        <f t="shared" si="22"/>
        <v/>
      </c>
      <c r="H136" t="str">
        <f t="shared" si="25"/>
        <v>SSYSXSDNXWYDESNSTYYXSNSSRYSSEFSGEHRRGADDEGRET</v>
      </c>
      <c r="I136" t="str">
        <f t="shared" si="23"/>
        <v>Y</v>
      </c>
      <c r="J136" t="str">
        <f t="shared" si="26"/>
        <v>TYETEDECDENDDDONNSYTSDSTEXOETYWSSEXTSNSTEHYSTYRTXOYYEFETDRTEYDHSIAYNETDDNEEEIEEDNTRMEDEORY</v>
      </c>
    </row>
    <row r="137" spans="1:10">
      <c r="A137">
        <f t="shared" si="24"/>
        <v>136</v>
      </c>
      <c r="B137">
        <f t="shared" si="18"/>
        <v>1</v>
      </c>
      <c r="C137">
        <f t="shared" si="19"/>
        <v>0</v>
      </c>
      <c r="D137">
        <f t="shared" si="20"/>
        <v>1</v>
      </c>
      <c r="E137">
        <f t="shared" si="21"/>
        <v>0</v>
      </c>
      <c r="F137" t="s">
        <v>127</v>
      </c>
      <c r="G137" t="str">
        <f t="shared" si="22"/>
        <v/>
      </c>
      <c r="H137" t="str">
        <f t="shared" si="25"/>
        <v>SSYSXSDNXWYDESNSTYYXSNSSRYSSEFSGEHRRGADDEGRET</v>
      </c>
      <c r="I137" t="str">
        <f t="shared" si="23"/>
        <v>S</v>
      </c>
      <c r="J137" t="str">
        <f t="shared" si="26"/>
        <v>TYETEDECDENDDDONNSYTSDSTEXOETYWSSEXTSNSTEHYSTYRTXOYYEFETDRTEYDHSIAYNETDDNEEEIEEDNTRMEDEORYS</v>
      </c>
    </row>
    <row r="138" spans="1:10">
      <c r="A138">
        <f t="shared" si="24"/>
        <v>137</v>
      </c>
      <c r="B138">
        <f t="shared" si="18"/>
        <v>2</v>
      </c>
      <c r="C138">
        <f t="shared" si="19"/>
        <v>0</v>
      </c>
      <c r="D138">
        <f t="shared" si="20"/>
        <v>2</v>
      </c>
      <c r="E138">
        <f t="shared" si="21"/>
        <v>1</v>
      </c>
      <c r="F138" t="s">
        <v>138</v>
      </c>
      <c r="G138" t="str">
        <f t="shared" si="22"/>
        <v>F</v>
      </c>
      <c r="H138" t="str">
        <f t="shared" si="25"/>
        <v>SSYSXSDNXWYDESNSTYYXSNSSRYSSEFSGEHRRGADDEGRETF</v>
      </c>
      <c r="I138" t="str">
        <f t="shared" si="23"/>
        <v/>
      </c>
      <c r="J138" t="str">
        <f t="shared" si="26"/>
        <v>TYETEDECDENDDDONNSYTSDSTEXOETYWSSEXTSNSTEHYSTYRTXOYYEFETDRTEYDHSIAYNETDDNEEEIEEDNTRMEDEORYS</v>
      </c>
    </row>
    <row r="139" spans="1:10">
      <c r="A139">
        <f t="shared" si="24"/>
        <v>138</v>
      </c>
      <c r="B139">
        <f t="shared" si="18"/>
        <v>0</v>
      </c>
      <c r="C139">
        <f t="shared" si="19"/>
        <v>1</v>
      </c>
      <c r="D139">
        <f t="shared" si="20"/>
        <v>1</v>
      </c>
      <c r="E139">
        <f t="shared" si="21"/>
        <v>0</v>
      </c>
      <c r="F139" t="s">
        <v>123</v>
      </c>
      <c r="G139" t="str">
        <f t="shared" si="22"/>
        <v/>
      </c>
      <c r="H139" t="str">
        <f t="shared" si="25"/>
        <v>SSYSXSDNXWYDESNSTYYXSNSSRYSSEFSGEHRRGADDEGRETF</v>
      </c>
      <c r="I139" t="str">
        <f t="shared" si="23"/>
        <v>E</v>
      </c>
      <c r="J139" t="str">
        <f t="shared" si="26"/>
        <v>TYETEDECDENDDDONNSYTSDSTEXOETYWSSEXTSNSTEHYSTYRTXOYYEFETDRTEYDHSIAYNETDDNEEEIEEDNTRMEDEORYSE</v>
      </c>
    </row>
    <row r="140" spans="1:10">
      <c r="A140">
        <f t="shared" si="24"/>
        <v>139</v>
      </c>
      <c r="B140">
        <f t="shared" si="18"/>
        <v>1</v>
      </c>
      <c r="C140">
        <f t="shared" si="19"/>
        <v>0</v>
      </c>
      <c r="D140">
        <f t="shared" si="20"/>
        <v>1</v>
      </c>
      <c r="E140">
        <f t="shared" si="21"/>
        <v>0</v>
      </c>
      <c r="F140" t="s">
        <v>110</v>
      </c>
      <c r="G140" t="str">
        <f t="shared" si="22"/>
        <v/>
      </c>
      <c r="H140" t="str">
        <f t="shared" si="25"/>
        <v>SSYSXSDNXWYDESNSTYYXSNSSRYSSEFSGEHRRGADDEGRETF</v>
      </c>
      <c r="I140" t="str">
        <f t="shared" si="23"/>
        <v>M</v>
      </c>
      <c r="J140" t="str">
        <f t="shared" si="26"/>
        <v>TYETEDECDENDDDONNSYTSDSTEXOETYWSSEXTSNSTEHYSTYRTXOYYEFETDRTEYDHSIAYNETDDNEEEIEEDNTRMEDEORYSEM</v>
      </c>
    </row>
    <row r="141" spans="1:10">
      <c r="A141">
        <f t="shared" si="24"/>
        <v>140</v>
      </c>
      <c r="B141">
        <f t="shared" si="18"/>
        <v>2</v>
      </c>
      <c r="C141">
        <f t="shared" si="19"/>
        <v>0</v>
      </c>
      <c r="D141">
        <f t="shared" si="20"/>
        <v>2</v>
      </c>
      <c r="E141">
        <f t="shared" si="21"/>
        <v>1</v>
      </c>
      <c r="F141" t="s">
        <v>126</v>
      </c>
      <c r="G141" t="str">
        <f t="shared" si="22"/>
        <v>N</v>
      </c>
      <c r="H141" t="str">
        <f t="shared" si="25"/>
        <v>SSYSXSDNXWYDESNSTYYXSNSSRYSSEFSGEHRRGADDEGRETFN</v>
      </c>
      <c r="I141" t="str">
        <f t="shared" si="23"/>
        <v/>
      </c>
      <c r="J141" t="str">
        <f t="shared" si="26"/>
        <v>TYETEDECDENDDDONNSYTSDSTEXOETYWSSEXTSNSTEHYSTYRTXOYYEFETDRTEYDHSIAYNETDDNEEEIEEDNTRMEDEORYSEM</v>
      </c>
    </row>
    <row r="142" spans="1:10">
      <c r="A142">
        <f t="shared" si="24"/>
        <v>141</v>
      </c>
      <c r="B142">
        <f t="shared" si="18"/>
        <v>0</v>
      </c>
      <c r="C142">
        <f t="shared" si="19"/>
        <v>1</v>
      </c>
      <c r="D142">
        <f t="shared" si="20"/>
        <v>1</v>
      </c>
      <c r="E142">
        <f t="shared" si="21"/>
        <v>0</v>
      </c>
      <c r="F142" t="s">
        <v>132</v>
      </c>
      <c r="G142" t="str">
        <f t="shared" si="22"/>
        <v/>
      </c>
      <c r="H142" t="str">
        <f t="shared" si="25"/>
        <v>SSYSXSDNXWYDESNSTYYXSNSSRYSSEFSGEHRRGADDEGRETFN</v>
      </c>
      <c r="I142" t="str">
        <f t="shared" si="23"/>
        <v>D</v>
      </c>
      <c r="J142" t="str">
        <f t="shared" si="26"/>
        <v>TYETEDECDENDDDONNSYTSDSTEXOETYWSSEXTSNSTEHYSTYRTXOYYEFETDRTEYDHSIAYNETDDNEEEIEEDNTRMEDEORYSEMD</v>
      </c>
    </row>
    <row r="143" spans="1:10">
      <c r="A143">
        <f t="shared" si="24"/>
        <v>142</v>
      </c>
      <c r="B143">
        <f t="shared" si="18"/>
        <v>1</v>
      </c>
      <c r="C143">
        <f t="shared" si="19"/>
        <v>0</v>
      </c>
      <c r="D143">
        <f t="shared" si="20"/>
        <v>1</v>
      </c>
      <c r="E143">
        <f t="shared" si="21"/>
        <v>0</v>
      </c>
      <c r="F143" t="s">
        <v>110</v>
      </c>
      <c r="G143" t="str">
        <f t="shared" si="22"/>
        <v/>
      </c>
      <c r="H143" t="str">
        <f t="shared" si="25"/>
        <v>SSYSXSDNXWYDESNSTYYXSNSSRYSSEFSGEHRRGADDEGRETFN</v>
      </c>
      <c r="I143" t="str">
        <f t="shared" si="23"/>
        <v>M</v>
      </c>
      <c r="J143" t="str">
        <f t="shared" si="26"/>
        <v>TYETEDECDENDDDONNSYTSDSTEXOETYWSSEXTSNSTEHYSTYRTXOYYEFETDRTEYDHSIAYNETDDNEEEIEEDNTRMEDEORYSEMDM</v>
      </c>
    </row>
    <row r="144" spans="1:10">
      <c r="A144">
        <f t="shared" si="24"/>
        <v>143</v>
      </c>
      <c r="B144">
        <f t="shared" si="18"/>
        <v>2</v>
      </c>
      <c r="C144">
        <f t="shared" si="19"/>
        <v>0</v>
      </c>
      <c r="D144">
        <f t="shared" si="20"/>
        <v>2</v>
      </c>
      <c r="E144">
        <f t="shared" si="21"/>
        <v>1</v>
      </c>
      <c r="F144" t="s">
        <v>123</v>
      </c>
      <c r="G144" t="str">
        <f t="shared" si="22"/>
        <v>E</v>
      </c>
      <c r="H144" t="str">
        <f t="shared" si="25"/>
        <v>SSYSXSDNXWYDESNSTYYXSNSSRYSSEFSGEHRRGADDEGRETFNE</v>
      </c>
      <c r="I144" t="str">
        <f t="shared" si="23"/>
        <v/>
      </c>
      <c r="J144" t="str">
        <f t="shared" si="26"/>
        <v>TYETEDECDENDDDONNSYTSDSTEXOETYWSSEXTSNSTEHYSTYRTXOYYEFETDRTEYDHSIAYNETDDNEEEIEEDNTRMEDEORYSEMDM</v>
      </c>
    </row>
    <row r="145" spans="1:10">
      <c r="A145">
        <f t="shared" si="24"/>
        <v>144</v>
      </c>
      <c r="B145">
        <f t="shared" si="18"/>
        <v>0</v>
      </c>
      <c r="C145">
        <f t="shared" si="19"/>
        <v>1</v>
      </c>
      <c r="D145">
        <f t="shared" si="20"/>
        <v>1</v>
      </c>
      <c r="E145">
        <f t="shared" si="21"/>
        <v>0</v>
      </c>
      <c r="F145" t="s">
        <v>124</v>
      </c>
      <c r="G145" t="str">
        <f t="shared" si="22"/>
        <v/>
      </c>
      <c r="H145" t="str">
        <f t="shared" si="25"/>
        <v>SSYSXSDNXWYDESNSTYYXSNSSRYSSEFSGEHRRGADDEGRETFNE</v>
      </c>
      <c r="I145" t="str">
        <f t="shared" si="23"/>
        <v>T</v>
      </c>
      <c r="J145" t="str">
        <f t="shared" si="26"/>
        <v>TYETEDECDENDDDONNSYTSDSTEXOETYWSSEXTSNSTEHYSTYRTXOYYEFETDRTEYDHSIAYNETDDNEEEIEEDNTRMEDEORYSEMDMT</v>
      </c>
    </row>
    <row r="146" spans="1:10">
      <c r="A146">
        <f t="shared" si="24"/>
        <v>145</v>
      </c>
      <c r="B146">
        <f t="shared" si="18"/>
        <v>1</v>
      </c>
      <c r="C146">
        <f t="shared" si="19"/>
        <v>0</v>
      </c>
      <c r="D146">
        <f t="shared" si="20"/>
        <v>1</v>
      </c>
      <c r="E146">
        <f t="shared" si="21"/>
        <v>0</v>
      </c>
      <c r="F146" t="s">
        <v>111</v>
      </c>
      <c r="G146" t="str">
        <f t="shared" si="22"/>
        <v/>
      </c>
      <c r="H146" t="str">
        <f t="shared" si="25"/>
        <v>SSYSXSDNXWYDESNSTYYXSNSSRYSSEFSGEHRRGADDEGRETFNE</v>
      </c>
      <c r="I146" t="str">
        <f t="shared" si="23"/>
        <v>X</v>
      </c>
      <c r="J146" t="str">
        <f t="shared" si="26"/>
        <v>TYETEDECDENDDDONNSYTSDSTEXOETYWSSEXTSNSTEHYSTYRTXOYYEFETDRTEYDHSIAYNETDDNEEEIEEDNTRMEDEORYSEMDMTX</v>
      </c>
    </row>
    <row r="147" spans="1:10">
      <c r="A147">
        <f t="shared" si="24"/>
        <v>146</v>
      </c>
      <c r="B147">
        <f t="shared" si="18"/>
        <v>2</v>
      </c>
      <c r="C147">
        <f t="shared" si="19"/>
        <v>0</v>
      </c>
      <c r="D147">
        <f t="shared" si="20"/>
        <v>2</v>
      </c>
      <c r="E147">
        <f t="shared" si="21"/>
        <v>1</v>
      </c>
      <c r="F147" t="s">
        <v>126</v>
      </c>
      <c r="G147" t="str">
        <f t="shared" si="22"/>
        <v>N</v>
      </c>
      <c r="H147" t="str">
        <f t="shared" si="25"/>
        <v>SSYSXSDNXWYDESNSTYYXSNSSRYSSEFSGEHRRGADDEGRETFNEN</v>
      </c>
      <c r="I147" t="str">
        <f t="shared" si="23"/>
        <v/>
      </c>
      <c r="J147" t="str">
        <f t="shared" si="26"/>
        <v>TYETEDECDENDDDONNSYTSDSTEXOETYWSSEXTSNSTEHYSTYRTXOYYEFETDRTEYDHSIAYNETDDNEEEIEEDNTRMEDEORYSEMDMTX</v>
      </c>
    </row>
    <row r="148" spans="1:10">
      <c r="A148">
        <f t="shared" si="24"/>
        <v>147</v>
      </c>
      <c r="B148">
        <f t="shared" si="18"/>
        <v>0</v>
      </c>
      <c r="C148">
        <f t="shared" si="19"/>
        <v>1</v>
      </c>
      <c r="D148">
        <f t="shared" si="20"/>
        <v>1</v>
      </c>
      <c r="E148">
        <f t="shared" si="21"/>
        <v>0</v>
      </c>
      <c r="F148" t="s">
        <v>128</v>
      </c>
      <c r="G148" t="str">
        <f t="shared" si="22"/>
        <v/>
      </c>
      <c r="H148" t="str">
        <f t="shared" si="25"/>
        <v>SSYSXSDNXWYDESNSTYYXSNSSRYSSEFSGEHRRGADDEGRETFNEN</v>
      </c>
      <c r="I148" t="str">
        <f t="shared" si="23"/>
        <v>U</v>
      </c>
      <c r="J148" t="str">
        <f t="shared" si="26"/>
        <v>TYETEDECDENDDDONNSYTSDSTEXOETYWSSEXTSNSTEHYSTYRTXOYYEFETDRTEYDHSIAYNETDDNEEEIEEDNTRMEDEORYSEMDMTXU</v>
      </c>
    </row>
    <row r="149" spans="1:10">
      <c r="A149">
        <f t="shared" si="24"/>
        <v>148</v>
      </c>
      <c r="B149">
        <f t="shared" si="18"/>
        <v>1</v>
      </c>
      <c r="C149">
        <f t="shared" si="19"/>
        <v>0</v>
      </c>
      <c r="D149">
        <f t="shared" si="20"/>
        <v>1</v>
      </c>
      <c r="E149">
        <f t="shared" si="21"/>
        <v>0</v>
      </c>
      <c r="F149" t="s">
        <v>123</v>
      </c>
      <c r="G149" t="str">
        <f t="shared" si="22"/>
        <v/>
      </c>
      <c r="H149" t="str">
        <f t="shared" si="25"/>
        <v>SSYSXSDNXWYDESNSTYYXSNSSRYSSEFSGEHRRGADDEGRETFNEN</v>
      </c>
      <c r="I149" t="str">
        <f t="shared" si="23"/>
        <v>E</v>
      </c>
      <c r="J149" t="str">
        <f t="shared" si="26"/>
        <v>TYETEDECDENDDDONNSYTSDSTEXOETYWSSEXTSNSTEHYSTYRTXOYYEFETDRTEYDHSIAYNETDDNEEEIEEDNTRMEDEORYSEMDMTXUE</v>
      </c>
    </row>
    <row r="150" spans="1:10">
      <c r="A150">
        <f t="shared" si="24"/>
        <v>149</v>
      </c>
      <c r="B150">
        <f t="shared" si="18"/>
        <v>2</v>
      </c>
      <c r="C150">
        <f t="shared" si="19"/>
        <v>0</v>
      </c>
      <c r="D150">
        <f t="shared" si="20"/>
        <v>2</v>
      </c>
      <c r="E150">
        <f t="shared" si="21"/>
        <v>1</v>
      </c>
      <c r="F150" t="s">
        <v>134</v>
      </c>
      <c r="G150" t="str">
        <f t="shared" si="22"/>
        <v>G</v>
      </c>
      <c r="H150" t="str">
        <f t="shared" si="25"/>
        <v>SSYSXSDNXWYDESNSTYYXSNSSRYSSEFSGEHRRGADDEGRETFNENG</v>
      </c>
      <c r="I150" t="str">
        <f t="shared" si="23"/>
        <v/>
      </c>
      <c r="J150" t="str">
        <f t="shared" si="26"/>
        <v>TYETEDECDENDDDONNSYTSDSTEXOETYWSSEXTSNSTEHYSTYRTXOYYEFETDRTEYDHSIAYNETDDNEEEIEEDNTRMEDEORYSEMDMTXUE</v>
      </c>
    </row>
    <row r="151" spans="1:10">
      <c r="A151">
        <f t="shared" si="24"/>
        <v>150</v>
      </c>
      <c r="B151">
        <f t="shared" si="18"/>
        <v>0</v>
      </c>
      <c r="C151">
        <f t="shared" si="19"/>
        <v>1</v>
      </c>
      <c r="D151">
        <f t="shared" si="20"/>
        <v>1</v>
      </c>
      <c r="E151">
        <f t="shared" si="21"/>
        <v>0</v>
      </c>
      <c r="F151" t="s">
        <v>139</v>
      </c>
      <c r="G151" t="str">
        <f t="shared" si="22"/>
        <v/>
      </c>
      <c r="H151" t="str">
        <f t="shared" si="25"/>
        <v>SSYSXSDNXWYDESNSTYYXSNSSRYSSEFSGEHRRGADDEGRETFNENG</v>
      </c>
      <c r="I151" t="str">
        <f t="shared" si="23"/>
        <v>Q</v>
      </c>
      <c r="J151" t="str">
        <f t="shared" si="26"/>
        <v>TYETEDECDENDDDONNSYTSDSTEXOETYWSSEXTSNSTEHYSTYRTXOYYEFETDRTEYDHSIAYNETDDNEEEIEEDNTRMEDEORYSEMDMTXUEQ</v>
      </c>
    </row>
    <row r="152" spans="1:10">
      <c r="E152">
        <f>SUM(E2:E151)</f>
        <v>50</v>
      </c>
      <c r="H152">
        <f>LEN(H151)</f>
        <v>50</v>
      </c>
      <c r="J152">
        <f>LEN(J151)</f>
        <v>100</v>
      </c>
    </row>
    <row r="153" spans="1:10">
      <c r="A153">
        <f>30/50</f>
        <v>0.6</v>
      </c>
      <c r="J153" t="str">
        <f>LEFT(J151,50)</f>
        <v>TYETEDECDENDDDONNSYTSDSTEXOETYWSSEXTSNSTEHYSTYRTXO</v>
      </c>
    </row>
    <row r="154" spans="1:10">
      <c r="J154" t="str">
        <f>RIGHT(J151,50)</f>
        <v>YYEFETDRTEYDHSIAYNETDDNEEEIEEDNTRMEDEORYSEMDMTXUEQ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63"/>
  <sheetViews>
    <sheetView workbookViewId="0">
      <selection activeCell="C163" sqref="C163"/>
    </sheetView>
  </sheetViews>
  <sheetFormatPr baseColWidth="10" defaultRowHeight="13"/>
  <sheetData>
    <row r="1" spans="1:3">
      <c r="A1">
        <v>13</v>
      </c>
      <c r="B1" t="str">
        <f>A1&amp;","</f>
        <v>13,</v>
      </c>
      <c r="C1" t="str">
        <f>B1</f>
        <v>13,</v>
      </c>
    </row>
    <row r="2" spans="1:3">
      <c r="A2">
        <v>4</v>
      </c>
      <c r="B2" t="str">
        <f t="shared" ref="B2:B65" si="0">A2&amp;","</f>
        <v>4,</v>
      </c>
      <c r="C2" t="str">
        <f>C1&amp;B2</f>
        <v>13,4,</v>
      </c>
    </row>
    <row r="3" spans="1:3">
      <c r="A3">
        <v>6</v>
      </c>
      <c r="B3" t="str">
        <f t="shared" si="0"/>
        <v>6,</v>
      </c>
      <c r="C3" t="str">
        <f t="shared" ref="C3:C66" si="1">C2&amp;B3</f>
        <v>13,4,6,</v>
      </c>
    </row>
    <row r="4" spans="1:3">
      <c r="A4">
        <v>3</v>
      </c>
      <c r="B4" t="str">
        <f t="shared" si="0"/>
        <v>3,</v>
      </c>
      <c r="C4" t="str">
        <f t="shared" si="1"/>
        <v>13,4,6,3,</v>
      </c>
    </row>
    <row r="5" spans="1:3">
      <c r="A5">
        <v>4</v>
      </c>
      <c r="B5" t="str">
        <f t="shared" si="0"/>
        <v>4,</v>
      </c>
      <c r="C5" t="str">
        <f t="shared" si="1"/>
        <v>13,4,6,3,4,</v>
      </c>
    </row>
    <row r="6" spans="1:3">
      <c r="A6">
        <v>4</v>
      </c>
      <c r="B6" t="str">
        <f t="shared" si="0"/>
        <v>4,</v>
      </c>
      <c r="C6" t="str">
        <f t="shared" si="1"/>
        <v>13,4,6,3,4,4,</v>
      </c>
    </row>
    <row r="7" spans="1:3">
      <c r="A7">
        <v>5</v>
      </c>
      <c r="B7" t="str">
        <f t="shared" si="0"/>
        <v>5,</v>
      </c>
      <c r="C7" t="str">
        <f t="shared" si="1"/>
        <v>13,4,6,3,4,4,5,</v>
      </c>
    </row>
    <row r="8" spans="1:3">
      <c r="A8">
        <v>19</v>
      </c>
      <c r="B8" t="str">
        <f t="shared" si="0"/>
        <v>19,</v>
      </c>
      <c r="C8" t="str">
        <f t="shared" si="1"/>
        <v>13,4,6,3,4,4,5,19,</v>
      </c>
    </row>
    <row r="9" spans="1:3">
      <c r="A9">
        <v>18</v>
      </c>
      <c r="B9" t="str">
        <f t="shared" si="0"/>
        <v>18,</v>
      </c>
      <c r="C9" t="str">
        <f t="shared" si="1"/>
        <v>13,4,6,3,4,4,5,19,18,</v>
      </c>
    </row>
    <row r="10" spans="1:3">
      <c r="A10">
        <v>4</v>
      </c>
      <c r="B10" t="str">
        <f t="shared" si="0"/>
        <v>4,</v>
      </c>
      <c r="C10" t="str">
        <f t="shared" si="1"/>
        <v>13,4,6,3,4,4,5,19,18,4,</v>
      </c>
    </row>
    <row r="11" spans="1:3">
      <c r="A11">
        <v>4</v>
      </c>
      <c r="B11" t="str">
        <f t="shared" si="0"/>
        <v>4,</v>
      </c>
      <c r="C11" t="str">
        <f t="shared" si="1"/>
        <v>13,4,6,3,4,4,5,19,18,4,4,</v>
      </c>
    </row>
    <row r="12" spans="1:3">
      <c r="A12">
        <v>5</v>
      </c>
      <c r="B12" t="str">
        <f t="shared" si="0"/>
        <v>5,</v>
      </c>
      <c r="C12" t="str">
        <f t="shared" si="1"/>
        <v>13,4,6,3,4,4,5,19,18,4,4,5,</v>
      </c>
    </row>
    <row r="13" spans="1:3">
      <c r="A13">
        <v>13</v>
      </c>
      <c r="B13" t="str">
        <f t="shared" si="0"/>
        <v>13,</v>
      </c>
      <c r="C13" t="str">
        <f t="shared" si="1"/>
        <v>13,4,6,3,4,4,5,19,18,4,4,5,13,</v>
      </c>
    </row>
    <row r="14" spans="1:3">
      <c r="A14">
        <v>19</v>
      </c>
      <c r="B14" t="str">
        <f t="shared" si="0"/>
        <v>19,</v>
      </c>
      <c r="C14" t="str">
        <f t="shared" si="1"/>
        <v>13,4,6,3,4,4,5,19,18,4,4,5,13,19,</v>
      </c>
    </row>
    <row r="15" spans="1:3">
      <c r="A15">
        <v>18</v>
      </c>
      <c r="B15" t="str">
        <f t="shared" si="0"/>
        <v>18,</v>
      </c>
      <c r="C15" t="str">
        <f t="shared" si="1"/>
        <v>13,4,6,3,4,4,5,19,18,4,4,5,13,19,18,</v>
      </c>
    </row>
    <row r="16" spans="1:3">
      <c r="A16">
        <v>24</v>
      </c>
      <c r="B16" t="str">
        <f t="shared" si="0"/>
        <v>24,</v>
      </c>
      <c r="C16" t="str">
        <f t="shared" si="1"/>
        <v>13,4,6,3,4,4,5,19,18,4,4,5,13,19,18,24,</v>
      </c>
    </row>
    <row r="17" spans="1:3">
      <c r="A17">
        <v>4</v>
      </c>
      <c r="B17" t="str">
        <f t="shared" si="0"/>
        <v>4,</v>
      </c>
      <c r="C17" t="str">
        <f t="shared" si="1"/>
        <v>13,4,6,3,4,4,5,19,18,4,4,5,13,19,18,24,4,</v>
      </c>
    </row>
    <row r="18" spans="1:3">
      <c r="A18">
        <v>18</v>
      </c>
      <c r="B18" t="str">
        <f t="shared" si="0"/>
        <v>18,</v>
      </c>
      <c r="C18" t="str">
        <f t="shared" si="1"/>
        <v>13,4,6,3,4,4,5,19,18,4,4,5,13,19,18,24,4,18,</v>
      </c>
    </row>
    <row r="19" spans="1:3">
      <c r="A19">
        <v>19</v>
      </c>
      <c r="B19" t="str">
        <f t="shared" si="0"/>
        <v>19,</v>
      </c>
      <c r="C19" t="str">
        <f t="shared" si="1"/>
        <v>13,4,6,3,4,4,5,19,18,4,4,5,13,19,18,24,4,18,19,</v>
      </c>
    </row>
    <row r="20" spans="1:3">
      <c r="A20">
        <v>4</v>
      </c>
      <c r="B20" t="str">
        <f t="shared" si="0"/>
        <v>4,</v>
      </c>
      <c r="C20" t="str">
        <f t="shared" si="1"/>
        <v>13,4,6,3,4,4,5,19,18,4,4,5,13,19,18,24,4,18,19,4,</v>
      </c>
    </row>
    <row r="21" spans="1:3">
      <c r="A21">
        <v>24</v>
      </c>
      <c r="B21" t="str">
        <f t="shared" si="0"/>
        <v>24,</v>
      </c>
      <c r="C21" t="str">
        <f t="shared" si="1"/>
        <v>13,4,6,3,4,4,5,19,18,4,4,5,13,19,18,24,4,18,19,4,24,</v>
      </c>
    </row>
    <row r="22" spans="1:3">
      <c r="A22">
        <v>3</v>
      </c>
      <c r="B22" t="str">
        <f t="shared" si="0"/>
        <v>3,</v>
      </c>
      <c r="C22" t="str">
        <f t="shared" si="1"/>
        <v>13,4,6,3,4,4,5,19,18,4,4,5,13,19,18,24,4,18,19,4,24,3,</v>
      </c>
    </row>
    <row r="23" spans="1:3">
      <c r="A23">
        <v>4</v>
      </c>
      <c r="B23" t="str">
        <f t="shared" si="0"/>
        <v>4,</v>
      </c>
      <c r="C23" t="str">
        <f t="shared" si="1"/>
        <v>13,4,6,3,4,4,5,19,18,4,4,5,13,19,18,24,4,18,19,4,24,3,4,</v>
      </c>
    </row>
    <row r="24" spans="1:3">
      <c r="A24">
        <v>18</v>
      </c>
      <c r="B24" t="str">
        <f t="shared" si="0"/>
        <v>18,</v>
      </c>
      <c r="C24" t="str">
        <f t="shared" si="1"/>
        <v>13,4,6,3,4,4,5,19,18,4,4,5,13,19,18,24,4,18,19,4,24,3,4,18,</v>
      </c>
    </row>
    <row r="25" spans="1:3">
      <c r="A25">
        <v>2</v>
      </c>
      <c r="B25" t="str">
        <f t="shared" si="0"/>
        <v>2,</v>
      </c>
      <c r="C25" t="str">
        <f t="shared" si="1"/>
        <v>13,4,6,3,4,4,5,19,18,4,4,5,13,19,18,24,4,18,19,4,24,3,4,18,2,</v>
      </c>
    </row>
    <row r="26" spans="1:3">
      <c r="A26">
        <v>3</v>
      </c>
      <c r="B26" t="str">
        <f t="shared" si="0"/>
        <v>3,</v>
      </c>
      <c r="C26" t="str">
        <f t="shared" si="1"/>
        <v>13,4,6,3,4,4,5,19,18,4,4,5,13,19,18,24,4,18,19,4,24,3,4,18,2,3,</v>
      </c>
    </row>
    <row r="27" spans="1:3">
      <c r="A27">
        <v>23</v>
      </c>
      <c r="B27" t="str">
        <f t="shared" si="0"/>
        <v>23,</v>
      </c>
      <c r="C27" t="str">
        <f t="shared" si="1"/>
        <v>13,4,6,3,4,4,5,19,18,4,4,5,13,19,18,24,4,18,19,4,24,3,4,18,2,3,23,</v>
      </c>
    </row>
    <row r="28" spans="1:3">
      <c r="A28">
        <v>4</v>
      </c>
      <c r="B28" t="str">
        <f t="shared" si="0"/>
        <v>4,</v>
      </c>
      <c r="C28" t="str">
        <f t="shared" si="1"/>
        <v>13,4,6,3,4,4,5,19,18,4,4,5,13,19,18,24,4,18,19,4,24,3,4,18,2,3,23,4,</v>
      </c>
    </row>
    <row r="29" spans="1:3">
      <c r="A29">
        <v>13</v>
      </c>
      <c r="B29" t="str">
        <f t="shared" si="0"/>
        <v>13,</v>
      </c>
      <c r="C29" t="str">
        <f t="shared" si="1"/>
        <v>13,4,6,3,4,4,5,19,18,4,4,5,13,19,18,24,4,18,19,4,24,3,4,18,2,3,23,4,13,</v>
      </c>
    </row>
    <row r="30" spans="1:3">
      <c r="A30">
        <v>18</v>
      </c>
      <c r="B30" t="str">
        <f t="shared" si="0"/>
        <v>18,</v>
      </c>
      <c r="C30" t="str">
        <f t="shared" si="1"/>
        <v>13,4,6,3,4,4,5,19,18,4,4,5,13,19,18,24,4,18,19,4,24,3,4,18,2,3,23,4,13,18,</v>
      </c>
    </row>
    <row r="31" spans="1:3">
      <c r="A31">
        <v>3</v>
      </c>
      <c r="B31" t="str">
        <f t="shared" si="0"/>
        <v>3,</v>
      </c>
      <c r="C31" t="str">
        <f t="shared" si="1"/>
        <v>13,4,6,3,4,4,5,19,18,4,4,5,13,19,18,24,4,18,19,4,24,3,4,18,2,3,23,4,13,18,3,</v>
      </c>
    </row>
    <row r="32" spans="1:3">
      <c r="A32">
        <v>3</v>
      </c>
      <c r="B32" t="str">
        <f t="shared" si="0"/>
        <v>3,</v>
      </c>
      <c r="C32" t="str">
        <f t="shared" si="1"/>
        <v>13,4,6,3,4,4,5,19,18,4,4,5,13,19,18,24,4,18,19,4,24,3,4,18,2,3,23,4,13,18,3,3,</v>
      </c>
    </row>
    <row r="33" spans="1:3">
      <c r="A33">
        <v>3</v>
      </c>
      <c r="B33" t="str">
        <f t="shared" si="0"/>
        <v>3,</v>
      </c>
      <c r="C33" t="str">
        <f t="shared" si="1"/>
        <v>13,4,6,3,4,4,5,19,18,4,4,5,13,19,18,24,4,18,19,4,24,3,4,18,2,3,23,4,13,18,3,3,3,</v>
      </c>
    </row>
    <row r="34" spans="1:3">
      <c r="A34">
        <v>3</v>
      </c>
      <c r="B34" t="str">
        <f t="shared" si="0"/>
        <v>3,</v>
      </c>
      <c r="C34" t="str">
        <f t="shared" si="1"/>
        <v>13,4,6,3,4,4,5,19,18,4,4,5,13,19,18,24,4,18,19,4,24,3,4,18,2,3,23,4,13,18,3,3,3,3,</v>
      </c>
    </row>
    <row r="35" spans="1:3">
      <c r="A35">
        <v>14</v>
      </c>
      <c r="B35" t="str">
        <f t="shared" si="0"/>
        <v>14,</v>
      </c>
      <c r="C35" t="str">
        <f t="shared" si="1"/>
        <v>13,4,6,3,4,4,5,19,18,4,4,5,13,19,18,24,4,18,19,4,24,3,4,18,2,3,23,4,13,18,3,3,3,3,14,</v>
      </c>
    </row>
    <row r="36" spans="1:3">
      <c r="A36">
        <v>13</v>
      </c>
      <c r="B36" t="str">
        <f t="shared" si="0"/>
        <v>13,</v>
      </c>
      <c r="C36" t="str">
        <f t="shared" si="1"/>
        <v>13,4,6,3,4,4,5,19,18,4,4,5,13,19,18,24,4,18,19,4,24,3,4,18,2,3,23,4,13,18,3,3,3,3,14,13,</v>
      </c>
    </row>
    <row r="37" spans="1:3">
      <c r="A37">
        <v>13</v>
      </c>
      <c r="B37" t="str">
        <f t="shared" si="0"/>
        <v>13,</v>
      </c>
      <c r="C37" t="str">
        <f t="shared" si="1"/>
        <v>13,4,6,3,4,4,5,19,18,4,4,5,13,19,18,24,4,18,19,4,24,3,4,18,2,3,23,4,13,18,3,3,3,3,14,13,13,</v>
      </c>
    </row>
    <row r="38" spans="1:3">
      <c r="A38">
        <v>13</v>
      </c>
      <c r="B38" t="str">
        <f t="shared" si="0"/>
        <v>13,</v>
      </c>
      <c r="C38" t="str">
        <f t="shared" si="1"/>
        <v>13,4,6,3,4,4,5,19,18,4,4,5,13,19,18,24,4,18,19,4,24,3,4,18,2,3,23,4,13,18,3,3,3,3,14,13,13,13,</v>
      </c>
    </row>
    <row r="39" spans="1:3">
      <c r="A39">
        <v>23</v>
      </c>
      <c r="B39" t="str">
        <f t="shared" si="0"/>
        <v>23,</v>
      </c>
      <c r="C39" t="str">
        <f t="shared" si="1"/>
        <v>13,4,6,3,4,4,5,19,18,4,4,5,13,19,18,24,4,18,19,4,24,3,4,18,2,3,23,4,13,18,3,3,3,3,14,13,13,13,23,</v>
      </c>
    </row>
    <row r="40" spans="1:3">
      <c r="A40">
        <v>18</v>
      </c>
      <c r="B40" t="str">
        <f t="shared" si="0"/>
        <v>18,</v>
      </c>
      <c r="C40" t="str">
        <f t="shared" si="1"/>
        <v>13,4,6,3,4,4,5,19,18,4,4,5,13,19,18,24,4,18,19,4,24,3,4,18,2,3,23,4,13,18,3,3,3,3,14,13,13,13,23,18,</v>
      </c>
    </row>
    <row r="41" spans="1:3">
      <c r="A41">
        <v>24</v>
      </c>
      <c r="B41" t="str">
        <f t="shared" si="0"/>
        <v>24,</v>
      </c>
      <c r="C41" t="str">
        <f t="shared" si="1"/>
        <v>13,4,6,3,4,4,5,19,18,4,4,5,13,19,18,24,4,18,19,4,24,3,4,18,2,3,23,4,13,18,3,3,3,3,14,13,13,13,23,18,24,</v>
      </c>
    </row>
    <row r="42" spans="1:3">
      <c r="A42">
        <v>22</v>
      </c>
      <c r="B42" t="str">
        <f t="shared" si="0"/>
        <v>22,</v>
      </c>
      <c r="C42" t="str">
        <f t="shared" si="1"/>
        <v>13,4,6,3,4,4,5,19,18,4,4,5,13,19,18,24,4,18,19,4,24,3,4,18,2,3,23,4,13,18,3,3,3,3,14,13,13,13,23,18,24,22,</v>
      </c>
    </row>
    <row r="43" spans="1:3">
      <c r="A43">
        <v>19</v>
      </c>
      <c r="B43" t="str">
        <f t="shared" si="0"/>
        <v>19,</v>
      </c>
      <c r="C43" t="str">
        <f t="shared" si="1"/>
        <v>13,4,6,3,4,4,5,19,18,4,4,5,13,19,18,24,4,18,19,4,24,3,4,18,2,3,23,4,13,18,3,3,3,3,14,13,13,13,23,18,24,22,19,</v>
      </c>
    </row>
    <row r="44" spans="1:3">
      <c r="A44">
        <v>18</v>
      </c>
      <c r="B44" t="str">
        <f t="shared" si="0"/>
        <v>18,</v>
      </c>
      <c r="C44" t="str">
        <f t="shared" si="1"/>
        <v>13,4,6,3,4,4,5,19,18,4,4,5,13,19,18,24,4,18,19,4,24,3,4,18,2,3,23,4,13,18,3,3,3,3,14,13,13,13,23,18,24,22,19,18,</v>
      </c>
    </row>
    <row r="45" spans="1:3">
      <c r="A45">
        <v>24</v>
      </c>
      <c r="B45" t="str">
        <f t="shared" si="0"/>
        <v>24,</v>
      </c>
      <c r="C45" t="str">
        <f t="shared" si="1"/>
        <v>13,4,6,3,4,4,5,19,18,4,4,5,13,19,18,24,4,18,19,4,24,3,4,18,2,3,23,4,13,18,3,3,3,3,14,13,13,13,23,18,24,22,19,18,24,</v>
      </c>
    </row>
    <row r="46" spans="1:3">
      <c r="A46">
        <v>3</v>
      </c>
      <c r="B46" t="str">
        <f t="shared" si="0"/>
        <v>3,</v>
      </c>
      <c r="C46" t="str">
        <f t="shared" si="1"/>
        <v>13,4,6,3,4,4,5,19,18,4,4,5,13,19,18,24,4,18,19,4,24,3,4,18,2,3,23,4,13,18,3,3,3,3,14,13,13,13,23,18,24,22,19,18,24,3,</v>
      </c>
    </row>
    <row r="47" spans="1:3">
      <c r="A47">
        <v>18</v>
      </c>
      <c r="B47" t="str">
        <f t="shared" si="0"/>
        <v>18,</v>
      </c>
      <c r="C47" t="str">
        <f t="shared" si="1"/>
        <v>13,4,6,3,4,4,5,19,18,4,4,5,13,19,18,24,4,18,19,4,24,3,4,18,2,3,23,4,13,18,3,3,3,3,14,13,13,13,23,18,24,22,19,18,24,3,18,</v>
      </c>
    </row>
    <row r="48" spans="1:3">
      <c r="A48">
        <v>3</v>
      </c>
      <c r="B48" t="str">
        <f t="shared" si="0"/>
        <v>3,</v>
      </c>
      <c r="C48" t="str">
        <f t="shared" si="1"/>
        <v>13,4,6,3,4,4,5,19,18,4,4,5,13,19,18,24,4,18,19,4,24,3,4,18,2,3,23,4,13,18,3,3,3,3,14,13,13,13,23,18,24,22,19,18,24,3,18,3,</v>
      </c>
    </row>
    <row r="49" spans="1:3">
      <c r="A49">
        <v>19</v>
      </c>
      <c r="B49" t="str">
        <f t="shared" si="0"/>
        <v>19,</v>
      </c>
      <c r="C49" t="str">
        <f t="shared" si="1"/>
        <v>13,4,6,3,4,4,5,19,18,4,4,5,13,19,18,24,4,18,19,4,24,3,4,18,2,3,23,4,13,18,3,3,3,3,14,13,13,13,23,18,24,22,19,18,24,3,18,3,19,</v>
      </c>
    </row>
    <row r="50" spans="1:3">
      <c r="A50">
        <v>4</v>
      </c>
      <c r="B50" t="str">
        <f t="shared" si="0"/>
        <v>4,</v>
      </c>
      <c r="C50" t="str">
        <f t="shared" si="1"/>
        <v>13,4,6,3,4,4,5,19,18,4,4,5,13,19,18,24,4,18,19,4,24,3,4,18,2,3,23,4,13,18,3,3,3,3,14,13,13,13,23,18,24,22,19,18,24,3,18,3,19,4,</v>
      </c>
    </row>
    <row r="51" spans="1:3">
      <c r="A51">
        <v>4</v>
      </c>
      <c r="B51" t="str">
        <f t="shared" si="0"/>
        <v>4,</v>
      </c>
      <c r="C51" t="str">
        <f t="shared" si="1"/>
        <v>13,4,6,3,4,4,5,19,18,4,4,5,13,19,18,24,4,18,19,4,24,3,4,18,2,3,23,4,13,18,3,3,3,3,14,13,13,13,23,18,24,22,19,18,24,3,18,3,19,4,4,</v>
      </c>
    </row>
    <row r="52" spans="1:3">
      <c r="A52">
        <v>23</v>
      </c>
      <c r="B52" t="str">
        <f t="shared" si="0"/>
        <v>23,</v>
      </c>
      <c r="C52" t="str">
        <f t="shared" si="1"/>
        <v>13,4,6,3,4,4,5,19,18,4,4,5,13,19,18,24,4,18,19,4,24,3,4,18,2,3,23,4,13,18,3,3,3,3,14,13,13,13,23,18,24,22,19,18,24,3,18,3,19,4,4,23,</v>
      </c>
    </row>
    <row r="53" spans="1:3">
      <c r="A53">
        <v>14</v>
      </c>
      <c r="B53" t="str">
        <f t="shared" si="0"/>
        <v>14,</v>
      </c>
      <c r="C53" t="str">
        <f t="shared" si="1"/>
        <v>13,4,6,3,4,4,5,19,18,4,4,5,13,19,18,24,4,18,19,4,24,3,4,18,2,3,23,4,13,18,3,3,3,3,14,13,13,13,23,18,24,22,19,18,24,3,18,3,19,4,4,23,14,</v>
      </c>
    </row>
    <row r="54" spans="1:3">
      <c r="A54">
        <v>18</v>
      </c>
      <c r="B54" t="str">
        <f t="shared" si="0"/>
        <v>18,</v>
      </c>
      <c r="C54" t="str">
        <f t="shared" si="1"/>
        <v>13,4,6,3,4,4,5,19,18,4,4,5,13,19,18,24,4,18,19,4,24,3,4,18,2,3,23,4,13,18,3,3,3,3,14,13,13,13,23,18,24,22,19,18,24,3,18,3,19,4,4,23,14,18,</v>
      </c>
    </row>
    <row r="55" spans="1:3">
      <c r="A55">
        <v>4</v>
      </c>
      <c r="B55" t="str">
        <f t="shared" si="0"/>
        <v>4,</v>
      </c>
      <c r="C55" t="str">
        <f t="shared" si="1"/>
        <v>13,4,6,3,4,4,5,19,18,4,4,5,13,19,18,24,4,18,19,4,24,3,4,18,2,3,23,4,13,18,3,3,3,3,14,13,13,13,23,18,24,22,19,18,24,3,18,3,19,4,4,23,14,18,4,</v>
      </c>
    </row>
    <row r="56" spans="1:3">
      <c r="A56">
        <v>19</v>
      </c>
      <c r="B56" t="str">
        <f t="shared" si="0"/>
        <v>19,</v>
      </c>
      <c r="C56" t="str">
        <f t="shared" si="1"/>
        <v>13,4,6,3,4,4,5,19,18,4,4,5,13,19,18,24,4,18,19,4,24,3,4,18,2,3,23,4,13,18,3,3,3,3,14,13,13,13,23,18,24,22,19,18,24,3,18,3,19,4,4,23,14,18,4,19,</v>
      </c>
    </row>
    <row r="57" spans="1:3">
      <c r="A57">
        <v>13</v>
      </c>
      <c r="B57" t="str">
        <f t="shared" si="0"/>
        <v>13,</v>
      </c>
      <c r="C57" t="str">
        <f t="shared" si="1"/>
        <v>13,4,6,3,4,4,5,19,18,4,4,5,13,19,18,24,4,18,19,4,24,3,4,18,2,3,23,4,13,18,3,3,3,3,14,13,13,13,23,18,24,22,19,18,24,3,18,3,19,4,4,23,14,18,4,19,13,</v>
      </c>
    </row>
    <row r="58" spans="1:3">
      <c r="A58">
        <v>24</v>
      </c>
      <c r="B58" t="str">
        <f t="shared" si="0"/>
        <v>24,</v>
      </c>
      <c r="C58" t="str">
        <f t="shared" si="1"/>
        <v>13,4,6,3,4,4,5,19,18,4,4,5,13,19,18,24,4,18,19,4,24,3,4,18,2,3,23,4,13,18,3,3,3,3,14,13,13,13,23,18,24,22,19,18,24,3,18,3,19,4,4,23,14,18,4,19,13,24,</v>
      </c>
    </row>
    <row r="59" spans="1:3">
      <c r="A59">
        <v>22</v>
      </c>
      <c r="B59" t="str">
        <f t="shared" si="0"/>
        <v>22,</v>
      </c>
      <c r="C59" t="str">
        <f t="shared" si="1"/>
        <v>13,4,6,3,4,4,5,19,18,4,4,5,13,19,18,24,4,18,19,4,24,3,4,18,2,3,23,4,13,18,3,3,3,3,14,13,13,13,23,18,24,22,19,18,24,3,18,3,19,4,4,23,14,18,4,19,13,24,22,</v>
      </c>
    </row>
    <row r="60" spans="1:3">
      <c r="A60">
        <v>18</v>
      </c>
      <c r="B60" t="str">
        <f t="shared" si="0"/>
        <v>18,</v>
      </c>
      <c r="C60" t="str">
        <f t="shared" si="1"/>
        <v>13,4,6,3,4,4,5,19,18,4,4,5,13,19,18,24,4,18,19,4,24,3,4,18,2,3,23,4,13,18,3,3,3,3,14,13,13,13,23,18,24,22,19,18,24,3,18,3,19,4,4,23,14,18,4,19,13,24,22,18,</v>
      </c>
    </row>
    <row r="61" spans="1:3">
      <c r="A61">
        <v>18</v>
      </c>
      <c r="B61" t="str">
        <f t="shared" si="0"/>
        <v>18,</v>
      </c>
      <c r="C61" t="str">
        <f t="shared" si="1"/>
        <v>13,4,6,3,4,4,5,19,18,4,4,5,13,19,18,24,4,18,19,4,24,3,4,18,2,3,23,4,13,18,3,3,3,3,14,13,13,13,23,18,24,22,19,18,24,3,18,3,19,4,4,23,14,18,4,19,13,24,22,18,18,</v>
      </c>
    </row>
    <row r="62" spans="1:3">
      <c r="A62">
        <v>18</v>
      </c>
      <c r="B62" t="str">
        <f t="shared" si="0"/>
        <v>18,</v>
      </c>
      <c r="C62" t="str">
        <f t="shared" si="1"/>
        <v>13,4,6,3,4,4,5,19,18,4,4,5,13,19,18,24,4,18,19,4,24,3,4,18,2,3,23,4,13,18,3,3,3,3,14,13,13,13,23,18,24,22,19,18,24,3,18,3,19,4,4,23,14,18,4,19,13,24,22,18,18,18,</v>
      </c>
    </row>
    <row r="63" spans="1:3">
      <c r="A63">
        <v>19</v>
      </c>
      <c r="B63" t="str">
        <f t="shared" si="0"/>
        <v>19,</v>
      </c>
      <c r="C63" t="str">
        <f t="shared" si="1"/>
        <v>13,4,6,3,4,4,5,19,18,4,4,5,13,19,18,24,4,18,19,4,24,3,4,18,2,3,23,4,13,18,3,3,3,3,14,13,13,13,23,18,24,22,19,18,24,3,18,3,19,4,4,23,14,18,4,19,13,24,22,18,18,18,19,</v>
      </c>
    </row>
    <row r="64" spans="1:3">
      <c r="A64">
        <v>4</v>
      </c>
      <c r="B64" t="str">
        <f t="shared" si="0"/>
        <v>4,</v>
      </c>
      <c r="C64" t="str">
        <f t="shared" si="1"/>
        <v>13,4,6,3,4,4,5,19,18,4,4,5,13,19,18,24,4,18,19,4,24,3,4,18,2,3,23,4,13,18,3,3,3,3,14,13,13,13,23,18,24,22,19,18,24,3,18,3,19,4,4,23,14,18,4,19,13,24,22,18,18,18,19,4,</v>
      </c>
    </row>
    <row r="65" spans="1:3">
      <c r="A65">
        <v>23</v>
      </c>
      <c r="B65" t="str">
        <f t="shared" si="0"/>
        <v>23,</v>
      </c>
      <c r="C65" t="str">
        <f t="shared" si="1"/>
        <v>13,4,6,3,4,4,5,19,18,4,4,5,13,19,18,24,4,18,19,4,24,3,4,18,2,3,23,4,13,18,3,3,3,3,14,13,13,13,23,18,24,22,19,18,24,3,18,3,19,4,4,23,14,18,4,19,13,24,22,18,18,18,19,4,23,</v>
      </c>
    </row>
    <row r="66" spans="1:3">
      <c r="A66">
        <v>24</v>
      </c>
      <c r="B66" t="str">
        <f t="shared" ref="B66:B129" si="2">A66&amp;","</f>
        <v>24,</v>
      </c>
      <c r="C66" t="str">
        <f t="shared" si="1"/>
        <v>13,4,6,3,4,4,5,19,18,4,4,5,13,19,18,24,4,18,19,4,24,3,4,18,2,3,23,4,13,18,3,3,3,3,14,13,13,13,23,18,24,22,19,18,24,3,18,3,19,4,4,23,14,18,4,19,13,24,22,18,18,18,19,4,23,24,</v>
      </c>
    </row>
    <row r="67" spans="1:3">
      <c r="A67">
        <v>19</v>
      </c>
      <c r="B67" t="str">
        <f t="shared" si="2"/>
        <v>19,</v>
      </c>
      <c r="C67" t="str">
        <f t="shared" ref="C67:C130" si="3">C66&amp;B67</f>
        <v>13,4,6,3,4,4,5,19,18,4,4,5,13,19,18,24,4,18,19,4,24,3,4,18,2,3,23,4,13,18,3,3,3,3,14,13,13,13,23,18,24,22,19,18,24,3,18,3,19,4,4,23,14,18,4,19,13,24,22,18,18,18,19,4,23,24,19,</v>
      </c>
    </row>
    <row r="68" spans="1:3">
      <c r="A68">
        <v>18</v>
      </c>
      <c r="B68" t="str">
        <f t="shared" si="2"/>
        <v>18,</v>
      </c>
      <c r="C68" t="str">
        <f t="shared" si="3"/>
        <v>13,4,6,3,4,4,5,19,18,4,4,5,13,19,18,24,4,18,19,4,24,3,4,18,2,3,23,4,13,18,3,3,3,3,14,13,13,13,23,18,24,22,19,18,24,3,18,3,19,4,4,23,14,18,4,19,13,24,22,18,18,18,19,4,23,24,19,18,</v>
      </c>
    </row>
    <row r="69" spans="1:3">
      <c r="A69">
        <v>24</v>
      </c>
      <c r="B69" t="str">
        <f t="shared" si="2"/>
        <v>24,</v>
      </c>
      <c r="C69" t="str">
        <f t="shared" si="3"/>
        <v>13,4,6,3,4,4,5,19,18,4,4,5,13,19,18,24,4,18,19,4,24,3,4,18,2,3,23,4,13,18,3,3,3,3,14,13,13,13,23,18,24,22,19,18,24,3,18,3,19,4,4,23,14,18,4,19,13,24,22,18,18,18,19,4,23,24,19,18,24,</v>
      </c>
    </row>
    <row r="70" spans="1:3">
      <c r="A70">
        <v>13</v>
      </c>
      <c r="B70" t="str">
        <f t="shared" si="2"/>
        <v>13,</v>
      </c>
      <c r="C70" t="str">
        <f t="shared" si="3"/>
        <v>13,4,6,3,4,4,5,19,18,4,4,5,13,19,18,24,4,18,19,4,24,3,4,18,2,3,23,4,13,18,3,3,3,3,14,13,13,13,23,18,24,22,19,18,24,3,18,3,19,4,4,23,14,18,4,19,13,24,22,18,18,18,19,4,23,24,19,18,24,13,</v>
      </c>
    </row>
    <row r="71" spans="1:3">
      <c r="A71">
        <v>18</v>
      </c>
      <c r="B71" t="str">
        <f t="shared" si="2"/>
        <v>18,</v>
      </c>
      <c r="C71" t="str">
        <f t="shared" si="3"/>
        <v>13,4,6,3,4,4,5,19,18,4,4,5,13,19,18,24,4,18,19,4,24,3,4,18,2,3,23,4,13,18,3,3,3,3,14,13,13,13,23,18,24,22,19,18,24,3,18,3,19,4,4,23,14,18,4,19,13,24,22,18,18,18,19,4,23,24,19,18,24,13,18,</v>
      </c>
    </row>
    <row r="72" spans="1:3">
      <c r="A72">
        <v>23</v>
      </c>
      <c r="B72" t="str">
        <f t="shared" si="2"/>
        <v>23,</v>
      </c>
      <c r="C72" t="str">
        <f t="shared" si="3"/>
        <v>13,4,6,3,4,4,5,19,18,4,4,5,13,19,18,24,4,18,19,4,24,3,4,18,2,3,23,4,13,18,3,3,3,3,14,13,13,13,23,18,24,22,19,18,24,3,18,3,19,4,4,23,14,18,4,19,13,24,22,18,18,18,19,4,23,24,19,18,24,13,18,23,</v>
      </c>
    </row>
    <row r="73" spans="1:3">
      <c r="A73">
        <v>19</v>
      </c>
      <c r="B73" t="str">
        <f t="shared" si="2"/>
        <v>19,</v>
      </c>
      <c r="C73" t="str">
        <f t="shared" si="3"/>
        <v>13,4,6,3,4,4,5,19,18,4,4,5,13,19,18,24,4,18,19,4,24,3,4,18,2,3,23,4,13,18,3,3,3,3,14,13,13,13,23,18,24,22,19,18,24,3,18,3,19,4,4,23,14,18,4,19,13,24,22,18,18,18,19,4,23,24,19,18,24,13,18,23,19,</v>
      </c>
    </row>
    <row r="74" spans="1:3">
      <c r="A74">
        <v>4</v>
      </c>
      <c r="B74" t="str">
        <f t="shared" si="2"/>
        <v>4,</v>
      </c>
      <c r="C74" t="str">
        <f t="shared" si="3"/>
        <v>13,4,6,3,4,4,5,19,18,4,4,5,13,19,18,24,4,18,19,4,24,3,4,18,2,3,23,4,13,18,3,3,3,3,14,13,13,13,23,18,24,22,19,18,24,3,18,3,19,4,4,23,14,18,4,19,13,24,22,18,18,18,19,4,23,24,19,18,24,13,18,23,19,4,</v>
      </c>
    </row>
    <row r="75" spans="1:3">
      <c r="A75">
        <v>18</v>
      </c>
      <c r="B75" t="str">
        <f t="shared" si="2"/>
        <v>18,</v>
      </c>
      <c r="C75" t="str">
        <f t="shared" si="3"/>
        <v>13,4,6,3,4,4,5,19,18,4,4,5,13,19,18,24,4,18,19,4,24,3,4,18,2,3,23,4,13,18,3,3,3,3,14,13,13,13,23,18,24,22,19,18,24,3,18,3,19,4,4,23,14,18,4,19,13,24,22,18,18,18,19,4,23,24,19,18,24,13,18,23,19,4,18,</v>
      </c>
    </row>
    <row r="76" spans="1:3">
      <c r="A76">
        <v>7</v>
      </c>
      <c r="B76" t="str">
        <f t="shared" si="2"/>
        <v>7,</v>
      </c>
      <c r="C76" t="str">
        <f t="shared" si="3"/>
        <v>13,4,6,3,4,4,5,19,18,4,4,5,13,19,18,24,4,18,19,4,24,3,4,18,2,3,23,4,13,18,3,3,3,3,14,13,13,13,23,18,24,22,19,18,24,3,18,3,19,4,4,23,14,18,4,19,13,24,22,18,18,18,19,4,23,24,19,18,24,13,18,23,19,4,18,7,</v>
      </c>
    </row>
    <row r="77" spans="1:3">
      <c r="A77">
        <v>24</v>
      </c>
      <c r="B77" t="str">
        <f t="shared" si="2"/>
        <v>24,</v>
      </c>
      <c r="C77" t="str">
        <f t="shared" si="3"/>
        <v>13,4,6,3,4,4,5,19,18,4,4,5,13,19,18,24,4,18,19,4,24,3,4,18,2,3,23,4,13,18,3,3,3,3,14,13,13,13,23,18,24,22,19,18,24,3,18,3,19,4,4,23,14,18,4,19,13,24,22,18,18,18,19,4,23,24,19,18,24,13,18,23,19,4,18,7,24,</v>
      </c>
    </row>
    <row r="78" spans="1:3">
      <c r="A78">
        <v>13</v>
      </c>
      <c r="B78" t="str">
        <f t="shared" si="2"/>
        <v>13,</v>
      </c>
      <c r="C78" t="str">
        <f t="shared" si="3"/>
        <v>13,4,6,3,4,4,5,19,18,4,4,5,13,19,18,24,4,18,19,4,24,3,4,18,2,3,23,4,13,18,3,3,3,3,14,13,13,13,23,18,24,22,19,18,24,3,18,3,19,4,4,23,14,18,4,19,13,24,22,18,18,18,19,4,23,24,19,18,24,13,18,23,19,4,18,7,24,13,</v>
      </c>
    </row>
    <row r="79" spans="1:3">
      <c r="A79">
        <v>18</v>
      </c>
      <c r="B79" t="str">
        <f t="shared" si="2"/>
        <v>18,</v>
      </c>
      <c r="C79" t="str">
        <f t="shared" si="3"/>
        <v>13,4,6,3,4,4,5,19,18,4,4,5,13,19,18,24,4,18,19,4,24,3,4,18,2,3,23,4,13,18,3,3,3,3,14,13,13,13,23,18,24,22,19,18,24,3,18,3,19,4,4,23,14,18,4,19,13,24,22,18,18,18,19,4,23,24,19,18,24,13,18,23,19,4,18,7,24,13,18,</v>
      </c>
    </row>
    <row r="80" spans="1:3">
      <c r="A80">
        <v>19</v>
      </c>
      <c r="B80" t="str">
        <f t="shared" si="2"/>
        <v>19,</v>
      </c>
      <c r="C80" t="str">
        <f t="shared" si="3"/>
        <v>13,4,6,3,4,4,5,19,18,4,4,5,13,19,18,24,4,18,19,4,24,3,4,18,2,3,23,4,13,18,3,3,3,3,14,13,13,13,23,18,24,22,19,18,24,3,18,3,19,4,4,23,14,18,4,19,13,24,22,18,18,18,19,4,23,24,19,18,24,13,18,23,19,4,18,7,24,13,18,19,</v>
      </c>
    </row>
    <row r="81" spans="1:3">
      <c r="A81">
        <v>18</v>
      </c>
      <c r="B81" t="str">
        <f t="shared" si="2"/>
        <v>18,</v>
      </c>
      <c r="C81" t="str">
        <f t="shared" si="3"/>
        <v>13,4,6,3,4,4,5,19,18,4,4,5,13,19,18,24,4,18,19,4,24,3,4,18,2,3,23,4,13,18,3,3,3,3,14,13,13,13,23,18,24,22,19,18,24,3,18,3,19,4,4,23,14,18,4,19,13,24,22,18,18,18,19,4,23,24,19,18,24,13,18,23,19,4,18,7,24,13,18,19,18,</v>
      </c>
    </row>
    <row r="82" spans="1:3">
      <c r="A82">
        <v>24</v>
      </c>
      <c r="B82" t="str">
        <f t="shared" si="2"/>
        <v>24,</v>
      </c>
      <c r="C82" t="str">
        <f t="shared" si="3"/>
        <v>13,4,6,3,4,4,5,19,18,4,4,5,13,19,18,24,4,18,19,4,24,3,4,18,2,3,23,4,13,18,3,3,3,3,14,13,13,13,23,18,24,22,19,18,24,3,18,3,19,4,4,23,14,18,4,19,13,24,22,18,18,18,19,4,23,24,19,18,24,13,18,23,19,4,18,7,24,13,18,19,18,24,</v>
      </c>
    </row>
    <row r="83" spans="1:3">
      <c r="A83">
        <v>17</v>
      </c>
      <c r="B83" t="str">
        <f t="shared" si="2"/>
        <v>17,</v>
      </c>
      <c r="C83" t="str">
        <f t="shared" si="3"/>
        <v>13,4,6,3,4,4,5,19,18,4,4,5,13,19,18,24,4,18,19,4,24,3,4,18,2,3,23,4,13,18,3,3,3,3,14,13,13,13,23,18,24,22,19,18,24,3,18,3,19,4,4,23,14,18,4,19,13,24,22,18,18,18,19,4,23,24,19,18,24,13,18,23,19,4,18,7,24,13,18,19,18,24,17,</v>
      </c>
    </row>
    <row r="84" spans="1:3">
      <c r="A84">
        <v>18</v>
      </c>
      <c r="B84" t="str">
        <f t="shared" si="2"/>
        <v>18,</v>
      </c>
      <c r="C84" t="str">
        <f t="shared" si="3"/>
        <v>13,4,6,3,4,4,5,19,18,4,4,5,13,19,18,24,4,18,19,4,24,3,4,18,2,3,23,4,13,18,3,3,3,3,14,13,13,13,23,18,24,22,19,18,24,3,18,3,19,4,4,23,14,18,4,19,13,24,22,18,18,18,19,4,23,24,19,18,24,13,18,23,19,4,18,7,24,13,18,19,18,24,17,18,</v>
      </c>
    </row>
    <row r="85" spans="1:3">
      <c r="A85">
        <v>19</v>
      </c>
      <c r="B85" t="str">
        <f t="shared" si="2"/>
        <v>19,</v>
      </c>
      <c r="C85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</v>
      </c>
    </row>
    <row r="86" spans="1:3">
      <c r="A86">
        <v>23</v>
      </c>
      <c r="B86" t="str">
        <f t="shared" si="2"/>
        <v>23,</v>
      </c>
      <c r="C86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</v>
      </c>
    </row>
    <row r="87" spans="1:3">
      <c r="A87">
        <v>17</v>
      </c>
      <c r="B87" t="str">
        <f t="shared" si="2"/>
        <v>17,</v>
      </c>
      <c r="C87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</v>
      </c>
    </row>
    <row r="88" spans="1:3">
      <c r="A88">
        <v>14</v>
      </c>
      <c r="B88" t="str">
        <f t="shared" si="2"/>
        <v>14,</v>
      </c>
      <c r="C88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</v>
      </c>
    </row>
    <row r="89" spans="1:3">
      <c r="A89">
        <v>24</v>
      </c>
      <c r="B89" t="str">
        <f t="shared" si="2"/>
        <v>24,</v>
      </c>
      <c r="C89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</v>
      </c>
    </row>
    <row r="90" spans="1:3">
      <c r="A90">
        <v>24</v>
      </c>
      <c r="B90" t="str">
        <f t="shared" si="2"/>
        <v>24,</v>
      </c>
      <c r="C90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</v>
      </c>
    </row>
    <row r="91" spans="1:3">
      <c r="A91">
        <v>24</v>
      </c>
      <c r="B91" t="str">
        <f t="shared" si="2"/>
        <v>24,</v>
      </c>
      <c r="C91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</v>
      </c>
    </row>
    <row r="92" spans="1:3">
      <c r="A92">
        <v>4</v>
      </c>
      <c r="B92" t="str">
        <f t="shared" si="2"/>
        <v>4,</v>
      </c>
      <c r="C92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</v>
      </c>
    </row>
    <row r="93" spans="1:3">
      <c r="A93">
        <v>18</v>
      </c>
      <c r="B93" t="str">
        <f t="shared" si="2"/>
        <v>18,</v>
      </c>
      <c r="C93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</v>
      </c>
    </row>
    <row r="94" spans="1:3">
      <c r="A94">
        <v>5</v>
      </c>
      <c r="B94" t="str">
        <f t="shared" si="2"/>
        <v>5,</v>
      </c>
      <c r="C94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</v>
      </c>
    </row>
    <row r="95" spans="1:3">
      <c r="A95">
        <v>4</v>
      </c>
      <c r="B95" t="str">
        <f t="shared" si="2"/>
        <v>4,</v>
      </c>
      <c r="C95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</v>
      </c>
    </row>
    <row r="96" spans="1:3">
      <c r="A96">
        <v>18</v>
      </c>
      <c r="B96" t="str">
        <f t="shared" si="2"/>
        <v>18,</v>
      </c>
      <c r="C96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</v>
      </c>
    </row>
    <row r="97" spans="1:3">
      <c r="A97">
        <v>19</v>
      </c>
      <c r="B97" t="str">
        <f t="shared" si="2"/>
        <v>19,</v>
      </c>
      <c r="C97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</v>
      </c>
    </row>
    <row r="98" spans="1:3">
      <c r="A98">
        <v>3</v>
      </c>
      <c r="B98" t="str">
        <f t="shared" si="2"/>
        <v>3,</v>
      </c>
      <c r="C98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</v>
      </c>
    </row>
    <row r="99" spans="1:3">
      <c r="A99">
        <v>4</v>
      </c>
      <c r="B99" t="str">
        <f t="shared" si="2"/>
        <v>4,</v>
      </c>
      <c r="C99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</v>
      </c>
    </row>
    <row r="100" spans="1:3">
      <c r="A100">
        <v>17</v>
      </c>
      <c r="B100" t="str">
        <f t="shared" si="2"/>
        <v>17,</v>
      </c>
      <c r="C100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</v>
      </c>
    </row>
    <row r="101" spans="1:3">
      <c r="A101">
        <v>19</v>
      </c>
      <c r="B101" t="str">
        <f t="shared" si="2"/>
        <v>19,</v>
      </c>
      <c r="C101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</v>
      </c>
    </row>
    <row r="102" spans="1:3">
      <c r="A102">
        <v>5</v>
      </c>
      <c r="B102" t="str">
        <f t="shared" si="2"/>
        <v>5,</v>
      </c>
      <c r="C102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</v>
      </c>
    </row>
    <row r="103" spans="1:3">
      <c r="A103">
        <v>4</v>
      </c>
      <c r="B103" t="str">
        <f t="shared" si="2"/>
        <v>4,</v>
      </c>
      <c r="C103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</v>
      </c>
    </row>
    <row r="104" spans="1:3">
      <c r="A104">
        <v>24</v>
      </c>
      <c r="B104" t="str">
        <f t="shared" si="2"/>
        <v>24,</v>
      </c>
      <c r="C104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</v>
      </c>
    </row>
    <row r="105" spans="1:3">
      <c r="A105">
        <v>18</v>
      </c>
      <c r="B105" t="str">
        <f t="shared" si="2"/>
        <v>18,</v>
      </c>
      <c r="C105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</v>
      </c>
    </row>
    <row r="106" spans="1:3">
      <c r="A106">
        <v>3</v>
      </c>
      <c r="B106" t="str">
        <f t="shared" si="2"/>
        <v>3,</v>
      </c>
      <c r="C106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</v>
      </c>
    </row>
    <row r="107" spans="1:3">
      <c r="A107">
        <v>7</v>
      </c>
      <c r="B107" t="str">
        <f t="shared" si="2"/>
        <v>7,</v>
      </c>
      <c r="C107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</v>
      </c>
    </row>
    <row r="108" spans="1:3">
      <c r="A108">
        <v>6</v>
      </c>
      <c r="B108" t="str">
        <f t="shared" si="2"/>
        <v>6,</v>
      </c>
      <c r="C108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</v>
      </c>
    </row>
    <row r="109" spans="1:3">
      <c r="A109">
        <v>18</v>
      </c>
      <c r="B109" t="str">
        <f t="shared" si="2"/>
        <v>18,</v>
      </c>
      <c r="C109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</v>
      </c>
    </row>
    <row r="110" spans="1:3">
      <c r="A110">
        <v>8</v>
      </c>
      <c r="B110" t="str">
        <f t="shared" si="2"/>
        <v>8,</v>
      </c>
      <c r="C110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</v>
      </c>
    </row>
    <row r="111" spans="1:3">
      <c r="A111">
        <v>4</v>
      </c>
      <c r="B111" t="str">
        <f t="shared" si="2"/>
        <v>4,</v>
      </c>
      <c r="C111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</v>
      </c>
    </row>
    <row r="112" spans="1:3">
      <c r="A112">
        <v>0</v>
      </c>
      <c r="B112" t="str">
        <f t="shared" si="2"/>
        <v>0,</v>
      </c>
      <c r="C112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</v>
      </c>
    </row>
    <row r="113" spans="1:3">
      <c r="A113">
        <v>24</v>
      </c>
      <c r="B113" t="str">
        <f t="shared" si="2"/>
        <v>24,</v>
      </c>
      <c r="C113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</v>
      </c>
    </row>
    <row r="114" spans="1:3">
      <c r="A114">
        <v>7</v>
      </c>
      <c r="B114" t="str">
        <f t="shared" si="2"/>
        <v>7,</v>
      </c>
      <c r="C114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</v>
      </c>
    </row>
    <row r="115" spans="1:3">
      <c r="A115">
        <v>13</v>
      </c>
      <c r="B115" t="str">
        <f t="shared" si="2"/>
        <v>13,</v>
      </c>
      <c r="C115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</v>
      </c>
    </row>
    <row r="116" spans="1:3">
      <c r="A116">
        <v>4</v>
      </c>
      <c r="B116" t="str">
        <f t="shared" si="2"/>
        <v>4,</v>
      </c>
      <c r="C116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</v>
      </c>
    </row>
    <row r="117" spans="1:3">
      <c r="A117">
        <v>17</v>
      </c>
      <c r="B117" t="str">
        <f t="shared" si="2"/>
        <v>17,</v>
      </c>
      <c r="C117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</v>
      </c>
    </row>
    <row r="118" spans="1:3">
      <c r="A118">
        <v>19</v>
      </c>
      <c r="B118" t="str">
        <f t="shared" si="2"/>
        <v>19,</v>
      </c>
      <c r="C118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</v>
      </c>
    </row>
    <row r="119" spans="1:3">
      <c r="A119">
        <v>3</v>
      </c>
      <c r="B119" t="str">
        <f t="shared" si="2"/>
        <v>3,</v>
      </c>
      <c r="C119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</v>
      </c>
    </row>
    <row r="120" spans="1:3">
      <c r="A120">
        <v>17</v>
      </c>
      <c r="B120" t="str">
        <f t="shared" si="2"/>
        <v>17,</v>
      </c>
      <c r="C120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</v>
      </c>
    </row>
    <row r="121" spans="1:3">
      <c r="A121">
        <v>3</v>
      </c>
      <c r="B121" t="str">
        <f t="shared" si="2"/>
        <v>3,</v>
      </c>
      <c r="C121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</v>
      </c>
    </row>
    <row r="122" spans="1:3">
      <c r="A122">
        <v>13</v>
      </c>
      <c r="B122" t="str">
        <f t="shared" si="2"/>
        <v>13,</v>
      </c>
      <c r="C122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</v>
      </c>
    </row>
    <row r="123" spans="1:3">
      <c r="A123">
        <v>6</v>
      </c>
      <c r="B123" t="str">
        <f t="shared" si="2"/>
        <v>6,</v>
      </c>
      <c r="C123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</v>
      </c>
    </row>
    <row r="124" spans="1:3">
      <c r="A124">
        <v>4</v>
      </c>
      <c r="B124" t="str">
        <f t="shared" si="2"/>
        <v>4,</v>
      </c>
      <c r="C124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</v>
      </c>
    </row>
    <row r="125" spans="1:3">
      <c r="A125">
        <v>4</v>
      </c>
      <c r="B125" t="str">
        <f t="shared" si="2"/>
        <v>4,</v>
      </c>
      <c r="C125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</v>
      </c>
    </row>
    <row r="126" spans="1:3">
      <c r="A126">
        <v>0</v>
      </c>
      <c r="B126" t="str">
        <f t="shared" si="2"/>
        <v>0,</v>
      </c>
      <c r="C126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</v>
      </c>
    </row>
    <row r="127" spans="1:3">
      <c r="A127">
        <v>4</v>
      </c>
      <c r="B127" t="str">
        <f t="shared" si="2"/>
        <v>4,</v>
      </c>
      <c r="C127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</v>
      </c>
    </row>
    <row r="128" spans="1:3">
      <c r="A128">
        <v>8</v>
      </c>
      <c r="B128" t="str">
        <f t="shared" si="2"/>
        <v>8,</v>
      </c>
      <c r="C128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</v>
      </c>
    </row>
    <row r="129" spans="1:3">
      <c r="A129">
        <v>3</v>
      </c>
      <c r="B129" t="str">
        <f t="shared" si="2"/>
        <v>3,</v>
      </c>
      <c r="C129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</v>
      </c>
    </row>
    <row r="130" spans="1:3">
      <c r="A130">
        <v>4</v>
      </c>
      <c r="B130" t="str">
        <f t="shared" ref="B130:B163" si="4">A130&amp;","</f>
        <v>4,</v>
      </c>
      <c r="C130" t="str">
        <f t="shared" si="3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</v>
      </c>
    </row>
    <row r="131" spans="1:3">
      <c r="A131">
        <v>4</v>
      </c>
      <c r="B131" t="str">
        <f t="shared" si="4"/>
        <v>4,</v>
      </c>
      <c r="C131" t="str">
        <f t="shared" ref="C131:C163" si="5">C130&amp;B131</f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</v>
      </c>
    </row>
    <row r="132" spans="1:3">
      <c r="A132">
        <v>3</v>
      </c>
      <c r="B132" t="str">
        <f t="shared" si="4"/>
        <v>3,</v>
      </c>
      <c r="C132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</v>
      </c>
    </row>
    <row r="133" spans="1:3">
      <c r="A133">
        <v>3</v>
      </c>
      <c r="B133" t="str">
        <f t="shared" si="4"/>
        <v>3,</v>
      </c>
      <c r="C133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</v>
      </c>
    </row>
    <row r="134" spans="1:3">
      <c r="A134">
        <v>13</v>
      </c>
      <c r="B134" t="str">
        <f t="shared" si="4"/>
        <v>13,</v>
      </c>
      <c r="C134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</v>
      </c>
    </row>
    <row r="135" spans="1:3">
      <c r="A135">
        <v>4</v>
      </c>
      <c r="B135" t="str">
        <f t="shared" si="4"/>
        <v>4,</v>
      </c>
      <c r="C135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</v>
      </c>
    </row>
    <row r="136" spans="1:3">
      <c r="A136">
        <v>19</v>
      </c>
      <c r="B136" t="str">
        <f t="shared" si="4"/>
        <v>19,</v>
      </c>
      <c r="C136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</v>
      </c>
    </row>
    <row r="137" spans="1:3">
      <c r="A137">
        <v>17</v>
      </c>
      <c r="B137" t="str">
        <f t="shared" si="4"/>
        <v>17,</v>
      </c>
      <c r="C137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</v>
      </c>
    </row>
    <row r="138" spans="1:3">
      <c r="A138">
        <v>6</v>
      </c>
      <c r="B138" t="str">
        <f t="shared" si="4"/>
        <v>6,</v>
      </c>
      <c r="C138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</v>
      </c>
    </row>
    <row r="139" spans="1:3">
      <c r="A139">
        <v>12</v>
      </c>
      <c r="B139" t="str">
        <f t="shared" si="4"/>
        <v>12,</v>
      </c>
      <c r="C139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</v>
      </c>
    </row>
    <row r="140" spans="1:3">
      <c r="A140">
        <v>4</v>
      </c>
      <c r="B140" t="str">
        <f t="shared" si="4"/>
        <v>4,</v>
      </c>
      <c r="C140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</v>
      </c>
    </row>
    <row r="141" spans="1:3">
      <c r="A141">
        <v>17</v>
      </c>
      <c r="B141" t="str">
        <f t="shared" si="4"/>
        <v>17,</v>
      </c>
      <c r="C141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</v>
      </c>
    </row>
    <row r="142" spans="1:3">
      <c r="A142">
        <v>3</v>
      </c>
      <c r="B142" t="str">
        <f t="shared" si="4"/>
        <v>3,</v>
      </c>
      <c r="C142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</v>
      </c>
    </row>
    <row r="143" spans="1:3">
      <c r="A143">
        <v>4</v>
      </c>
      <c r="B143" t="str">
        <f t="shared" si="4"/>
        <v>4,</v>
      </c>
      <c r="C143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</v>
      </c>
    </row>
    <row r="144" spans="1:3">
      <c r="A144">
        <v>4</v>
      </c>
      <c r="B144" t="str">
        <f t="shared" si="4"/>
        <v>4,</v>
      </c>
      <c r="C144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</v>
      </c>
    </row>
    <row r="145" spans="1:3">
      <c r="A145">
        <v>14</v>
      </c>
      <c r="B145" t="str">
        <f t="shared" si="4"/>
        <v>14,</v>
      </c>
      <c r="C145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</v>
      </c>
    </row>
    <row r="146" spans="1:3">
      <c r="A146">
        <v>17</v>
      </c>
      <c r="B146" t="str">
        <f t="shared" si="4"/>
        <v>17,</v>
      </c>
      <c r="C146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</v>
      </c>
    </row>
    <row r="147" spans="1:3">
      <c r="A147">
        <v>19</v>
      </c>
      <c r="B147" t="str">
        <f t="shared" si="4"/>
        <v>19,</v>
      </c>
      <c r="C147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</v>
      </c>
    </row>
    <row r="148" spans="1:3">
      <c r="A148">
        <v>24</v>
      </c>
      <c r="B148" t="str">
        <f t="shared" si="4"/>
        <v>24,</v>
      </c>
      <c r="C148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</v>
      </c>
    </row>
    <row r="149" spans="1:3">
      <c r="A149">
        <v>18</v>
      </c>
      <c r="B149" t="str">
        <f t="shared" si="4"/>
        <v>18,</v>
      </c>
      <c r="C149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</v>
      </c>
    </row>
    <row r="150" spans="1:3">
      <c r="A150">
        <v>5</v>
      </c>
      <c r="B150" t="str">
        <f t="shared" si="4"/>
        <v>5,</v>
      </c>
      <c r="C150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</v>
      </c>
    </row>
    <row r="151" spans="1:3">
      <c r="A151">
        <v>4</v>
      </c>
      <c r="B151" t="str">
        <f t="shared" si="4"/>
        <v>4,</v>
      </c>
      <c r="C151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</v>
      </c>
    </row>
    <row r="152" spans="1:3">
      <c r="A152">
        <v>12</v>
      </c>
      <c r="B152" t="str">
        <f t="shared" si="4"/>
        <v>12,</v>
      </c>
      <c r="C152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</v>
      </c>
    </row>
    <row r="153" spans="1:3">
      <c r="A153">
        <v>13</v>
      </c>
      <c r="B153" t="str">
        <f t="shared" si="4"/>
        <v>13,</v>
      </c>
      <c r="C153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</v>
      </c>
    </row>
    <row r="154" spans="1:3">
      <c r="A154">
        <v>3</v>
      </c>
      <c r="B154" t="str">
        <f t="shared" si="4"/>
        <v>3,</v>
      </c>
      <c r="C154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</v>
      </c>
    </row>
    <row r="155" spans="1:3">
      <c r="A155">
        <v>12</v>
      </c>
      <c r="B155" t="str">
        <f t="shared" si="4"/>
        <v>12,</v>
      </c>
      <c r="C155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</v>
      </c>
    </row>
    <row r="156" spans="1:3">
      <c r="A156">
        <v>4</v>
      </c>
      <c r="B156" t="str">
        <f t="shared" si="4"/>
        <v>4,</v>
      </c>
      <c r="C156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</v>
      </c>
    </row>
    <row r="157" spans="1:3">
      <c r="A157">
        <v>19</v>
      </c>
      <c r="B157" t="str">
        <f t="shared" si="4"/>
        <v>19,</v>
      </c>
      <c r="C157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</v>
      </c>
    </row>
    <row r="158" spans="1:3">
      <c r="A158">
        <v>23</v>
      </c>
      <c r="B158" t="str">
        <f t="shared" si="4"/>
        <v>23,</v>
      </c>
      <c r="C158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</v>
      </c>
    </row>
    <row r="159" spans="1:3">
      <c r="A159">
        <v>13</v>
      </c>
      <c r="B159" t="str">
        <f t="shared" si="4"/>
        <v>13,</v>
      </c>
      <c r="C159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13,</v>
      </c>
    </row>
    <row r="160" spans="1:3">
      <c r="A160">
        <v>20</v>
      </c>
      <c r="B160" t="str">
        <f t="shared" si="4"/>
        <v>20,</v>
      </c>
      <c r="C160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13,20,</v>
      </c>
    </row>
    <row r="161" spans="1:3">
      <c r="A161">
        <v>4</v>
      </c>
      <c r="B161" t="str">
        <f t="shared" si="4"/>
        <v>4,</v>
      </c>
      <c r="C161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13,20,4,</v>
      </c>
    </row>
    <row r="162" spans="1:3">
      <c r="A162">
        <v>6</v>
      </c>
      <c r="B162" t="str">
        <f t="shared" si="4"/>
        <v>6,</v>
      </c>
      <c r="C162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13,20,4,6,</v>
      </c>
    </row>
    <row r="163" spans="1:3">
      <c r="A163">
        <v>16</v>
      </c>
      <c r="B163" t="str">
        <f t="shared" si="4"/>
        <v>16,</v>
      </c>
      <c r="C163" t="str">
        <f t="shared" si="5"/>
        <v>13,4,6,3,4,4,5,19,18,4,4,5,13,19,18,24,4,18,19,4,24,3,4,18,2,3,23,4,13,18,3,3,3,3,14,13,13,13,23,18,24,22,19,18,24,3,18,3,19,4,4,23,14,18,4,19,13,24,22,18,18,18,19,4,23,24,19,18,24,13,18,23,19,4,18,7,24,13,18,19,18,24,17,18,19,23,17,14,24,24,24,4,18,5,4,18,19,3,4,17,19,5,4,24,18,3,7,6,18,8,4,0,24,7,13,4,17,19,3,17,3,13,6,4,4,0,4,8,3,4,4,3,3,13,4,19,17,6,12,4,17,3,4,4,14,17,19,24,18,5,4,12,13,3,12,4,19,23,13,20,4,6,16,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65"/>
  <sheetViews>
    <sheetView topLeftCell="A31" workbookViewId="0">
      <selection activeCell="G91" sqref="G91"/>
    </sheetView>
  </sheetViews>
  <sheetFormatPr baseColWidth="10" defaultRowHeight="13"/>
  <sheetData>
    <row r="1" spans="1:8">
      <c r="A1" t="s">
        <v>68</v>
      </c>
      <c r="B1" t="s">
        <v>69</v>
      </c>
      <c r="C1" t="s">
        <v>67</v>
      </c>
      <c r="F1" t="s">
        <v>70</v>
      </c>
    </row>
    <row r="2" spans="1:8">
      <c r="A2">
        <v>1</v>
      </c>
      <c r="B2">
        <f>0</f>
        <v>0</v>
      </c>
      <c r="C2">
        <f>1</f>
        <v>1</v>
      </c>
      <c r="D2">
        <f>1</f>
        <v>1</v>
      </c>
      <c r="F2">
        <f>1</f>
        <v>1</v>
      </c>
      <c r="G2">
        <f>F2-1</f>
        <v>0</v>
      </c>
      <c r="H2">
        <f>1</f>
        <v>1</v>
      </c>
    </row>
    <row r="3" spans="1:8">
      <c r="A3">
        <f>1+A2</f>
        <v>2</v>
      </c>
      <c r="B3">
        <f>1+B2</f>
        <v>1</v>
      </c>
      <c r="C3">
        <f>1+C2</f>
        <v>2</v>
      </c>
      <c r="D3">
        <f>1+D2</f>
        <v>2</v>
      </c>
      <c r="F3">
        <f>1+F2</f>
        <v>2</v>
      </c>
      <c r="G3">
        <f t="shared" ref="G3:G66" si="0">F3-1</f>
        <v>1</v>
      </c>
      <c r="H3">
        <f>1+H2</f>
        <v>2</v>
      </c>
    </row>
    <row r="4" spans="1:8">
      <c r="A4">
        <f t="shared" ref="A4:A67" si="1">1+A3</f>
        <v>3</v>
      </c>
      <c r="B4">
        <f t="shared" ref="B4:B67" si="2">1+B3</f>
        <v>2</v>
      </c>
      <c r="C4">
        <f t="shared" ref="C4:C67" si="3">1+C3</f>
        <v>3</v>
      </c>
      <c r="D4">
        <f t="shared" ref="D4:D67" si="4">1+D3</f>
        <v>3</v>
      </c>
      <c r="F4">
        <f t="shared" ref="F4:F67" si="5">1+F3</f>
        <v>3</v>
      </c>
      <c r="G4">
        <f t="shared" si="0"/>
        <v>2</v>
      </c>
      <c r="H4">
        <f t="shared" ref="H4:H67" si="6">1+H3</f>
        <v>3</v>
      </c>
    </row>
    <row r="5" spans="1:8">
      <c r="A5">
        <f t="shared" si="1"/>
        <v>4</v>
      </c>
      <c r="B5">
        <f t="shared" si="2"/>
        <v>3</v>
      </c>
      <c r="C5">
        <f t="shared" si="3"/>
        <v>4</v>
      </c>
      <c r="D5">
        <f t="shared" si="4"/>
        <v>4</v>
      </c>
      <c r="F5">
        <f t="shared" si="5"/>
        <v>4</v>
      </c>
      <c r="G5">
        <f t="shared" si="0"/>
        <v>3</v>
      </c>
      <c r="H5">
        <f t="shared" si="6"/>
        <v>4</v>
      </c>
    </row>
    <row r="6" spans="1:8">
      <c r="A6">
        <f t="shared" si="1"/>
        <v>5</v>
      </c>
      <c r="B6">
        <f t="shared" si="2"/>
        <v>4</v>
      </c>
      <c r="C6">
        <v>1</v>
      </c>
      <c r="D6">
        <f t="shared" si="4"/>
        <v>5</v>
      </c>
      <c r="F6">
        <f t="shared" si="5"/>
        <v>5</v>
      </c>
      <c r="G6">
        <f t="shared" si="0"/>
        <v>4</v>
      </c>
      <c r="H6">
        <f t="shared" si="6"/>
        <v>5</v>
      </c>
    </row>
    <row r="7" spans="1:8">
      <c r="A7">
        <f t="shared" si="1"/>
        <v>6</v>
      </c>
      <c r="B7">
        <f t="shared" si="2"/>
        <v>5</v>
      </c>
      <c r="C7">
        <f t="shared" si="3"/>
        <v>2</v>
      </c>
      <c r="D7">
        <f t="shared" si="4"/>
        <v>6</v>
      </c>
      <c r="F7">
        <f t="shared" si="5"/>
        <v>6</v>
      </c>
      <c r="G7">
        <f t="shared" si="0"/>
        <v>5</v>
      </c>
      <c r="H7">
        <f t="shared" si="6"/>
        <v>6</v>
      </c>
    </row>
    <row r="8" spans="1:8">
      <c r="A8">
        <f t="shared" si="1"/>
        <v>7</v>
      </c>
      <c r="B8">
        <f t="shared" si="2"/>
        <v>6</v>
      </c>
      <c r="C8">
        <f t="shared" si="3"/>
        <v>3</v>
      </c>
      <c r="D8">
        <f t="shared" si="4"/>
        <v>7</v>
      </c>
      <c r="F8">
        <f t="shared" si="5"/>
        <v>7</v>
      </c>
      <c r="G8">
        <f t="shared" si="0"/>
        <v>6</v>
      </c>
      <c r="H8">
        <f t="shared" si="6"/>
        <v>7</v>
      </c>
    </row>
    <row r="9" spans="1:8">
      <c r="A9">
        <f t="shared" si="1"/>
        <v>8</v>
      </c>
      <c r="B9">
        <f t="shared" si="2"/>
        <v>7</v>
      </c>
      <c r="C9">
        <f t="shared" si="3"/>
        <v>4</v>
      </c>
      <c r="D9">
        <f t="shared" si="4"/>
        <v>8</v>
      </c>
      <c r="F9">
        <f t="shared" si="5"/>
        <v>8</v>
      </c>
      <c r="G9">
        <f t="shared" si="0"/>
        <v>7</v>
      </c>
      <c r="H9">
        <f t="shared" si="6"/>
        <v>8</v>
      </c>
    </row>
    <row r="10" spans="1:8">
      <c r="A10">
        <f t="shared" si="1"/>
        <v>9</v>
      </c>
      <c r="B10">
        <f t="shared" si="2"/>
        <v>8</v>
      </c>
      <c r="C10">
        <f t="shared" si="3"/>
        <v>5</v>
      </c>
      <c r="D10">
        <f t="shared" si="4"/>
        <v>9</v>
      </c>
      <c r="F10">
        <f t="shared" si="5"/>
        <v>9</v>
      </c>
      <c r="G10">
        <f t="shared" si="0"/>
        <v>8</v>
      </c>
      <c r="H10">
        <f t="shared" si="6"/>
        <v>9</v>
      </c>
    </row>
    <row r="11" spans="1:8">
      <c r="A11">
        <f t="shared" si="1"/>
        <v>10</v>
      </c>
      <c r="B11">
        <f t="shared" si="2"/>
        <v>9</v>
      </c>
      <c r="C11">
        <f t="shared" si="3"/>
        <v>6</v>
      </c>
      <c r="D11">
        <f t="shared" si="4"/>
        <v>10</v>
      </c>
      <c r="F11">
        <f t="shared" si="5"/>
        <v>10</v>
      </c>
      <c r="G11">
        <f t="shared" si="0"/>
        <v>9</v>
      </c>
      <c r="H11">
        <f t="shared" si="6"/>
        <v>10</v>
      </c>
    </row>
    <row r="12" spans="1:8">
      <c r="A12">
        <f t="shared" si="1"/>
        <v>11</v>
      </c>
      <c r="B12">
        <f t="shared" si="2"/>
        <v>10</v>
      </c>
      <c r="C12">
        <f t="shared" si="3"/>
        <v>7</v>
      </c>
      <c r="D12">
        <f t="shared" si="4"/>
        <v>11</v>
      </c>
      <c r="F12">
        <f t="shared" si="5"/>
        <v>11</v>
      </c>
      <c r="G12">
        <f t="shared" si="0"/>
        <v>10</v>
      </c>
      <c r="H12">
        <f t="shared" si="6"/>
        <v>11</v>
      </c>
    </row>
    <row r="13" spans="1:8">
      <c r="A13">
        <f t="shared" si="1"/>
        <v>12</v>
      </c>
      <c r="B13">
        <f t="shared" si="2"/>
        <v>11</v>
      </c>
      <c r="C13">
        <f t="shared" si="3"/>
        <v>8</v>
      </c>
      <c r="D13">
        <f t="shared" si="4"/>
        <v>12</v>
      </c>
      <c r="F13">
        <f t="shared" si="5"/>
        <v>12</v>
      </c>
      <c r="G13">
        <f t="shared" si="0"/>
        <v>11</v>
      </c>
      <c r="H13">
        <f t="shared" si="6"/>
        <v>12</v>
      </c>
    </row>
    <row r="14" spans="1:8">
      <c r="A14">
        <f t="shared" si="1"/>
        <v>13</v>
      </c>
      <c r="B14">
        <f t="shared" si="2"/>
        <v>12</v>
      </c>
      <c r="C14">
        <f t="shared" si="3"/>
        <v>9</v>
      </c>
      <c r="D14">
        <f t="shared" si="4"/>
        <v>13</v>
      </c>
      <c r="F14">
        <f t="shared" si="5"/>
        <v>13</v>
      </c>
      <c r="G14">
        <f t="shared" si="0"/>
        <v>12</v>
      </c>
      <c r="H14">
        <f t="shared" si="6"/>
        <v>13</v>
      </c>
    </row>
    <row r="15" spans="1:8">
      <c r="A15">
        <f t="shared" si="1"/>
        <v>14</v>
      </c>
      <c r="B15">
        <f t="shared" si="2"/>
        <v>13</v>
      </c>
      <c r="C15">
        <f t="shared" si="3"/>
        <v>10</v>
      </c>
      <c r="D15">
        <f t="shared" si="4"/>
        <v>14</v>
      </c>
      <c r="F15">
        <f t="shared" si="5"/>
        <v>14</v>
      </c>
      <c r="G15">
        <f t="shared" si="0"/>
        <v>13</v>
      </c>
      <c r="H15">
        <f t="shared" si="6"/>
        <v>14</v>
      </c>
    </row>
    <row r="16" spans="1:8">
      <c r="A16">
        <f t="shared" si="1"/>
        <v>15</v>
      </c>
      <c r="B16">
        <f t="shared" si="2"/>
        <v>14</v>
      </c>
      <c r="C16">
        <f t="shared" si="3"/>
        <v>11</v>
      </c>
      <c r="D16">
        <f t="shared" si="4"/>
        <v>15</v>
      </c>
      <c r="F16">
        <f t="shared" si="5"/>
        <v>15</v>
      </c>
      <c r="G16">
        <f t="shared" si="0"/>
        <v>14</v>
      </c>
      <c r="H16">
        <v>1</v>
      </c>
    </row>
    <row r="17" spans="1:8">
      <c r="A17">
        <f t="shared" si="1"/>
        <v>16</v>
      </c>
      <c r="B17">
        <f t="shared" si="2"/>
        <v>15</v>
      </c>
      <c r="C17">
        <f t="shared" si="3"/>
        <v>12</v>
      </c>
      <c r="D17">
        <f t="shared" si="4"/>
        <v>16</v>
      </c>
      <c r="F17">
        <f t="shared" si="5"/>
        <v>16</v>
      </c>
      <c r="G17">
        <f t="shared" si="0"/>
        <v>15</v>
      </c>
      <c r="H17">
        <f t="shared" si="6"/>
        <v>2</v>
      </c>
    </row>
    <row r="18" spans="1:8">
      <c r="A18">
        <f t="shared" si="1"/>
        <v>17</v>
      </c>
      <c r="B18">
        <f t="shared" si="2"/>
        <v>16</v>
      </c>
      <c r="C18">
        <f t="shared" si="3"/>
        <v>13</v>
      </c>
      <c r="D18">
        <f t="shared" si="4"/>
        <v>17</v>
      </c>
      <c r="F18">
        <f t="shared" si="5"/>
        <v>17</v>
      </c>
      <c r="G18">
        <f t="shared" si="0"/>
        <v>16</v>
      </c>
      <c r="H18">
        <f t="shared" si="6"/>
        <v>3</v>
      </c>
    </row>
    <row r="19" spans="1:8">
      <c r="A19">
        <f t="shared" si="1"/>
        <v>18</v>
      </c>
      <c r="B19">
        <f t="shared" si="2"/>
        <v>17</v>
      </c>
      <c r="C19">
        <f t="shared" si="3"/>
        <v>14</v>
      </c>
      <c r="D19">
        <f t="shared" si="4"/>
        <v>18</v>
      </c>
      <c r="F19">
        <f t="shared" si="5"/>
        <v>18</v>
      </c>
      <c r="G19">
        <f t="shared" si="0"/>
        <v>17</v>
      </c>
      <c r="H19">
        <f t="shared" si="6"/>
        <v>4</v>
      </c>
    </row>
    <row r="20" spans="1:8">
      <c r="A20">
        <f t="shared" si="1"/>
        <v>19</v>
      </c>
      <c r="B20">
        <f t="shared" si="2"/>
        <v>18</v>
      </c>
      <c r="C20">
        <f t="shared" si="3"/>
        <v>15</v>
      </c>
      <c r="D20">
        <f t="shared" si="4"/>
        <v>19</v>
      </c>
      <c r="F20">
        <f t="shared" si="5"/>
        <v>19</v>
      </c>
      <c r="G20">
        <f t="shared" si="0"/>
        <v>18</v>
      </c>
      <c r="H20">
        <f t="shared" si="6"/>
        <v>5</v>
      </c>
    </row>
    <row r="21" spans="1:8">
      <c r="A21">
        <f t="shared" si="1"/>
        <v>20</v>
      </c>
      <c r="B21">
        <f t="shared" si="2"/>
        <v>19</v>
      </c>
      <c r="C21">
        <f t="shared" si="3"/>
        <v>16</v>
      </c>
      <c r="D21">
        <f t="shared" si="4"/>
        <v>20</v>
      </c>
      <c r="F21">
        <f t="shared" si="5"/>
        <v>20</v>
      </c>
      <c r="G21">
        <f t="shared" si="0"/>
        <v>19</v>
      </c>
      <c r="H21">
        <f t="shared" si="6"/>
        <v>6</v>
      </c>
    </row>
    <row r="22" spans="1:8">
      <c r="A22">
        <f t="shared" si="1"/>
        <v>21</v>
      </c>
      <c r="B22">
        <f t="shared" si="2"/>
        <v>20</v>
      </c>
      <c r="C22">
        <f t="shared" si="3"/>
        <v>17</v>
      </c>
      <c r="D22">
        <f t="shared" si="4"/>
        <v>21</v>
      </c>
      <c r="F22">
        <f t="shared" si="5"/>
        <v>21</v>
      </c>
      <c r="G22">
        <f t="shared" si="0"/>
        <v>20</v>
      </c>
      <c r="H22">
        <f t="shared" si="6"/>
        <v>7</v>
      </c>
    </row>
    <row r="23" spans="1:8">
      <c r="A23">
        <f t="shared" si="1"/>
        <v>22</v>
      </c>
      <c r="B23">
        <f t="shared" si="2"/>
        <v>21</v>
      </c>
      <c r="C23">
        <f t="shared" si="3"/>
        <v>18</v>
      </c>
      <c r="D23">
        <f t="shared" si="4"/>
        <v>22</v>
      </c>
      <c r="F23">
        <f t="shared" si="5"/>
        <v>22</v>
      </c>
      <c r="G23">
        <f t="shared" si="0"/>
        <v>21</v>
      </c>
      <c r="H23">
        <f t="shared" si="6"/>
        <v>8</v>
      </c>
    </row>
    <row r="24" spans="1:8">
      <c r="A24">
        <f t="shared" si="1"/>
        <v>23</v>
      </c>
      <c r="B24">
        <f t="shared" si="2"/>
        <v>22</v>
      </c>
      <c r="C24">
        <f t="shared" si="3"/>
        <v>19</v>
      </c>
      <c r="D24">
        <f t="shared" si="4"/>
        <v>23</v>
      </c>
      <c r="F24">
        <f t="shared" si="5"/>
        <v>23</v>
      </c>
      <c r="G24">
        <f t="shared" si="0"/>
        <v>22</v>
      </c>
      <c r="H24">
        <f t="shared" si="6"/>
        <v>9</v>
      </c>
    </row>
    <row r="25" spans="1:8">
      <c r="A25">
        <f t="shared" si="1"/>
        <v>24</v>
      </c>
      <c r="B25">
        <f t="shared" si="2"/>
        <v>23</v>
      </c>
      <c r="C25">
        <f t="shared" si="3"/>
        <v>20</v>
      </c>
      <c r="D25">
        <f t="shared" si="4"/>
        <v>24</v>
      </c>
      <c r="F25">
        <f t="shared" si="5"/>
        <v>24</v>
      </c>
      <c r="G25">
        <f t="shared" si="0"/>
        <v>23</v>
      </c>
      <c r="H25">
        <f t="shared" si="6"/>
        <v>10</v>
      </c>
    </row>
    <row r="26" spans="1:8">
      <c r="A26">
        <f t="shared" si="1"/>
        <v>25</v>
      </c>
      <c r="B26">
        <f t="shared" si="2"/>
        <v>24</v>
      </c>
      <c r="C26">
        <f t="shared" si="3"/>
        <v>21</v>
      </c>
      <c r="D26">
        <f t="shared" si="4"/>
        <v>25</v>
      </c>
      <c r="F26">
        <f t="shared" si="5"/>
        <v>25</v>
      </c>
      <c r="G26">
        <f t="shared" si="0"/>
        <v>24</v>
      </c>
      <c r="H26">
        <f t="shared" si="6"/>
        <v>11</v>
      </c>
    </row>
    <row r="27" spans="1:8">
      <c r="A27">
        <f t="shared" si="1"/>
        <v>26</v>
      </c>
      <c r="B27">
        <f t="shared" si="2"/>
        <v>25</v>
      </c>
      <c r="C27">
        <f t="shared" si="3"/>
        <v>22</v>
      </c>
      <c r="D27">
        <v>1</v>
      </c>
      <c r="F27">
        <f t="shared" si="5"/>
        <v>26</v>
      </c>
      <c r="G27">
        <f t="shared" si="0"/>
        <v>25</v>
      </c>
      <c r="H27">
        <f t="shared" si="6"/>
        <v>12</v>
      </c>
    </row>
    <row r="28" spans="1:8">
      <c r="A28">
        <f t="shared" si="1"/>
        <v>27</v>
      </c>
      <c r="B28">
        <f t="shared" si="2"/>
        <v>26</v>
      </c>
      <c r="C28">
        <f t="shared" si="3"/>
        <v>23</v>
      </c>
      <c r="D28">
        <f t="shared" si="4"/>
        <v>2</v>
      </c>
      <c r="F28">
        <f t="shared" si="5"/>
        <v>27</v>
      </c>
      <c r="G28">
        <f t="shared" si="0"/>
        <v>26</v>
      </c>
      <c r="H28">
        <f t="shared" si="6"/>
        <v>13</v>
      </c>
    </row>
    <row r="29" spans="1:8">
      <c r="A29">
        <f t="shared" si="1"/>
        <v>28</v>
      </c>
      <c r="B29">
        <f t="shared" si="2"/>
        <v>27</v>
      </c>
      <c r="C29">
        <f t="shared" si="3"/>
        <v>24</v>
      </c>
      <c r="D29">
        <f t="shared" si="4"/>
        <v>3</v>
      </c>
      <c r="F29">
        <f t="shared" si="5"/>
        <v>28</v>
      </c>
      <c r="G29">
        <f t="shared" si="0"/>
        <v>27</v>
      </c>
      <c r="H29">
        <f t="shared" si="6"/>
        <v>14</v>
      </c>
    </row>
    <row r="30" spans="1:8">
      <c r="A30">
        <f t="shared" si="1"/>
        <v>29</v>
      </c>
      <c r="B30">
        <f t="shared" si="2"/>
        <v>28</v>
      </c>
      <c r="C30">
        <f t="shared" si="3"/>
        <v>25</v>
      </c>
      <c r="D30">
        <f t="shared" si="4"/>
        <v>4</v>
      </c>
      <c r="F30">
        <f t="shared" si="5"/>
        <v>29</v>
      </c>
      <c r="G30">
        <f t="shared" si="0"/>
        <v>28</v>
      </c>
      <c r="H30">
        <f t="shared" si="6"/>
        <v>15</v>
      </c>
    </row>
    <row r="31" spans="1:8">
      <c r="A31">
        <f t="shared" si="1"/>
        <v>30</v>
      </c>
      <c r="B31">
        <f t="shared" si="2"/>
        <v>29</v>
      </c>
      <c r="C31">
        <f t="shared" si="3"/>
        <v>26</v>
      </c>
      <c r="D31">
        <f t="shared" si="4"/>
        <v>5</v>
      </c>
      <c r="F31">
        <f t="shared" si="5"/>
        <v>30</v>
      </c>
      <c r="G31">
        <f t="shared" si="0"/>
        <v>29</v>
      </c>
      <c r="H31">
        <f t="shared" si="6"/>
        <v>16</v>
      </c>
    </row>
    <row r="32" spans="1:8">
      <c r="A32">
        <f t="shared" si="1"/>
        <v>31</v>
      </c>
      <c r="B32">
        <f t="shared" si="2"/>
        <v>30</v>
      </c>
      <c r="C32">
        <f t="shared" si="3"/>
        <v>27</v>
      </c>
      <c r="D32">
        <f t="shared" si="4"/>
        <v>6</v>
      </c>
      <c r="F32">
        <f t="shared" si="5"/>
        <v>31</v>
      </c>
      <c r="G32">
        <f t="shared" si="0"/>
        <v>30</v>
      </c>
      <c r="H32">
        <f t="shared" si="6"/>
        <v>17</v>
      </c>
    </row>
    <row r="33" spans="1:8">
      <c r="A33">
        <f t="shared" si="1"/>
        <v>32</v>
      </c>
      <c r="B33">
        <f t="shared" si="2"/>
        <v>31</v>
      </c>
      <c r="C33">
        <f t="shared" si="3"/>
        <v>28</v>
      </c>
      <c r="D33">
        <f t="shared" si="4"/>
        <v>7</v>
      </c>
      <c r="F33">
        <f t="shared" si="5"/>
        <v>32</v>
      </c>
      <c r="G33">
        <f t="shared" si="0"/>
        <v>31</v>
      </c>
      <c r="H33">
        <f t="shared" si="6"/>
        <v>18</v>
      </c>
    </row>
    <row r="34" spans="1:8">
      <c r="A34">
        <f t="shared" si="1"/>
        <v>33</v>
      </c>
      <c r="B34">
        <f t="shared" si="2"/>
        <v>32</v>
      </c>
      <c r="C34">
        <f t="shared" si="3"/>
        <v>29</v>
      </c>
      <c r="D34">
        <f t="shared" si="4"/>
        <v>8</v>
      </c>
      <c r="F34">
        <f t="shared" si="5"/>
        <v>33</v>
      </c>
      <c r="G34">
        <f t="shared" si="0"/>
        <v>32</v>
      </c>
      <c r="H34">
        <f t="shared" si="6"/>
        <v>19</v>
      </c>
    </row>
    <row r="35" spans="1:8">
      <c r="A35">
        <f t="shared" si="1"/>
        <v>34</v>
      </c>
      <c r="B35">
        <f t="shared" si="2"/>
        <v>33</v>
      </c>
      <c r="C35">
        <f t="shared" si="3"/>
        <v>30</v>
      </c>
      <c r="D35">
        <f t="shared" si="4"/>
        <v>9</v>
      </c>
      <c r="F35">
        <f t="shared" si="5"/>
        <v>34</v>
      </c>
      <c r="G35">
        <f t="shared" si="0"/>
        <v>33</v>
      </c>
      <c r="H35">
        <f t="shared" si="6"/>
        <v>20</v>
      </c>
    </row>
    <row r="36" spans="1:8">
      <c r="A36">
        <f t="shared" si="1"/>
        <v>35</v>
      </c>
      <c r="B36">
        <f t="shared" si="2"/>
        <v>34</v>
      </c>
      <c r="C36">
        <f t="shared" si="3"/>
        <v>31</v>
      </c>
      <c r="D36">
        <f t="shared" si="4"/>
        <v>10</v>
      </c>
      <c r="F36">
        <f t="shared" si="5"/>
        <v>35</v>
      </c>
      <c r="G36">
        <f t="shared" si="0"/>
        <v>34</v>
      </c>
      <c r="H36">
        <f t="shared" si="6"/>
        <v>21</v>
      </c>
    </row>
    <row r="37" spans="1:8">
      <c r="A37">
        <f t="shared" si="1"/>
        <v>36</v>
      </c>
      <c r="B37">
        <f t="shared" si="2"/>
        <v>35</v>
      </c>
      <c r="C37">
        <v>1</v>
      </c>
      <c r="D37">
        <f t="shared" si="4"/>
        <v>11</v>
      </c>
      <c r="F37">
        <f t="shared" si="5"/>
        <v>36</v>
      </c>
      <c r="G37">
        <f t="shared" si="0"/>
        <v>35</v>
      </c>
      <c r="H37">
        <f t="shared" si="6"/>
        <v>22</v>
      </c>
    </row>
    <row r="38" spans="1:8">
      <c r="A38">
        <f t="shared" si="1"/>
        <v>37</v>
      </c>
      <c r="B38">
        <f t="shared" si="2"/>
        <v>36</v>
      </c>
      <c r="C38">
        <f t="shared" si="3"/>
        <v>2</v>
      </c>
      <c r="D38">
        <f t="shared" si="4"/>
        <v>12</v>
      </c>
      <c r="F38">
        <f t="shared" si="5"/>
        <v>37</v>
      </c>
      <c r="G38">
        <f t="shared" si="0"/>
        <v>36</v>
      </c>
      <c r="H38">
        <f t="shared" si="6"/>
        <v>23</v>
      </c>
    </row>
    <row r="39" spans="1:8">
      <c r="A39">
        <f t="shared" si="1"/>
        <v>38</v>
      </c>
      <c r="B39">
        <f t="shared" si="2"/>
        <v>37</v>
      </c>
      <c r="C39">
        <f t="shared" si="3"/>
        <v>3</v>
      </c>
      <c r="D39">
        <f t="shared" si="4"/>
        <v>13</v>
      </c>
      <c r="F39">
        <f t="shared" si="5"/>
        <v>38</v>
      </c>
      <c r="G39">
        <f t="shared" si="0"/>
        <v>37</v>
      </c>
      <c r="H39">
        <f t="shared" si="6"/>
        <v>24</v>
      </c>
    </row>
    <row r="40" spans="1:8">
      <c r="A40">
        <f t="shared" si="1"/>
        <v>39</v>
      </c>
      <c r="B40">
        <f t="shared" si="2"/>
        <v>38</v>
      </c>
      <c r="C40">
        <f t="shared" si="3"/>
        <v>4</v>
      </c>
      <c r="D40">
        <f t="shared" si="4"/>
        <v>14</v>
      </c>
      <c r="F40">
        <f t="shared" si="5"/>
        <v>39</v>
      </c>
      <c r="G40">
        <f t="shared" si="0"/>
        <v>38</v>
      </c>
      <c r="H40">
        <f t="shared" si="6"/>
        <v>25</v>
      </c>
    </row>
    <row r="41" spans="1:8">
      <c r="A41">
        <f t="shared" si="1"/>
        <v>40</v>
      </c>
      <c r="B41">
        <f t="shared" si="2"/>
        <v>39</v>
      </c>
      <c r="C41">
        <f t="shared" si="3"/>
        <v>5</v>
      </c>
      <c r="D41">
        <f t="shared" si="4"/>
        <v>15</v>
      </c>
      <c r="F41">
        <f t="shared" si="5"/>
        <v>40</v>
      </c>
      <c r="G41">
        <f t="shared" si="0"/>
        <v>39</v>
      </c>
      <c r="H41">
        <f t="shared" si="6"/>
        <v>26</v>
      </c>
    </row>
    <row r="42" spans="1:8">
      <c r="A42">
        <f t="shared" si="1"/>
        <v>41</v>
      </c>
      <c r="B42">
        <f t="shared" si="2"/>
        <v>40</v>
      </c>
      <c r="C42">
        <f t="shared" si="3"/>
        <v>6</v>
      </c>
      <c r="D42">
        <f t="shared" si="4"/>
        <v>16</v>
      </c>
      <c r="F42">
        <f t="shared" si="5"/>
        <v>41</v>
      </c>
      <c r="G42">
        <f t="shared" si="0"/>
        <v>40</v>
      </c>
      <c r="H42">
        <f t="shared" si="6"/>
        <v>27</v>
      </c>
    </row>
    <row r="43" spans="1:8">
      <c r="A43">
        <f t="shared" si="1"/>
        <v>42</v>
      </c>
      <c r="B43">
        <f t="shared" si="2"/>
        <v>41</v>
      </c>
      <c r="C43">
        <f t="shared" si="3"/>
        <v>7</v>
      </c>
      <c r="D43">
        <f t="shared" si="4"/>
        <v>17</v>
      </c>
      <c r="F43">
        <f t="shared" si="5"/>
        <v>42</v>
      </c>
      <c r="G43">
        <f t="shared" si="0"/>
        <v>41</v>
      </c>
      <c r="H43">
        <f t="shared" si="6"/>
        <v>28</v>
      </c>
    </row>
    <row r="44" spans="1:8">
      <c r="A44">
        <f t="shared" si="1"/>
        <v>43</v>
      </c>
      <c r="B44">
        <f t="shared" si="2"/>
        <v>42</v>
      </c>
      <c r="C44">
        <f t="shared" si="3"/>
        <v>8</v>
      </c>
      <c r="D44">
        <f t="shared" si="4"/>
        <v>18</v>
      </c>
      <c r="F44">
        <f t="shared" si="5"/>
        <v>43</v>
      </c>
      <c r="G44">
        <f t="shared" si="0"/>
        <v>42</v>
      </c>
      <c r="H44">
        <f t="shared" si="6"/>
        <v>29</v>
      </c>
    </row>
    <row r="45" spans="1:8">
      <c r="A45">
        <f t="shared" si="1"/>
        <v>44</v>
      </c>
      <c r="B45">
        <f t="shared" si="2"/>
        <v>43</v>
      </c>
      <c r="C45">
        <f t="shared" si="3"/>
        <v>9</v>
      </c>
      <c r="D45">
        <f t="shared" si="4"/>
        <v>19</v>
      </c>
      <c r="F45">
        <f t="shared" si="5"/>
        <v>44</v>
      </c>
      <c r="G45">
        <f t="shared" si="0"/>
        <v>43</v>
      </c>
      <c r="H45">
        <f t="shared" si="6"/>
        <v>30</v>
      </c>
    </row>
    <row r="46" spans="1:8">
      <c r="A46">
        <f t="shared" si="1"/>
        <v>45</v>
      </c>
      <c r="B46">
        <f t="shared" si="2"/>
        <v>44</v>
      </c>
      <c r="C46">
        <f t="shared" si="3"/>
        <v>10</v>
      </c>
      <c r="D46">
        <f t="shared" si="4"/>
        <v>20</v>
      </c>
      <c r="F46">
        <f t="shared" si="5"/>
        <v>45</v>
      </c>
      <c r="G46">
        <f t="shared" si="0"/>
        <v>44</v>
      </c>
      <c r="H46">
        <f t="shared" si="6"/>
        <v>31</v>
      </c>
    </row>
    <row r="47" spans="1:8">
      <c r="A47">
        <f t="shared" si="1"/>
        <v>46</v>
      </c>
      <c r="B47">
        <f t="shared" si="2"/>
        <v>45</v>
      </c>
      <c r="C47">
        <f t="shared" si="3"/>
        <v>11</v>
      </c>
      <c r="D47">
        <f t="shared" si="4"/>
        <v>21</v>
      </c>
      <c r="F47">
        <f t="shared" si="5"/>
        <v>46</v>
      </c>
      <c r="G47">
        <f t="shared" si="0"/>
        <v>45</v>
      </c>
      <c r="H47">
        <f t="shared" si="6"/>
        <v>32</v>
      </c>
    </row>
    <row r="48" spans="1:8">
      <c r="A48">
        <f t="shared" si="1"/>
        <v>47</v>
      </c>
      <c r="B48">
        <f t="shared" si="2"/>
        <v>46</v>
      </c>
      <c r="C48">
        <f t="shared" si="3"/>
        <v>12</v>
      </c>
      <c r="D48">
        <f t="shared" si="4"/>
        <v>22</v>
      </c>
      <c r="F48">
        <f t="shared" si="5"/>
        <v>47</v>
      </c>
      <c r="G48">
        <f t="shared" si="0"/>
        <v>46</v>
      </c>
      <c r="H48">
        <f t="shared" si="6"/>
        <v>33</v>
      </c>
    </row>
    <row r="49" spans="1:8">
      <c r="A49">
        <f t="shared" si="1"/>
        <v>48</v>
      </c>
      <c r="B49">
        <f t="shared" si="2"/>
        <v>47</v>
      </c>
      <c r="C49">
        <f t="shared" si="3"/>
        <v>13</v>
      </c>
      <c r="D49">
        <f t="shared" si="4"/>
        <v>23</v>
      </c>
      <c r="F49">
        <f t="shared" si="5"/>
        <v>48</v>
      </c>
      <c r="G49">
        <f t="shared" si="0"/>
        <v>47</v>
      </c>
      <c r="H49">
        <f t="shared" si="6"/>
        <v>34</v>
      </c>
    </row>
    <row r="50" spans="1:8">
      <c r="A50">
        <f t="shared" si="1"/>
        <v>49</v>
      </c>
      <c r="B50">
        <f t="shared" si="2"/>
        <v>48</v>
      </c>
      <c r="C50">
        <f t="shared" si="3"/>
        <v>14</v>
      </c>
      <c r="D50">
        <f t="shared" si="4"/>
        <v>24</v>
      </c>
      <c r="F50">
        <f t="shared" si="5"/>
        <v>49</v>
      </c>
      <c r="G50">
        <f t="shared" si="0"/>
        <v>48</v>
      </c>
      <c r="H50">
        <f t="shared" si="6"/>
        <v>35</v>
      </c>
    </row>
    <row r="51" spans="1:8">
      <c r="A51">
        <f t="shared" si="1"/>
        <v>50</v>
      </c>
      <c r="B51">
        <f t="shared" si="2"/>
        <v>49</v>
      </c>
      <c r="C51">
        <f t="shared" si="3"/>
        <v>15</v>
      </c>
      <c r="D51">
        <f t="shared" si="4"/>
        <v>25</v>
      </c>
      <c r="F51">
        <f t="shared" si="5"/>
        <v>50</v>
      </c>
      <c r="G51">
        <f t="shared" si="0"/>
        <v>49</v>
      </c>
      <c r="H51">
        <f t="shared" si="6"/>
        <v>36</v>
      </c>
    </row>
    <row r="52" spans="1:8">
      <c r="A52">
        <f t="shared" si="1"/>
        <v>51</v>
      </c>
      <c r="B52">
        <f t="shared" si="2"/>
        <v>50</v>
      </c>
      <c r="C52">
        <f t="shared" si="3"/>
        <v>16</v>
      </c>
      <c r="D52">
        <v>1</v>
      </c>
      <c r="F52">
        <f t="shared" si="5"/>
        <v>51</v>
      </c>
      <c r="G52">
        <f t="shared" si="0"/>
        <v>50</v>
      </c>
      <c r="H52">
        <f t="shared" si="6"/>
        <v>37</v>
      </c>
    </row>
    <row r="53" spans="1:8">
      <c r="A53">
        <f t="shared" si="1"/>
        <v>52</v>
      </c>
      <c r="B53">
        <f t="shared" si="2"/>
        <v>51</v>
      </c>
      <c r="C53">
        <f t="shared" si="3"/>
        <v>17</v>
      </c>
      <c r="D53">
        <f t="shared" si="4"/>
        <v>2</v>
      </c>
      <c r="F53">
        <f t="shared" si="5"/>
        <v>52</v>
      </c>
      <c r="G53">
        <f t="shared" si="0"/>
        <v>51</v>
      </c>
      <c r="H53">
        <f t="shared" si="6"/>
        <v>38</v>
      </c>
    </row>
    <row r="54" spans="1:8">
      <c r="A54">
        <f t="shared" si="1"/>
        <v>53</v>
      </c>
      <c r="B54">
        <f t="shared" si="2"/>
        <v>52</v>
      </c>
      <c r="C54">
        <f t="shared" si="3"/>
        <v>18</v>
      </c>
      <c r="D54">
        <f t="shared" si="4"/>
        <v>3</v>
      </c>
      <c r="F54">
        <f t="shared" si="5"/>
        <v>53</v>
      </c>
      <c r="G54">
        <f t="shared" si="0"/>
        <v>52</v>
      </c>
      <c r="H54">
        <f t="shared" si="6"/>
        <v>39</v>
      </c>
    </row>
    <row r="55" spans="1:8">
      <c r="A55">
        <f t="shared" si="1"/>
        <v>54</v>
      </c>
      <c r="B55">
        <f t="shared" si="2"/>
        <v>53</v>
      </c>
      <c r="C55">
        <f t="shared" si="3"/>
        <v>19</v>
      </c>
      <c r="D55">
        <f t="shared" si="4"/>
        <v>4</v>
      </c>
      <c r="F55">
        <f t="shared" si="5"/>
        <v>54</v>
      </c>
      <c r="G55">
        <f t="shared" si="0"/>
        <v>53</v>
      </c>
      <c r="H55">
        <f t="shared" si="6"/>
        <v>40</v>
      </c>
    </row>
    <row r="56" spans="1:8">
      <c r="A56">
        <f t="shared" si="1"/>
        <v>55</v>
      </c>
      <c r="B56">
        <f t="shared" si="2"/>
        <v>54</v>
      </c>
      <c r="C56">
        <f t="shared" si="3"/>
        <v>20</v>
      </c>
      <c r="D56">
        <f t="shared" si="4"/>
        <v>5</v>
      </c>
      <c r="F56">
        <f t="shared" si="5"/>
        <v>55</v>
      </c>
      <c r="G56">
        <f t="shared" si="0"/>
        <v>54</v>
      </c>
      <c r="H56">
        <f t="shared" si="6"/>
        <v>41</v>
      </c>
    </row>
    <row r="57" spans="1:8">
      <c r="A57">
        <f t="shared" si="1"/>
        <v>56</v>
      </c>
      <c r="B57">
        <f t="shared" si="2"/>
        <v>55</v>
      </c>
      <c r="C57">
        <f t="shared" si="3"/>
        <v>21</v>
      </c>
      <c r="D57">
        <f t="shared" si="4"/>
        <v>6</v>
      </c>
      <c r="F57">
        <f t="shared" si="5"/>
        <v>56</v>
      </c>
      <c r="G57">
        <f t="shared" si="0"/>
        <v>55</v>
      </c>
      <c r="H57">
        <f t="shared" si="6"/>
        <v>42</v>
      </c>
    </row>
    <row r="58" spans="1:8">
      <c r="A58">
        <f t="shared" si="1"/>
        <v>57</v>
      </c>
      <c r="B58">
        <f t="shared" si="2"/>
        <v>56</v>
      </c>
      <c r="C58">
        <f t="shared" si="3"/>
        <v>22</v>
      </c>
      <c r="D58">
        <f t="shared" si="4"/>
        <v>7</v>
      </c>
      <c r="F58">
        <f t="shared" si="5"/>
        <v>57</v>
      </c>
      <c r="G58">
        <f t="shared" si="0"/>
        <v>56</v>
      </c>
      <c r="H58">
        <f t="shared" si="6"/>
        <v>43</v>
      </c>
    </row>
    <row r="59" spans="1:8">
      <c r="A59">
        <f t="shared" si="1"/>
        <v>58</v>
      </c>
      <c r="B59">
        <f t="shared" si="2"/>
        <v>57</v>
      </c>
      <c r="C59">
        <f t="shared" si="3"/>
        <v>23</v>
      </c>
      <c r="D59">
        <f t="shared" si="4"/>
        <v>8</v>
      </c>
      <c r="F59">
        <f t="shared" si="5"/>
        <v>58</v>
      </c>
      <c r="G59">
        <f t="shared" si="0"/>
        <v>57</v>
      </c>
      <c r="H59">
        <f t="shared" si="6"/>
        <v>44</v>
      </c>
    </row>
    <row r="60" spans="1:8">
      <c r="A60">
        <f t="shared" si="1"/>
        <v>59</v>
      </c>
      <c r="B60">
        <f t="shared" si="2"/>
        <v>58</v>
      </c>
      <c r="C60">
        <f t="shared" si="3"/>
        <v>24</v>
      </c>
      <c r="D60">
        <f t="shared" si="4"/>
        <v>9</v>
      </c>
      <c r="F60">
        <f t="shared" si="5"/>
        <v>59</v>
      </c>
      <c r="G60">
        <f t="shared" si="0"/>
        <v>58</v>
      </c>
      <c r="H60">
        <f t="shared" si="6"/>
        <v>45</v>
      </c>
    </row>
    <row r="61" spans="1:8">
      <c r="A61">
        <f t="shared" si="1"/>
        <v>60</v>
      </c>
      <c r="B61">
        <f t="shared" si="2"/>
        <v>59</v>
      </c>
      <c r="C61">
        <f t="shared" si="3"/>
        <v>25</v>
      </c>
      <c r="D61">
        <f t="shared" si="4"/>
        <v>10</v>
      </c>
      <c r="F61">
        <f t="shared" si="5"/>
        <v>60</v>
      </c>
      <c r="G61">
        <f t="shared" si="0"/>
        <v>59</v>
      </c>
      <c r="H61">
        <f t="shared" si="6"/>
        <v>46</v>
      </c>
    </row>
    <row r="62" spans="1:8">
      <c r="A62">
        <f t="shared" si="1"/>
        <v>61</v>
      </c>
      <c r="B62">
        <f t="shared" si="2"/>
        <v>60</v>
      </c>
      <c r="C62">
        <f t="shared" si="3"/>
        <v>26</v>
      </c>
      <c r="D62">
        <f t="shared" si="4"/>
        <v>11</v>
      </c>
      <c r="F62">
        <f t="shared" si="5"/>
        <v>61</v>
      </c>
      <c r="G62">
        <f t="shared" si="0"/>
        <v>60</v>
      </c>
      <c r="H62">
        <f t="shared" si="6"/>
        <v>47</v>
      </c>
    </row>
    <row r="63" spans="1:8">
      <c r="A63">
        <f t="shared" si="1"/>
        <v>62</v>
      </c>
      <c r="B63">
        <f t="shared" si="2"/>
        <v>61</v>
      </c>
      <c r="C63">
        <f t="shared" si="3"/>
        <v>27</v>
      </c>
      <c r="D63">
        <f t="shared" si="4"/>
        <v>12</v>
      </c>
      <c r="F63">
        <f t="shared" si="5"/>
        <v>62</v>
      </c>
      <c r="G63">
        <f t="shared" si="0"/>
        <v>61</v>
      </c>
      <c r="H63">
        <f t="shared" si="6"/>
        <v>48</v>
      </c>
    </row>
    <row r="64" spans="1:8">
      <c r="A64">
        <f t="shared" si="1"/>
        <v>63</v>
      </c>
      <c r="B64">
        <f t="shared" si="2"/>
        <v>62</v>
      </c>
      <c r="C64">
        <f t="shared" si="3"/>
        <v>28</v>
      </c>
      <c r="D64">
        <f t="shared" si="4"/>
        <v>13</v>
      </c>
      <c r="F64">
        <f t="shared" si="5"/>
        <v>63</v>
      </c>
      <c r="G64">
        <f t="shared" si="0"/>
        <v>62</v>
      </c>
      <c r="H64">
        <f t="shared" si="6"/>
        <v>49</v>
      </c>
    </row>
    <row r="65" spans="1:8">
      <c r="A65">
        <f t="shared" si="1"/>
        <v>64</v>
      </c>
      <c r="B65">
        <f t="shared" si="2"/>
        <v>63</v>
      </c>
      <c r="C65">
        <f t="shared" si="3"/>
        <v>29</v>
      </c>
      <c r="D65">
        <f t="shared" si="4"/>
        <v>14</v>
      </c>
      <c r="F65">
        <f t="shared" si="5"/>
        <v>64</v>
      </c>
      <c r="G65">
        <f t="shared" si="0"/>
        <v>63</v>
      </c>
      <c r="H65">
        <f t="shared" si="6"/>
        <v>50</v>
      </c>
    </row>
    <row r="66" spans="1:8">
      <c r="A66">
        <f t="shared" si="1"/>
        <v>65</v>
      </c>
      <c r="B66">
        <f t="shared" si="2"/>
        <v>64</v>
      </c>
      <c r="C66">
        <f t="shared" si="3"/>
        <v>30</v>
      </c>
      <c r="D66">
        <f t="shared" si="4"/>
        <v>15</v>
      </c>
      <c r="F66">
        <f t="shared" si="5"/>
        <v>65</v>
      </c>
      <c r="G66">
        <f t="shared" si="0"/>
        <v>64</v>
      </c>
      <c r="H66">
        <f t="shared" si="6"/>
        <v>51</v>
      </c>
    </row>
    <row r="67" spans="1:8">
      <c r="A67">
        <f t="shared" si="1"/>
        <v>66</v>
      </c>
      <c r="B67">
        <f t="shared" si="2"/>
        <v>65</v>
      </c>
      <c r="C67">
        <f t="shared" si="3"/>
        <v>31</v>
      </c>
      <c r="D67">
        <f t="shared" si="4"/>
        <v>16</v>
      </c>
      <c r="F67">
        <f t="shared" si="5"/>
        <v>66</v>
      </c>
      <c r="G67">
        <f t="shared" ref="G67:G130" si="7">F67-1</f>
        <v>65</v>
      </c>
      <c r="H67">
        <f t="shared" si="6"/>
        <v>52</v>
      </c>
    </row>
    <row r="68" spans="1:8">
      <c r="A68">
        <f t="shared" ref="A68:A98" si="8">1+A67</f>
        <v>67</v>
      </c>
      <c r="B68">
        <f t="shared" ref="B68:C98" si="9">1+B67</f>
        <v>66</v>
      </c>
      <c r="C68">
        <v>1</v>
      </c>
      <c r="D68">
        <f t="shared" ref="D68:D98" si="10">1+D67</f>
        <v>17</v>
      </c>
      <c r="F68">
        <f t="shared" ref="F68:F131" si="11">1+F67</f>
        <v>67</v>
      </c>
      <c r="G68">
        <f t="shared" si="7"/>
        <v>66</v>
      </c>
      <c r="H68">
        <f t="shared" ref="H68:H131" si="12">1+H67</f>
        <v>53</v>
      </c>
    </row>
    <row r="69" spans="1:8">
      <c r="A69">
        <f t="shared" si="8"/>
        <v>68</v>
      </c>
      <c r="B69">
        <f t="shared" si="9"/>
        <v>67</v>
      </c>
      <c r="C69">
        <f t="shared" si="9"/>
        <v>2</v>
      </c>
      <c r="D69">
        <f t="shared" si="10"/>
        <v>18</v>
      </c>
      <c r="F69">
        <f t="shared" si="11"/>
        <v>68</v>
      </c>
      <c r="G69">
        <f t="shared" si="7"/>
        <v>67</v>
      </c>
      <c r="H69">
        <f t="shared" si="12"/>
        <v>54</v>
      </c>
    </row>
    <row r="70" spans="1:8">
      <c r="A70">
        <f t="shared" si="8"/>
        <v>69</v>
      </c>
      <c r="B70">
        <f t="shared" si="9"/>
        <v>68</v>
      </c>
      <c r="C70">
        <f t="shared" si="9"/>
        <v>3</v>
      </c>
      <c r="D70">
        <f t="shared" si="10"/>
        <v>19</v>
      </c>
      <c r="F70">
        <f t="shared" si="11"/>
        <v>69</v>
      </c>
      <c r="G70">
        <f t="shared" si="7"/>
        <v>68</v>
      </c>
      <c r="H70">
        <f t="shared" si="12"/>
        <v>55</v>
      </c>
    </row>
    <row r="71" spans="1:8">
      <c r="A71">
        <f t="shared" si="8"/>
        <v>70</v>
      </c>
      <c r="B71">
        <f t="shared" si="9"/>
        <v>69</v>
      </c>
      <c r="C71">
        <f t="shared" si="9"/>
        <v>4</v>
      </c>
      <c r="D71">
        <f t="shared" si="10"/>
        <v>20</v>
      </c>
      <c r="F71">
        <f t="shared" si="11"/>
        <v>70</v>
      </c>
      <c r="G71">
        <f t="shared" si="7"/>
        <v>69</v>
      </c>
      <c r="H71">
        <f t="shared" si="12"/>
        <v>56</v>
      </c>
    </row>
    <row r="72" spans="1:8">
      <c r="A72">
        <f t="shared" si="8"/>
        <v>71</v>
      </c>
      <c r="B72">
        <f t="shared" si="9"/>
        <v>70</v>
      </c>
      <c r="C72">
        <f t="shared" si="9"/>
        <v>5</v>
      </c>
      <c r="D72">
        <f t="shared" si="10"/>
        <v>21</v>
      </c>
      <c r="F72">
        <f t="shared" si="11"/>
        <v>71</v>
      </c>
      <c r="G72">
        <f t="shared" si="7"/>
        <v>70</v>
      </c>
      <c r="H72">
        <f t="shared" si="12"/>
        <v>57</v>
      </c>
    </row>
    <row r="73" spans="1:8">
      <c r="A73">
        <f t="shared" si="8"/>
        <v>72</v>
      </c>
      <c r="B73">
        <f t="shared" si="9"/>
        <v>71</v>
      </c>
      <c r="C73">
        <f t="shared" si="9"/>
        <v>6</v>
      </c>
      <c r="D73">
        <f t="shared" si="10"/>
        <v>22</v>
      </c>
      <c r="F73">
        <f t="shared" si="11"/>
        <v>72</v>
      </c>
      <c r="G73">
        <f t="shared" si="7"/>
        <v>71</v>
      </c>
      <c r="H73">
        <f t="shared" si="12"/>
        <v>58</v>
      </c>
    </row>
    <row r="74" spans="1:8">
      <c r="A74">
        <f t="shared" si="8"/>
        <v>73</v>
      </c>
      <c r="B74">
        <f t="shared" si="9"/>
        <v>72</v>
      </c>
      <c r="C74">
        <f t="shared" si="9"/>
        <v>7</v>
      </c>
      <c r="D74">
        <f t="shared" si="10"/>
        <v>23</v>
      </c>
      <c r="F74">
        <f t="shared" si="11"/>
        <v>73</v>
      </c>
      <c r="G74">
        <f t="shared" si="7"/>
        <v>72</v>
      </c>
      <c r="H74">
        <f t="shared" si="12"/>
        <v>59</v>
      </c>
    </row>
    <row r="75" spans="1:8">
      <c r="A75">
        <f t="shared" si="8"/>
        <v>74</v>
      </c>
      <c r="B75">
        <f t="shared" si="9"/>
        <v>73</v>
      </c>
      <c r="C75">
        <f t="shared" si="9"/>
        <v>8</v>
      </c>
      <c r="D75">
        <f t="shared" si="10"/>
        <v>24</v>
      </c>
      <c r="F75">
        <f t="shared" si="11"/>
        <v>74</v>
      </c>
      <c r="G75">
        <f t="shared" si="7"/>
        <v>73</v>
      </c>
      <c r="H75">
        <f t="shared" si="12"/>
        <v>60</v>
      </c>
    </row>
    <row r="76" spans="1:8">
      <c r="A76">
        <f t="shared" si="8"/>
        <v>75</v>
      </c>
      <c r="B76">
        <f t="shared" si="9"/>
        <v>74</v>
      </c>
      <c r="C76">
        <f t="shared" si="9"/>
        <v>9</v>
      </c>
      <c r="D76">
        <f t="shared" si="10"/>
        <v>25</v>
      </c>
      <c r="F76">
        <f t="shared" si="11"/>
        <v>75</v>
      </c>
      <c r="G76">
        <f t="shared" si="7"/>
        <v>74</v>
      </c>
      <c r="H76">
        <f t="shared" si="12"/>
        <v>61</v>
      </c>
    </row>
    <row r="77" spans="1:8">
      <c r="A77">
        <f t="shared" si="8"/>
        <v>76</v>
      </c>
      <c r="B77">
        <f t="shared" si="9"/>
        <v>75</v>
      </c>
      <c r="C77">
        <f t="shared" si="9"/>
        <v>10</v>
      </c>
      <c r="D77">
        <v>1</v>
      </c>
      <c r="F77">
        <f t="shared" si="11"/>
        <v>76</v>
      </c>
      <c r="G77">
        <f t="shared" si="7"/>
        <v>75</v>
      </c>
      <c r="H77">
        <f t="shared" si="12"/>
        <v>62</v>
      </c>
    </row>
    <row r="78" spans="1:8">
      <c r="A78">
        <f t="shared" si="8"/>
        <v>77</v>
      </c>
      <c r="B78">
        <f t="shared" si="9"/>
        <v>76</v>
      </c>
      <c r="C78">
        <f t="shared" si="9"/>
        <v>11</v>
      </c>
      <c r="D78">
        <f t="shared" si="10"/>
        <v>2</v>
      </c>
      <c r="F78">
        <f t="shared" si="11"/>
        <v>77</v>
      </c>
      <c r="G78">
        <f t="shared" si="7"/>
        <v>76</v>
      </c>
      <c r="H78">
        <f t="shared" si="12"/>
        <v>63</v>
      </c>
    </row>
    <row r="79" spans="1:8">
      <c r="A79">
        <f t="shared" si="8"/>
        <v>78</v>
      </c>
      <c r="B79">
        <f t="shared" si="9"/>
        <v>77</v>
      </c>
      <c r="C79">
        <f t="shared" si="9"/>
        <v>12</v>
      </c>
      <c r="D79">
        <f t="shared" si="10"/>
        <v>3</v>
      </c>
      <c r="F79">
        <f t="shared" si="11"/>
        <v>78</v>
      </c>
      <c r="G79">
        <f t="shared" si="7"/>
        <v>77</v>
      </c>
      <c r="H79">
        <f t="shared" si="12"/>
        <v>64</v>
      </c>
    </row>
    <row r="80" spans="1:8">
      <c r="A80">
        <f t="shared" si="8"/>
        <v>79</v>
      </c>
      <c r="B80">
        <f t="shared" si="9"/>
        <v>78</v>
      </c>
      <c r="C80">
        <f t="shared" si="9"/>
        <v>13</v>
      </c>
      <c r="D80">
        <f t="shared" si="10"/>
        <v>4</v>
      </c>
      <c r="F80">
        <f t="shared" si="11"/>
        <v>79</v>
      </c>
      <c r="G80">
        <f t="shared" si="7"/>
        <v>78</v>
      </c>
      <c r="H80">
        <f t="shared" si="12"/>
        <v>65</v>
      </c>
    </row>
    <row r="81" spans="1:8">
      <c r="A81">
        <f t="shared" si="8"/>
        <v>80</v>
      </c>
      <c r="B81">
        <f t="shared" si="9"/>
        <v>79</v>
      </c>
      <c r="C81">
        <f t="shared" si="9"/>
        <v>14</v>
      </c>
      <c r="D81">
        <f t="shared" si="10"/>
        <v>5</v>
      </c>
      <c r="F81">
        <f t="shared" si="11"/>
        <v>80</v>
      </c>
      <c r="G81">
        <f t="shared" si="7"/>
        <v>79</v>
      </c>
      <c r="H81">
        <f t="shared" si="12"/>
        <v>66</v>
      </c>
    </row>
    <row r="82" spans="1:8">
      <c r="A82">
        <f t="shared" si="8"/>
        <v>81</v>
      </c>
      <c r="B82">
        <f t="shared" si="9"/>
        <v>80</v>
      </c>
      <c r="C82">
        <f t="shared" si="9"/>
        <v>15</v>
      </c>
      <c r="D82">
        <f t="shared" si="10"/>
        <v>6</v>
      </c>
      <c r="F82">
        <f t="shared" si="11"/>
        <v>81</v>
      </c>
      <c r="G82">
        <f t="shared" si="7"/>
        <v>80</v>
      </c>
      <c r="H82">
        <f t="shared" si="12"/>
        <v>67</v>
      </c>
    </row>
    <row r="83" spans="1:8">
      <c r="A83">
        <f t="shared" si="8"/>
        <v>82</v>
      </c>
      <c r="B83">
        <f t="shared" si="9"/>
        <v>81</v>
      </c>
      <c r="C83">
        <f t="shared" si="9"/>
        <v>16</v>
      </c>
      <c r="D83">
        <f t="shared" si="10"/>
        <v>7</v>
      </c>
      <c r="F83">
        <f t="shared" si="11"/>
        <v>82</v>
      </c>
      <c r="G83">
        <f t="shared" si="7"/>
        <v>81</v>
      </c>
      <c r="H83">
        <f t="shared" si="12"/>
        <v>68</v>
      </c>
    </row>
    <row r="84" spans="1:8">
      <c r="A84">
        <f t="shared" si="8"/>
        <v>83</v>
      </c>
      <c r="B84">
        <f t="shared" si="9"/>
        <v>82</v>
      </c>
      <c r="C84">
        <f t="shared" si="9"/>
        <v>17</v>
      </c>
      <c r="D84">
        <f t="shared" si="10"/>
        <v>8</v>
      </c>
      <c r="F84">
        <f t="shared" si="11"/>
        <v>83</v>
      </c>
      <c r="G84">
        <f t="shared" si="7"/>
        <v>82</v>
      </c>
      <c r="H84">
        <f t="shared" si="12"/>
        <v>69</v>
      </c>
    </row>
    <row r="85" spans="1:8">
      <c r="A85">
        <f t="shared" si="8"/>
        <v>84</v>
      </c>
      <c r="B85">
        <f t="shared" si="9"/>
        <v>83</v>
      </c>
      <c r="C85">
        <f t="shared" si="9"/>
        <v>18</v>
      </c>
      <c r="D85">
        <f t="shared" si="10"/>
        <v>9</v>
      </c>
      <c r="F85">
        <f t="shared" si="11"/>
        <v>84</v>
      </c>
      <c r="G85">
        <f t="shared" si="7"/>
        <v>83</v>
      </c>
      <c r="H85">
        <f t="shared" si="12"/>
        <v>70</v>
      </c>
    </row>
    <row r="86" spans="1:8">
      <c r="A86">
        <f t="shared" si="8"/>
        <v>85</v>
      </c>
      <c r="B86">
        <f t="shared" si="9"/>
        <v>84</v>
      </c>
      <c r="C86">
        <f t="shared" si="9"/>
        <v>19</v>
      </c>
      <c r="D86">
        <f t="shared" si="10"/>
        <v>10</v>
      </c>
      <c r="F86">
        <f t="shared" si="11"/>
        <v>85</v>
      </c>
      <c r="G86">
        <f t="shared" si="7"/>
        <v>84</v>
      </c>
      <c r="H86">
        <f t="shared" si="12"/>
        <v>71</v>
      </c>
    </row>
    <row r="87" spans="1:8">
      <c r="A87">
        <f t="shared" si="8"/>
        <v>86</v>
      </c>
      <c r="B87">
        <f t="shared" si="9"/>
        <v>85</v>
      </c>
      <c r="C87">
        <f t="shared" si="9"/>
        <v>20</v>
      </c>
      <c r="D87">
        <f t="shared" si="10"/>
        <v>11</v>
      </c>
      <c r="F87">
        <f t="shared" si="11"/>
        <v>86</v>
      </c>
      <c r="G87">
        <f t="shared" si="7"/>
        <v>85</v>
      </c>
      <c r="H87">
        <f t="shared" si="12"/>
        <v>72</v>
      </c>
    </row>
    <row r="88" spans="1:8">
      <c r="A88">
        <f t="shared" si="8"/>
        <v>87</v>
      </c>
      <c r="B88">
        <f t="shared" si="9"/>
        <v>86</v>
      </c>
      <c r="C88">
        <f t="shared" si="9"/>
        <v>21</v>
      </c>
      <c r="D88">
        <f t="shared" si="10"/>
        <v>12</v>
      </c>
      <c r="F88">
        <f t="shared" si="11"/>
        <v>87</v>
      </c>
      <c r="G88">
        <f t="shared" si="7"/>
        <v>86</v>
      </c>
      <c r="H88">
        <f t="shared" si="12"/>
        <v>73</v>
      </c>
    </row>
    <row r="89" spans="1:8">
      <c r="A89">
        <f t="shared" si="8"/>
        <v>88</v>
      </c>
      <c r="B89">
        <f t="shared" si="9"/>
        <v>87</v>
      </c>
      <c r="C89">
        <f t="shared" si="9"/>
        <v>22</v>
      </c>
      <c r="D89">
        <f t="shared" si="10"/>
        <v>13</v>
      </c>
      <c r="F89">
        <f t="shared" si="11"/>
        <v>88</v>
      </c>
      <c r="G89">
        <f t="shared" si="7"/>
        <v>87</v>
      </c>
      <c r="H89">
        <f t="shared" si="12"/>
        <v>74</v>
      </c>
    </row>
    <row r="90" spans="1:8">
      <c r="A90">
        <f t="shared" si="8"/>
        <v>89</v>
      </c>
      <c r="B90">
        <f t="shared" si="9"/>
        <v>88</v>
      </c>
      <c r="C90">
        <f t="shared" si="9"/>
        <v>23</v>
      </c>
      <c r="D90">
        <f t="shared" si="10"/>
        <v>14</v>
      </c>
      <c r="F90">
        <f t="shared" si="11"/>
        <v>89</v>
      </c>
      <c r="G90">
        <f t="shared" si="7"/>
        <v>88</v>
      </c>
      <c r="H90">
        <f t="shared" si="12"/>
        <v>75</v>
      </c>
    </row>
    <row r="91" spans="1:8">
      <c r="A91">
        <f t="shared" si="8"/>
        <v>90</v>
      </c>
      <c r="B91">
        <f t="shared" si="9"/>
        <v>89</v>
      </c>
      <c r="C91">
        <f t="shared" si="9"/>
        <v>24</v>
      </c>
      <c r="D91">
        <f t="shared" si="10"/>
        <v>15</v>
      </c>
      <c r="F91">
        <f t="shared" si="11"/>
        <v>90</v>
      </c>
      <c r="G91">
        <f t="shared" si="7"/>
        <v>89</v>
      </c>
      <c r="H91">
        <v>1</v>
      </c>
    </row>
    <row r="92" spans="1:8">
      <c r="A92">
        <f t="shared" si="8"/>
        <v>91</v>
      </c>
      <c r="B92">
        <f t="shared" si="9"/>
        <v>90</v>
      </c>
      <c r="C92">
        <f t="shared" si="9"/>
        <v>25</v>
      </c>
      <c r="D92">
        <f t="shared" si="10"/>
        <v>16</v>
      </c>
      <c r="F92">
        <f t="shared" si="11"/>
        <v>91</v>
      </c>
      <c r="G92">
        <f t="shared" si="7"/>
        <v>90</v>
      </c>
      <c r="H92">
        <f t="shared" si="12"/>
        <v>2</v>
      </c>
    </row>
    <row r="93" spans="1:8">
      <c r="A93">
        <f t="shared" si="8"/>
        <v>92</v>
      </c>
      <c r="B93">
        <f t="shared" si="9"/>
        <v>91</v>
      </c>
      <c r="C93">
        <f t="shared" si="9"/>
        <v>26</v>
      </c>
      <c r="D93">
        <f t="shared" si="10"/>
        <v>17</v>
      </c>
      <c r="F93">
        <f t="shared" si="11"/>
        <v>92</v>
      </c>
      <c r="G93">
        <f t="shared" si="7"/>
        <v>91</v>
      </c>
      <c r="H93">
        <f t="shared" si="12"/>
        <v>3</v>
      </c>
    </row>
    <row r="94" spans="1:8">
      <c r="A94">
        <f t="shared" si="8"/>
        <v>93</v>
      </c>
      <c r="B94">
        <f t="shared" si="9"/>
        <v>92</v>
      </c>
      <c r="C94">
        <f t="shared" si="9"/>
        <v>27</v>
      </c>
      <c r="D94">
        <f t="shared" si="10"/>
        <v>18</v>
      </c>
      <c r="F94">
        <f t="shared" si="11"/>
        <v>93</v>
      </c>
      <c r="G94">
        <f t="shared" si="7"/>
        <v>92</v>
      </c>
      <c r="H94">
        <f t="shared" si="12"/>
        <v>4</v>
      </c>
    </row>
    <row r="95" spans="1:8">
      <c r="A95">
        <f t="shared" si="8"/>
        <v>94</v>
      </c>
      <c r="B95">
        <f t="shared" si="9"/>
        <v>93</v>
      </c>
      <c r="C95">
        <f t="shared" si="9"/>
        <v>28</v>
      </c>
      <c r="D95">
        <f t="shared" si="10"/>
        <v>19</v>
      </c>
      <c r="F95">
        <f t="shared" si="11"/>
        <v>94</v>
      </c>
      <c r="G95">
        <f t="shared" si="7"/>
        <v>93</v>
      </c>
      <c r="H95">
        <f t="shared" si="12"/>
        <v>5</v>
      </c>
    </row>
    <row r="96" spans="1:8">
      <c r="A96">
        <f t="shared" si="8"/>
        <v>95</v>
      </c>
      <c r="B96">
        <f t="shared" si="9"/>
        <v>94</v>
      </c>
      <c r="C96">
        <f t="shared" si="9"/>
        <v>29</v>
      </c>
      <c r="D96">
        <f t="shared" si="10"/>
        <v>20</v>
      </c>
      <c r="F96">
        <f t="shared" si="11"/>
        <v>95</v>
      </c>
      <c r="G96">
        <f t="shared" si="7"/>
        <v>94</v>
      </c>
      <c r="H96">
        <f t="shared" si="12"/>
        <v>6</v>
      </c>
    </row>
    <row r="97" spans="1:8">
      <c r="A97">
        <f t="shared" si="8"/>
        <v>96</v>
      </c>
      <c r="B97">
        <f t="shared" si="9"/>
        <v>95</v>
      </c>
      <c r="C97">
        <f t="shared" si="9"/>
        <v>30</v>
      </c>
      <c r="D97">
        <f t="shared" si="10"/>
        <v>21</v>
      </c>
      <c r="F97">
        <f t="shared" si="11"/>
        <v>96</v>
      </c>
      <c r="G97">
        <f t="shared" si="7"/>
        <v>95</v>
      </c>
      <c r="H97">
        <f t="shared" si="12"/>
        <v>7</v>
      </c>
    </row>
    <row r="98" spans="1:8">
      <c r="A98">
        <f t="shared" si="8"/>
        <v>97</v>
      </c>
      <c r="B98">
        <f t="shared" si="9"/>
        <v>96</v>
      </c>
      <c r="C98">
        <f t="shared" si="9"/>
        <v>31</v>
      </c>
      <c r="D98">
        <f t="shared" si="10"/>
        <v>22</v>
      </c>
      <c r="F98">
        <f t="shared" si="11"/>
        <v>97</v>
      </c>
      <c r="G98">
        <f t="shared" si="7"/>
        <v>96</v>
      </c>
      <c r="H98">
        <f t="shared" si="12"/>
        <v>8</v>
      </c>
    </row>
    <row r="99" spans="1:8">
      <c r="F99">
        <f t="shared" si="11"/>
        <v>98</v>
      </c>
      <c r="G99">
        <f t="shared" si="7"/>
        <v>97</v>
      </c>
      <c r="H99">
        <f t="shared" si="12"/>
        <v>9</v>
      </c>
    </row>
    <row r="100" spans="1:8">
      <c r="F100">
        <f t="shared" si="11"/>
        <v>99</v>
      </c>
      <c r="G100">
        <f t="shared" si="7"/>
        <v>98</v>
      </c>
      <c r="H100">
        <f t="shared" si="12"/>
        <v>10</v>
      </c>
    </row>
    <row r="101" spans="1:8">
      <c r="F101">
        <f t="shared" si="11"/>
        <v>100</v>
      </c>
      <c r="G101">
        <f t="shared" si="7"/>
        <v>99</v>
      </c>
      <c r="H101">
        <f t="shared" si="12"/>
        <v>11</v>
      </c>
    </row>
    <row r="102" spans="1:8">
      <c r="F102">
        <f t="shared" si="11"/>
        <v>101</v>
      </c>
      <c r="G102">
        <f t="shared" si="7"/>
        <v>100</v>
      </c>
      <c r="H102">
        <f t="shared" si="12"/>
        <v>12</v>
      </c>
    </row>
    <row r="103" spans="1:8">
      <c r="F103">
        <f t="shared" si="11"/>
        <v>102</v>
      </c>
      <c r="G103">
        <f t="shared" si="7"/>
        <v>101</v>
      </c>
      <c r="H103">
        <f t="shared" si="12"/>
        <v>13</v>
      </c>
    </row>
    <row r="104" spans="1:8">
      <c r="F104">
        <f t="shared" si="11"/>
        <v>103</v>
      </c>
      <c r="G104">
        <f t="shared" si="7"/>
        <v>102</v>
      </c>
      <c r="H104">
        <f t="shared" si="12"/>
        <v>14</v>
      </c>
    </row>
    <row r="105" spans="1:8">
      <c r="F105">
        <f t="shared" si="11"/>
        <v>104</v>
      </c>
      <c r="G105">
        <f t="shared" si="7"/>
        <v>103</v>
      </c>
      <c r="H105">
        <f t="shared" si="12"/>
        <v>15</v>
      </c>
    </row>
    <row r="106" spans="1:8">
      <c r="F106">
        <f t="shared" si="11"/>
        <v>105</v>
      </c>
      <c r="G106">
        <f t="shared" si="7"/>
        <v>104</v>
      </c>
      <c r="H106">
        <f t="shared" si="12"/>
        <v>16</v>
      </c>
    </row>
    <row r="107" spans="1:8">
      <c r="F107">
        <f t="shared" si="11"/>
        <v>106</v>
      </c>
      <c r="G107">
        <f t="shared" si="7"/>
        <v>105</v>
      </c>
      <c r="H107">
        <f t="shared" si="12"/>
        <v>17</v>
      </c>
    </row>
    <row r="108" spans="1:8">
      <c r="F108">
        <f t="shared" si="11"/>
        <v>107</v>
      </c>
      <c r="G108">
        <f t="shared" si="7"/>
        <v>106</v>
      </c>
      <c r="H108">
        <f t="shared" si="12"/>
        <v>18</v>
      </c>
    </row>
    <row r="109" spans="1:8">
      <c r="F109">
        <f t="shared" si="11"/>
        <v>108</v>
      </c>
      <c r="G109">
        <f t="shared" si="7"/>
        <v>107</v>
      </c>
      <c r="H109">
        <f t="shared" si="12"/>
        <v>19</v>
      </c>
    </row>
    <row r="110" spans="1:8">
      <c r="F110">
        <f t="shared" si="11"/>
        <v>109</v>
      </c>
      <c r="G110">
        <f t="shared" si="7"/>
        <v>108</v>
      </c>
      <c r="H110">
        <f t="shared" si="12"/>
        <v>20</v>
      </c>
    </row>
    <row r="111" spans="1:8">
      <c r="F111">
        <f t="shared" si="11"/>
        <v>110</v>
      </c>
      <c r="G111">
        <f t="shared" si="7"/>
        <v>109</v>
      </c>
      <c r="H111">
        <f t="shared" si="12"/>
        <v>21</v>
      </c>
    </row>
    <row r="112" spans="1:8">
      <c r="F112">
        <f t="shared" si="11"/>
        <v>111</v>
      </c>
      <c r="G112">
        <f t="shared" si="7"/>
        <v>110</v>
      </c>
      <c r="H112">
        <f t="shared" si="12"/>
        <v>22</v>
      </c>
    </row>
    <row r="113" spans="6:8">
      <c r="F113">
        <f t="shared" si="11"/>
        <v>112</v>
      </c>
      <c r="G113">
        <f t="shared" si="7"/>
        <v>111</v>
      </c>
      <c r="H113">
        <f t="shared" si="12"/>
        <v>23</v>
      </c>
    </row>
    <row r="114" spans="6:8">
      <c r="F114">
        <f t="shared" si="11"/>
        <v>113</v>
      </c>
      <c r="G114">
        <f t="shared" si="7"/>
        <v>112</v>
      </c>
      <c r="H114">
        <f t="shared" si="12"/>
        <v>24</v>
      </c>
    </row>
    <row r="115" spans="6:8">
      <c r="F115">
        <f t="shared" si="11"/>
        <v>114</v>
      </c>
      <c r="G115">
        <f t="shared" si="7"/>
        <v>113</v>
      </c>
      <c r="H115">
        <f t="shared" si="12"/>
        <v>25</v>
      </c>
    </row>
    <row r="116" spans="6:8">
      <c r="F116">
        <f t="shared" si="11"/>
        <v>115</v>
      </c>
      <c r="G116">
        <f t="shared" si="7"/>
        <v>114</v>
      </c>
      <c r="H116">
        <f t="shared" si="12"/>
        <v>26</v>
      </c>
    </row>
    <row r="117" spans="6:8">
      <c r="F117">
        <f t="shared" si="11"/>
        <v>116</v>
      </c>
      <c r="G117">
        <f t="shared" si="7"/>
        <v>115</v>
      </c>
      <c r="H117">
        <f t="shared" si="12"/>
        <v>27</v>
      </c>
    </row>
    <row r="118" spans="6:8">
      <c r="F118">
        <f t="shared" si="11"/>
        <v>117</v>
      </c>
      <c r="G118">
        <f t="shared" si="7"/>
        <v>116</v>
      </c>
      <c r="H118">
        <f t="shared" si="12"/>
        <v>28</v>
      </c>
    </row>
    <row r="119" spans="6:8">
      <c r="F119">
        <f t="shared" si="11"/>
        <v>118</v>
      </c>
      <c r="G119">
        <f t="shared" si="7"/>
        <v>117</v>
      </c>
      <c r="H119">
        <f t="shared" si="12"/>
        <v>29</v>
      </c>
    </row>
    <row r="120" spans="6:8">
      <c r="F120">
        <f t="shared" si="11"/>
        <v>119</v>
      </c>
      <c r="G120">
        <f t="shared" si="7"/>
        <v>118</v>
      </c>
      <c r="H120">
        <f t="shared" si="12"/>
        <v>30</v>
      </c>
    </row>
    <row r="121" spans="6:8">
      <c r="F121">
        <f t="shared" si="11"/>
        <v>120</v>
      </c>
      <c r="G121">
        <f t="shared" si="7"/>
        <v>119</v>
      </c>
      <c r="H121">
        <f t="shared" si="12"/>
        <v>31</v>
      </c>
    </row>
    <row r="122" spans="6:8">
      <c r="F122">
        <f t="shared" si="11"/>
        <v>121</v>
      </c>
      <c r="G122">
        <f t="shared" si="7"/>
        <v>120</v>
      </c>
      <c r="H122">
        <f t="shared" si="12"/>
        <v>32</v>
      </c>
    </row>
    <row r="123" spans="6:8">
      <c r="F123">
        <f t="shared" si="11"/>
        <v>122</v>
      </c>
      <c r="G123">
        <f t="shared" si="7"/>
        <v>121</v>
      </c>
      <c r="H123">
        <f t="shared" si="12"/>
        <v>33</v>
      </c>
    </row>
    <row r="124" spans="6:8">
      <c r="F124">
        <f t="shared" si="11"/>
        <v>123</v>
      </c>
      <c r="G124">
        <f t="shared" si="7"/>
        <v>122</v>
      </c>
      <c r="H124">
        <f t="shared" si="12"/>
        <v>34</v>
      </c>
    </row>
    <row r="125" spans="6:8">
      <c r="F125">
        <f t="shared" si="11"/>
        <v>124</v>
      </c>
      <c r="G125">
        <f t="shared" si="7"/>
        <v>123</v>
      </c>
      <c r="H125">
        <f t="shared" si="12"/>
        <v>35</v>
      </c>
    </row>
    <row r="126" spans="6:8">
      <c r="F126">
        <f t="shared" si="11"/>
        <v>125</v>
      </c>
      <c r="G126">
        <f t="shared" si="7"/>
        <v>124</v>
      </c>
      <c r="H126">
        <f t="shared" si="12"/>
        <v>36</v>
      </c>
    </row>
    <row r="127" spans="6:8">
      <c r="F127">
        <f t="shared" si="11"/>
        <v>126</v>
      </c>
      <c r="G127">
        <f t="shared" si="7"/>
        <v>125</v>
      </c>
      <c r="H127">
        <f t="shared" si="12"/>
        <v>37</v>
      </c>
    </row>
    <row r="128" spans="6:8">
      <c r="F128">
        <f t="shared" si="11"/>
        <v>127</v>
      </c>
      <c r="G128">
        <f t="shared" si="7"/>
        <v>126</v>
      </c>
      <c r="H128">
        <f t="shared" si="12"/>
        <v>38</v>
      </c>
    </row>
    <row r="129" spans="6:8">
      <c r="F129">
        <f t="shared" si="11"/>
        <v>128</v>
      </c>
      <c r="G129">
        <f t="shared" si="7"/>
        <v>127</v>
      </c>
      <c r="H129">
        <f t="shared" si="12"/>
        <v>39</v>
      </c>
    </row>
    <row r="130" spans="6:8">
      <c r="F130">
        <f t="shared" si="11"/>
        <v>129</v>
      </c>
      <c r="G130">
        <f t="shared" si="7"/>
        <v>128</v>
      </c>
      <c r="H130">
        <f t="shared" si="12"/>
        <v>40</v>
      </c>
    </row>
    <row r="131" spans="6:8">
      <c r="F131">
        <f t="shared" si="11"/>
        <v>130</v>
      </c>
      <c r="G131">
        <f t="shared" ref="G131:G165" si="13">F131-1</f>
        <v>129</v>
      </c>
      <c r="H131">
        <f t="shared" si="12"/>
        <v>41</v>
      </c>
    </row>
    <row r="132" spans="6:8">
      <c r="F132">
        <f t="shared" ref="F132:F165" si="14">1+F131</f>
        <v>131</v>
      </c>
      <c r="G132">
        <f t="shared" si="13"/>
        <v>130</v>
      </c>
      <c r="H132">
        <f t="shared" ref="H132:H165" si="15">1+H131</f>
        <v>42</v>
      </c>
    </row>
    <row r="133" spans="6:8">
      <c r="F133">
        <f t="shared" si="14"/>
        <v>132</v>
      </c>
      <c r="G133">
        <f t="shared" si="13"/>
        <v>131</v>
      </c>
      <c r="H133">
        <f t="shared" si="15"/>
        <v>43</v>
      </c>
    </row>
    <row r="134" spans="6:8">
      <c r="F134">
        <f t="shared" si="14"/>
        <v>133</v>
      </c>
      <c r="G134">
        <f t="shared" si="13"/>
        <v>132</v>
      </c>
      <c r="H134">
        <f t="shared" si="15"/>
        <v>44</v>
      </c>
    </row>
    <row r="135" spans="6:8">
      <c r="F135">
        <f t="shared" si="14"/>
        <v>134</v>
      </c>
      <c r="G135">
        <f t="shared" si="13"/>
        <v>133</v>
      </c>
      <c r="H135">
        <f t="shared" si="15"/>
        <v>45</v>
      </c>
    </row>
    <row r="136" spans="6:8">
      <c r="F136">
        <f t="shared" si="14"/>
        <v>135</v>
      </c>
      <c r="G136">
        <f t="shared" si="13"/>
        <v>134</v>
      </c>
      <c r="H136">
        <f t="shared" si="15"/>
        <v>46</v>
      </c>
    </row>
    <row r="137" spans="6:8">
      <c r="F137">
        <f t="shared" si="14"/>
        <v>136</v>
      </c>
      <c r="G137">
        <f t="shared" si="13"/>
        <v>135</v>
      </c>
      <c r="H137">
        <f t="shared" si="15"/>
        <v>47</v>
      </c>
    </row>
    <row r="138" spans="6:8">
      <c r="F138">
        <f t="shared" si="14"/>
        <v>137</v>
      </c>
      <c r="G138">
        <f t="shared" si="13"/>
        <v>136</v>
      </c>
      <c r="H138">
        <f t="shared" si="15"/>
        <v>48</v>
      </c>
    </row>
    <row r="139" spans="6:8">
      <c r="F139">
        <f t="shared" si="14"/>
        <v>138</v>
      </c>
      <c r="G139">
        <f t="shared" si="13"/>
        <v>137</v>
      </c>
      <c r="H139">
        <f t="shared" si="15"/>
        <v>49</v>
      </c>
    </row>
    <row r="140" spans="6:8">
      <c r="F140">
        <f t="shared" si="14"/>
        <v>139</v>
      </c>
      <c r="G140">
        <f t="shared" si="13"/>
        <v>138</v>
      </c>
      <c r="H140">
        <f t="shared" si="15"/>
        <v>50</v>
      </c>
    </row>
    <row r="141" spans="6:8">
      <c r="F141">
        <f t="shared" si="14"/>
        <v>140</v>
      </c>
      <c r="G141">
        <f t="shared" si="13"/>
        <v>139</v>
      </c>
      <c r="H141">
        <f t="shared" si="15"/>
        <v>51</v>
      </c>
    </row>
    <row r="142" spans="6:8">
      <c r="F142">
        <f t="shared" si="14"/>
        <v>141</v>
      </c>
      <c r="G142">
        <f t="shared" si="13"/>
        <v>140</v>
      </c>
      <c r="H142">
        <f t="shared" si="15"/>
        <v>52</v>
      </c>
    </row>
    <row r="143" spans="6:8">
      <c r="F143">
        <f t="shared" si="14"/>
        <v>142</v>
      </c>
      <c r="G143">
        <f t="shared" si="13"/>
        <v>141</v>
      </c>
      <c r="H143">
        <f t="shared" si="15"/>
        <v>53</v>
      </c>
    </row>
    <row r="144" spans="6:8">
      <c r="F144">
        <f t="shared" si="14"/>
        <v>143</v>
      </c>
      <c r="G144">
        <f t="shared" si="13"/>
        <v>142</v>
      </c>
      <c r="H144">
        <f t="shared" si="15"/>
        <v>54</v>
      </c>
    </row>
    <row r="145" spans="6:8">
      <c r="F145">
        <f t="shared" si="14"/>
        <v>144</v>
      </c>
      <c r="G145">
        <f t="shared" si="13"/>
        <v>143</v>
      </c>
      <c r="H145">
        <f t="shared" si="15"/>
        <v>55</v>
      </c>
    </row>
    <row r="146" spans="6:8">
      <c r="F146">
        <f t="shared" si="14"/>
        <v>145</v>
      </c>
      <c r="G146">
        <f t="shared" si="13"/>
        <v>144</v>
      </c>
      <c r="H146">
        <f t="shared" si="15"/>
        <v>56</v>
      </c>
    </row>
    <row r="147" spans="6:8">
      <c r="F147">
        <f t="shared" si="14"/>
        <v>146</v>
      </c>
      <c r="G147">
        <f t="shared" si="13"/>
        <v>145</v>
      </c>
      <c r="H147">
        <f t="shared" si="15"/>
        <v>57</v>
      </c>
    </row>
    <row r="148" spans="6:8">
      <c r="F148">
        <f t="shared" si="14"/>
        <v>147</v>
      </c>
      <c r="G148">
        <f t="shared" si="13"/>
        <v>146</v>
      </c>
      <c r="H148">
        <f t="shared" si="15"/>
        <v>58</v>
      </c>
    </row>
    <row r="149" spans="6:8">
      <c r="F149">
        <f t="shared" si="14"/>
        <v>148</v>
      </c>
      <c r="G149">
        <f t="shared" si="13"/>
        <v>147</v>
      </c>
      <c r="H149">
        <f t="shared" si="15"/>
        <v>59</v>
      </c>
    </row>
    <row r="150" spans="6:8">
      <c r="F150">
        <f t="shared" si="14"/>
        <v>149</v>
      </c>
      <c r="G150">
        <f t="shared" si="13"/>
        <v>148</v>
      </c>
      <c r="H150">
        <f t="shared" si="15"/>
        <v>60</v>
      </c>
    </row>
    <row r="151" spans="6:8">
      <c r="F151">
        <f t="shared" si="14"/>
        <v>150</v>
      </c>
      <c r="G151">
        <f t="shared" si="13"/>
        <v>149</v>
      </c>
      <c r="H151">
        <f t="shared" si="15"/>
        <v>61</v>
      </c>
    </row>
    <row r="152" spans="6:8">
      <c r="F152">
        <f t="shared" si="14"/>
        <v>151</v>
      </c>
      <c r="G152">
        <f t="shared" si="13"/>
        <v>150</v>
      </c>
      <c r="H152">
        <f t="shared" si="15"/>
        <v>62</v>
      </c>
    </row>
    <row r="153" spans="6:8">
      <c r="F153">
        <f t="shared" si="14"/>
        <v>152</v>
      </c>
      <c r="G153">
        <f t="shared" si="13"/>
        <v>151</v>
      </c>
      <c r="H153">
        <f t="shared" si="15"/>
        <v>63</v>
      </c>
    </row>
    <row r="154" spans="6:8">
      <c r="F154">
        <f t="shared" si="14"/>
        <v>153</v>
      </c>
      <c r="G154">
        <f t="shared" si="13"/>
        <v>152</v>
      </c>
      <c r="H154">
        <f t="shared" si="15"/>
        <v>64</v>
      </c>
    </row>
    <row r="155" spans="6:8">
      <c r="F155">
        <f t="shared" si="14"/>
        <v>154</v>
      </c>
      <c r="G155">
        <f t="shared" si="13"/>
        <v>153</v>
      </c>
      <c r="H155">
        <f t="shared" si="15"/>
        <v>65</v>
      </c>
    </row>
    <row r="156" spans="6:8">
      <c r="F156">
        <f t="shared" si="14"/>
        <v>155</v>
      </c>
      <c r="G156">
        <f t="shared" si="13"/>
        <v>154</v>
      </c>
      <c r="H156">
        <f t="shared" si="15"/>
        <v>66</v>
      </c>
    </row>
    <row r="157" spans="6:8">
      <c r="F157">
        <f t="shared" si="14"/>
        <v>156</v>
      </c>
      <c r="G157">
        <f t="shared" si="13"/>
        <v>155</v>
      </c>
      <c r="H157">
        <f t="shared" si="15"/>
        <v>67</v>
      </c>
    </row>
    <row r="158" spans="6:8">
      <c r="F158">
        <f t="shared" si="14"/>
        <v>157</v>
      </c>
      <c r="G158">
        <f t="shared" si="13"/>
        <v>156</v>
      </c>
      <c r="H158">
        <f t="shared" si="15"/>
        <v>68</v>
      </c>
    </row>
    <row r="159" spans="6:8">
      <c r="F159">
        <f t="shared" si="14"/>
        <v>158</v>
      </c>
      <c r="G159">
        <f t="shared" si="13"/>
        <v>157</v>
      </c>
      <c r="H159">
        <f t="shared" si="15"/>
        <v>69</v>
      </c>
    </row>
    <row r="160" spans="6:8">
      <c r="F160">
        <f t="shared" si="14"/>
        <v>159</v>
      </c>
      <c r="G160">
        <f t="shared" si="13"/>
        <v>158</v>
      </c>
      <c r="H160">
        <f t="shared" si="15"/>
        <v>70</v>
      </c>
    </row>
    <row r="161" spans="6:8">
      <c r="F161">
        <f t="shared" si="14"/>
        <v>160</v>
      </c>
      <c r="G161">
        <f t="shared" si="13"/>
        <v>159</v>
      </c>
      <c r="H161">
        <f t="shared" si="15"/>
        <v>71</v>
      </c>
    </row>
    <row r="162" spans="6:8">
      <c r="F162">
        <f t="shared" si="14"/>
        <v>161</v>
      </c>
      <c r="G162">
        <f t="shared" si="13"/>
        <v>160</v>
      </c>
      <c r="H162">
        <f t="shared" si="15"/>
        <v>72</v>
      </c>
    </row>
    <row r="163" spans="6:8">
      <c r="F163">
        <f t="shared" si="14"/>
        <v>162</v>
      </c>
      <c r="G163">
        <f t="shared" si="13"/>
        <v>161</v>
      </c>
      <c r="H163">
        <f t="shared" si="15"/>
        <v>73</v>
      </c>
    </row>
    <row r="164" spans="6:8">
      <c r="F164">
        <f t="shared" si="14"/>
        <v>163</v>
      </c>
      <c r="G164">
        <f t="shared" si="13"/>
        <v>162</v>
      </c>
      <c r="H164">
        <f t="shared" si="15"/>
        <v>74</v>
      </c>
    </row>
    <row r="165" spans="6:8">
      <c r="F165">
        <f t="shared" si="14"/>
        <v>164</v>
      </c>
      <c r="G165">
        <f t="shared" si="13"/>
        <v>163</v>
      </c>
      <c r="H165">
        <f t="shared" si="15"/>
        <v>75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130"/>
  <sheetViews>
    <sheetView topLeftCell="A106" workbookViewId="0">
      <selection activeCell="B130" sqref="B130"/>
    </sheetView>
  </sheetViews>
  <sheetFormatPr baseColWidth="10" defaultRowHeight="13"/>
  <sheetData>
    <row r="1" spans="1:2">
      <c r="A1" t="s">
        <v>126</v>
      </c>
      <c r="B1" t="str">
        <f>A1</f>
        <v>N</v>
      </c>
    </row>
    <row r="2" spans="1:2">
      <c r="A2" t="s">
        <v>123</v>
      </c>
      <c r="B2" t="str">
        <f>B1&amp;A2</f>
        <v>NE</v>
      </c>
    </row>
    <row r="3" spans="1:2">
      <c r="A3" t="s">
        <v>134</v>
      </c>
      <c r="B3" t="str">
        <f t="shared" ref="B3:B66" si="0">B2&amp;A3</f>
        <v>NEG</v>
      </c>
    </row>
    <row r="4" spans="1:2">
      <c r="A4" t="s">
        <v>132</v>
      </c>
      <c r="B4" t="str">
        <f t="shared" si="0"/>
        <v>NEGD</v>
      </c>
    </row>
    <row r="5" spans="1:2">
      <c r="A5" t="s">
        <v>123</v>
      </c>
      <c r="B5" t="str">
        <f t="shared" si="0"/>
        <v>NEGDE</v>
      </c>
    </row>
    <row r="6" spans="1:2">
      <c r="A6" t="s">
        <v>123</v>
      </c>
      <c r="B6" t="str">
        <f t="shared" si="0"/>
        <v>NEGDEE</v>
      </c>
    </row>
    <row r="7" spans="1:2">
      <c r="A7" t="s">
        <v>138</v>
      </c>
      <c r="B7" t="str">
        <f t="shared" si="0"/>
        <v>NEGDEEF</v>
      </c>
    </row>
    <row r="8" spans="1:2">
      <c r="A8" t="s">
        <v>124</v>
      </c>
      <c r="B8" t="str">
        <f t="shared" si="0"/>
        <v>NEGDEEFT</v>
      </c>
    </row>
    <row r="9" spans="1:2">
      <c r="A9" t="s">
        <v>127</v>
      </c>
      <c r="B9" t="str">
        <f t="shared" si="0"/>
        <v>NEGDEEFTS</v>
      </c>
    </row>
    <row r="10" spans="1:2">
      <c r="A10" t="s">
        <v>123</v>
      </c>
      <c r="B10" t="str">
        <f t="shared" si="0"/>
        <v>NEGDEEFTSE</v>
      </c>
    </row>
    <row r="11" spans="1:2">
      <c r="A11" t="s">
        <v>126</v>
      </c>
      <c r="B11" t="str">
        <f t="shared" si="0"/>
        <v>NEGDEEFTSEN</v>
      </c>
    </row>
    <row r="12" spans="1:2">
      <c r="A12" t="s">
        <v>124</v>
      </c>
      <c r="B12" t="str">
        <f t="shared" si="0"/>
        <v>NEGDEEFTSENT</v>
      </c>
    </row>
    <row r="13" spans="1:2">
      <c r="A13" t="s">
        <v>127</v>
      </c>
      <c r="B13" t="str">
        <f t="shared" si="0"/>
        <v>NEGDEEFTSENTS</v>
      </c>
    </row>
    <row r="14" spans="1:2">
      <c r="A14" t="s">
        <v>105</v>
      </c>
      <c r="B14" t="str">
        <f t="shared" si="0"/>
        <v>NEGDEEFTSENTSY</v>
      </c>
    </row>
    <row r="15" spans="1:2">
      <c r="A15" t="s">
        <v>123</v>
      </c>
      <c r="B15" t="str">
        <f t="shared" si="0"/>
        <v>NEGDEEFTSENTSYE</v>
      </c>
    </row>
    <row r="16" spans="1:2">
      <c r="A16" t="s">
        <v>127</v>
      </c>
      <c r="B16" t="str">
        <f t="shared" si="0"/>
        <v>NEGDEEFTSENTSYES</v>
      </c>
    </row>
    <row r="17" spans="1:2">
      <c r="A17" t="s">
        <v>124</v>
      </c>
      <c r="B17" t="str">
        <f t="shared" si="0"/>
        <v>NEGDEEFTSENTSYEST</v>
      </c>
    </row>
    <row r="18" spans="1:2">
      <c r="A18" t="s">
        <v>123</v>
      </c>
      <c r="B18" t="str">
        <f t="shared" si="0"/>
        <v>NEGDEEFTSENTSYESTE</v>
      </c>
    </row>
    <row r="19" spans="1:2">
      <c r="A19" t="s">
        <v>105</v>
      </c>
      <c r="B19" t="str">
        <f t="shared" si="0"/>
        <v>NEGDEEFTSENTSYESTEY</v>
      </c>
    </row>
    <row r="20" spans="1:2">
      <c r="A20" t="s">
        <v>132</v>
      </c>
      <c r="B20" t="str">
        <f t="shared" si="0"/>
        <v>NEGDEEFTSENTSYESTEYD</v>
      </c>
    </row>
    <row r="21" spans="1:2">
      <c r="A21" t="s">
        <v>123</v>
      </c>
      <c r="B21" t="str">
        <f t="shared" si="0"/>
        <v>NEGDEEFTSENTSYESTEYDE</v>
      </c>
    </row>
    <row r="22" spans="1:2">
      <c r="A22" t="s">
        <v>127</v>
      </c>
      <c r="B22" t="str">
        <f t="shared" si="0"/>
        <v>NEGDEEFTSENTSYESTEYDES</v>
      </c>
    </row>
    <row r="23" spans="1:2">
      <c r="A23" t="s">
        <v>136</v>
      </c>
      <c r="B23" t="str">
        <f t="shared" si="0"/>
        <v>NEGDEEFTSENTSYESTEYDESC</v>
      </c>
    </row>
    <row r="24" spans="1:2">
      <c r="A24" t="s">
        <v>132</v>
      </c>
      <c r="B24" t="str">
        <f t="shared" si="0"/>
        <v>NEGDEEFTSENTSYESTEYDESCD</v>
      </c>
    </row>
    <row r="25" spans="1:2">
      <c r="A25" t="s">
        <v>111</v>
      </c>
      <c r="B25" t="str">
        <f t="shared" si="0"/>
        <v>NEGDEEFTSENTSYESTEYDESCDX</v>
      </c>
    </row>
    <row r="26" spans="1:2">
      <c r="A26" t="s">
        <v>126</v>
      </c>
      <c r="B26" t="str">
        <f t="shared" si="0"/>
        <v>NEGDEEFTSENTSYESTEYDESCDXN</v>
      </c>
    </row>
    <row r="27" spans="1:2">
      <c r="A27" t="s">
        <v>127</v>
      </c>
      <c r="B27" t="str">
        <f t="shared" si="0"/>
        <v>NEGDEEFTSENTSYESTEYDESCDXNS</v>
      </c>
    </row>
    <row r="28" spans="1:2">
      <c r="A28" t="s">
        <v>132</v>
      </c>
      <c r="B28" t="str">
        <f t="shared" si="0"/>
        <v>NEGDEEFTSENTSYESTEYDESCDXNSD</v>
      </c>
    </row>
    <row r="29" spans="1:2">
      <c r="A29" t="s">
        <v>132</v>
      </c>
      <c r="B29" t="str">
        <f t="shared" si="0"/>
        <v>NEGDEEFTSENTSYESTEYDESCDXNSDD</v>
      </c>
    </row>
    <row r="30" spans="1:2">
      <c r="A30" t="s">
        <v>132</v>
      </c>
      <c r="B30" t="str">
        <f t="shared" si="0"/>
        <v>NEGDEEFTSENTSYESTEYDESCDXNSDDD</v>
      </c>
    </row>
    <row r="31" spans="1:2">
      <c r="A31" t="s">
        <v>132</v>
      </c>
      <c r="B31" t="str">
        <f t="shared" si="0"/>
        <v>NEGDEEFTSENTSYESTEYDESCDXNSDDDD</v>
      </c>
    </row>
    <row r="32" spans="1:2">
      <c r="A32" t="s">
        <v>137</v>
      </c>
      <c r="B32" t="str">
        <f t="shared" si="0"/>
        <v>NEGDEEFTSENTSYESTEYDESCDXNSDDDDO</v>
      </c>
    </row>
    <row r="33" spans="1:2">
      <c r="A33" t="s">
        <v>126</v>
      </c>
      <c r="B33" t="str">
        <f t="shared" si="0"/>
        <v>NEGDEEFTSENTSYESTEYDESCDXNSDDDDON</v>
      </c>
    </row>
    <row r="34" spans="1:2">
      <c r="A34" t="s">
        <v>126</v>
      </c>
      <c r="B34" t="str">
        <f t="shared" si="0"/>
        <v>NEGDEEFTSENTSYESTEYDESCDXNSDDDDONN</v>
      </c>
    </row>
    <row r="35" spans="1:2">
      <c r="A35" t="s">
        <v>126</v>
      </c>
      <c r="B35" t="str">
        <f t="shared" si="0"/>
        <v>NEGDEEFTSENTSYESTEYDESCDXNSDDDDONNN</v>
      </c>
    </row>
    <row r="36" spans="1:2">
      <c r="A36" t="s">
        <v>127</v>
      </c>
      <c r="B36" t="str">
        <f t="shared" si="0"/>
        <v>NEGDEEFTSENTSYESTEYDESCDXNSDDDDONNNS</v>
      </c>
    </row>
    <row r="37" spans="1:2">
      <c r="A37" t="s">
        <v>105</v>
      </c>
      <c r="B37" t="str">
        <f t="shared" si="0"/>
        <v>NEGDEEFTSENTSYESTEYDESCDXNSDDDDONNNSY</v>
      </c>
    </row>
    <row r="38" spans="1:2">
      <c r="A38" t="s">
        <v>125</v>
      </c>
      <c r="B38" t="str">
        <f t="shared" si="0"/>
        <v>NEGDEEFTSENTSYESTEYDESCDXNSDDDDONNNSYW</v>
      </c>
    </row>
    <row r="39" spans="1:2">
      <c r="A39" t="s">
        <v>124</v>
      </c>
      <c r="B39" t="str">
        <f t="shared" si="0"/>
        <v>NEGDEEFTSENTSYESTEYDESCDXNSDDDDONNNSYWT</v>
      </c>
    </row>
    <row r="40" spans="1:2">
      <c r="A40" t="s">
        <v>127</v>
      </c>
      <c r="B40" t="str">
        <f t="shared" si="0"/>
        <v>NEGDEEFTSENTSYESTEYDESCDXNSDDDDONNNSYWTS</v>
      </c>
    </row>
    <row r="41" spans="1:2">
      <c r="A41" t="s">
        <v>132</v>
      </c>
      <c r="B41" t="str">
        <f t="shared" si="0"/>
        <v>NEGDEEFTSENTSYESTEYDESCDXNSDDDDONNNSYWTSD</v>
      </c>
    </row>
    <row r="42" spans="1:2">
      <c r="A42" t="s">
        <v>127</v>
      </c>
      <c r="B42" t="str">
        <f t="shared" si="0"/>
        <v>NEGDEEFTSENTSYESTEYDESCDXNSDDDDONNNSYWTSDS</v>
      </c>
    </row>
    <row r="43" spans="1:2">
      <c r="A43" t="s">
        <v>132</v>
      </c>
      <c r="B43" t="str">
        <f t="shared" si="0"/>
        <v>NEGDEEFTSENTSYESTEYDESCDXNSDDDDONNNSYWTSDSD</v>
      </c>
    </row>
    <row r="44" spans="1:2">
      <c r="A44" t="s">
        <v>124</v>
      </c>
      <c r="B44" t="str">
        <f t="shared" si="0"/>
        <v>NEGDEEFTSENTSYESTEYDESCDXNSDDDDONNNSYWTSDSDT</v>
      </c>
    </row>
    <row r="45" spans="1:2">
      <c r="A45" t="s">
        <v>123</v>
      </c>
      <c r="B45" t="str">
        <f t="shared" si="0"/>
        <v>NEGDEEFTSENTSYESTEYDESCDXNSDDDDONNNSYWTSDSDTE</v>
      </c>
    </row>
    <row r="46" spans="1:2">
      <c r="A46" t="s">
        <v>123</v>
      </c>
      <c r="B46" t="str">
        <f t="shared" si="0"/>
        <v>NEGDEEFTSENTSYESTEYDESCDXNSDDDDONNNSYWTSDSDTEE</v>
      </c>
    </row>
    <row r="47" spans="1:2">
      <c r="A47" t="s">
        <v>137</v>
      </c>
      <c r="B47" t="str">
        <f t="shared" si="0"/>
        <v>NEGDEEFTSENTSYESTEYDESCDXNSDDDDONNNSYWTSDSDTEEO</v>
      </c>
    </row>
    <row r="48" spans="1:2">
      <c r="A48" t="s">
        <v>127</v>
      </c>
      <c r="B48" t="str">
        <f t="shared" si="0"/>
        <v>NEGDEEFTSENTSYESTEYDESCDXNSDDDDONNNSYWTSDSDTEEOS</v>
      </c>
    </row>
    <row r="49" spans="1:2">
      <c r="A49" t="s">
        <v>123</v>
      </c>
      <c r="B49" t="str">
        <f t="shared" si="0"/>
        <v>NEGDEEFTSENTSYESTEYDESCDXNSDDDDONNNSYWTSDSDTEEOSE</v>
      </c>
    </row>
    <row r="50" spans="1:2">
      <c r="A50" t="s">
        <v>124</v>
      </c>
      <c r="B50" t="str">
        <f t="shared" si="0"/>
        <v>NEGDEEFTSENTSYESTEYDESCDXNSDDDDONNNSYWTSDSDTEEOSET</v>
      </c>
    </row>
    <row r="51" spans="1:2">
      <c r="A51" t="s">
        <v>126</v>
      </c>
      <c r="B51" t="str">
        <f t="shared" si="0"/>
        <v>NEGDEEFTSENTSYESTEYDESCDXNSDDDDONNNSYWTSDSDTEEOSETN</v>
      </c>
    </row>
    <row r="52" spans="1:2">
      <c r="A52" t="s">
        <v>105</v>
      </c>
      <c r="B52" t="str">
        <f t="shared" si="0"/>
        <v>NEGDEEFTSENTSYESTEYDESCDXNSDDDDONNNSYWTSDSDTEEOSETNY</v>
      </c>
    </row>
    <row r="53" spans="1:2">
      <c r="A53" t="s">
        <v>125</v>
      </c>
      <c r="B53" t="str">
        <f t="shared" si="0"/>
        <v>NEGDEEFTSENTSYESTEYDESCDXNSDDDDONNNSYWTSDSDTEEOSETNYW</v>
      </c>
    </row>
    <row r="54" spans="1:2">
      <c r="A54" t="s">
        <v>127</v>
      </c>
      <c r="B54" t="str">
        <f t="shared" si="0"/>
        <v>NEGDEEFTSENTSYESTEYDESCDXNSDDDDONNNSYWTSDSDTEEOSETNYWS</v>
      </c>
    </row>
    <row r="55" spans="1:2">
      <c r="A55" t="s">
        <v>127</v>
      </c>
      <c r="B55" t="str">
        <f t="shared" si="0"/>
        <v>NEGDEEFTSENTSYESTEYDESCDXNSDDDDONNNSYWTSDSDTEEOSETNYWSS</v>
      </c>
    </row>
    <row r="56" spans="1:2">
      <c r="A56" t="s">
        <v>127</v>
      </c>
      <c r="B56" t="str">
        <f t="shared" si="0"/>
        <v>NEGDEEFTSENTSYESTEYDESCDXNSDDDDONNNSYWTSDSDTEEOSETNYWSSS</v>
      </c>
    </row>
    <row r="57" spans="1:2">
      <c r="A57" t="s">
        <v>124</v>
      </c>
      <c r="B57" t="str">
        <f t="shared" si="0"/>
        <v>NEGDEEFTSENTSYESTEYDESCDXNSDDDDONNNSYWTSDSDTEEOSETNYWSSST</v>
      </c>
    </row>
    <row r="58" spans="1:2">
      <c r="A58" t="s">
        <v>123</v>
      </c>
      <c r="B58" t="str">
        <f t="shared" si="0"/>
        <v>NEGDEEFTSENTSYESTEYDESCDXNSDDDDONNNSYWTSDSDTEEOSETNYWSSSTE</v>
      </c>
    </row>
    <row r="59" spans="1:2">
      <c r="A59" t="s">
        <v>105</v>
      </c>
      <c r="B59" t="str">
        <f t="shared" si="0"/>
        <v>NEGDEEFTSENTSYESTEYDESCDXNSDDDDONNNSYWTSDSDTEEOSETNYWSSSTEY</v>
      </c>
    </row>
    <row r="60" spans="1:2">
      <c r="A60" t="s">
        <v>124</v>
      </c>
      <c r="B60" t="str">
        <f t="shared" si="0"/>
        <v>NEGDEEFTSENTSYESTEYDESCDXNSDDDDONNNSYWTSDSDTEEOSETNYWSSSTEYT</v>
      </c>
    </row>
    <row r="61" spans="1:2">
      <c r="A61" t="s">
        <v>127</v>
      </c>
      <c r="B61" t="str">
        <f t="shared" si="0"/>
        <v>NEGDEEFTSENTSYESTEYDESCDXNSDDDDONNNSYWTSDSDTEEOSETNYWSSSTEYTS</v>
      </c>
    </row>
    <row r="62" spans="1:2">
      <c r="A62" t="s">
        <v>105</v>
      </c>
      <c r="B62" t="str">
        <f t="shared" si="0"/>
        <v>NEGDEEFTSENTSYESTEYDESCDXNSDDDDONNNSYWTSDSDTEEOSETNYWSSSTEYTSY</v>
      </c>
    </row>
    <row r="63" spans="1:2">
      <c r="A63" t="s">
        <v>126</v>
      </c>
      <c r="B63" t="str">
        <f t="shared" si="0"/>
        <v>NEGDEEFTSENTSYESTEYDESCDXNSDDDDONNNSYWTSDSDTEEOSETNYWSSSTEYTSYN</v>
      </c>
    </row>
    <row r="64" spans="1:2">
      <c r="A64" t="s">
        <v>127</v>
      </c>
      <c r="B64" t="str">
        <f t="shared" si="0"/>
        <v>NEGDEEFTSENTSYESTEYDESCDXNSDDDDONNNSYWTSDSDTEEOSETNYWSSSTEYTSYNS</v>
      </c>
    </row>
    <row r="65" spans="1:2">
      <c r="A65" t="s">
        <v>111</v>
      </c>
      <c r="B65" t="str">
        <f t="shared" si="0"/>
        <v>NEGDEEFTSENTSYESTEYDESCDXNSDDDDONNNSYWTSDSDTEEOSETNYWSSSTEYTSYNSX</v>
      </c>
    </row>
    <row r="66" spans="1:2">
      <c r="A66" t="s">
        <v>124</v>
      </c>
      <c r="B66" t="str">
        <f t="shared" si="0"/>
        <v>NEGDEEFTSENTSYESTEYDESCDXNSDDDDONNNSYWTSDSDTEEOSETNYWSSSTEYTSYNSXT</v>
      </c>
    </row>
    <row r="67" spans="1:2">
      <c r="A67" t="s">
        <v>123</v>
      </c>
      <c r="B67" t="str">
        <f t="shared" ref="B67:B130" si="1">B66&amp;A67</f>
        <v>NEGDEEFTSENTSYESTEYDESCDXNSDDDDONNNSYWTSDSDTEEOSETNYWSSSTEYTSYNSXTE</v>
      </c>
    </row>
    <row r="68" spans="1:2">
      <c r="A68" t="s">
        <v>127</v>
      </c>
      <c r="B68" t="str">
        <f t="shared" si="1"/>
        <v>NEGDEEFTSENTSYESTEYDESCDXNSDDDDONNNSYWTSDSDTEEOSETNYWSSSTEYTSYNSXTES</v>
      </c>
    </row>
    <row r="69" spans="1:2">
      <c r="A69" t="s">
        <v>130</v>
      </c>
      <c r="B69" t="str">
        <f t="shared" si="1"/>
        <v>NEGDEEFTSENTSYESTEYDESCDXNSDDDDONNNSYWTSDSDTEEOSETNYWSSSTEYTSYNSXTESH</v>
      </c>
    </row>
    <row r="70" spans="1:2">
      <c r="A70" t="s">
        <v>105</v>
      </c>
      <c r="B70" t="str">
        <f t="shared" si="1"/>
        <v>NEGDEEFTSENTSYESTEYDESCDXNSDDDDONNNSYWTSDSDTEEOSETNYWSSSTEYTSYNSXTESHY</v>
      </c>
    </row>
    <row r="71" spans="1:2">
      <c r="A71" t="s">
        <v>124</v>
      </c>
      <c r="B71" t="str">
        <f t="shared" si="1"/>
        <v>NEGDEEFTSENTSYESTEYDESCDXNSDDDDONNNSYWTSDSDTEEOSETNYWSSSTEYTSYNSXTESHYT</v>
      </c>
    </row>
    <row r="72" spans="1:2">
      <c r="A72" t="s">
        <v>105</v>
      </c>
      <c r="B72" t="str">
        <f t="shared" si="1"/>
        <v>NEGDEEFTSENTSYESTEYDESCDXNSDDDDONNNSYWTSDSDTEEOSETNYWSSSTEYTSYNSXTESHYTY</v>
      </c>
    </row>
    <row r="73" spans="1:2">
      <c r="A73" t="s">
        <v>109</v>
      </c>
      <c r="B73" t="str">
        <f t="shared" si="1"/>
        <v>NEGDEEFTSENTSYESTEYDESCDXNSDDDDONNNSYWTSDSDTEEOSETNYWSSSTEYTSYNSXTESHYTYR</v>
      </c>
    </row>
    <row r="74" spans="1:2">
      <c r="A74" t="s">
        <v>124</v>
      </c>
      <c r="B74" t="str">
        <f t="shared" si="1"/>
        <v>NEGDEEFTSENTSYESTEYDESCDXNSDDDDONNNSYWTSDSDTEEOSETNYWSSSTEYTSYNSXTESHYTYRT</v>
      </c>
    </row>
    <row r="75" spans="1:2">
      <c r="A75" t="s">
        <v>109</v>
      </c>
      <c r="B75" t="str">
        <f t="shared" si="1"/>
        <v>NEGDEEFTSENTSYESTEYDESCDXNSDDDDONNNSYWTSDSDTEEOSETNYWSSSTEYTSYNSXTESHYTYRTR</v>
      </c>
    </row>
    <row r="76" spans="1:2">
      <c r="A76" t="s">
        <v>137</v>
      </c>
      <c r="B76" t="str">
        <f t="shared" si="1"/>
        <v>NEGDEEFTSENTSYESTEYDESCDXNSDDDDONNNSYWTSDSDTEEOSETNYWSSSTEYTSYNSXTESHYTYRTRO</v>
      </c>
    </row>
    <row r="77" spans="1:2">
      <c r="A77" t="s">
        <v>105</v>
      </c>
      <c r="B77" t="str">
        <f t="shared" si="1"/>
        <v>NEGDEEFTSENTSYESTEYDESCDXNSDDDDONNNSYWTSDSDTEEOSETNYWSSSTEYTSYNSXTESHYTYRTROY</v>
      </c>
    </row>
    <row r="78" spans="1:2">
      <c r="A78" t="s">
        <v>105</v>
      </c>
      <c r="B78" t="str">
        <f t="shared" si="1"/>
        <v>NEGDEEFTSENTSYESTEYDESCDXNSDDDDONNNSYWTSDSDTEEOSETNYWSSSTEYTSYNSXTESHYTYRTROYY</v>
      </c>
    </row>
    <row r="79" spans="1:2">
      <c r="A79" t="s">
        <v>123</v>
      </c>
      <c r="B79" t="str">
        <f t="shared" si="1"/>
        <v>NEGDEEFTSENTSYESTEYDESCDXNSDDDDONNNSYWTSDSDTEEOSETNYWSSSTEYTSYNSXTESHYTYRTROYYE</v>
      </c>
    </row>
    <row r="80" spans="1:2">
      <c r="A80" t="s">
        <v>127</v>
      </c>
      <c r="B80" t="str">
        <f t="shared" si="1"/>
        <v>NEGDEEFTSENTSYESTEYDESCDXNSDDDDONNNSYWTSDSDTEEOSETNYWSSSTEYTSYNSXTESHYTYRTROYYES</v>
      </c>
    </row>
    <row r="81" spans="1:2">
      <c r="A81" t="s">
        <v>138</v>
      </c>
      <c r="B81" t="str">
        <f t="shared" si="1"/>
        <v>NEGDEEFTSENTSYESTEYDESCDXNSDDDDONNNSYWTSDSDTEEOSETNYWSSSTEYTSYNSXTESHYTYRTROYYESF</v>
      </c>
    </row>
    <row r="82" spans="1:2">
      <c r="A82" t="s">
        <v>123</v>
      </c>
      <c r="B82" t="str">
        <f t="shared" si="1"/>
        <v>NEGDEEFTSENTSYESTEYDESCDXNSDDDDONNNSYWTSDSDTEEOSETNYWSSSTEYTSYNSXTESHYTYRTROYYESFE</v>
      </c>
    </row>
    <row r="83" spans="1:2">
      <c r="A83" t="s">
        <v>127</v>
      </c>
      <c r="B83" t="str">
        <f t="shared" si="1"/>
        <v>NEGDEEFTSENTSYESTEYDESCDXNSDDDDONNNSYWTSDSDTEEOSETNYWSSSTEYTSYNSXTESHYTYRTROYYESFES</v>
      </c>
    </row>
    <row r="84" spans="1:2">
      <c r="A84" t="s">
        <v>124</v>
      </c>
      <c r="B84" t="str">
        <f t="shared" si="1"/>
        <v>NEGDEEFTSENTSYESTEYDESCDXNSDDDDONNNSYWTSDSDTEEOSETNYWSSSTEYTSYNSXTESHYTYRTROYYESFEST</v>
      </c>
    </row>
    <row r="85" spans="1:2">
      <c r="A85" t="s">
        <v>132</v>
      </c>
      <c r="B85" t="str">
        <f t="shared" si="1"/>
        <v>NEGDEEFTSENTSYESTEYDESCDXNSDDDDONNNSYWTSDSDTEEOSETNYWSSSTEYTSYNSXTESHYTYRTROYYESFESTD</v>
      </c>
    </row>
    <row r="86" spans="1:2">
      <c r="A86" t="s">
        <v>109</v>
      </c>
      <c r="B86" t="str">
        <f t="shared" si="1"/>
        <v>NEGDEEFTSENTSYESTEYDESCDXNSDDDDONNNSYWTSDSDTEEOSETNYWSSSTEYTSYNSXTESHYTYRTROYYESFESTDR</v>
      </c>
    </row>
    <row r="87" spans="1:2">
      <c r="A87" t="s">
        <v>124</v>
      </c>
      <c r="B87" t="str">
        <f t="shared" si="1"/>
        <v>NEGDEEFTSENTSYESTEYDESCDXNSDDDDONNNSYWTSDSDTEEOSETNYWSSSTEYTSYNSXTESHYTYRTROYYESFESTDRT</v>
      </c>
    </row>
    <row r="88" spans="1:2">
      <c r="A88" t="s">
        <v>105</v>
      </c>
      <c r="B88" t="str">
        <f t="shared" si="1"/>
        <v>NEGDEEFTSENTSYESTEYDESCDXNSDDDDONNNSYWTSDSDTEEOSETNYWSSSTEYTSYNSXTESHYTYRTROYYESFESTDRTY</v>
      </c>
    </row>
    <row r="89" spans="1:2">
      <c r="A89" t="s">
        <v>127</v>
      </c>
      <c r="B89" t="str">
        <f t="shared" si="1"/>
        <v>NEGDEEFTSENTSYESTEYDESCDXNSDDDDONNNSYWTSDSDTEEOSETNYWSSSTEYTSYNSXTESHYTYRTROYYESFESTDRTYS</v>
      </c>
    </row>
    <row r="90" spans="1:2">
      <c r="A90" t="s">
        <v>132</v>
      </c>
      <c r="B90" t="str">
        <f t="shared" si="1"/>
        <v>NEGDEEFTSENTSYESTEYDESCDXNSDDDDONNNSYWTSDSDTEEOSETNYWSSSTEYTSYNSXTESHYTYRTROYYESFESTDRTYSD</v>
      </c>
    </row>
    <row r="91" spans="1:2">
      <c r="A91" t="s">
        <v>130</v>
      </c>
      <c r="B91" t="str">
        <f t="shared" si="1"/>
        <v>NEGDEEFTSENTSYESTEYDESCDXNSDDDDONNNSYWTSDSDTEEOSETNYWSSSTEYTSYNSXTESHYTYRTROYYESFESTDRTYSDH</v>
      </c>
    </row>
    <row r="92" spans="1:2">
      <c r="A92" t="s">
        <v>134</v>
      </c>
      <c r="B92" t="str">
        <f t="shared" si="1"/>
        <v>NEGDEEFTSENTSYESTEYDESCDXNSDDDDONNNSYWTSDSDTEEOSETNYWSSSTEYTSYNSXTESHYTYRTROYYESFESTDRTYSDHG</v>
      </c>
    </row>
    <row r="93" spans="1:2">
      <c r="A93" t="s">
        <v>127</v>
      </c>
      <c r="B93" t="str">
        <f t="shared" si="1"/>
        <v>NEGDEEFTSENTSYESTEYDESCDXNSDDDDONNNSYWTSDSDTEEOSETNYWSSSTEYTSYNSXTESHYTYRTROYYESFESTDRTYSDHGS</v>
      </c>
    </row>
    <row r="94" spans="1:2">
      <c r="A94" t="s">
        <v>133</v>
      </c>
      <c r="B94" t="str">
        <f t="shared" si="1"/>
        <v>NEGDEEFTSENTSYESTEYDESCDXNSDDDDONNNSYWTSDSDTEEOSETNYWSSSTEYTSYNSXTESHYTYRTROYYESFESTDRTYSDHGSI</v>
      </c>
    </row>
    <row r="95" spans="1:2">
      <c r="A95" t="s">
        <v>123</v>
      </c>
      <c r="B95" t="str">
        <f t="shared" si="1"/>
        <v>NEGDEEFTSENTSYESTEYDESCDXNSDDDDONNNSYWTSDSDTEEOSETNYWSSSTEYTSYNSXTESHYTYRTROYYESFESTDRTYSDHGSIE</v>
      </c>
    </row>
    <row r="96" spans="1:2">
      <c r="A96" t="s">
        <v>131</v>
      </c>
      <c r="B96" t="str">
        <f t="shared" si="1"/>
        <v>NEGDEEFTSENTSYESTEYDESCDXNSDDDDONNNSYWTSDSDTEEOSETNYWSSSTEYTSYNSXTESHYTYRTROYYESFESTDRTYSDHGSIEA</v>
      </c>
    </row>
    <row r="97" spans="1:2">
      <c r="A97" t="s">
        <v>105</v>
      </c>
      <c r="B97" t="str">
        <f t="shared" si="1"/>
        <v>NEGDEEFTSENTSYESTEYDESCDXNSDDDDONNNSYWTSDSDTEEOSETNYWSSSTEYTSYNSXTESHYTYRTROYYESFESTDRTYSDHGSIEAY</v>
      </c>
    </row>
    <row r="98" spans="1:2">
      <c r="A98" t="s">
        <v>130</v>
      </c>
      <c r="B98" t="str">
        <f t="shared" si="1"/>
        <v>NEGDEEFTSENTSYESTEYDESCDXNSDDDDONNNSYWTSDSDTEEOSETNYWSSSTEYTSYNSXTESHYTYRTROYYESFESTDRTYSDHGSIEAYH</v>
      </c>
    </row>
    <row r="99" spans="1:2">
      <c r="A99" t="s">
        <v>126</v>
      </c>
      <c r="B99" t="str">
        <f t="shared" si="1"/>
        <v>NEGDEEFTSENTSYESTEYDESCDXNSDDDDONNNSYWTSDSDTEEOSETNYWSSSTEYTSYNSXTESHYTYRTROYYESFESTDRTYSDHGSIEAYHN</v>
      </c>
    </row>
    <row r="100" spans="1:2">
      <c r="A100" t="s">
        <v>109</v>
      </c>
      <c r="B100" t="str">
        <f t="shared" si="1"/>
        <v>NEGDEEFTSENTSYESTEYDESCDXNSDDDDONNNSYWTSDSDTEEOSETNYWSSSTEYTSYNSXTESHYTYRTROYYESFESTDRTYSDHGSIEAYHNR</v>
      </c>
    </row>
    <row r="101" spans="1:2">
      <c r="A101" t="s">
        <v>124</v>
      </c>
      <c r="B101" t="str">
        <f t="shared" si="1"/>
        <v>NEGDEEFTSENTSYESTEYDESCDXNSDDDDONNNSYWTSDSDTEEOSETNYWSSSTEYTSYNSXTESHYTYRTROYYESFESTDRTYSDHGSIEAYHNRT</v>
      </c>
    </row>
    <row r="102" spans="1:2">
      <c r="A102" t="s">
        <v>132</v>
      </c>
      <c r="B102" t="str">
        <f t="shared" si="1"/>
        <v>NEGDEEFTSENTSYESTEYDESCDXNSDDDDONNNSYWTSDSDTEEOSETNYWSSSTEYTSYNSXTESHYTYRTROYYESFESTDRTYSDHGSIEAYHNRTD</v>
      </c>
    </row>
    <row r="103" spans="1:2">
      <c r="A103" t="s">
        <v>109</v>
      </c>
      <c r="B103" t="str">
        <f t="shared" si="1"/>
        <v>NEGDEEFTSENTSYESTEYDESCDXNSDDDDONNNSYWTSDSDTEEOSETNYWSSSTEYTSYNSXTESHYTYRTROYYESFESTDRTYSDHGSIEAYHNRTDR</v>
      </c>
    </row>
    <row r="104" spans="1:2">
      <c r="A104" t="s">
        <v>126</v>
      </c>
      <c r="B104" t="str">
        <f t="shared" si="1"/>
        <v>NEGDEEFTSENTSYESTEYDESCDXNSDDDDONNNSYWTSDSDTEEOSETNYWSSSTEYTSYNSXTESHYTYRTROYYESFESTDRTYSDHGSIEAYHNRTDRN</v>
      </c>
    </row>
    <row r="105" spans="1:2">
      <c r="A105" t="s">
        <v>134</v>
      </c>
      <c r="B105" t="str">
        <f t="shared" si="1"/>
        <v>NEGDEEFTSENTSYESTEYDESCDXNSDDDDONNNSYWTSDSDTEEOSETNYWSSSTEYTSYNSXTESHYTYRTROYYESFESTDRTYSDHGSIEAYHNRTDRNG</v>
      </c>
    </row>
    <row r="106" spans="1:2">
      <c r="A106" t="s">
        <v>123</v>
      </c>
      <c r="B106" t="str">
        <f t="shared" si="1"/>
        <v>NEGDEEFTSENTSYESTEYDESCDXNSDDDDONNNSYWTSDSDTEEOSETNYWSSSTEYTSYNSXTESHYTYRTROYYESFESTDRTYSDHGSIEAYHNRTDRNGE</v>
      </c>
    </row>
    <row r="107" spans="1:2">
      <c r="A107" t="s">
        <v>132</v>
      </c>
      <c r="B107" t="str">
        <f t="shared" si="1"/>
        <v>NEGDEEFTSENTSYESTEYDESCDXNSDDDDONNNSYWTSDSDTEEOSETNYWSSSTEYTSYNSXTESHYTYRTROYYESFESTDRTYSDHGSIEAYHNRTDRNGED</v>
      </c>
    </row>
    <row r="108" spans="1:2">
      <c r="A108" t="s">
        <v>123</v>
      </c>
      <c r="B108" t="str">
        <f t="shared" si="1"/>
        <v>NEGDEEFTSENTSYESTEYDESCDXNSDDDDONNNSYWTSDSDTEEOSETNYWSSSTEYTSYNSXTESHYTYRTROYYESFESTDRTYSDHGSIEAYHNRTDRNGEDE</v>
      </c>
    </row>
    <row r="109" spans="1:2">
      <c r="A109" t="s">
        <v>132</v>
      </c>
      <c r="B109" t="str">
        <f t="shared" si="1"/>
        <v>NEGDEEFTSENTSYESTEYDESCDXNSDDDDONNNSYWTSDSDTEEOSETNYWSSSTEYTSYNSXTESHYTYRTROYYESFESTDRTYSDHGSIEAYHNRTDRNGEDED</v>
      </c>
    </row>
    <row r="110" spans="1:2">
      <c r="A110" t="s">
        <v>132</v>
      </c>
      <c r="B110" t="str">
        <f t="shared" si="1"/>
        <v>NEGDEEFTSENTSYESTEYDESCDXNSDDDDONNNSYWTSDSDTEEOSETNYWSSSTEYTSYNSXTESHYTYRTROYYESFESTDRTYSDHGSIEAYHNRTDRNGEDEDD</v>
      </c>
    </row>
    <row r="111" spans="1:2">
      <c r="A111" t="s">
        <v>124</v>
      </c>
      <c r="B111" t="str">
        <f t="shared" si="1"/>
        <v>NEGDEEFTSENTSYESTEYDESCDXNSDDDDONNNSYWTSDSDTEEOSETNYWSSSTEYTSYNSXTESHYTYRTROYYESFESTDRTYSDHGSIEAYHNRTDRNGEDEDDT</v>
      </c>
    </row>
    <row r="112" spans="1:2">
      <c r="A112" t="s">
        <v>109</v>
      </c>
      <c r="B112" t="str">
        <f t="shared" si="1"/>
        <v>NEGDEEFTSENTSYESTEYDESCDXNSDDDDONNNSYWTSDSDTEEOSETNYWSSSTEYTSYNSXTESHYTYRTROYYESFESTDRTYSDHGSIEAYHNRTDRNGEDEDDTR</v>
      </c>
    </row>
    <row r="113" spans="1:2">
      <c r="A113" t="s">
        <v>134</v>
      </c>
      <c r="B113" t="str">
        <f t="shared" si="1"/>
        <v>NEGDEEFTSENTSYESTEYDESCDXNSDDDDONNNSYWTSDSDTEEOSETNYWSSSTEYTSYNSXTESHYTYRTROYYESFESTDRTYSDHGSIEAYHNRTDRNGEDEDDTRG</v>
      </c>
    </row>
    <row r="114" spans="1:2">
      <c r="A114" t="s">
        <v>110</v>
      </c>
      <c r="B114" t="str">
        <f t="shared" si="1"/>
        <v>NEGDEEFTSENTSYESTEYDESCDXNSDDDDONNNSYWTSDSDTEEOSETNYWSSSTEYTSYNSXTESHYTYRTROYYESFESTDRTYSDHGSIEAYHNRTDRNGEDEDDTRGM</v>
      </c>
    </row>
    <row r="115" spans="1:2">
      <c r="A115" t="s">
        <v>109</v>
      </c>
      <c r="B115" t="str">
        <f t="shared" si="1"/>
        <v>NEGDEEFTSENTSYESTEYDESCDXNSDDDDONNNSYWTSDSDTEEOSETNYWSSSTEYTSYNSXTESHYTYRTROYYESFESTDRTYSDHGSIEAYHNRTDRNGEDEDDTRGMR</v>
      </c>
    </row>
    <row r="116" spans="1:2">
      <c r="A116" t="s">
        <v>132</v>
      </c>
      <c r="B116" t="str">
        <f t="shared" si="1"/>
        <v>NEGDEEFTSENTSYESTEYDESCDXNSDDDDONNNSYWTSDSDTEEOSETNYWSSSTEYTSYNSXTESHYTYRTROYYESFESTDRTYSDHGSIEAYHNRTDRNGEDEDDTRGMRD</v>
      </c>
    </row>
    <row r="117" spans="1:2">
      <c r="A117" t="s">
        <v>123</v>
      </c>
      <c r="B117" t="str">
        <f t="shared" si="1"/>
        <v>NEGDEEFTSENTSYESTEYDESCDXNSDDDDONNNSYWTSDSDTEEOSETNYWSSSTEYTSYNSXTESHYTYRTROYYESFESTDRTYSDHGSIEAYHNRTDRNGEDEDDTRGMRDE</v>
      </c>
    </row>
    <row r="118" spans="1:2">
      <c r="A118" t="s">
        <v>109</v>
      </c>
      <c r="B118" t="str">
        <f t="shared" si="1"/>
        <v>NEGDEEFTSENTSYESTEYDESCDXNSDDDDONNNSYWTSDSDTEEOSETNYWSSSTEYTSYNSXTESHYTYRTROYYESFESTDRTYSDHGSIEAYHNRTDRNGEDEDDTRGMRDER</v>
      </c>
    </row>
    <row r="119" spans="1:2">
      <c r="A119" t="s">
        <v>124</v>
      </c>
      <c r="B119" t="str">
        <f t="shared" si="1"/>
        <v>NEGDEEFTSENTSYESTEYDESCDXNSDDDDONNNSYWTSDSDTEEOSETNYWSSSTEYTSYNSXTESHYTYRTROYYESFESTDRTYSDHGSIEAYHNRTDRNGEDEDDTRGMRDERT</v>
      </c>
    </row>
    <row r="120" spans="1:2">
      <c r="A120" t="s">
        <v>105</v>
      </c>
      <c r="B120" t="str">
        <f t="shared" si="1"/>
        <v>NEGDEEFTSENTSYESTEYDESCDXNSDDDDONNNSYWTSDSDTEEOSETNYWSSSTEYTSYNSXTESHYTYRTROYYESFESTDRTYSDHGSIEAYHNRTDRNGEDEDDTRGMRDERTY</v>
      </c>
    </row>
    <row r="121" spans="1:2">
      <c r="A121" t="s">
        <v>127</v>
      </c>
      <c r="B121" t="str">
        <f t="shared" si="1"/>
        <v>NEGDEEFTSENTSYESTEYDESCDXNSDDDDONNNSYWTSDSDTEEOSETNYWSSSTEYTSYNSXTESHYTYRTROYYESFESTDRTYSDHGSIEAYHNRTDRNGEDEDDTRGMRDERTYS</v>
      </c>
    </row>
    <row r="122" spans="1:2">
      <c r="A122" t="s">
        <v>110</v>
      </c>
      <c r="B122" t="str">
        <f t="shared" si="1"/>
        <v>NEGDEEFTSENTSYESTEYDESCDXNSDDDDONNNSYWTSDSDTEEOSETNYWSSSTEYTSYNSXTESHYTYRTROYYESFESTDRTYSDHGSIEAYHNRTDRNGEDEDDTRGMRDERTYSM</v>
      </c>
    </row>
    <row r="123" spans="1:2">
      <c r="A123" t="s">
        <v>126</v>
      </c>
      <c r="B123" t="str">
        <f t="shared" si="1"/>
        <v>NEGDEEFTSENTSYESTEYDESCDXNSDDDDONNNSYWTSDSDTEEOSETNYWSSSTEYTSYNSXTESHYTYRTROYYESFESTDRTYSDHGSIEAYHNRTDRNGEDEDDTRGMRDERTYSMN</v>
      </c>
    </row>
    <row r="124" spans="1:2">
      <c r="A124" t="s">
        <v>132</v>
      </c>
      <c r="B124" t="str">
        <f t="shared" si="1"/>
        <v>NEGDEEFTSENTSYESTEYDESCDXNSDDDDONNNSYWTSDSDTEEOSETNYWSSSTEYTSYNSXTESHYTYRTROYYESFESTDRTYSDHGSIEAYHNRTDRNGEDEDDTRGMRDERTYSMND</v>
      </c>
    </row>
    <row r="125" spans="1:2">
      <c r="A125" t="s">
        <v>124</v>
      </c>
      <c r="B125" t="str">
        <f t="shared" si="1"/>
        <v>NEGDEEFTSENTSYESTEYDESCDXNSDDDDONNNSYWTSDSDTEEOSETNYWSSSTEYTSYNSXTESHYTYRTROYYESFESTDRTYSDHGSIEAYHNRTDRNGEDEDDTRGMRDERTYSMNDT</v>
      </c>
    </row>
    <row r="126" spans="1:2">
      <c r="A126" t="s">
        <v>126</v>
      </c>
      <c r="B126" t="str">
        <f t="shared" si="1"/>
        <v>NEGDEEFTSENTSYESTEYDESCDXNSDDDDONNNSYWTSDSDTEEOSETNYWSSSTEYTSYNSXTESHYTYRTROYYESFESTDRTYSDHGSIEAYHNRTDRNGEDEDDTRGMRDERTYSMNDTN</v>
      </c>
    </row>
    <row r="127" spans="1:2">
      <c r="A127" t="s">
        <v>128</v>
      </c>
      <c r="B127" t="str">
        <f t="shared" si="1"/>
        <v>NEGDEEFTSENTSYESTEYDESCDXNSDDDDONNNSYWTSDSDTEEOSETNYWSSSTEYTSYNSXTESHYTYRTROYYESFESTDRTYSDHGSIEAYHNRTDRNGEDEDDTRGMRDERTYSMNDTNU</v>
      </c>
    </row>
    <row r="128" spans="1:2">
      <c r="A128" t="s">
        <v>123</v>
      </c>
      <c r="B128" t="str">
        <f t="shared" si="1"/>
        <v>NEGDEEFTSENTSYESTEYDESCDXNSDDDDONNNSYWTSDSDTEEOSETNYWSSSTEYTSYNSXTESHYTYRTROYYESFESTDRTYSDHGSIEAYHNRTDRNGEDEDDTRGMRDERTYSMNDTNUE</v>
      </c>
    </row>
    <row r="129" spans="1:2">
      <c r="A129" t="s">
        <v>134</v>
      </c>
      <c r="B129" t="str">
        <f t="shared" si="1"/>
        <v>NEGDEEFTSENTSYESTEYDESCDXNSDDDDONNNSYWTSDSDTEEOSETNYWSSSTEYTSYNSXTESHYTYRTROYYESFESTDRTYSDHGSIEAYHNRTDRNGEDEDDTRGMRDERTYSMNDTNUEG</v>
      </c>
    </row>
    <row r="130" spans="1:2">
      <c r="A130" t="s">
        <v>139</v>
      </c>
      <c r="B130" t="str">
        <f t="shared" si="1"/>
        <v>NEGDEEFTSENTSYESTEYDESCDXNSDDDDONNNSYWTSDSDTEEOSETNYWSSSTEYTSYNSXTESHYTYRTROYYESFESTDRTYSDHGSIEAYHNRTDRNGEDEDDTRGMRDERTYSMNDTNUEGQ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Layer 2 and 3 (2)</vt:lpstr>
      <vt:lpstr>Sheet1</vt:lpstr>
      <vt:lpstr>Sheet2</vt:lpstr>
      <vt:lpstr>Matches</vt:lpstr>
      <vt:lpstr>Remains</vt:lpstr>
      <vt:lpstr>Sheet3</vt:lpstr>
      <vt:lpstr>Sheet4</vt:lpstr>
      <vt:lpstr>Layer 2 and 3</vt:lpstr>
      <vt:lpstr>SDS</vt:lpstr>
      <vt:lpstr>Sheet7</vt:lpstr>
      <vt:lpstr>Sheet6</vt:lpstr>
      <vt:lpstr>Sheet8</vt:lpstr>
    </vt:vector>
  </TitlesOfParts>
  <Company>Rivium Pty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O'Neill</dc:creator>
  <cp:lastModifiedBy>Michael O'Neill</cp:lastModifiedBy>
  <dcterms:created xsi:type="dcterms:W3CDTF">2024-04-20T05:14:25Z</dcterms:created>
  <dcterms:modified xsi:type="dcterms:W3CDTF">2024-04-29T00:11:26Z</dcterms:modified>
</cp:coreProperties>
</file>