
<file path=[Content_Types].xml><?xml version="1.0" encoding="utf-8"?>
<Types xmlns="http://schemas.openxmlformats.org/package/2006/content-types"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harts/chart1.xml" ContentType="application/vnd.openxmlformats-officedocument.drawingml.chart+xml"/>
  <Default Extension="rels" ContentType="application/vnd.openxmlformats-package.relationships+xml"/>
  <Override PartName="/xl/drawings/drawing1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780" yWindow="380" windowWidth="46720" windowHeight="26100" tabRatio="500" activeTab="1"/>
  </bookViews>
  <sheets>
    <sheet name="LinearOffsetAnalysis" sheetId="1" r:id="rId1"/>
    <sheet name="Sheet1" sheetId="2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D82" i="1"/>
  <c r="A2"/>
  <c r="A3"/>
  <c r="B3"/>
  <c r="A4"/>
  <c r="B4"/>
  <c r="A5"/>
  <c r="B5"/>
  <c r="A6"/>
  <c r="B6"/>
  <c r="A7"/>
  <c r="B7"/>
  <c r="A8"/>
  <c r="B8"/>
  <c r="A9"/>
  <c r="B9"/>
  <c r="A10"/>
  <c r="B10"/>
  <c r="A11"/>
  <c r="B11"/>
  <c r="A12"/>
  <c r="B12"/>
  <c r="A13"/>
  <c r="B13"/>
  <c r="A14"/>
  <c r="B14"/>
  <c r="A15"/>
  <c r="B15"/>
  <c r="A16"/>
  <c r="B16"/>
  <c r="A17"/>
  <c r="B17"/>
  <c r="A18"/>
  <c r="B18"/>
  <c r="A19"/>
  <c r="B19"/>
  <c r="A20"/>
  <c r="B20"/>
  <c r="A21"/>
  <c r="B21"/>
  <c r="A22"/>
  <c r="B22"/>
  <c r="A23"/>
  <c r="B23"/>
  <c r="A24"/>
  <c r="B24"/>
  <c r="A25"/>
  <c r="B25"/>
  <c r="A26"/>
  <c r="B26"/>
  <c r="A27"/>
  <c r="B27"/>
  <c r="A28"/>
  <c r="B28"/>
  <c r="A29"/>
  <c r="B29"/>
  <c r="A30"/>
  <c r="B30"/>
  <c r="A31"/>
  <c r="B31"/>
  <c r="A32"/>
  <c r="B32"/>
  <c r="A33"/>
  <c r="B33"/>
  <c r="A34"/>
  <c r="B34"/>
  <c r="A35"/>
  <c r="B35"/>
  <c r="A36"/>
  <c r="B36"/>
  <c r="A37"/>
  <c r="B37"/>
  <c r="A38"/>
  <c r="B38"/>
  <c r="A39"/>
  <c r="B39"/>
  <c r="A40"/>
  <c r="B40"/>
  <c r="A41"/>
  <c r="B41"/>
  <c r="A42"/>
  <c r="B42"/>
  <c r="A43"/>
  <c r="B43"/>
  <c r="A44"/>
  <c r="B44"/>
  <c r="A45"/>
  <c r="B45"/>
  <c r="A46"/>
  <c r="B46"/>
  <c r="A47"/>
  <c r="B47"/>
  <c r="A48"/>
  <c r="B48"/>
  <c r="A49"/>
  <c r="B49"/>
  <c r="A50"/>
  <c r="B50"/>
  <c r="A51"/>
  <c r="B51"/>
  <c r="A52"/>
  <c r="B52"/>
  <c r="A53"/>
  <c r="B53"/>
  <c r="A54"/>
  <c r="B54"/>
  <c r="A55"/>
  <c r="B55"/>
  <c r="A56"/>
  <c r="B56"/>
  <c r="A57"/>
  <c r="B57"/>
  <c r="A58"/>
  <c r="B58"/>
  <c r="A59"/>
  <c r="B59"/>
  <c r="A60"/>
  <c r="B60"/>
  <c r="A61"/>
  <c r="B61"/>
  <c r="A62"/>
  <c r="B62"/>
  <c r="A63"/>
  <c r="B63"/>
  <c r="A64"/>
  <c r="B64"/>
  <c r="A65"/>
  <c r="B65"/>
  <c r="A66"/>
  <c r="B66"/>
  <c r="A67"/>
  <c r="B67"/>
  <c r="A68"/>
  <c r="B68"/>
  <c r="A69"/>
  <c r="B69"/>
  <c r="A70"/>
  <c r="B70"/>
  <c r="A71"/>
  <c r="B71"/>
  <c r="A72"/>
  <c r="B72"/>
  <c r="A73"/>
  <c r="B73"/>
  <c r="A74"/>
  <c r="B74"/>
  <c r="A75"/>
  <c r="B75"/>
  <c r="A76"/>
  <c r="B76"/>
  <c r="A77"/>
  <c r="B77"/>
  <c r="A78"/>
  <c r="B78"/>
  <c r="A79"/>
  <c r="B79"/>
  <c r="A80"/>
  <c r="B80"/>
  <c r="A81"/>
  <c r="B81"/>
  <c r="A82"/>
  <c r="B82"/>
  <c r="A83"/>
  <c r="B83"/>
  <c r="A84"/>
  <c r="B84"/>
  <c r="A85"/>
  <c r="B85"/>
  <c r="A86"/>
  <c r="B86"/>
  <c r="A87"/>
  <c r="B87"/>
  <c r="A88"/>
  <c r="B88"/>
  <c r="A89"/>
  <c r="B89"/>
  <c r="A90"/>
  <c r="B90"/>
  <c r="A91"/>
  <c r="B91"/>
  <c r="A92"/>
  <c r="B92"/>
  <c r="A93"/>
  <c r="B93"/>
  <c r="A94"/>
  <c r="B94"/>
  <c r="A95"/>
  <c r="B95"/>
  <c r="A96"/>
  <c r="B96"/>
  <c r="A97"/>
  <c r="B97"/>
  <c r="A98"/>
  <c r="B98"/>
  <c r="A99"/>
  <c r="B99"/>
  <c r="A100"/>
  <c r="B100"/>
  <c r="B2"/>
  <c r="C20"/>
  <c r="C3"/>
  <c r="C4"/>
  <c r="C5"/>
  <c r="C6"/>
  <c r="C7"/>
  <c r="C8"/>
  <c r="C9"/>
  <c r="C10"/>
  <c r="C11"/>
  <c r="C12"/>
  <c r="C13"/>
  <c r="C14"/>
  <c r="C15"/>
  <c r="C16"/>
  <c r="C17"/>
  <c r="C18"/>
  <c r="C19"/>
  <c r="C21"/>
  <c r="C22"/>
  <c r="C23"/>
  <c r="C24"/>
  <c r="C25"/>
  <c r="C26"/>
  <c r="AC3"/>
  <c r="D1"/>
  <c r="D20"/>
  <c r="D3"/>
  <c r="D4"/>
  <c r="D5"/>
  <c r="D6"/>
  <c r="D7"/>
  <c r="D8"/>
  <c r="D9"/>
  <c r="D10"/>
  <c r="D11"/>
  <c r="D12"/>
  <c r="D13"/>
  <c r="D14"/>
  <c r="D15"/>
  <c r="D16"/>
  <c r="D17"/>
  <c r="D18"/>
  <c r="D19"/>
  <c r="D21"/>
  <c r="D22"/>
  <c r="D23"/>
  <c r="D24"/>
  <c r="D25"/>
  <c r="D26"/>
  <c r="AD3"/>
  <c r="E1"/>
  <c r="E20"/>
  <c r="E3"/>
  <c r="E4"/>
  <c r="E5"/>
  <c r="E6"/>
  <c r="E7"/>
  <c r="E8"/>
  <c r="E9"/>
  <c r="E10"/>
  <c r="E11"/>
  <c r="E12"/>
  <c r="E13"/>
  <c r="E14"/>
  <c r="E15"/>
  <c r="E16"/>
  <c r="E17"/>
  <c r="E18"/>
  <c r="E19"/>
  <c r="E21"/>
  <c r="E22"/>
  <c r="E23"/>
  <c r="E24"/>
  <c r="E25"/>
  <c r="E26"/>
  <c r="AE3"/>
  <c r="F1"/>
  <c r="F20"/>
  <c r="F3"/>
  <c r="F4"/>
  <c r="F5"/>
  <c r="F6"/>
  <c r="F7"/>
  <c r="F8"/>
  <c r="F9"/>
  <c r="F10"/>
  <c r="F11"/>
  <c r="F12"/>
  <c r="F13"/>
  <c r="F14"/>
  <c r="F15"/>
  <c r="F16"/>
  <c r="F17"/>
  <c r="F18"/>
  <c r="F19"/>
  <c r="F21"/>
  <c r="F22"/>
  <c r="F23"/>
  <c r="F24"/>
  <c r="F25"/>
  <c r="F26"/>
  <c r="AF3"/>
  <c r="G1"/>
  <c r="G20"/>
  <c r="G3"/>
  <c r="G4"/>
  <c r="G5"/>
  <c r="G6"/>
  <c r="G7"/>
  <c r="G8"/>
  <c r="G9"/>
  <c r="G10"/>
  <c r="G11"/>
  <c r="G12"/>
  <c r="G13"/>
  <c r="G14"/>
  <c r="G15"/>
  <c r="G16"/>
  <c r="G17"/>
  <c r="G18"/>
  <c r="G19"/>
  <c r="G21"/>
  <c r="G22"/>
  <c r="G23"/>
  <c r="G24"/>
  <c r="G25"/>
  <c r="G26"/>
  <c r="AG3"/>
  <c r="H1"/>
  <c r="H20"/>
  <c r="H3"/>
  <c r="H4"/>
  <c r="H5"/>
  <c r="H6"/>
  <c r="H7"/>
  <c r="H8"/>
  <c r="H9"/>
  <c r="H10"/>
  <c r="H11"/>
  <c r="H12"/>
  <c r="H13"/>
  <c r="H14"/>
  <c r="H15"/>
  <c r="H16"/>
  <c r="H17"/>
  <c r="H18"/>
  <c r="H19"/>
  <c r="H21"/>
  <c r="H22"/>
  <c r="H23"/>
  <c r="H24"/>
  <c r="H25"/>
  <c r="H26"/>
  <c r="AH3"/>
  <c r="I1"/>
  <c r="I20"/>
  <c r="I3"/>
  <c r="I4"/>
  <c r="I5"/>
  <c r="I6"/>
  <c r="I7"/>
  <c r="I8"/>
  <c r="I9"/>
  <c r="I10"/>
  <c r="I11"/>
  <c r="I12"/>
  <c r="I13"/>
  <c r="I14"/>
  <c r="I15"/>
  <c r="I16"/>
  <c r="I17"/>
  <c r="I18"/>
  <c r="I19"/>
  <c r="I21"/>
  <c r="I22"/>
  <c r="I23"/>
  <c r="I24"/>
  <c r="I25"/>
  <c r="I26"/>
  <c r="AI3"/>
  <c r="J1"/>
  <c r="J20"/>
  <c r="J3"/>
  <c r="J4"/>
  <c r="J5"/>
  <c r="J6"/>
  <c r="J7"/>
  <c r="J8"/>
  <c r="J9"/>
  <c r="J10"/>
  <c r="J11"/>
  <c r="J12"/>
  <c r="J13"/>
  <c r="J14"/>
  <c r="J15"/>
  <c r="J16"/>
  <c r="J17"/>
  <c r="J18"/>
  <c r="J19"/>
  <c r="J21"/>
  <c r="J22"/>
  <c r="J23"/>
  <c r="J24"/>
  <c r="J25"/>
  <c r="J26"/>
  <c r="AJ3"/>
  <c r="K1"/>
  <c r="K20"/>
  <c r="K3"/>
  <c r="K4"/>
  <c r="K5"/>
  <c r="K6"/>
  <c r="K7"/>
  <c r="K8"/>
  <c r="K9"/>
  <c r="K10"/>
  <c r="K11"/>
  <c r="K12"/>
  <c r="K13"/>
  <c r="K14"/>
  <c r="K15"/>
  <c r="K16"/>
  <c r="K17"/>
  <c r="K18"/>
  <c r="K19"/>
  <c r="K21"/>
  <c r="K22"/>
  <c r="K23"/>
  <c r="K24"/>
  <c r="K25"/>
  <c r="K26"/>
  <c r="AK3"/>
  <c r="L1"/>
  <c r="L20"/>
  <c r="L3"/>
  <c r="L4"/>
  <c r="L5"/>
  <c r="L6"/>
  <c r="L7"/>
  <c r="L8"/>
  <c r="L9"/>
  <c r="L10"/>
  <c r="L11"/>
  <c r="L12"/>
  <c r="L13"/>
  <c r="L14"/>
  <c r="L15"/>
  <c r="L16"/>
  <c r="L17"/>
  <c r="L18"/>
  <c r="L19"/>
  <c r="L21"/>
  <c r="L22"/>
  <c r="L23"/>
  <c r="L24"/>
  <c r="L25"/>
  <c r="L26"/>
  <c r="AL3"/>
  <c r="M1"/>
  <c r="M20"/>
  <c r="M3"/>
  <c r="M4"/>
  <c r="M5"/>
  <c r="M6"/>
  <c r="M7"/>
  <c r="M8"/>
  <c r="M9"/>
  <c r="M10"/>
  <c r="M11"/>
  <c r="M12"/>
  <c r="M13"/>
  <c r="M14"/>
  <c r="M15"/>
  <c r="M16"/>
  <c r="M17"/>
  <c r="M18"/>
  <c r="M19"/>
  <c r="M21"/>
  <c r="M22"/>
  <c r="M23"/>
  <c r="M24"/>
  <c r="M25"/>
  <c r="M26"/>
  <c r="AM3"/>
  <c r="N1"/>
  <c r="N20"/>
  <c r="N3"/>
  <c r="N4"/>
  <c r="N5"/>
  <c r="N6"/>
  <c r="N7"/>
  <c r="N8"/>
  <c r="N9"/>
  <c r="N10"/>
  <c r="N11"/>
  <c r="N12"/>
  <c r="N13"/>
  <c r="N14"/>
  <c r="N15"/>
  <c r="N16"/>
  <c r="N17"/>
  <c r="N18"/>
  <c r="N19"/>
  <c r="N21"/>
  <c r="N22"/>
  <c r="N23"/>
  <c r="N24"/>
  <c r="N25"/>
  <c r="N26"/>
  <c r="AN3"/>
  <c r="O1"/>
  <c r="O20"/>
  <c r="O3"/>
  <c r="O4"/>
  <c r="O5"/>
  <c r="O6"/>
  <c r="O7"/>
  <c r="O8"/>
  <c r="O9"/>
  <c r="O10"/>
  <c r="O11"/>
  <c r="O12"/>
  <c r="O13"/>
  <c r="O14"/>
  <c r="O15"/>
  <c r="O16"/>
  <c r="O17"/>
  <c r="O18"/>
  <c r="O19"/>
  <c r="O21"/>
  <c r="O22"/>
  <c r="O23"/>
  <c r="O24"/>
  <c r="O25"/>
  <c r="O26"/>
  <c r="AO3"/>
  <c r="P1"/>
  <c r="P20"/>
  <c r="P3"/>
  <c r="P4"/>
  <c r="P5"/>
  <c r="P6"/>
  <c r="P7"/>
  <c r="P8"/>
  <c r="P9"/>
  <c r="P10"/>
  <c r="P11"/>
  <c r="P12"/>
  <c r="P13"/>
  <c r="P14"/>
  <c r="P15"/>
  <c r="P16"/>
  <c r="P17"/>
  <c r="P18"/>
  <c r="P19"/>
  <c r="P21"/>
  <c r="P22"/>
  <c r="P23"/>
  <c r="P24"/>
  <c r="P25"/>
  <c r="P26"/>
  <c r="AP3"/>
  <c r="Q1"/>
  <c r="Q20"/>
  <c r="Q3"/>
  <c r="Q4"/>
  <c r="Q5"/>
  <c r="Q6"/>
  <c r="Q7"/>
  <c r="Q8"/>
  <c r="Q9"/>
  <c r="Q10"/>
  <c r="Q11"/>
  <c r="Q12"/>
  <c r="Q13"/>
  <c r="Q14"/>
  <c r="Q15"/>
  <c r="Q16"/>
  <c r="Q17"/>
  <c r="Q18"/>
  <c r="Q19"/>
  <c r="Q21"/>
  <c r="Q22"/>
  <c r="Q23"/>
  <c r="Q24"/>
  <c r="Q25"/>
  <c r="Q26"/>
  <c r="AQ3"/>
  <c r="R1"/>
  <c r="R20"/>
  <c r="R3"/>
  <c r="R4"/>
  <c r="R5"/>
  <c r="R6"/>
  <c r="R7"/>
  <c r="R8"/>
  <c r="R9"/>
  <c r="R10"/>
  <c r="R11"/>
  <c r="R12"/>
  <c r="R13"/>
  <c r="R14"/>
  <c r="R15"/>
  <c r="R16"/>
  <c r="R17"/>
  <c r="R18"/>
  <c r="R19"/>
  <c r="R21"/>
  <c r="R22"/>
  <c r="R23"/>
  <c r="R24"/>
  <c r="R25"/>
  <c r="R26"/>
  <c r="AR3"/>
  <c r="S1"/>
  <c r="S20"/>
  <c r="S3"/>
  <c r="S4"/>
  <c r="S5"/>
  <c r="S6"/>
  <c r="S7"/>
  <c r="S8"/>
  <c r="S9"/>
  <c r="S10"/>
  <c r="S11"/>
  <c r="S12"/>
  <c r="S13"/>
  <c r="S14"/>
  <c r="S15"/>
  <c r="S16"/>
  <c r="S17"/>
  <c r="S18"/>
  <c r="S19"/>
  <c r="S21"/>
  <c r="S22"/>
  <c r="S23"/>
  <c r="S24"/>
  <c r="S25"/>
  <c r="S26"/>
  <c r="AS3"/>
  <c r="T1"/>
  <c r="T20"/>
  <c r="T3"/>
  <c r="T4"/>
  <c r="T5"/>
  <c r="T6"/>
  <c r="T7"/>
  <c r="T8"/>
  <c r="T9"/>
  <c r="T10"/>
  <c r="T11"/>
  <c r="T12"/>
  <c r="T13"/>
  <c r="T14"/>
  <c r="T15"/>
  <c r="T16"/>
  <c r="T17"/>
  <c r="T18"/>
  <c r="T19"/>
  <c r="T21"/>
  <c r="T22"/>
  <c r="T23"/>
  <c r="T24"/>
  <c r="T25"/>
  <c r="T26"/>
  <c r="AT3"/>
  <c r="U1"/>
  <c r="U20"/>
  <c r="U3"/>
  <c r="U4"/>
  <c r="U5"/>
  <c r="U6"/>
  <c r="U7"/>
  <c r="U8"/>
  <c r="U9"/>
  <c r="U10"/>
  <c r="U11"/>
  <c r="U12"/>
  <c r="U13"/>
  <c r="U14"/>
  <c r="U15"/>
  <c r="U16"/>
  <c r="U17"/>
  <c r="U18"/>
  <c r="U19"/>
  <c r="U21"/>
  <c r="U22"/>
  <c r="U23"/>
  <c r="U24"/>
  <c r="U25"/>
  <c r="U26"/>
  <c r="AU3"/>
  <c r="V1"/>
  <c r="V20"/>
  <c r="V3"/>
  <c r="V4"/>
  <c r="V5"/>
  <c r="V6"/>
  <c r="V7"/>
  <c r="V8"/>
  <c r="V9"/>
  <c r="V10"/>
  <c r="V11"/>
  <c r="V12"/>
  <c r="V13"/>
  <c r="V14"/>
  <c r="V15"/>
  <c r="V16"/>
  <c r="V17"/>
  <c r="V18"/>
  <c r="V19"/>
  <c r="V21"/>
  <c r="V22"/>
  <c r="V23"/>
  <c r="V24"/>
  <c r="V25"/>
  <c r="V26"/>
  <c r="AV3"/>
  <c r="W1"/>
  <c r="W20"/>
  <c r="W3"/>
  <c r="W4"/>
  <c r="W5"/>
  <c r="W6"/>
  <c r="W7"/>
  <c r="W8"/>
  <c r="W9"/>
  <c r="W10"/>
  <c r="W11"/>
  <c r="W12"/>
  <c r="W13"/>
  <c r="W14"/>
  <c r="W15"/>
  <c r="W16"/>
  <c r="W17"/>
  <c r="W18"/>
  <c r="W19"/>
  <c r="W21"/>
  <c r="W22"/>
  <c r="W23"/>
  <c r="W24"/>
  <c r="W25"/>
  <c r="W26"/>
  <c r="AW3"/>
  <c r="X1"/>
  <c r="X20"/>
  <c r="X3"/>
  <c r="X4"/>
  <c r="X5"/>
  <c r="X6"/>
  <c r="X7"/>
  <c r="X8"/>
  <c r="X9"/>
  <c r="X10"/>
  <c r="X11"/>
  <c r="X12"/>
  <c r="X13"/>
  <c r="X14"/>
  <c r="X15"/>
  <c r="X16"/>
  <c r="X17"/>
  <c r="X18"/>
  <c r="X19"/>
  <c r="X21"/>
  <c r="X22"/>
  <c r="X23"/>
  <c r="X24"/>
  <c r="X25"/>
  <c r="X26"/>
  <c r="AX3"/>
  <c r="Y1"/>
  <c r="Y20"/>
  <c r="Y3"/>
  <c r="Y4"/>
  <c r="Y5"/>
  <c r="Y6"/>
  <c r="Y7"/>
  <c r="Y8"/>
  <c r="Y9"/>
  <c r="Y10"/>
  <c r="Y11"/>
  <c r="Y12"/>
  <c r="Y13"/>
  <c r="Y14"/>
  <c r="Y15"/>
  <c r="Y16"/>
  <c r="Y17"/>
  <c r="Y18"/>
  <c r="Y19"/>
  <c r="Y21"/>
  <c r="Y22"/>
  <c r="Y23"/>
  <c r="Y24"/>
  <c r="Y25"/>
  <c r="Y26"/>
  <c r="AY3"/>
  <c r="Z1"/>
  <c r="Z20"/>
  <c r="Z3"/>
  <c r="Z4"/>
  <c r="Z5"/>
  <c r="Z6"/>
  <c r="Z7"/>
  <c r="Z8"/>
  <c r="Z9"/>
  <c r="Z10"/>
  <c r="Z11"/>
  <c r="Z12"/>
  <c r="Z13"/>
  <c r="Z14"/>
  <c r="Z15"/>
  <c r="Z16"/>
  <c r="Z17"/>
  <c r="Z18"/>
  <c r="Z19"/>
  <c r="Z21"/>
  <c r="Z22"/>
  <c r="Z23"/>
  <c r="Z24"/>
  <c r="Z25"/>
  <c r="Z26"/>
  <c r="AZ3"/>
  <c r="AA1"/>
  <c r="AA20"/>
  <c r="AA3"/>
  <c r="AA4"/>
  <c r="AA5"/>
  <c r="AA6"/>
  <c r="AA7"/>
  <c r="AA8"/>
  <c r="AA9"/>
  <c r="AA10"/>
  <c r="AA11"/>
  <c r="AA12"/>
  <c r="AA13"/>
  <c r="AA14"/>
  <c r="AA15"/>
  <c r="AA16"/>
  <c r="AA17"/>
  <c r="AA18"/>
  <c r="AA19"/>
  <c r="AA21"/>
  <c r="AA22"/>
  <c r="AA23"/>
  <c r="AA24"/>
  <c r="AA25"/>
  <c r="AA26"/>
  <c r="BA3"/>
  <c r="AB1"/>
  <c r="AB20"/>
  <c r="AB3"/>
  <c r="AB4"/>
  <c r="AB5"/>
  <c r="AB6"/>
  <c r="AB7"/>
  <c r="AB8"/>
  <c r="AB9"/>
  <c r="AB10"/>
  <c r="AB11"/>
  <c r="AB12"/>
  <c r="AB13"/>
  <c r="AB14"/>
  <c r="AB15"/>
  <c r="AB16"/>
  <c r="AB17"/>
  <c r="AB18"/>
  <c r="AB19"/>
  <c r="AB21"/>
  <c r="AB22"/>
  <c r="AB23"/>
  <c r="AB24"/>
  <c r="AB25"/>
  <c r="AB26"/>
  <c r="BB3"/>
  <c r="C27"/>
  <c r="AC4"/>
  <c r="D27"/>
  <c r="AD4"/>
  <c r="E27"/>
  <c r="AE4"/>
  <c r="F27"/>
  <c r="AF4"/>
  <c r="G27"/>
  <c r="AG4"/>
  <c r="H27"/>
  <c r="AH4"/>
  <c r="I27"/>
  <c r="AI4"/>
  <c r="J27"/>
  <c r="AJ4"/>
  <c r="K27"/>
  <c r="AK4"/>
  <c r="L27"/>
  <c r="AL4"/>
  <c r="M27"/>
  <c r="AM4"/>
  <c r="N27"/>
  <c r="AN4"/>
  <c r="O27"/>
  <c r="AO4"/>
  <c r="P27"/>
  <c r="AP4"/>
  <c r="Q27"/>
  <c r="AQ4"/>
  <c r="R27"/>
  <c r="AR4"/>
  <c r="S27"/>
  <c r="AS4"/>
  <c r="T27"/>
  <c r="AT4"/>
  <c r="U27"/>
  <c r="AU4"/>
  <c r="V27"/>
  <c r="AV4"/>
  <c r="W27"/>
  <c r="AW4"/>
  <c r="X27"/>
  <c r="AX4"/>
  <c r="Y27"/>
  <c r="AY4"/>
  <c r="Z27"/>
  <c r="AZ4"/>
  <c r="AA27"/>
  <c r="BA4"/>
  <c r="AB27"/>
  <c r="BB4"/>
  <c r="C28"/>
  <c r="AC5"/>
  <c r="D28"/>
  <c r="AD5"/>
  <c r="E28"/>
  <c r="AE5"/>
  <c r="F28"/>
  <c r="AF5"/>
  <c r="G28"/>
  <c r="AG5"/>
  <c r="H28"/>
  <c r="AH5"/>
  <c r="I28"/>
  <c r="AI5"/>
  <c r="J28"/>
  <c r="AJ5"/>
  <c r="K28"/>
  <c r="AK5"/>
  <c r="L28"/>
  <c r="AL5"/>
  <c r="M28"/>
  <c r="AM5"/>
  <c r="N28"/>
  <c r="AN5"/>
  <c r="O28"/>
  <c r="AO5"/>
  <c r="P28"/>
  <c r="AP5"/>
  <c r="Q28"/>
  <c r="AQ5"/>
  <c r="R28"/>
  <c r="AR5"/>
  <c r="S28"/>
  <c r="AS5"/>
  <c r="T28"/>
  <c r="AT5"/>
  <c r="U28"/>
  <c r="AU5"/>
  <c r="V28"/>
  <c r="AV5"/>
  <c r="W28"/>
  <c r="AW5"/>
  <c r="X28"/>
  <c r="AX5"/>
  <c r="Y28"/>
  <c r="AY5"/>
  <c r="Z28"/>
  <c r="AZ5"/>
  <c r="AA28"/>
  <c r="BA5"/>
  <c r="AB28"/>
  <c r="BB5"/>
  <c r="C29"/>
  <c r="AC6"/>
  <c r="D29"/>
  <c r="AD6"/>
  <c r="E29"/>
  <c r="AE6"/>
  <c r="F29"/>
  <c r="AF6"/>
  <c r="G29"/>
  <c r="AG6"/>
  <c r="H29"/>
  <c r="AH6"/>
  <c r="I29"/>
  <c r="AI6"/>
  <c r="J29"/>
  <c r="AJ6"/>
  <c r="K29"/>
  <c r="AK6"/>
  <c r="L29"/>
  <c r="AL6"/>
  <c r="M29"/>
  <c r="AM6"/>
  <c r="N29"/>
  <c r="AN6"/>
  <c r="O29"/>
  <c r="AO6"/>
  <c r="P29"/>
  <c r="AP6"/>
  <c r="Q29"/>
  <c r="AQ6"/>
  <c r="R29"/>
  <c r="AR6"/>
  <c r="S29"/>
  <c r="AS6"/>
  <c r="T29"/>
  <c r="AT6"/>
  <c r="U29"/>
  <c r="AU6"/>
  <c r="V29"/>
  <c r="AV6"/>
  <c r="W29"/>
  <c r="AW6"/>
  <c r="X29"/>
  <c r="AX6"/>
  <c r="Y29"/>
  <c r="AY6"/>
  <c r="Z29"/>
  <c r="AZ6"/>
  <c r="AA29"/>
  <c r="BA6"/>
  <c r="AB29"/>
  <c r="BB6"/>
  <c r="C30"/>
  <c r="AC7"/>
  <c r="D30"/>
  <c r="AD7"/>
  <c r="E30"/>
  <c r="AE7"/>
  <c r="F30"/>
  <c r="AF7"/>
  <c r="G30"/>
  <c r="AG7"/>
  <c r="H30"/>
  <c r="AH7"/>
  <c r="I30"/>
  <c r="AI7"/>
  <c r="J30"/>
  <c r="AJ7"/>
  <c r="K30"/>
  <c r="AK7"/>
  <c r="L30"/>
  <c r="AL7"/>
  <c r="M30"/>
  <c r="AM7"/>
  <c r="N30"/>
  <c r="AN7"/>
  <c r="O30"/>
  <c r="AO7"/>
  <c r="P30"/>
  <c r="AP7"/>
  <c r="Q30"/>
  <c r="AQ7"/>
  <c r="R30"/>
  <c r="AR7"/>
  <c r="S30"/>
  <c r="AS7"/>
  <c r="T30"/>
  <c r="AT7"/>
  <c r="U30"/>
  <c r="AU7"/>
  <c r="V30"/>
  <c r="AV7"/>
  <c r="W30"/>
  <c r="AW7"/>
  <c r="X30"/>
  <c r="AX7"/>
  <c r="Y30"/>
  <c r="AY7"/>
  <c r="Z30"/>
  <c r="AZ7"/>
  <c r="AA30"/>
  <c r="BA7"/>
  <c r="AB30"/>
  <c r="BB7"/>
  <c r="C31"/>
  <c r="AC8"/>
  <c r="D31"/>
  <c r="AD8"/>
  <c r="E31"/>
  <c r="AE8"/>
  <c r="F31"/>
  <c r="AF8"/>
  <c r="G31"/>
  <c r="AG8"/>
  <c r="H31"/>
  <c r="AH8"/>
  <c r="I31"/>
  <c r="AI8"/>
  <c r="J31"/>
  <c r="AJ8"/>
  <c r="K31"/>
  <c r="AK8"/>
  <c r="L31"/>
  <c r="AL8"/>
  <c r="M31"/>
  <c r="AM8"/>
  <c r="N31"/>
  <c r="AN8"/>
  <c r="O31"/>
  <c r="AO8"/>
  <c r="P31"/>
  <c r="AP8"/>
  <c r="Q31"/>
  <c r="AQ8"/>
  <c r="R31"/>
  <c r="AR8"/>
  <c r="S31"/>
  <c r="AS8"/>
  <c r="T31"/>
  <c r="AT8"/>
  <c r="U31"/>
  <c r="AU8"/>
  <c r="V31"/>
  <c r="AV8"/>
  <c r="W31"/>
  <c r="AW8"/>
  <c r="X31"/>
  <c r="AX8"/>
  <c r="Y31"/>
  <c r="AY8"/>
  <c r="Z31"/>
  <c r="AZ8"/>
  <c r="AA31"/>
  <c r="BA8"/>
  <c r="AB31"/>
  <c r="BB8"/>
  <c r="C32"/>
  <c r="AC9"/>
  <c r="D32"/>
  <c r="AD9"/>
  <c r="E32"/>
  <c r="AE9"/>
  <c r="F32"/>
  <c r="AF9"/>
  <c r="G32"/>
  <c r="AG9"/>
  <c r="H32"/>
  <c r="AH9"/>
  <c r="I32"/>
  <c r="AI9"/>
  <c r="J32"/>
  <c r="AJ9"/>
  <c r="K32"/>
  <c r="AK9"/>
  <c r="L32"/>
  <c r="AL9"/>
  <c r="M32"/>
  <c r="AM9"/>
  <c r="N32"/>
  <c r="AN9"/>
  <c r="O32"/>
  <c r="AO9"/>
  <c r="P32"/>
  <c r="AP9"/>
  <c r="Q32"/>
  <c r="AQ9"/>
  <c r="R32"/>
  <c r="AR9"/>
  <c r="S32"/>
  <c r="AS9"/>
  <c r="T32"/>
  <c r="AT9"/>
  <c r="U32"/>
  <c r="AU9"/>
  <c r="V32"/>
  <c r="AV9"/>
  <c r="W32"/>
  <c r="AW9"/>
  <c r="X32"/>
  <c r="AX9"/>
  <c r="Y32"/>
  <c r="AY9"/>
  <c r="Z32"/>
  <c r="AZ9"/>
  <c r="AA32"/>
  <c r="BA9"/>
  <c r="AB32"/>
  <c r="BB9"/>
  <c r="C33"/>
  <c r="AC10"/>
  <c r="D33"/>
  <c r="AD10"/>
  <c r="E33"/>
  <c r="AE10"/>
  <c r="F33"/>
  <c r="AF10"/>
  <c r="G33"/>
  <c r="AG10"/>
  <c r="H33"/>
  <c r="AH10"/>
  <c r="I33"/>
  <c r="AI10"/>
  <c r="J33"/>
  <c r="AJ10"/>
  <c r="K33"/>
  <c r="AK10"/>
  <c r="L33"/>
  <c r="AL10"/>
  <c r="M33"/>
  <c r="AM10"/>
  <c r="N33"/>
  <c r="AN10"/>
  <c r="O33"/>
  <c r="AO10"/>
  <c r="P33"/>
  <c r="AP10"/>
  <c r="Q33"/>
  <c r="AQ10"/>
  <c r="R33"/>
  <c r="AR10"/>
  <c r="S33"/>
  <c r="AS10"/>
  <c r="T33"/>
  <c r="AT10"/>
  <c r="U33"/>
  <c r="AU10"/>
  <c r="V33"/>
  <c r="AV10"/>
  <c r="W33"/>
  <c r="AW10"/>
  <c r="X33"/>
  <c r="AX10"/>
  <c r="Y33"/>
  <c r="AY10"/>
  <c r="Z33"/>
  <c r="AZ10"/>
  <c r="AA33"/>
  <c r="BA10"/>
  <c r="AB33"/>
  <c r="BB10"/>
  <c r="C34"/>
  <c r="AC11"/>
  <c r="D34"/>
  <c r="AD11"/>
  <c r="E34"/>
  <c r="AE11"/>
  <c r="F34"/>
  <c r="AF11"/>
  <c r="G34"/>
  <c r="AG11"/>
  <c r="H34"/>
  <c r="AH11"/>
  <c r="I34"/>
  <c r="AI11"/>
  <c r="J34"/>
  <c r="AJ11"/>
  <c r="K34"/>
  <c r="AK11"/>
  <c r="L34"/>
  <c r="AL11"/>
  <c r="M34"/>
  <c r="AM11"/>
  <c r="N34"/>
  <c r="AN11"/>
  <c r="O34"/>
  <c r="AO11"/>
  <c r="P34"/>
  <c r="AP11"/>
  <c r="Q34"/>
  <c r="AQ11"/>
  <c r="R34"/>
  <c r="AR11"/>
  <c r="S34"/>
  <c r="AS11"/>
  <c r="T34"/>
  <c r="AT11"/>
  <c r="U34"/>
  <c r="AU11"/>
  <c r="V34"/>
  <c r="AV11"/>
  <c r="W34"/>
  <c r="AW11"/>
  <c r="X34"/>
  <c r="AX11"/>
  <c r="Y34"/>
  <c r="AY11"/>
  <c r="Z34"/>
  <c r="AZ11"/>
  <c r="AA34"/>
  <c r="BA11"/>
  <c r="AB34"/>
  <c r="BB11"/>
  <c r="C35"/>
  <c r="AC12"/>
  <c r="D35"/>
  <c r="AD12"/>
  <c r="E35"/>
  <c r="AE12"/>
  <c r="F35"/>
  <c r="AF12"/>
  <c r="G35"/>
  <c r="AG12"/>
  <c r="H35"/>
  <c r="AH12"/>
  <c r="I35"/>
  <c r="AI12"/>
  <c r="J35"/>
  <c r="AJ12"/>
  <c r="K35"/>
  <c r="AK12"/>
  <c r="L35"/>
  <c r="AL12"/>
  <c r="M35"/>
  <c r="AM12"/>
  <c r="N35"/>
  <c r="AN12"/>
  <c r="O35"/>
  <c r="AO12"/>
  <c r="P35"/>
  <c r="AP12"/>
  <c r="Q35"/>
  <c r="AQ12"/>
  <c r="R35"/>
  <c r="AR12"/>
  <c r="S35"/>
  <c r="AS12"/>
  <c r="T35"/>
  <c r="AT12"/>
  <c r="U35"/>
  <c r="AU12"/>
  <c r="V35"/>
  <c r="AV12"/>
  <c r="W35"/>
  <c r="AW12"/>
  <c r="X35"/>
  <c r="AX12"/>
  <c r="Y35"/>
  <c r="AY12"/>
  <c r="Z35"/>
  <c r="AZ12"/>
  <c r="AA35"/>
  <c r="BA12"/>
  <c r="AB35"/>
  <c r="BB12"/>
  <c r="C36"/>
  <c r="AC13"/>
  <c r="D36"/>
  <c r="AD13"/>
  <c r="E36"/>
  <c r="AE13"/>
  <c r="F36"/>
  <c r="AF13"/>
  <c r="G36"/>
  <c r="AG13"/>
  <c r="H36"/>
  <c r="AH13"/>
  <c r="I36"/>
  <c r="AI13"/>
  <c r="J36"/>
  <c r="AJ13"/>
  <c r="K36"/>
  <c r="AK13"/>
  <c r="L36"/>
  <c r="AL13"/>
  <c r="M36"/>
  <c r="AM13"/>
  <c r="N36"/>
  <c r="AN13"/>
  <c r="O36"/>
  <c r="AO13"/>
  <c r="P36"/>
  <c r="AP13"/>
  <c r="Q36"/>
  <c r="AQ13"/>
  <c r="R36"/>
  <c r="AR13"/>
  <c r="S36"/>
  <c r="AS13"/>
  <c r="T36"/>
  <c r="AT13"/>
  <c r="U36"/>
  <c r="AU13"/>
  <c r="V36"/>
  <c r="AV13"/>
  <c r="W36"/>
  <c r="AW13"/>
  <c r="X36"/>
  <c r="AX13"/>
  <c r="Y36"/>
  <c r="AY13"/>
  <c r="Z36"/>
  <c r="AZ13"/>
  <c r="AA36"/>
  <c r="BA13"/>
  <c r="AB36"/>
  <c r="BB13"/>
  <c r="C37"/>
  <c r="AC14"/>
  <c r="D37"/>
  <c r="AD14"/>
  <c r="E37"/>
  <c r="AE14"/>
  <c r="F37"/>
  <c r="AF14"/>
  <c r="G37"/>
  <c r="AG14"/>
  <c r="H37"/>
  <c r="AH14"/>
  <c r="I37"/>
  <c r="AI14"/>
  <c r="J37"/>
  <c r="AJ14"/>
  <c r="K37"/>
  <c r="AK14"/>
  <c r="L37"/>
  <c r="AL14"/>
  <c r="M37"/>
  <c r="AM14"/>
  <c r="N37"/>
  <c r="AN14"/>
  <c r="O37"/>
  <c r="AO14"/>
  <c r="P37"/>
  <c r="AP14"/>
  <c r="Q37"/>
  <c r="AQ14"/>
  <c r="R37"/>
  <c r="AR14"/>
  <c r="S37"/>
  <c r="AS14"/>
  <c r="T37"/>
  <c r="AT14"/>
  <c r="U37"/>
  <c r="AU14"/>
  <c r="V37"/>
  <c r="AV14"/>
  <c r="W37"/>
  <c r="AW14"/>
  <c r="X37"/>
  <c r="AX14"/>
  <c r="Y37"/>
  <c r="AY14"/>
  <c r="Z37"/>
  <c r="AZ14"/>
  <c r="AA37"/>
  <c r="BA14"/>
  <c r="AB37"/>
  <c r="BB14"/>
  <c r="C38"/>
  <c r="AC15"/>
  <c r="D38"/>
  <c r="AD15"/>
  <c r="E38"/>
  <c r="AE15"/>
  <c r="F38"/>
  <c r="AF15"/>
  <c r="G38"/>
  <c r="AG15"/>
  <c r="H38"/>
  <c r="AH15"/>
  <c r="I38"/>
  <c r="AI15"/>
  <c r="J38"/>
  <c r="AJ15"/>
  <c r="K38"/>
  <c r="AK15"/>
  <c r="L38"/>
  <c r="AL15"/>
  <c r="M38"/>
  <c r="AM15"/>
  <c r="N38"/>
  <c r="AN15"/>
  <c r="O38"/>
  <c r="AO15"/>
  <c r="P38"/>
  <c r="AP15"/>
  <c r="Q38"/>
  <c r="AQ15"/>
  <c r="R38"/>
  <c r="AR15"/>
  <c r="S38"/>
  <c r="AS15"/>
  <c r="T38"/>
  <c r="AT15"/>
  <c r="U38"/>
  <c r="AU15"/>
  <c r="V38"/>
  <c r="AV15"/>
  <c r="W38"/>
  <c r="AW15"/>
  <c r="X38"/>
  <c r="AX15"/>
  <c r="Y38"/>
  <c r="AY15"/>
  <c r="Z38"/>
  <c r="AZ15"/>
  <c r="AA38"/>
  <c r="BA15"/>
  <c r="AB38"/>
  <c r="BB15"/>
  <c r="C39"/>
  <c r="AC16"/>
  <c r="D39"/>
  <c r="AD16"/>
  <c r="E39"/>
  <c r="AE16"/>
  <c r="F39"/>
  <c r="AF16"/>
  <c r="G39"/>
  <c r="AG16"/>
  <c r="H39"/>
  <c r="AH16"/>
  <c r="I39"/>
  <c r="AI16"/>
  <c r="J39"/>
  <c r="AJ16"/>
  <c r="K39"/>
  <c r="AK16"/>
  <c r="L39"/>
  <c r="AL16"/>
  <c r="M39"/>
  <c r="AM16"/>
  <c r="N39"/>
  <c r="AN16"/>
  <c r="O39"/>
  <c r="AO16"/>
  <c r="P39"/>
  <c r="AP16"/>
  <c r="Q39"/>
  <c r="AQ16"/>
  <c r="R39"/>
  <c r="AR16"/>
  <c r="S39"/>
  <c r="AS16"/>
  <c r="T39"/>
  <c r="AT16"/>
  <c r="U39"/>
  <c r="AU16"/>
  <c r="V39"/>
  <c r="AV16"/>
  <c r="W39"/>
  <c r="AW16"/>
  <c r="X39"/>
  <c r="AX16"/>
  <c r="Y39"/>
  <c r="AY16"/>
  <c r="Z39"/>
  <c r="AZ16"/>
  <c r="AA39"/>
  <c r="BA16"/>
  <c r="AB39"/>
  <c r="BB16"/>
  <c r="C40"/>
  <c r="AC17"/>
  <c r="D40"/>
  <c r="AD17"/>
  <c r="E40"/>
  <c r="AE17"/>
  <c r="F40"/>
  <c r="AF17"/>
  <c r="G40"/>
  <c r="AG17"/>
  <c r="H40"/>
  <c r="AH17"/>
  <c r="I40"/>
  <c r="AI17"/>
  <c r="J40"/>
  <c r="AJ17"/>
  <c r="K40"/>
  <c r="AK17"/>
  <c r="L40"/>
  <c r="AL17"/>
  <c r="M40"/>
  <c r="AM17"/>
  <c r="N40"/>
  <c r="AN17"/>
  <c r="O40"/>
  <c r="AO17"/>
  <c r="P40"/>
  <c r="AP17"/>
  <c r="Q40"/>
  <c r="AQ17"/>
  <c r="R40"/>
  <c r="AR17"/>
  <c r="S40"/>
  <c r="AS17"/>
  <c r="T40"/>
  <c r="AT17"/>
  <c r="U40"/>
  <c r="AU17"/>
  <c r="V40"/>
  <c r="AV17"/>
  <c r="W40"/>
  <c r="AW17"/>
  <c r="X40"/>
  <c r="AX17"/>
  <c r="Y40"/>
  <c r="AY17"/>
  <c r="Z40"/>
  <c r="AZ17"/>
  <c r="AA40"/>
  <c r="BA17"/>
  <c r="AB40"/>
  <c r="BB17"/>
  <c r="C41"/>
  <c r="AC18"/>
  <c r="D41"/>
  <c r="AD18"/>
  <c r="E41"/>
  <c r="AE18"/>
  <c r="F41"/>
  <c r="AF18"/>
  <c r="G41"/>
  <c r="AG18"/>
  <c r="H41"/>
  <c r="AH18"/>
  <c r="I41"/>
  <c r="AI18"/>
  <c r="J41"/>
  <c r="AJ18"/>
  <c r="K41"/>
  <c r="AK18"/>
  <c r="L41"/>
  <c r="AL18"/>
  <c r="M41"/>
  <c r="AM18"/>
  <c r="N41"/>
  <c r="AN18"/>
  <c r="O41"/>
  <c r="AO18"/>
  <c r="P41"/>
  <c r="AP18"/>
  <c r="Q41"/>
  <c r="AQ18"/>
  <c r="R41"/>
  <c r="AR18"/>
  <c r="S41"/>
  <c r="AS18"/>
  <c r="T41"/>
  <c r="AT18"/>
  <c r="U41"/>
  <c r="AU18"/>
  <c r="V41"/>
  <c r="AV18"/>
  <c r="W41"/>
  <c r="AW18"/>
  <c r="X41"/>
  <c r="AX18"/>
  <c r="Y41"/>
  <c r="AY18"/>
  <c r="Z41"/>
  <c r="AZ18"/>
  <c r="AA41"/>
  <c r="BA18"/>
  <c r="AB41"/>
  <c r="BB18"/>
  <c r="C42"/>
  <c r="AC19"/>
  <c r="D42"/>
  <c r="AD19"/>
  <c r="E42"/>
  <c r="AE19"/>
  <c r="F42"/>
  <c r="AF19"/>
  <c r="G42"/>
  <c r="AG19"/>
  <c r="H42"/>
  <c r="AH19"/>
  <c r="I42"/>
  <c r="AI19"/>
  <c r="J42"/>
  <c r="AJ19"/>
  <c r="K42"/>
  <c r="AK19"/>
  <c r="L42"/>
  <c r="AL19"/>
  <c r="M42"/>
  <c r="AM19"/>
  <c r="N42"/>
  <c r="AN19"/>
  <c r="O42"/>
  <c r="AO19"/>
  <c r="P42"/>
  <c r="AP19"/>
  <c r="Q42"/>
  <c r="AQ19"/>
  <c r="R42"/>
  <c r="AR19"/>
  <c r="S42"/>
  <c r="AS19"/>
  <c r="T42"/>
  <c r="AT19"/>
  <c r="U42"/>
  <c r="AU19"/>
  <c r="V42"/>
  <c r="AV19"/>
  <c r="W42"/>
  <c r="AW19"/>
  <c r="X42"/>
  <c r="AX19"/>
  <c r="Y42"/>
  <c r="AY19"/>
  <c r="Z42"/>
  <c r="AZ19"/>
  <c r="AA42"/>
  <c r="BA19"/>
  <c r="AB42"/>
  <c r="BB19"/>
  <c r="C43"/>
  <c r="AC20"/>
  <c r="D43"/>
  <c r="AD20"/>
  <c r="E43"/>
  <c r="AE20"/>
  <c r="F43"/>
  <c r="AF20"/>
  <c r="G43"/>
  <c r="AG20"/>
  <c r="H43"/>
  <c r="AH20"/>
  <c r="I43"/>
  <c r="AI20"/>
  <c r="J43"/>
  <c r="AJ20"/>
  <c r="K43"/>
  <c r="AK20"/>
  <c r="L43"/>
  <c r="AL20"/>
  <c r="M43"/>
  <c r="AM20"/>
  <c r="N43"/>
  <c r="AN20"/>
  <c r="O43"/>
  <c r="AO20"/>
  <c r="P43"/>
  <c r="AP20"/>
  <c r="Q43"/>
  <c r="AQ20"/>
  <c r="R43"/>
  <c r="AR20"/>
  <c r="S43"/>
  <c r="AS20"/>
  <c r="T43"/>
  <c r="AT20"/>
  <c r="U43"/>
  <c r="AU20"/>
  <c r="V43"/>
  <c r="AV20"/>
  <c r="W43"/>
  <c r="AW20"/>
  <c r="X43"/>
  <c r="AX20"/>
  <c r="Y43"/>
  <c r="AY20"/>
  <c r="Z43"/>
  <c r="AZ20"/>
  <c r="AA43"/>
  <c r="BA20"/>
  <c r="AB43"/>
  <c r="BB20"/>
  <c r="C44"/>
  <c r="AC21"/>
  <c r="D44"/>
  <c r="AD21"/>
  <c r="E44"/>
  <c r="AE21"/>
  <c r="F44"/>
  <c r="AF21"/>
  <c r="G44"/>
  <c r="AG21"/>
  <c r="H44"/>
  <c r="AH21"/>
  <c r="I44"/>
  <c r="AI21"/>
  <c r="J44"/>
  <c r="AJ21"/>
  <c r="K44"/>
  <c r="AK21"/>
  <c r="L44"/>
  <c r="AL21"/>
  <c r="M44"/>
  <c r="AM21"/>
  <c r="N44"/>
  <c r="AN21"/>
  <c r="O44"/>
  <c r="AO21"/>
  <c r="P44"/>
  <c r="AP21"/>
  <c r="Q44"/>
  <c r="AQ21"/>
  <c r="R44"/>
  <c r="AR21"/>
  <c r="S44"/>
  <c r="AS21"/>
  <c r="T44"/>
  <c r="AT21"/>
  <c r="U44"/>
  <c r="AU21"/>
  <c r="V44"/>
  <c r="AV21"/>
  <c r="W44"/>
  <c r="AW21"/>
  <c r="X44"/>
  <c r="AX21"/>
  <c r="Y44"/>
  <c r="AY21"/>
  <c r="Z44"/>
  <c r="AZ21"/>
  <c r="AA44"/>
  <c r="BA21"/>
  <c r="AB44"/>
  <c r="BB21"/>
  <c r="C45"/>
  <c r="AC22"/>
  <c r="D45"/>
  <c r="AD22"/>
  <c r="E45"/>
  <c r="AE22"/>
  <c r="F45"/>
  <c r="AF22"/>
  <c r="G45"/>
  <c r="AG22"/>
  <c r="H45"/>
  <c r="AH22"/>
  <c r="I45"/>
  <c r="AI22"/>
  <c r="J45"/>
  <c r="AJ22"/>
  <c r="K45"/>
  <c r="AK22"/>
  <c r="L45"/>
  <c r="AL22"/>
  <c r="M45"/>
  <c r="AM22"/>
  <c r="N45"/>
  <c r="AN22"/>
  <c r="O45"/>
  <c r="AO22"/>
  <c r="P45"/>
  <c r="AP22"/>
  <c r="Q45"/>
  <c r="AQ22"/>
  <c r="R45"/>
  <c r="AR22"/>
  <c r="S45"/>
  <c r="AS22"/>
  <c r="T45"/>
  <c r="AT22"/>
  <c r="U45"/>
  <c r="AU22"/>
  <c r="V45"/>
  <c r="AV22"/>
  <c r="W45"/>
  <c r="AW22"/>
  <c r="X45"/>
  <c r="AX22"/>
  <c r="Y45"/>
  <c r="AY22"/>
  <c r="Z45"/>
  <c r="AZ22"/>
  <c r="AA45"/>
  <c r="BA22"/>
  <c r="AB45"/>
  <c r="BB22"/>
  <c r="C46"/>
  <c r="AC23"/>
  <c r="D46"/>
  <c r="AD23"/>
  <c r="E46"/>
  <c r="AE23"/>
  <c r="F46"/>
  <c r="AF23"/>
  <c r="G46"/>
  <c r="AG23"/>
  <c r="H46"/>
  <c r="AH23"/>
  <c r="I46"/>
  <c r="AI23"/>
  <c r="J46"/>
  <c r="AJ23"/>
  <c r="K46"/>
  <c r="AK23"/>
  <c r="L46"/>
  <c r="AL23"/>
  <c r="M46"/>
  <c r="AM23"/>
  <c r="N46"/>
  <c r="AN23"/>
  <c r="O46"/>
  <c r="AO23"/>
  <c r="P46"/>
  <c r="AP23"/>
  <c r="Q46"/>
  <c r="AQ23"/>
  <c r="R46"/>
  <c r="AR23"/>
  <c r="S46"/>
  <c r="AS23"/>
  <c r="T46"/>
  <c r="AT23"/>
  <c r="U46"/>
  <c r="AU23"/>
  <c r="V46"/>
  <c r="AV23"/>
  <c r="W46"/>
  <c r="AW23"/>
  <c r="X46"/>
  <c r="AX23"/>
  <c r="Y46"/>
  <c r="AY23"/>
  <c r="Z46"/>
  <c r="AZ23"/>
  <c r="AA46"/>
  <c r="BA23"/>
  <c r="AB46"/>
  <c r="BB23"/>
  <c r="C47"/>
  <c r="AC24"/>
  <c r="D47"/>
  <c r="AD24"/>
  <c r="E47"/>
  <c r="AE24"/>
  <c r="F47"/>
  <c r="AF24"/>
  <c r="G47"/>
  <c r="AG24"/>
  <c r="H47"/>
  <c r="AH24"/>
  <c r="I47"/>
  <c r="AI24"/>
  <c r="J47"/>
  <c r="AJ24"/>
  <c r="K47"/>
  <c r="AK24"/>
  <c r="L47"/>
  <c r="AL24"/>
  <c r="M47"/>
  <c r="AM24"/>
  <c r="N47"/>
  <c r="AN24"/>
  <c r="O47"/>
  <c r="AO24"/>
  <c r="P47"/>
  <c r="AP24"/>
  <c r="Q47"/>
  <c r="AQ24"/>
  <c r="R47"/>
  <c r="AR24"/>
  <c r="S47"/>
  <c r="AS24"/>
  <c r="T47"/>
  <c r="AT24"/>
  <c r="U47"/>
  <c r="AU24"/>
  <c r="V47"/>
  <c r="AV24"/>
  <c r="W47"/>
  <c r="AW24"/>
  <c r="X47"/>
  <c r="AX24"/>
  <c r="Y47"/>
  <c r="AY24"/>
  <c r="Z47"/>
  <c r="AZ24"/>
  <c r="AA47"/>
  <c r="BA24"/>
  <c r="AB47"/>
  <c r="BB24"/>
  <c r="C48"/>
  <c r="AC25"/>
  <c r="D48"/>
  <c r="AD25"/>
  <c r="E48"/>
  <c r="AE25"/>
  <c r="F48"/>
  <c r="AF25"/>
  <c r="G48"/>
  <c r="AG25"/>
  <c r="H48"/>
  <c r="AH25"/>
  <c r="I48"/>
  <c r="AI25"/>
  <c r="J48"/>
  <c r="AJ25"/>
  <c r="K48"/>
  <c r="AK25"/>
  <c r="L48"/>
  <c r="AL25"/>
  <c r="M48"/>
  <c r="AM25"/>
  <c r="N48"/>
  <c r="AN25"/>
  <c r="O48"/>
  <c r="AO25"/>
  <c r="P48"/>
  <c r="AP25"/>
  <c r="Q48"/>
  <c r="AQ25"/>
  <c r="R48"/>
  <c r="AR25"/>
  <c r="S48"/>
  <c r="AS25"/>
  <c r="T48"/>
  <c r="AT25"/>
  <c r="U48"/>
  <c r="AU25"/>
  <c r="V48"/>
  <c r="AV25"/>
  <c r="W48"/>
  <c r="AW25"/>
  <c r="X48"/>
  <c r="AX25"/>
  <c r="Y48"/>
  <c r="AY25"/>
  <c r="Z48"/>
  <c r="AZ25"/>
  <c r="AA48"/>
  <c r="BA25"/>
  <c r="AB48"/>
  <c r="BB25"/>
  <c r="C49"/>
  <c r="AC26"/>
  <c r="D49"/>
  <c r="AD26"/>
  <c r="E49"/>
  <c r="AE26"/>
  <c r="F49"/>
  <c r="AF26"/>
  <c r="G49"/>
  <c r="AG26"/>
  <c r="H49"/>
  <c r="AH26"/>
  <c r="I49"/>
  <c r="AI26"/>
  <c r="J49"/>
  <c r="AJ26"/>
  <c r="K49"/>
  <c r="AK26"/>
  <c r="L49"/>
  <c r="AL26"/>
  <c r="M49"/>
  <c r="AM26"/>
  <c r="N49"/>
  <c r="AN26"/>
  <c r="O49"/>
  <c r="AO26"/>
  <c r="P49"/>
  <c r="AP26"/>
  <c r="Q49"/>
  <c r="AQ26"/>
  <c r="R49"/>
  <c r="AR26"/>
  <c r="S49"/>
  <c r="AS26"/>
  <c r="T49"/>
  <c r="AT26"/>
  <c r="U49"/>
  <c r="AU26"/>
  <c r="V49"/>
  <c r="AV26"/>
  <c r="W49"/>
  <c r="AW26"/>
  <c r="X49"/>
  <c r="AX26"/>
  <c r="Y49"/>
  <c r="AY26"/>
  <c r="Z49"/>
  <c r="AZ26"/>
  <c r="AA49"/>
  <c r="BA26"/>
  <c r="AB49"/>
  <c r="BB26"/>
  <c r="C50"/>
  <c r="AC27"/>
  <c r="D50"/>
  <c r="AD27"/>
  <c r="E50"/>
  <c r="AE27"/>
  <c r="F50"/>
  <c r="AF27"/>
  <c r="G50"/>
  <c r="AG27"/>
  <c r="H50"/>
  <c r="AH27"/>
  <c r="I50"/>
  <c r="AI27"/>
  <c r="J50"/>
  <c r="AJ27"/>
  <c r="K50"/>
  <c r="AK27"/>
  <c r="L50"/>
  <c r="AL27"/>
  <c r="M50"/>
  <c r="AM27"/>
  <c r="N50"/>
  <c r="AN27"/>
  <c r="O50"/>
  <c r="AO27"/>
  <c r="P50"/>
  <c r="AP27"/>
  <c r="Q50"/>
  <c r="AQ27"/>
  <c r="R50"/>
  <c r="AR27"/>
  <c r="S50"/>
  <c r="AS27"/>
  <c r="T50"/>
  <c r="AT27"/>
  <c r="U50"/>
  <c r="AU27"/>
  <c r="V50"/>
  <c r="AV27"/>
  <c r="W50"/>
  <c r="AW27"/>
  <c r="X50"/>
  <c r="AX27"/>
  <c r="Y50"/>
  <c r="AY27"/>
  <c r="Z50"/>
  <c r="AZ27"/>
  <c r="AA50"/>
  <c r="BA27"/>
  <c r="AB50"/>
  <c r="BB27"/>
  <c r="C51"/>
  <c r="AC28"/>
  <c r="D51"/>
  <c r="AD28"/>
  <c r="E51"/>
  <c r="AE28"/>
  <c r="F51"/>
  <c r="AF28"/>
  <c r="G51"/>
  <c r="AG28"/>
  <c r="H51"/>
  <c r="AH28"/>
  <c r="I51"/>
  <c r="AI28"/>
  <c r="J51"/>
  <c r="AJ28"/>
  <c r="K51"/>
  <c r="AK28"/>
  <c r="L51"/>
  <c r="AL28"/>
  <c r="M51"/>
  <c r="AM28"/>
  <c r="N51"/>
  <c r="AN28"/>
  <c r="O51"/>
  <c r="AO28"/>
  <c r="P51"/>
  <c r="AP28"/>
  <c r="Q51"/>
  <c r="AQ28"/>
  <c r="R51"/>
  <c r="AR28"/>
  <c r="S51"/>
  <c r="AS28"/>
  <c r="T51"/>
  <c r="AT28"/>
  <c r="U51"/>
  <c r="AU28"/>
  <c r="V51"/>
  <c r="AV28"/>
  <c r="W51"/>
  <c r="AW28"/>
  <c r="X51"/>
  <c r="AX28"/>
  <c r="Y51"/>
  <c r="AY28"/>
  <c r="Z51"/>
  <c r="AZ28"/>
  <c r="AA51"/>
  <c r="BA28"/>
  <c r="AB51"/>
  <c r="BB28"/>
  <c r="C52"/>
  <c r="AC29"/>
  <c r="D52"/>
  <c r="AD29"/>
  <c r="E52"/>
  <c r="AE29"/>
  <c r="F52"/>
  <c r="AF29"/>
  <c r="G52"/>
  <c r="AG29"/>
  <c r="H52"/>
  <c r="AH29"/>
  <c r="I52"/>
  <c r="AI29"/>
  <c r="J52"/>
  <c r="AJ29"/>
  <c r="K52"/>
  <c r="AK29"/>
  <c r="L52"/>
  <c r="AL29"/>
  <c r="M52"/>
  <c r="AM29"/>
  <c r="N52"/>
  <c r="AN29"/>
  <c r="O52"/>
  <c r="AO29"/>
  <c r="P52"/>
  <c r="AP29"/>
  <c r="Q52"/>
  <c r="AQ29"/>
  <c r="R52"/>
  <c r="AR29"/>
  <c r="S52"/>
  <c r="AS29"/>
  <c r="T52"/>
  <c r="AT29"/>
  <c r="U52"/>
  <c r="AU29"/>
  <c r="V52"/>
  <c r="AV29"/>
  <c r="W52"/>
  <c r="AW29"/>
  <c r="X52"/>
  <c r="AX29"/>
  <c r="Y52"/>
  <c r="AY29"/>
  <c r="Z52"/>
  <c r="AZ29"/>
  <c r="AA52"/>
  <c r="BA29"/>
  <c r="AB52"/>
  <c r="BB29"/>
  <c r="C53"/>
  <c r="AC30"/>
  <c r="D53"/>
  <c r="AD30"/>
  <c r="E53"/>
  <c r="AE30"/>
  <c r="F53"/>
  <c r="AF30"/>
  <c r="G53"/>
  <c r="AG30"/>
  <c r="H53"/>
  <c r="AH30"/>
  <c r="I53"/>
  <c r="AI30"/>
  <c r="J53"/>
  <c r="AJ30"/>
  <c r="K53"/>
  <c r="AK30"/>
  <c r="L53"/>
  <c r="AL30"/>
  <c r="M53"/>
  <c r="AM30"/>
  <c r="N53"/>
  <c r="AN30"/>
  <c r="O53"/>
  <c r="AO30"/>
  <c r="P53"/>
  <c r="AP30"/>
  <c r="Q53"/>
  <c r="AQ30"/>
  <c r="R53"/>
  <c r="AR30"/>
  <c r="S53"/>
  <c r="AS30"/>
  <c r="T53"/>
  <c r="AT30"/>
  <c r="U53"/>
  <c r="AU30"/>
  <c r="V53"/>
  <c r="AV30"/>
  <c r="W53"/>
  <c r="AW30"/>
  <c r="X53"/>
  <c r="AX30"/>
  <c r="Y53"/>
  <c r="AY30"/>
  <c r="Z53"/>
  <c r="AZ30"/>
  <c r="AA53"/>
  <c r="BA30"/>
  <c r="AB53"/>
  <c r="BB30"/>
  <c r="C54"/>
  <c r="AC31"/>
  <c r="D54"/>
  <c r="AD31"/>
  <c r="E54"/>
  <c r="AE31"/>
  <c r="F54"/>
  <c r="AF31"/>
  <c r="G54"/>
  <c r="AG31"/>
  <c r="H54"/>
  <c r="AH31"/>
  <c r="I54"/>
  <c r="AI31"/>
  <c r="J54"/>
  <c r="AJ31"/>
  <c r="K54"/>
  <c r="AK31"/>
  <c r="L54"/>
  <c r="AL31"/>
  <c r="M54"/>
  <c r="AM31"/>
  <c r="N54"/>
  <c r="AN31"/>
  <c r="O54"/>
  <c r="AO31"/>
  <c r="P54"/>
  <c r="AP31"/>
  <c r="Q54"/>
  <c r="AQ31"/>
  <c r="R54"/>
  <c r="AR31"/>
  <c r="S54"/>
  <c r="AS31"/>
  <c r="T54"/>
  <c r="AT31"/>
  <c r="U54"/>
  <c r="AU31"/>
  <c r="V54"/>
  <c r="AV31"/>
  <c r="W54"/>
  <c r="AW31"/>
  <c r="X54"/>
  <c r="AX31"/>
  <c r="Y54"/>
  <c r="AY31"/>
  <c r="Z54"/>
  <c r="AZ31"/>
  <c r="AA54"/>
  <c r="BA31"/>
  <c r="AB54"/>
  <c r="BB31"/>
  <c r="C55"/>
  <c r="AC32"/>
  <c r="D55"/>
  <c r="AD32"/>
  <c r="E55"/>
  <c r="AE32"/>
  <c r="F55"/>
  <c r="AF32"/>
  <c r="G55"/>
  <c r="AG32"/>
  <c r="H55"/>
  <c r="AH32"/>
  <c r="I55"/>
  <c r="AI32"/>
  <c r="J55"/>
  <c r="AJ32"/>
  <c r="K55"/>
  <c r="AK32"/>
  <c r="L55"/>
  <c r="AL32"/>
  <c r="M55"/>
  <c r="AM32"/>
  <c r="N55"/>
  <c r="AN32"/>
  <c r="O55"/>
  <c r="AO32"/>
  <c r="P55"/>
  <c r="AP32"/>
  <c r="Q55"/>
  <c r="AQ32"/>
  <c r="R55"/>
  <c r="AR32"/>
  <c r="S55"/>
  <c r="AS32"/>
  <c r="T55"/>
  <c r="AT32"/>
  <c r="U55"/>
  <c r="AU32"/>
  <c r="V55"/>
  <c r="AV32"/>
  <c r="W55"/>
  <c r="AW32"/>
  <c r="X55"/>
  <c r="AX32"/>
  <c r="Y55"/>
  <c r="AY32"/>
  <c r="Z55"/>
  <c r="AZ32"/>
  <c r="AA55"/>
  <c r="BA32"/>
  <c r="AB55"/>
  <c r="BB32"/>
  <c r="C56"/>
  <c r="AC33"/>
  <c r="D56"/>
  <c r="AD33"/>
  <c r="E56"/>
  <c r="AE33"/>
  <c r="F56"/>
  <c r="AF33"/>
  <c r="G56"/>
  <c r="AG33"/>
  <c r="H56"/>
  <c r="AH33"/>
  <c r="I56"/>
  <c r="AI33"/>
  <c r="J56"/>
  <c r="AJ33"/>
  <c r="K56"/>
  <c r="AK33"/>
  <c r="L56"/>
  <c r="AL33"/>
  <c r="M56"/>
  <c r="AM33"/>
  <c r="N56"/>
  <c r="AN33"/>
  <c r="O56"/>
  <c r="AO33"/>
  <c r="P56"/>
  <c r="AP33"/>
  <c r="Q56"/>
  <c r="AQ33"/>
  <c r="R56"/>
  <c r="AR33"/>
  <c r="S56"/>
  <c r="AS33"/>
  <c r="T56"/>
  <c r="AT33"/>
  <c r="U56"/>
  <c r="AU33"/>
  <c r="V56"/>
  <c r="AV33"/>
  <c r="W56"/>
  <c r="AW33"/>
  <c r="X56"/>
  <c r="AX33"/>
  <c r="Y56"/>
  <c r="AY33"/>
  <c r="Z56"/>
  <c r="AZ33"/>
  <c r="AA56"/>
  <c r="BA33"/>
  <c r="AB56"/>
  <c r="BB33"/>
  <c r="C57"/>
  <c r="AC34"/>
  <c r="D57"/>
  <c r="AD34"/>
  <c r="E57"/>
  <c r="AE34"/>
  <c r="F57"/>
  <c r="AF34"/>
  <c r="G57"/>
  <c r="AG34"/>
  <c r="H57"/>
  <c r="AH34"/>
  <c r="I57"/>
  <c r="AI34"/>
  <c r="J57"/>
  <c r="AJ34"/>
  <c r="K57"/>
  <c r="AK34"/>
  <c r="L57"/>
  <c r="AL34"/>
  <c r="M57"/>
  <c r="AM34"/>
  <c r="N57"/>
  <c r="AN34"/>
  <c r="O57"/>
  <c r="AO34"/>
  <c r="P57"/>
  <c r="AP34"/>
  <c r="Q57"/>
  <c r="AQ34"/>
  <c r="R57"/>
  <c r="AR34"/>
  <c r="S57"/>
  <c r="AS34"/>
  <c r="T57"/>
  <c r="AT34"/>
  <c r="U57"/>
  <c r="AU34"/>
  <c r="V57"/>
  <c r="AV34"/>
  <c r="W57"/>
  <c r="AW34"/>
  <c r="X57"/>
  <c r="AX34"/>
  <c r="Y57"/>
  <c r="AY34"/>
  <c r="Z57"/>
  <c r="AZ34"/>
  <c r="AA57"/>
  <c r="BA34"/>
  <c r="AB57"/>
  <c r="BB34"/>
  <c r="C58"/>
  <c r="AC35"/>
  <c r="D58"/>
  <c r="AD35"/>
  <c r="E58"/>
  <c r="AE35"/>
  <c r="F58"/>
  <c r="AF35"/>
  <c r="G58"/>
  <c r="AG35"/>
  <c r="H58"/>
  <c r="AH35"/>
  <c r="I58"/>
  <c r="AI35"/>
  <c r="J58"/>
  <c r="AJ35"/>
  <c r="K58"/>
  <c r="AK35"/>
  <c r="L58"/>
  <c r="AL35"/>
  <c r="M58"/>
  <c r="AM35"/>
  <c r="N58"/>
  <c r="AN35"/>
  <c r="O58"/>
  <c r="AO35"/>
  <c r="P58"/>
  <c r="AP35"/>
  <c r="Q58"/>
  <c r="AQ35"/>
  <c r="R58"/>
  <c r="AR35"/>
  <c r="S58"/>
  <c r="AS35"/>
  <c r="T58"/>
  <c r="AT35"/>
  <c r="U58"/>
  <c r="AU35"/>
  <c r="V58"/>
  <c r="AV35"/>
  <c r="W58"/>
  <c r="AW35"/>
  <c r="X58"/>
  <c r="AX35"/>
  <c r="Y58"/>
  <c r="AY35"/>
  <c r="Z58"/>
  <c r="AZ35"/>
  <c r="AA58"/>
  <c r="BA35"/>
  <c r="AB58"/>
  <c r="BB35"/>
  <c r="C59"/>
  <c r="AC36"/>
  <c r="D59"/>
  <c r="AD36"/>
  <c r="E59"/>
  <c r="AE36"/>
  <c r="F59"/>
  <c r="AF36"/>
  <c r="G59"/>
  <c r="AG36"/>
  <c r="H59"/>
  <c r="AH36"/>
  <c r="I59"/>
  <c r="AI36"/>
  <c r="J59"/>
  <c r="AJ36"/>
  <c r="K59"/>
  <c r="AK36"/>
  <c r="L59"/>
  <c r="AL36"/>
  <c r="M59"/>
  <c r="AM36"/>
  <c r="N59"/>
  <c r="AN36"/>
  <c r="O59"/>
  <c r="AO36"/>
  <c r="P59"/>
  <c r="AP36"/>
  <c r="Q59"/>
  <c r="AQ36"/>
  <c r="R59"/>
  <c r="AR36"/>
  <c r="S59"/>
  <c r="AS36"/>
  <c r="T59"/>
  <c r="AT36"/>
  <c r="U59"/>
  <c r="AU36"/>
  <c r="V59"/>
  <c r="AV36"/>
  <c r="W59"/>
  <c r="AW36"/>
  <c r="X59"/>
  <c r="AX36"/>
  <c r="Y59"/>
  <c r="AY36"/>
  <c r="Z59"/>
  <c r="AZ36"/>
  <c r="AA59"/>
  <c r="BA36"/>
  <c r="AB59"/>
  <c r="BB36"/>
  <c r="C60"/>
  <c r="AC37"/>
  <c r="D60"/>
  <c r="AD37"/>
  <c r="E60"/>
  <c r="AE37"/>
  <c r="F60"/>
  <c r="AF37"/>
  <c r="G60"/>
  <c r="AG37"/>
  <c r="H60"/>
  <c r="AH37"/>
  <c r="I60"/>
  <c r="AI37"/>
  <c r="J60"/>
  <c r="AJ37"/>
  <c r="K60"/>
  <c r="AK37"/>
  <c r="L60"/>
  <c r="AL37"/>
  <c r="M60"/>
  <c r="AM37"/>
  <c r="N60"/>
  <c r="AN37"/>
  <c r="O60"/>
  <c r="AO37"/>
  <c r="P60"/>
  <c r="AP37"/>
  <c r="Q60"/>
  <c r="AQ37"/>
  <c r="R60"/>
  <c r="AR37"/>
  <c r="S60"/>
  <c r="AS37"/>
  <c r="T60"/>
  <c r="AT37"/>
  <c r="U60"/>
  <c r="AU37"/>
  <c r="V60"/>
  <c r="AV37"/>
  <c r="W60"/>
  <c r="AW37"/>
  <c r="X60"/>
  <c r="AX37"/>
  <c r="Y60"/>
  <c r="AY37"/>
  <c r="Z60"/>
  <c r="AZ37"/>
  <c r="AA60"/>
  <c r="BA37"/>
  <c r="AB60"/>
  <c r="BB37"/>
  <c r="C61"/>
  <c r="AC38"/>
  <c r="D61"/>
  <c r="AD38"/>
  <c r="E61"/>
  <c r="AE38"/>
  <c r="F61"/>
  <c r="AF38"/>
  <c r="G61"/>
  <c r="AG38"/>
  <c r="H61"/>
  <c r="AH38"/>
  <c r="I61"/>
  <c r="AI38"/>
  <c r="J61"/>
  <c r="AJ38"/>
  <c r="K61"/>
  <c r="AK38"/>
  <c r="L61"/>
  <c r="AL38"/>
  <c r="M61"/>
  <c r="AM38"/>
  <c r="N61"/>
  <c r="AN38"/>
  <c r="O61"/>
  <c r="AO38"/>
  <c r="P61"/>
  <c r="AP38"/>
  <c r="Q61"/>
  <c r="AQ38"/>
  <c r="R61"/>
  <c r="AR38"/>
  <c r="S61"/>
  <c r="AS38"/>
  <c r="T61"/>
  <c r="AT38"/>
  <c r="U61"/>
  <c r="AU38"/>
  <c r="V61"/>
  <c r="AV38"/>
  <c r="W61"/>
  <c r="AW38"/>
  <c r="X61"/>
  <c r="AX38"/>
  <c r="Y61"/>
  <c r="AY38"/>
  <c r="Z61"/>
  <c r="AZ38"/>
  <c r="AA61"/>
  <c r="BA38"/>
  <c r="AB61"/>
  <c r="BB38"/>
  <c r="C62"/>
  <c r="AC39"/>
  <c r="D62"/>
  <c r="AD39"/>
  <c r="E62"/>
  <c r="AE39"/>
  <c r="F62"/>
  <c r="AF39"/>
  <c r="G62"/>
  <c r="AG39"/>
  <c r="H62"/>
  <c r="AH39"/>
  <c r="I62"/>
  <c r="AI39"/>
  <c r="J62"/>
  <c r="AJ39"/>
  <c r="K62"/>
  <c r="AK39"/>
  <c r="L62"/>
  <c r="AL39"/>
  <c r="M62"/>
  <c r="AM39"/>
  <c r="N62"/>
  <c r="AN39"/>
  <c r="O62"/>
  <c r="AO39"/>
  <c r="P62"/>
  <c r="AP39"/>
  <c r="Q62"/>
  <c r="AQ39"/>
  <c r="R62"/>
  <c r="AR39"/>
  <c r="S62"/>
  <c r="AS39"/>
  <c r="T62"/>
  <c r="AT39"/>
  <c r="U62"/>
  <c r="AU39"/>
  <c r="V62"/>
  <c r="AV39"/>
  <c r="W62"/>
  <c r="AW39"/>
  <c r="X62"/>
  <c r="AX39"/>
  <c r="Y62"/>
  <c r="AY39"/>
  <c r="Z62"/>
  <c r="AZ39"/>
  <c r="AA62"/>
  <c r="BA39"/>
  <c r="AB62"/>
  <c r="BB39"/>
  <c r="C63"/>
  <c r="AC40"/>
  <c r="D63"/>
  <c r="AD40"/>
  <c r="E63"/>
  <c r="AE40"/>
  <c r="F63"/>
  <c r="AF40"/>
  <c r="G63"/>
  <c r="AG40"/>
  <c r="H63"/>
  <c r="AH40"/>
  <c r="I63"/>
  <c r="AI40"/>
  <c r="J63"/>
  <c r="AJ40"/>
  <c r="K63"/>
  <c r="AK40"/>
  <c r="L63"/>
  <c r="AL40"/>
  <c r="M63"/>
  <c r="AM40"/>
  <c r="N63"/>
  <c r="AN40"/>
  <c r="O63"/>
  <c r="AO40"/>
  <c r="P63"/>
  <c r="AP40"/>
  <c r="Q63"/>
  <c r="AQ40"/>
  <c r="R63"/>
  <c r="AR40"/>
  <c r="S63"/>
  <c r="AS40"/>
  <c r="T63"/>
  <c r="AT40"/>
  <c r="U63"/>
  <c r="AU40"/>
  <c r="V63"/>
  <c r="AV40"/>
  <c r="W63"/>
  <c r="AW40"/>
  <c r="X63"/>
  <c r="AX40"/>
  <c r="Y63"/>
  <c r="AY40"/>
  <c r="Z63"/>
  <c r="AZ40"/>
  <c r="AA63"/>
  <c r="BA40"/>
  <c r="AB63"/>
  <c r="BB40"/>
  <c r="C64"/>
  <c r="AC41"/>
  <c r="D64"/>
  <c r="AD41"/>
  <c r="E64"/>
  <c r="AE41"/>
  <c r="F64"/>
  <c r="AF41"/>
  <c r="G64"/>
  <c r="AG41"/>
  <c r="H64"/>
  <c r="AH41"/>
  <c r="I64"/>
  <c r="AI41"/>
  <c r="J64"/>
  <c r="AJ41"/>
  <c r="K64"/>
  <c r="AK41"/>
  <c r="L64"/>
  <c r="AL41"/>
  <c r="M64"/>
  <c r="AM41"/>
  <c r="N64"/>
  <c r="AN41"/>
  <c r="O64"/>
  <c r="AO41"/>
  <c r="P64"/>
  <c r="AP41"/>
  <c r="Q64"/>
  <c r="AQ41"/>
  <c r="R64"/>
  <c r="AR41"/>
  <c r="S64"/>
  <c r="AS41"/>
  <c r="T64"/>
  <c r="AT41"/>
  <c r="U64"/>
  <c r="AU41"/>
  <c r="V64"/>
  <c r="AV41"/>
  <c r="W64"/>
  <c r="AW41"/>
  <c r="X64"/>
  <c r="AX41"/>
  <c r="Y64"/>
  <c r="AY41"/>
  <c r="Z64"/>
  <c r="AZ41"/>
  <c r="AA64"/>
  <c r="BA41"/>
  <c r="AB64"/>
  <c r="BB41"/>
  <c r="C65"/>
  <c r="AC42"/>
  <c r="D65"/>
  <c r="AD42"/>
  <c r="E65"/>
  <c r="AE42"/>
  <c r="F65"/>
  <c r="AF42"/>
  <c r="G65"/>
  <c r="AG42"/>
  <c r="H65"/>
  <c r="AH42"/>
  <c r="I65"/>
  <c r="AI42"/>
  <c r="J65"/>
  <c r="AJ42"/>
  <c r="K65"/>
  <c r="AK42"/>
  <c r="L65"/>
  <c r="AL42"/>
  <c r="M65"/>
  <c r="AM42"/>
  <c r="N65"/>
  <c r="AN42"/>
  <c r="O65"/>
  <c r="AO42"/>
  <c r="P65"/>
  <c r="AP42"/>
  <c r="Q65"/>
  <c r="AQ42"/>
  <c r="R65"/>
  <c r="AR42"/>
  <c r="S65"/>
  <c r="AS42"/>
  <c r="T65"/>
  <c r="AT42"/>
  <c r="U65"/>
  <c r="AU42"/>
  <c r="V65"/>
  <c r="AV42"/>
  <c r="W65"/>
  <c r="AW42"/>
  <c r="X65"/>
  <c r="AX42"/>
  <c r="Y65"/>
  <c r="AY42"/>
  <c r="Z65"/>
  <c r="AZ42"/>
  <c r="AA65"/>
  <c r="BA42"/>
  <c r="AB65"/>
  <c r="BB42"/>
  <c r="C66"/>
  <c r="AC43"/>
  <c r="D66"/>
  <c r="AD43"/>
  <c r="E66"/>
  <c r="AE43"/>
  <c r="F66"/>
  <c r="AF43"/>
  <c r="G66"/>
  <c r="AG43"/>
  <c r="H66"/>
  <c r="AH43"/>
  <c r="I66"/>
  <c r="AI43"/>
  <c r="J66"/>
  <c r="AJ43"/>
  <c r="K66"/>
  <c r="AK43"/>
  <c r="L66"/>
  <c r="AL43"/>
  <c r="M66"/>
  <c r="AM43"/>
  <c r="N66"/>
  <c r="AN43"/>
  <c r="O66"/>
  <c r="AO43"/>
  <c r="P66"/>
  <c r="AP43"/>
  <c r="Q66"/>
  <c r="AQ43"/>
  <c r="R66"/>
  <c r="AR43"/>
  <c r="S66"/>
  <c r="AS43"/>
  <c r="T66"/>
  <c r="AT43"/>
  <c r="U66"/>
  <c r="AU43"/>
  <c r="V66"/>
  <c r="AV43"/>
  <c r="W66"/>
  <c r="AW43"/>
  <c r="X66"/>
  <c r="AX43"/>
  <c r="Y66"/>
  <c r="AY43"/>
  <c r="Z66"/>
  <c r="AZ43"/>
  <c r="AA66"/>
  <c r="BA43"/>
  <c r="AB66"/>
  <c r="BB43"/>
  <c r="C67"/>
  <c r="AC44"/>
  <c r="D67"/>
  <c r="AD44"/>
  <c r="E67"/>
  <c r="AE44"/>
  <c r="F67"/>
  <c r="AF44"/>
  <c r="G67"/>
  <c r="AG44"/>
  <c r="H67"/>
  <c r="AH44"/>
  <c r="I67"/>
  <c r="AI44"/>
  <c r="J67"/>
  <c r="AJ44"/>
  <c r="K67"/>
  <c r="AK44"/>
  <c r="L67"/>
  <c r="AL44"/>
  <c r="M67"/>
  <c r="AM44"/>
  <c r="N67"/>
  <c r="AN44"/>
  <c r="O67"/>
  <c r="AO44"/>
  <c r="P67"/>
  <c r="AP44"/>
  <c r="Q67"/>
  <c r="AQ44"/>
  <c r="R67"/>
  <c r="AR44"/>
  <c r="S67"/>
  <c r="AS44"/>
  <c r="T67"/>
  <c r="AT44"/>
  <c r="U67"/>
  <c r="AU44"/>
  <c r="V67"/>
  <c r="AV44"/>
  <c r="W67"/>
  <c r="AW44"/>
  <c r="X67"/>
  <c r="AX44"/>
  <c r="Y67"/>
  <c r="AY44"/>
  <c r="Z67"/>
  <c r="AZ44"/>
  <c r="AA67"/>
  <c r="BA44"/>
  <c r="AB67"/>
  <c r="BB44"/>
  <c r="C68"/>
  <c r="AC45"/>
  <c r="D68"/>
  <c r="AD45"/>
  <c r="E68"/>
  <c r="AE45"/>
  <c r="F68"/>
  <c r="AF45"/>
  <c r="G68"/>
  <c r="AG45"/>
  <c r="H68"/>
  <c r="AH45"/>
  <c r="I68"/>
  <c r="AI45"/>
  <c r="J68"/>
  <c r="AJ45"/>
  <c r="K68"/>
  <c r="AK45"/>
  <c r="L68"/>
  <c r="AL45"/>
  <c r="M68"/>
  <c r="AM45"/>
  <c r="N68"/>
  <c r="AN45"/>
  <c r="O68"/>
  <c r="AO45"/>
  <c r="P68"/>
  <c r="AP45"/>
  <c r="Q68"/>
  <c r="AQ45"/>
  <c r="R68"/>
  <c r="AR45"/>
  <c r="S68"/>
  <c r="AS45"/>
  <c r="T68"/>
  <c r="AT45"/>
  <c r="U68"/>
  <c r="AU45"/>
  <c r="V68"/>
  <c r="AV45"/>
  <c r="W68"/>
  <c r="AW45"/>
  <c r="X68"/>
  <c r="AX45"/>
  <c r="Y68"/>
  <c r="AY45"/>
  <c r="Z68"/>
  <c r="AZ45"/>
  <c r="AA68"/>
  <c r="BA45"/>
  <c r="AB68"/>
  <c r="BB45"/>
  <c r="C69"/>
  <c r="AC46"/>
  <c r="D69"/>
  <c r="AD46"/>
  <c r="E69"/>
  <c r="AE46"/>
  <c r="F69"/>
  <c r="AF46"/>
  <c r="G69"/>
  <c r="AG46"/>
  <c r="H69"/>
  <c r="AH46"/>
  <c r="I69"/>
  <c r="AI46"/>
  <c r="J69"/>
  <c r="AJ46"/>
  <c r="K69"/>
  <c r="AK46"/>
  <c r="L69"/>
  <c r="AL46"/>
  <c r="M69"/>
  <c r="AM46"/>
  <c r="N69"/>
  <c r="AN46"/>
  <c r="O69"/>
  <c r="AO46"/>
  <c r="P69"/>
  <c r="AP46"/>
  <c r="Q69"/>
  <c r="AQ46"/>
  <c r="R69"/>
  <c r="AR46"/>
  <c r="S69"/>
  <c r="AS46"/>
  <c r="T69"/>
  <c r="AT46"/>
  <c r="U69"/>
  <c r="AU46"/>
  <c r="V69"/>
  <c r="AV46"/>
  <c r="W69"/>
  <c r="AW46"/>
  <c r="X69"/>
  <c r="AX46"/>
  <c r="Y69"/>
  <c r="AY46"/>
  <c r="Z69"/>
  <c r="AZ46"/>
  <c r="AA69"/>
  <c r="BA46"/>
  <c r="AB69"/>
  <c r="BB46"/>
  <c r="C70"/>
  <c r="AC47"/>
  <c r="D70"/>
  <c r="AD47"/>
  <c r="E70"/>
  <c r="AE47"/>
  <c r="F70"/>
  <c r="AF47"/>
  <c r="G70"/>
  <c r="AG47"/>
  <c r="H70"/>
  <c r="AH47"/>
  <c r="I70"/>
  <c r="AI47"/>
  <c r="J70"/>
  <c r="AJ47"/>
  <c r="K70"/>
  <c r="AK47"/>
  <c r="L70"/>
  <c r="AL47"/>
  <c r="M70"/>
  <c r="AM47"/>
  <c r="N70"/>
  <c r="AN47"/>
  <c r="O70"/>
  <c r="AO47"/>
  <c r="P70"/>
  <c r="AP47"/>
  <c r="Q70"/>
  <c r="AQ47"/>
  <c r="R70"/>
  <c r="AR47"/>
  <c r="S70"/>
  <c r="AS47"/>
  <c r="T70"/>
  <c r="AT47"/>
  <c r="U70"/>
  <c r="AU47"/>
  <c r="V70"/>
  <c r="AV47"/>
  <c r="W70"/>
  <c r="AW47"/>
  <c r="X70"/>
  <c r="AX47"/>
  <c r="Y70"/>
  <c r="AY47"/>
  <c r="Z70"/>
  <c r="AZ47"/>
  <c r="AA70"/>
  <c r="BA47"/>
  <c r="AB70"/>
  <c r="BB47"/>
  <c r="C71"/>
  <c r="AC48"/>
  <c r="D71"/>
  <c r="AD48"/>
  <c r="E71"/>
  <c r="AE48"/>
  <c r="F71"/>
  <c r="AF48"/>
  <c r="G71"/>
  <c r="AG48"/>
  <c r="H71"/>
  <c r="AH48"/>
  <c r="I71"/>
  <c r="AI48"/>
  <c r="J71"/>
  <c r="AJ48"/>
  <c r="K71"/>
  <c r="AK48"/>
  <c r="L71"/>
  <c r="AL48"/>
  <c r="M71"/>
  <c r="AM48"/>
  <c r="N71"/>
  <c r="AN48"/>
  <c r="O71"/>
  <c r="AO48"/>
  <c r="P71"/>
  <c r="AP48"/>
  <c r="Q71"/>
  <c r="AQ48"/>
  <c r="R71"/>
  <c r="AR48"/>
  <c r="S71"/>
  <c r="AS48"/>
  <c r="T71"/>
  <c r="AT48"/>
  <c r="U71"/>
  <c r="AU48"/>
  <c r="V71"/>
  <c r="AV48"/>
  <c r="W71"/>
  <c r="AW48"/>
  <c r="X71"/>
  <c r="AX48"/>
  <c r="Y71"/>
  <c r="AY48"/>
  <c r="Z71"/>
  <c r="AZ48"/>
  <c r="AA71"/>
  <c r="BA48"/>
  <c r="AB71"/>
  <c r="BB48"/>
  <c r="C72"/>
  <c r="AC49"/>
  <c r="D72"/>
  <c r="AD49"/>
  <c r="E72"/>
  <c r="AE49"/>
  <c r="F72"/>
  <c r="AF49"/>
  <c r="G72"/>
  <c r="AG49"/>
  <c r="H72"/>
  <c r="AH49"/>
  <c r="I72"/>
  <c r="AI49"/>
  <c r="J72"/>
  <c r="AJ49"/>
  <c r="K72"/>
  <c r="AK49"/>
  <c r="L72"/>
  <c r="AL49"/>
  <c r="M72"/>
  <c r="AM49"/>
  <c r="N72"/>
  <c r="AN49"/>
  <c r="O72"/>
  <c r="AO49"/>
  <c r="P72"/>
  <c r="AP49"/>
  <c r="Q72"/>
  <c r="AQ49"/>
  <c r="R72"/>
  <c r="AR49"/>
  <c r="S72"/>
  <c r="AS49"/>
  <c r="T72"/>
  <c r="AT49"/>
  <c r="U72"/>
  <c r="AU49"/>
  <c r="V72"/>
  <c r="AV49"/>
  <c r="W72"/>
  <c r="AW49"/>
  <c r="X72"/>
  <c r="AX49"/>
  <c r="Y72"/>
  <c r="AY49"/>
  <c r="Z72"/>
  <c r="AZ49"/>
  <c r="AA72"/>
  <c r="BA49"/>
  <c r="AB72"/>
  <c r="BB49"/>
  <c r="C73"/>
  <c r="AC50"/>
  <c r="D73"/>
  <c r="AD50"/>
  <c r="E73"/>
  <c r="AE50"/>
  <c r="F73"/>
  <c r="AF50"/>
  <c r="G73"/>
  <c r="AG50"/>
  <c r="H73"/>
  <c r="AH50"/>
  <c r="I73"/>
  <c r="AI50"/>
  <c r="J73"/>
  <c r="AJ50"/>
  <c r="K73"/>
  <c r="AK50"/>
  <c r="L73"/>
  <c r="AL50"/>
  <c r="M73"/>
  <c r="AM50"/>
  <c r="N73"/>
  <c r="AN50"/>
  <c r="O73"/>
  <c r="AO50"/>
  <c r="P73"/>
  <c r="AP50"/>
  <c r="Q73"/>
  <c r="AQ50"/>
  <c r="R73"/>
  <c r="AR50"/>
  <c r="S73"/>
  <c r="AS50"/>
  <c r="T73"/>
  <c r="AT50"/>
  <c r="U73"/>
  <c r="AU50"/>
  <c r="V73"/>
  <c r="AV50"/>
  <c r="W73"/>
  <c r="AW50"/>
  <c r="X73"/>
  <c r="AX50"/>
  <c r="Y73"/>
  <c r="AY50"/>
  <c r="Z73"/>
  <c r="AZ50"/>
  <c r="AA73"/>
  <c r="BA50"/>
  <c r="AB73"/>
  <c r="BB50"/>
  <c r="C74"/>
  <c r="AC51"/>
  <c r="D74"/>
  <c r="AD51"/>
  <c r="E74"/>
  <c r="AE51"/>
  <c r="F74"/>
  <c r="AF51"/>
  <c r="G74"/>
  <c r="AG51"/>
  <c r="H74"/>
  <c r="AH51"/>
  <c r="I74"/>
  <c r="AI51"/>
  <c r="J74"/>
  <c r="AJ51"/>
  <c r="K74"/>
  <c r="AK51"/>
  <c r="L74"/>
  <c r="AL51"/>
  <c r="M74"/>
  <c r="AM51"/>
  <c r="N74"/>
  <c r="AN51"/>
  <c r="O74"/>
  <c r="AO51"/>
  <c r="P74"/>
  <c r="AP51"/>
  <c r="Q74"/>
  <c r="AQ51"/>
  <c r="R74"/>
  <c r="AR51"/>
  <c r="S74"/>
  <c r="AS51"/>
  <c r="T74"/>
  <c r="AT51"/>
  <c r="U74"/>
  <c r="AU51"/>
  <c r="V74"/>
  <c r="AV51"/>
  <c r="W74"/>
  <c r="AW51"/>
  <c r="X74"/>
  <c r="AX51"/>
  <c r="Y74"/>
  <c r="AY51"/>
  <c r="Z74"/>
  <c r="AZ51"/>
  <c r="AA74"/>
  <c r="BA51"/>
  <c r="AB74"/>
  <c r="BB51"/>
  <c r="C75"/>
  <c r="AC52"/>
  <c r="D75"/>
  <c r="AD52"/>
  <c r="E75"/>
  <c r="AE52"/>
  <c r="F75"/>
  <c r="AF52"/>
  <c r="G75"/>
  <c r="AG52"/>
  <c r="H75"/>
  <c r="AH52"/>
  <c r="I75"/>
  <c r="AI52"/>
  <c r="J75"/>
  <c r="AJ52"/>
  <c r="K75"/>
  <c r="AK52"/>
  <c r="L75"/>
  <c r="AL52"/>
  <c r="M75"/>
  <c r="AM52"/>
  <c r="N75"/>
  <c r="AN52"/>
  <c r="O75"/>
  <c r="AO52"/>
  <c r="P75"/>
  <c r="AP52"/>
  <c r="Q75"/>
  <c r="AQ52"/>
  <c r="R75"/>
  <c r="AR52"/>
  <c r="S75"/>
  <c r="AS52"/>
  <c r="T75"/>
  <c r="AT52"/>
  <c r="U75"/>
  <c r="AU52"/>
  <c r="V75"/>
  <c r="AV52"/>
  <c r="W75"/>
  <c r="AW52"/>
  <c r="X75"/>
  <c r="AX52"/>
  <c r="Y75"/>
  <c r="AY52"/>
  <c r="Z75"/>
  <c r="AZ52"/>
  <c r="AA75"/>
  <c r="BA52"/>
  <c r="AB75"/>
  <c r="BB52"/>
  <c r="C76"/>
  <c r="AC53"/>
  <c r="D76"/>
  <c r="AD53"/>
  <c r="E76"/>
  <c r="AE53"/>
  <c r="F76"/>
  <c r="AF53"/>
  <c r="G76"/>
  <c r="AG53"/>
  <c r="H76"/>
  <c r="AH53"/>
  <c r="I76"/>
  <c r="AI53"/>
  <c r="J76"/>
  <c r="AJ53"/>
  <c r="K76"/>
  <c r="AK53"/>
  <c r="L76"/>
  <c r="AL53"/>
  <c r="M76"/>
  <c r="AM53"/>
  <c r="N76"/>
  <c r="AN53"/>
  <c r="O76"/>
  <c r="AO53"/>
  <c r="P76"/>
  <c r="AP53"/>
  <c r="Q76"/>
  <c r="AQ53"/>
  <c r="R76"/>
  <c r="AR53"/>
  <c r="S76"/>
  <c r="AS53"/>
  <c r="T76"/>
  <c r="AT53"/>
  <c r="U76"/>
  <c r="AU53"/>
  <c r="V76"/>
  <c r="AV53"/>
  <c r="W76"/>
  <c r="AW53"/>
  <c r="X76"/>
  <c r="AX53"/>
  <c r="Y76"/>
  <c r="AY53"/>
  <c r="Z76"/>
  <c r="AZ53"/>
  <c r="AA76"/>
  <c r="BA53"/>
  <c r="AB76"/>
  <c r="BB53"/>
  <c r="C77"/>
  <c r="AC54"/>
  <c r="D77"/>
  <c r="AD54"/>
  <c r="E77"/>
  <c r="AE54"/>
  <c r="F77"/>
  <c r="AF54"/>
  <c r="G77"/>
  <c r="AG54"/>
  <c r="H77"/>
  <c r="AH54"/>
  <c r="I77"/>
  <c r="AI54"/>
  <c r="J77"/>
  <c r="AJ54"/>
  <c r="K77"/>
  <c r="AK54"/>
  <c r="L77"/>
  <c r="AL54"/>
  <c r="M77"/>
  <c r="AM54"/>
  <c r="N77"/>
  <c r="AN54"/>
  <c r="O77"/>
  <c r="AO54"/>
  <c r="P77"/>
  <c r="AP54"/>
  <c r="Q77"/>
  <c r="AQ54"/>
  <c r="R77"/>
  <c r="AR54"/>
  <c r="S77"/>
  <c r="AS54"/>
  <c r="T77"/>
  <c r="AT54"/>
  <c r="U77"/>
  <c r="AU54"/>
  <c r="V77"/>
  <c r="AV54"/>
  <c r="W77"/>
  <c r="AW54"/>
  <c r="X77"/>
  <c r="AX54"/>
  <c r="Y77"/>
  <c r="AY54"/>
  <c r="Z77"/>
  <c r="AZ54"/>
  <c r="AA77"/>
  <c r="BA54"/>
  <c r="AB77"/>
  <c r="BB54"/>
  <c r="C78"/>
  <c r="AC55"/>
  <c r="D78"/>
  <c r="AD55"/>
  <c r="E78"/>
  <c r="AE55"/>
  <c r="F78"/>
  <c r="AF55"/>
  <c r="G78"/>
  <c r="AG55"/>
  <c r="H78"/>
  <c r="AH55"/>
  <c r="I78"/>
  <c r="AI55"/>
  <c r="J78"/>
  <c r="AJ55"/>
  <c r="K78"/>
  <c r="AK55"/>
  <c r="L78"/>
  <c r="AL55"/>
  <c r="M78"/>
  <c r="AM55"/>
  <c r="N78"/>
  <c r="AN55"/>
  <c r="O78"/>
  <c r="AO55"/>
  <c r="P78"/>
  <c r="AP55"/>
  <c r="Q78"/>
  <c r="AQ55"/>
  <c r="R78"/>
  <c r="AR55"/>
  <c r="S78"/>
  <c r="AS55"/>
  <c r="T78"/>
  <c r="AT55"/>
  <c r="U78"/>
  <c r="AU55"/>
  <c r="V78"/>
  <c r="AV55"/>
  <c r="W78"/>
  <c r="AW55"/>
  <c r="X78"/>
  <c r="AX55"/>
  <c r="Y78"/>
  <c r="AY55"/>
  <c r="Z78"/>
  <c r="AZ55"/>
  <c r="AA78"/>
  <c r="BA55"/>
  <c r="AB78"/>
  <c r="BB55"/>
  <c r="C79"/>
  <c r="AC56"/>
  <c r="D79"/>
  <c r="AD56"/>
  <c r="E79"/>
  <c r="AE56"/>
  <c r="F79"/>
  <c r="AF56"/>
  <c r="G79"/>
  <c r="AG56"/>
  <c r="H79"/>
  <c r="AH56"/>
  <c r="I79"/>
  <c r="AI56"/>
  <c r="J79"/>
  <c r="AJ56"/>
  <c r="K79"/>
  <c r="AK56"/>
  <c r="L79"/>
  <c r="AL56"/>
  <c r="M79"/>
  <c r="AM56"/>
  <c r="N79"/>
  <c r="AN56"/>
  <c r="O79"/>
  <c r="AO56"/>
  <c r="P79"/>
  <c r="AP56"/>
  <c r="Q79"/>
  <c r="AQ56"/>
  <c r="R79"/>
  <c r="AR56"/>
  <c r="S79"/>
  <c r="AS56"/>
  <c r="T79"/>
  <c r="AT56"/>
  <c r="U79"/>
  <c r="AU56"/>
  <c r="V79"/>
  <c r="AV56"/>
  <c r="W79"/>
  <c r="AW56"/>
  <c r="X79"/>
  <c r="AX56"/>
  <c r="Y79"/>
  <c r="AY56"/>
  <c r="Z79"/>
  <c r="AZ56"/>
  <c r="AA79"/>
  <c r="BA56"/>
  <c r="AB79"/>
  <c r="BB56"/>
  <c r="C80"/>
  <c r="AC57"/>
  <c r="D80"/>
  <c r="AD57"/>
  <c r="E80"/>
  <c r="AE57"/>
  <c r="F80"/>
  <c r="AF57"/>
  <c r="G80"/>
  <c r="AG57"/>
  <c r="H80"/>
  <c r="AH57"/>
  <c r="I80"/>
  <c r="AI57"/>
  <c r="J80"/>
  <c r="AJ57"/>
  <c r="K80"/>
  <c r="AK57"/>
  <c r="L80"/>
  <c r="AL57"/>
  <c r="M80"/>
  <c r="AM57"/>
  <c r="N80"/>
  <c r="AN57"/>
  <c r="O80"/>
  <c r="AO57"/>
  <c r="P80"/>
  <c r="AP57"/>
  <c r="Q80"/>
  <c r="AQ57"/>
  <c r="R80"/>
  <c r="AR57"/>
  <c r="S80"/>
  <c r="AS57"/>
  <c r="T80"/>
  <c r="AT57"/>
  <c r="U80"/>
  <c r="AU57"/>
  <c r="V80"/>
  <c r="AV57"/>
  <c r="W80"/>
  <c r="AW57"/>
  <c r="X80"/>
  <c r="AX57"/>
  <c r="Y80"/>
  <c r="AY57"/>
  <c r="Z80"/>
  <c r="AZ57"/>
  <c r="AA80"/>
  <c r="BA57"/>
  <c r="AB80"/>
  <c r="BB57"/>
  <c r="C81"/>
  <c r="AC58"/>
  <c r="D81"/>
  <c r="AD58"/>
  <c r="E81"/>
  <c r="AE58"/>
  <c r="F81"/>
  <c r="AF58"/>
  <c r="G81"/>
  <c r="AG58"/>
  <c r="H81"/>
  <c r="AH58"/>
  <c r="I81"/>
  <c r="AI58"/>
  <c r="J81"/>
  <c r="AJ58"/>
  <c r="K81"/>
  <c r="AK58"/>
  <c r="L81"/>
  <c r="AL58"/>
  <c r="M81"/>
  <c r="AM58"/>
  <c r="N81"/>
  <c r="AN58"/>
  <c r="O81"/>
  <c r="AO58"/>
  <c r="P81"/>
  <c r="AP58"/>
  <c r="Q81"/>
  <c r="AQ58"/>
  <c r="R81"/>
  <c r="AR58"/>
  <c r="S81"/>
  <c r="AS58"/>
  <c r="T81"/>
  <c r="AT58"/>
  <c r="U81"/>
  <c r="AU58"/>
  <c r="V81"/>
  <c r="AV58"/>
  <c r="W81"/>
  <c r="AW58"/>
  <c r="X81"/>
  <c r="AX58"/>
  <c r="Y81"/>
  <c r="AY58"/>
  <c r="Z81"/>
  <c r="AZ58"/>
  <c r="AA81"/>
  <c r="BA58"/>
  <c r="AB81"/>
  <c r="BB58"/>
  <c r="C82"/>
  <c r="AC59"/>
  <c r="D82"/>
  <c r="AD59"/>
  <c r="E82"/>
  <c r="AE59"/>
  <c r="F82"/>
  <c r="AF59"/>
  <c r="G82"/>
  <c r="AG59"/>
  <c r="H82"/>
  <c r="AH59"/>
  <c r="I82"/>
  <c r="AI59"/>
  <c r="J82"/>
  <c r="AJ59"/>
  <c r="K82"/>
  <c r="AK59"/>
  <c r="L82"/>
  <c r="AL59"/>
  <c r="M82"/>
  <c r="AM59"/>
  <c r="N82"/>
  <c r="AN59"/>
  <c r="O82"/>
  <c r="AO59"/>
  <c r="P82"/>
  <c r="AP59"/>
  <c r="Q82"/>
  <c r="AQ59"/>
  <c r="R82"/>
  <c r="AR59"/>
  <c r="S82"/>
  <c r="AS59"/>
  <c r="T82"/>
  <c r="AT59"/>
  <c r="U82"/>
  <c r="AU59"/>
  <c r="V82"/>
  <c r="AV59"/>
  <c r="W82"/>
  <c r="AW59"/>
  <c r="X82"/>
  <c r="AX59"/>
  <c r="Y82"/>
  <c r="AY59"/>
  <c r="Z82"/>
  <c r="AZ59"/>
  <c r="AA82"/>
  <c r="BA59"/>
  <c r="AB82"/>
  <c r="BB59"/>
  <c r="C83"/>
  <c r="AC60"/>
  <c r="D83"/>
  <c r="AD60"/>
  <c r="E83"/>
  <c r="AE60"/>
  <c r="F83"/>
  <c r="AF60"/>
  <c r="G83"/>
  <c r="AG60"/>
  <c r="H83"/>
  <c r="AH60"/>
  <c r="I83"/>
  <c r="AI60"/>
  <c r="J83"/>
  <c r="AJ60"/>
  <c r="K83"/>
  <c r="AK60"/>
  <c r="L83"/>
  <c r="AL60"/>
  <c r="M83"/>
  <c r="AM60"/>
  <c r="N83"/>
  <c r="AN60"/>
  <c r="O83"/>
  <c r="AO60"/>
  <c r="P83"/>
  <c r="AP60"/>
  <c r="Q83"/>
  <c r="AQ60"/>
  <c r="R83"/>
  <c r="AR60"/>
  <c r="S83"/>
  <c r="AS60"/>
  <c r="T83"/>
  <c r="AT60"/>
  <c r="U83"/>
  <c r="AU60"/>
  <c r="V83"/>
  <c r="AV60"/>
  <c r="W83"/>
  <c r="AW60"/>
  <c r="X83"/>
  <c r="AX60"/>
  <c r="Y83"/>
  <c r="AY60"/>
  <c r="Z83"/>
  <c r="AZ60"/>
  <c r="AA83"/>
  <c r="BA60"/>
  <c r="AB83"/>
  <c r="BB60"/>
  <c r="C84"/>
  <c r="AC61"/>
  <c r="D84"/>
  <c r="AD61"/>
  <c r="E84"/>
  <c r="AE61"/>
  <c r="F84"/>
  <c r="AF61"/>
  <c r="G84"/>
  <c r="AG61"/>
  <c r="H84"/>
  <c r="AH61"/>
  <c r="I84"/>
  <c r="AI61"/>
  <c r="J84"/>
  <c r="AJ61"/>
  <c r="K84"/>
  <c r="AK61"/>
  <c r="L84"/>
  <c r="AL61"/>
  <c r="M84"/>
  <c r="AM61"/>
  <c r="N84"/>
  <c r="AN61"/>
  <c r="O84"/>
  <c r="AO61"/>
  <c r="P84"/>
  <c r="AP61"/>
  <c r="Q84"/>
  <c r="AQ61"/>
  <c r="R84"/>
  <c r="AR61"/>
  <c r="S84"/>
  <c r="AS61"/>
  <c r="T84"/>
  <c r="AT61"/>
  <c r="U84"/>
  <c r="AU61"/>
  <c r="V84"/>
  <c r="AV61"/>
  <c r="W84"/>
  <c r="AW61"/>
  <c r="X84"/>
  <c r="AX61"/>
  <c r="Y84"/>
  <c r="AY61"/>
  <c r="Z84"/>
  <c r="AZ61"/>
  <c r="AA84"/>
  <c r="BA61"/>
  <c r="AB84"/>
  <c r="BB61"/>
  <c r="C85"/>
  <c r="AC62"/>
  <c r="D85"/>
  <c r="AD62"/>
  <c r="E85"/>
  <c r="AE62"/>
  <c r="F85"/>
  <c r="AF62"/>
  <c r="G85"/>
  <c r="AG62"/>
  <c r="H85"/>
  <c r="AH62"/>
  <c r="I85"/>
  <c r="AI62"/>
  <c r="J85"/>
  <c r="AJ62"/>
  <c r="K85"/>
  <c r="AK62"/>
  <c r="L85"/>
  <c r="AL62"/>
  <c r="M85"/>
  <c r="AM62"/>
  <c r="N85"/>
  <c r="AN62"/>
  <c r="O85"/>
  <c r="AO62"/>
  <c r="P85"/>
  <c r="AP62"/>
  <c r="Q85"/>
  <c r="AQ62"/>
  <c r="R85"/>
  <c r="AR62"/>
  <c r="S85"/>
  <c r="AS62"/>
  <c r="T85"/>
  <c r="AT62"/>
  <c r="U85"/>
  <c r="AU62"/>
  <c r="V85"/>
  <c r="AV62"/>
  <c r="W85"/>
  <c r="AW62"/>
  <c r="X85"/>
  <c r="AX62"/>
  <c r="Y85"/>
  <c r="AY62"/>
  <c r="Z85"/>
  <c r="AZ62"/>
  <c r="AA85"/>
  <c r="BA62"/>
  <c r="AB85"/>
  <c r="BB62"/>
  <c r="C86"/>
  <c r="AC63"/>
  <c r="D86"/>
  <c r="AD63"/>
  <c r="E86"/>
  <c r="AE63"/>
  <c r="F86"/>
  <c r="AF63"/>
  <c r="G86"/>
  <c r="AG63"/>
  <c r="H86"/>
  <c r="AH63"/>
  <c r="I86"/>
  <c r="AI63"/>
  <c r="J86"/>
  <c r="AJ63"/>
  <c r="K86"/>
  <c r="AK63"/>
  <c r="L86"/>
  <c r="AL63"/>
  <c r="M86"/>
  <c r="AM63"/>
  <c r="N86"/>
  <c r="AN63"/>
  <c r="O86"/>
  <c r="AO63"/>
  <c r="P86"/>
  <c r="AP63"/>
  <c r="Q86"/>
  <c r="AQ63"/>
  <c r="R86"/>
  <c r="AR63"/>
  <c r="S86"/>
  <c r="AS63"/>
  <c r="T86"/>
  <c r="AT63"/>
  <c r="U86"/>
  <c r="AU63"/>
  <c r="V86"/>
  <c r="AV63"/>
  <c r="W86"/>
  <c r="AW63"/>
  <c r="X86"/>
  <c r="AX63"/>
  <c r="Y86"/>
  <c r="AY63"/>
  <c r="Z86"/>
  <c r="AZ63"/>
  <c r="AA86"/>
  <c r="BA63"/>
  <c r="AB86"/>
  <c r="BB63"/>
  <c r="C87"/>
  <c r="AC64"/>
  <c r="D87"/>
  <c r="AD64"/>
  <c r="E87"/>
  <c r="AE64"/>
  <c r="F87"/>
  <c r="AF64"/>
  <c r="G87"/>
  <c r="AG64"/>
  <c r="H87"/>
  <c r="AH64"/>
  <c r="I87"/>
  <c r="AI64"/>
  <c r="J87"/>
  <c r="AJ64"/>
  <c r="K87"/>
  <c r="AK64"/>
  <c r="L87"/>
  <c r="AL64"/>
  <c r="M87"/>
  <c r="AM64"/>
  <c r="N87"/>
  <c r="AN64"/>
  <c r="O87"/>
  <c r="AO64"/>
  <c r="P87"/>
  <c r="AP64"/>
  <c r="Q87"/>
  <c r="AQ64"/>
  <c r="R87"/>
  <c r="AR64"/>
  <c r="S87"/>
  <c r="AS64"/>
  <c r="T87"/>
  <c r="AT64"/>
  <c r="U87"/>
  <c r="AU64"/>
  <c r="V87"/>
  <c r="AV64"/>
  <c r="W87"/>
  <c r="AW64"/>
  <c r="X87"/>
  <c r="AX64"/>
  <c r="Y87"/>
  <c r="AY64"/>
  <c r="Z87"/>
  <c r="AZ64"/>
  <c r="AA87"/>
  <c r="BA64"/>
  <c r="AB87"/>
  <c r="BB64"/>
  <c r="C88"/>
  <c r="AC65"/>
  <c r="D88"/>
  <c r="AD65"/>
  <c r="E88"/>
  <c r="AE65"/>
  <c r="F88"/>
  <c r="AF65"/>
  <c r="G88"/>
  <c r="AG65"/>
  <c r="H88"/>
  <c r="AH65"/>
  <c r="I88"/>
  <c r="AI65"/>
  <c r="J88"/>
  <c r="AJ65"/>
  <c r="K88"/>
  <c r="AK65"/>
  <c r="L88"/>
  <c r="AL65"/>
  <c r="M88"/>
  <c r="AM65"/>
  <c r="N88"/>
  <c r="AN65"/>
  <c r="O88"/>
  <c r="AO65"/>
  <c r="P88"/>
  <c r="AP65"/>
  <c r="Q88"/>
  <c r="AQ65"/>
  <c r="R88"/>
  <c r="AR65"/>
  <c r="S88"/>
  <c r="AS65"/>
  <c r="T88"/>
  <c r="AT65"/>
  <c r="U88"/>
  <c r="AU65"/>
  <c r="V88"/>
  <c r="AV65"/>
  <c r="W88"/>
  <c r="AW65"/>
  <c r="X88"/>
  <c r="AX65"/>
  <c r="Y88"/>
  <c r="AY65"/>
  <c r="Z88"/>
  <c r="AZ65"/>
  <c r="AA88"/>
  <c r="BA65"/>
  <c r="AB88"/>
  <c r="BB65"/>
  <c r="C89"/>
  <c r="AC66"/>
  <c r="D89"/>
  <c r="AD66"/>
  <c r="E89"/>
  <c r="AE66"/>
  <c r="F89"/>
  <c r="AF66"/>
  <c r="G89"/>
  <c r="AG66"/>
  <c r="H89"/>
  <c r="AH66"/>
  <c r="I89"/>
  <c r="AI66"/>
  <c r="J89"/>
  <c r="AJ66"/>
  <c r="K89"/>
  <c r="AK66"/>
  <c r="L89"/>
  <c r="AL66"/>
  <c r="M89"/>
  <c r="AM66"/>
  <c r="N89"/>
  <c r="AN66"/>
  <c r="O89"/>
  <c r="AO66"/>
  <c r="P89"/>
  <c r="AP66"/>
  <c r="Q89"/>
  <c r="AQ66"/>
  <c r="R89"/>
  <c r="AR66"/>
  <c r="S89"/>
  <c r="AS66"/>
  <c r="T89"/>
  <c r="AT66"/>
  <c r="U89"/>
  <c r="AU66"/>
  <c r="V89"/>
  <c r="AV66"/>
  <c r="W89"/>
  <c r="AW66"/>
  <c r="X89"/>
  <c r="AX66"/>
  <c r="Y89"/>
  <c r="AY66"/>
  <c r="Z89"/>
  <c r="AZ66"/>
  <c r="AA89"/>
  <c r="BA66"/>
  <c r="AB89"/>
  <c r="BB66"/>
  <c r="C90"/>
  <c r="AC67"/>
  <c r="D90"/>
  <c r="AD67"/>
  <c r="E90"/>
  <c r="AE67"/>
  <c r="F90"/>
  <c r="AF67"/>
  <c r="G90"/>
  <c r="AG67"/>
  <c r="H90"/>
  <c r="AH67"/>
  <c r="I90"/>
  <c r="AI67"/>
  <c r="J90"/>
  <c r="AJ67"/>
  <c r="K90"/>
  <c r="AK67"/>
  <c r="L90"/>
  <c r="AL67"/>
  <c r="M90"/>
  <c r="AM67"/>
  <c r="N90"/>
  <c r="AN67"/>
  <c r="O90"/>
  <c r="AO67"/>
  <c r="P90"/>
  <c r="AP67"/>
  <c r="Q90"/>
  <c r="AQ67"/>
  <c r="R90"/>
  <c r="AR67"/>
  <c r="S90"/>
  <c r="AS67"/>
  <c r="T90"/>
  <c r="AT67"/>
  <c r="U90"/>
  <c r="AU67"/>
  <c r="V90"/>
  <c r="AV67"/>
  <c r="W90"/>
  <c r="AW67"/>
  <c r="X90"/>
  <c r="AX67"/>
  <c r="Y90"/>
  <c r="AY67"/>
  <c r="Z90"/>
  <c r="AZ67"/>
  <c r="AA90"/>
  <c r="BA67"/>
  <c r="AB90"/>
  <c r="BB67"/>
  <c r="C91"/>
  <c r="AC68"/>
  <c r="D91"/>
  <c r="AD68"/>
  <c r="E91"/>
  <c r="AE68"/>
  <c r="F91"/>
  <c r="AF68"/>
  <c r="G91"/>
  <c r="AG68"/>
  <c r="H91"/>
  <c r="AH68"/>
  <c r="I91"/>
  <c r="AI68"/>
  <c r="J91"/>
  <c r="AJ68"/>
  <c r="K91"/>
  <c r="AK68"/>
  <c r="L91"/>
  <c r="AL68"/>
  <c r="M91"/>
  <c r="AM68"/>
  <c r="N91"/>
  <c r="AN68"/>
  <c r="O91"/>
  <c r="AO68"/>
  <c r="P91"/>
  <c r="AP68"/>
  <c r="Q91"/>
  <c r="AQ68"/>
  <c r="R91"/>
  <c r="AR68"/>
  <c r="S91"/>
  <c r="AS68"/>
  <c r="T91"/>
  <c r="AT68"/>
  <c r="U91"/>
  <c r="AU68"/>
  <c r="V91"/>
  <c r="AV68"/>
  <c r="W91"/>
  <c r="AW68"/>
  <c r="X91"/>
  <c r="AX68"/>
  <c r="Y91"/>
  <c r="AY68"/>
  <c r="Z91"/>
  <c r="AZ68"/>
  <c r="AA91"/>
  <c r="BA68"/>
  <c r="AB91"/>
  <c r="BB68"/>
  <c r="C92"/>
  <c r="AC69"/>
  <c r="D92"/>
  <c r="AD69"/>
  <c r="E92"/>
  <c r="AE69"/>
  <c r="F92"/>
  <c r="AF69"/>
  <c r="G92"/>
  <c r="AG69"/>
  <c r="H92"/>
  <c r="AH69"/>
  <c r="I92"/>
  <c r="AI69"/>
  <c r="J92"/>
  <c r="AJ69"/>
  <c r="K92"/>
  <c r="AK69"/>
  <c r="L92"/>
  <c r="AL69"/>
  <c r="M92"/>
  <c r="AM69"/>
  <c r="N92"/>
  <c r="AN69"/>
  <c r="O92"/>
  <c r="AO69"/>
  <c r="P92"/>
  <c r="AP69"/>
  <c r="Q92"/>
  <c r="AQ69"/>
  <c r="R92"/>
  <c r="AR69"/>
  <c r="S92"/>
  <c r="AS69"/>
  <c r="T92"/>
  <c r="AT69"/>
  <c r="U92"/>
  <c r="AU69"/>
  <c r="V92"/>
  <c r="AV69"/>
  <c r="W92"/>
  <c r="AW69"/>
  <c r="X92"/>
  <c r="AX69"/>
  <c r="Y92"/>
  <c r="AY69"/>
  <c r="Z92"/>
  <c r="AZ69"/>
  <c r="AA92"/>
  <c r="BA69"/>
  <c r="AB92"/>
  <c r="BB69"/>
  <c r="C93"/>
  <c r="AC70"/>
  <c r="D93"/>
  <c r="AD70"/>
  <c r="E93"/>
  <c r="AE70"/>
  <c r="F93"/>
  <c r="AF70"/>
  <c r="G93"/>
  <c r="AG70"/>
  <c r="H93"/>
  <c r="AH70"/>
  <c r="I93"/>
  <c r="AI70"/>
  <c r="J93"/>
  <c r="AJ70"/>
  <c r="K93"/>
  <c r="AK70"/>
  <c r="L93"/>
  <c r="AL70"/>
  <c r="M93"/>
  <c r="AM70"/>
  <c r="N93"/>
  <c r="AN70"/>
  <c r="O93"/>
  <c r="AO70"/>
  <c r="P93"/>
  <c r="AP70"/>
  <c r="Q93"/>
  <c r="AQ70"/>
  <c r="R93"/>
  <c r="AR70"/>
  <c r="S93"/>
  <c r="AS70"/>
  <c r="T93"/>
  <c r="AT70"/>
  <c r="U93"/>
  <c r="AU70"/>
  <c r="V93"/>
  <c r="AV70"/>
  <c r="W93"/>
  <c r="AW70"/>
  <c r="X93"/>
  <c r="AX70"/>
  <c r="Y93"/>
  <c r="AY70"/>
  <c r="Z93"/>
  <c r="AZ70"/>
  <c r="AA93"/>
  <c r="BA70"/>
  <c r="AB93"/>
  <c r="BB70"/>
  <c r="C94"/>
  <c r="AC71"/>
  <c r="D94"/>
  <c r="AD71"/>
  <c r="E94"/>
  <c r="AE71"/>
  <c r="F94"/>
  <c r="AF71"/>
  <c r="G94"/>
  <c r="AG71"/>
  <c r="H94"/>
  <c r="AH71"/>
  <c r="I94"/>
  <c r="AI71"/>
  <c r="J94"/>
  <c r="AJ71"/>
  <c r="K94"/>
  <c r="AK71"/>
  <c r="L94"/>
  <c r="AL71"/>
  <c r="M94"/>
  <c r="AM71"/>
  <c r="N94"/>
  <c r="AN71"/>
  <c r="O94"/>
  <c r="AO71"/>
  <c r="P94"/>
  <c r="AP71"/>
  <c r="Q94"/>
  <c r="AQ71"/>
  <c r="R94"/>
  <c r="AR71"/>
  <c r="S94"/>
  <c r="AS71"/>
  <c r="T94"/>
  <c r="AT71"/>
  <c r="U94"/>
  <c r="AU71"/>
  <c r="V94"/>
  <c r="AV71"/>
  <c r="W94"/>
  <c r="AW71"/>
  <c r="X94"/>
  <c r="AX71"/>
  <c r="Y94"/>
  <c r="AY71"/>
  <c r="Z94"/>
  <c r="AZ71"/>
  <c r="AA94"/>
  <c r="BA71"/>
  <c r="AB94"/>
  <c r="BB71"/>
  <c r="C95"/>
  <c r="AC72"/>
  <c r="D95"/>
  <c r="AD72"/>
  <c r="E95"/>
  <c r="AE72"/>
  <c r="F95"/>
  <c r="AF72"/>
  <c r="G95"/>
  <c r="AG72"/>
  <c r="H95"/>
  <c r="AH72"/>
  <c r="I95"/>
  <c r="AI72"/>
  <c r="J95"/>
  <c r="AJ72"/>
  <c r="K95"/>
  <c r="AK72"/>
  <c r="L95"/>
  <c r="AL72"/>
  <c r="M95"/>
  <c r="AM72"/>
  <c r="N95"/>
  <c r="AN72"/>
  <c r="O95"/>
  <c r="AO72"/>
  <c r="P95"/>
  <c r="AP72"/>
  <c r="Q95"/>
  <c r="AQ72"/>
  <c r="R95"/>
  <c r="AR72"/>
  <c r="S95"/>
  <c r="AS72"/>
  <c r="T95"/>
  <c r="AT72"/>
  <c r="U95"/>
  <c r="AU72"/>
  <c r="V95"/>
  <c r="AV72"/>
  <c r="W95"/>
  <c r="AW72"/>
  <c r="X95"/>
  <c r="AX72"/>
  <c r="Y95"/>
  <c r="AY72"/>
  <c r="Z95"/>
  <c r="AZ72"/>
  <c r="AA95"/>
  <c r="BA72"/>
  <c r="AB95"/>
  <c r="BB72"/>
  <c r="C96"/>
  <c r="AC73"/>
  <c r="D96"/>
  <c r="AD73"/>
  <c r="E96"/>
  <c r="AE73"/>
  <c r="F96"/>
  <c r="AF73"/>
  <c r="G96"/>
  <c r="AG73"/>
  <c r="H96"/>
  <c r="AH73"/>
  <c r="I96"/>
  <c r="AI73"/>
  <c r="J96"/>
  <c r="AJ73"/>
  <c r="K96"/>
  <c r="AK73"/>
  <c r="L96"/>
  <c r="AL73"/>
  <c r="M96"/>
  <c r="AM73"/>
  <c r="N96"/>
  <c r="AN73"/>
  <c r="O96"/>
  <c r="AO73"/>
  <c r="P96"/>
  <c r="AP73"/>
  <c r="Q96"/>
  <c r="AQ73"/>
  <c r="R96"/>
  <c r="AR73"/>
  <c r="S96"/>
  <c r="AS73"/>
  <c r="T96"/>
  <c r="AT73"/>
  <c r="U96"/>
  <c r="AU73"/>
  <c r="V96"/>
  <c r="AV73"/>
  <c r="W96"/>
  <c r="AW73"/>
  <c r="X96"/>
  <c r="AX73"/>
  <c r="Y96"/>
  <c r="AY73"/>
  <c r="Z96"/>
  <c r="AZ73"/>
  <c r="AA96"/>
  <c r="BA73"/>
  <c r="AB96"/>
  <c r="BB73"/>
  <c r="C97"/>
  <c r="AC74"/>
  <c r="D97"/>
  <c r="AD74"/>
  <c r="E97"/>
  <c r="AE74"/>
  <c r="F97"/>
  <c r="AF74"/>
  <c r="G97"/>
  <c r="AG74"/>
  <c r="H97"/>
  <c r="AH74"/>
  <c r="I97"/>
  <c r="AI74"/>
  <c r="J97"/>
  <c r="AJ74"/>
  <c r="K97"/>
  <c r="AK74"/>
  <c r="L97"/>
  <c r="AL74"/>
  <c r="M97"/>
  <c r="AM74"/>
  <c r="N97"/>
  <c r="AN74"/>
  <c r="O97"/>
  <c r="AO74"/>
  <c r="P97"/>
  <c r="AP74"/>
  <c r="Q97"/>
  <c r="AQ74"/>
  <c r="R97"/>
  <c r="AR74"/>
  <c r="S97"/>
  <c r="AS74"/>
  <c r="T97"/>
  <c r="AT74"/>
  <c r="U97"/>
  <c r="AU74"/>
  <c r="V97"/>
  <c r="AV74"/>
  <c r="W97"/>
  <c r="AW74"/>
  <c r="X97"/>
  <c r="AX74"/>
  <c r="Y97"/>
  <c r="AY74"/>
  <c r="Z97"/>
  <c r="AZ74"/>
  <c r="AA97"/>
  <c r="BA74"/>
  <c r="AB97"/>
  <c r="BB74"/>
  <c r="C98"/>
  <c r="AC75"/>
  <c r="D98"/>
  <c r="AD75"/>
  <c r="E98"/>
  <c r="AE75"/>
  <c r="F98"/>
  <c r="AF75"/>
  <c r="G98"/>
  <c r="AG75"/>
  <c r="H98"/>
  <c r="AH75"/>
  <c r="I98"/>
  <c r="AI75"/>
  <c r="J98"/>
  <c r="AJ75"/>
  <c r="K98"/>
  <c r="AK75"/>
  <c r="L98"/>
  <c r="AL75"/>
  <c r="M98"/>
  <c r="AM75"/>
  <c r="N98"/>
  <c r="AN75"/>
  <c r="O98"/>
  <c r="AO75"/>
  <c r="P98"/>
  <c r="AP75"/>
  <c r="Q98"/>
  <c r="AQ75"/>
  <c r="R98"/>
  <c r="AR75"/>
  <c r="S98"/>
  <c r="AS75"/>
  <c r="T98"/>
  <c r="AT75"/>
  <c r="U98"/>
  <c r="AU75"/>
  <c r="V98"/>
  <c r="AV75"/>
  <c r="W98"/>
  <c r="AW75"/>
  <c r="X98"/>
  <c r="AX75"/>
  <c r="Y98"/>
  <c r="AY75"/>
  <c r="Z98"/>
  <c r="AZ75"/>
  <c r="AA98"/>
  <c r="BA75"/>
  <c r="AB98"/>
  <c r="BB75"/>
  <c r="C99"/>
  <c r="AC76"/>
  <c r="D99"/>
  <c r="AD76"/>
  <c r="E99"/>
  <c r="AE76"/>
  <c r="F99"/>
  <c r="AF76"/>
  <c r="G99"/>
  <c r="AG76"/>
  <c r="H99"/>
  <c r="AH76"/>
  <c r="I99"/>
  <c r="AI76"/>
  <c r="J99"/>
  <c r="AJ76"/>
  <c r="K99"/>
  <c r="AK76"/>
  <c r="L99"/>
  <c r="AL76"/>
  <c r="M99"/>
  <c r="AM76"/>
  <c r="N99"/>
  <c r="AN76"/>
  <c r="O99"/>
  <c r="AO76"/>
  <c r="P99"/>
  <c r="AP76"/>
  <c r="Q99"/>
  <c r="AQ76"/>
  <c r="R99"/>
  <c r="AR76"/>
  <c r="S99"/>
  <c r="AS76"/>
  <c r="T99"/>
  <c r="AT76"/>
  <c r="U99"/>
  <c r="AU76"/>
  <c r="V99"/>
  <c r="AV76"/>
  <c r="W99"/>
  <c r="AW76"/>
  <c r="X99"/>
  <c r="AX76"/>
  <c r="Y99"/>
  <c r="AY76"/>
  <c r="Z99"/>
  <c r="AZ76"/>
  <c r="AA99"/>
  <c r="BA76"/>
  <c r="AB99"/>
  <c r="BB76"/>
  <c r="C100"/>
  <c r="AC77"/>
  <c r="D100"/>
  <c r="AD77"/>
  <c r="E100"/>
  <c r="AE77"/>
  <c r="F100"/>
  <c r="AF77"/>
  <c r="G100"/>
  <c r="AG77"/>
  <c r="H100"/>
  <c r="AH77"/>
  <c r="I100"/>
  <c r="AI77"/>
  <c r="J100"/>
  <c r="AJ77"/>
  <c r="K100"/>
  <c r="AK77"/>
  <c r="L100"/>
  <c r="AL77"/>
  <c r="M100"/>
  <c r="AM77"/>
  <c r="N100"/>
  <c r="AN77"/>
  <c r="O100"/>
  <c r="AO77"/>
  <c r="P100"/>
  <c r="AP77"/>
  <c r="Q100"/>
  <c r="AQ77"/>
  <c r="R100"/>
  <c r="AR77"/>
  <c r="S100"/>
  <c r="AS77"/>
  <c r="T100"/>
  <c r="AT77"/>
  <c r="U100"/>
  <c r="AU77"/>
  <c r="V100"/>
  <c r="AV77"/>
  <c r="W100"/>
  <c r="AW77"/>
  <c r="X100"/>
  <c r="AX77"/>
  <c r="Y100"/>
  <c r="AY77"/>
  <c r="Z100"/>
  <c r="AZ77"/>
  <c r="AA100"/>
  <c r="BA77"/>
  <c r="AB100"/>
  <c r="BB77"/>
  <c r="D2"/>
  <c r="AD2"/>
  <c r="E2"/>
  <c r="AE2"/>
  <c r="F2"/>
  <c r="AF2"/>
  <c r="G2"/>
  <c r="AG2"/>
  <c r="H2"/>
  <c r="AH2"/>
  <c r="I2"/>
  <c r="AI2"/>
  <c r="J2"/>
  <c r="AJ2"/>
  <c r="K2"/>
  <c r="AK2"/>
  <c r="L2"/>
  <c r="AL2"/>
  <c r="M2"/>
  <c r="AM2"/>
  <c r="N2"/>
  <c r="AN2"/>
  <c r="O2"/>
  <c r="AO2"/>
  <c r="P2"/>
  <c r="AP2"/>
  <c r="Q2"/>
  <c r="AQ2"/>
  <c r="R2"/>
  <c r="AR2"/>
  <c r="S2"/>
  <c r="AS2"/>
  <c r="T2"/>
  <c r="AT2"/>
  <c r="U2"/>
  <c r="AU2"/>
  <c r="V2"/>
  <c r="AV2"/>
  <c r="W2"/>
  <c r="AW2"/>
  <c r="X2"/>
  <c r="AX2"/>
  <c r="Y2"/>
  <c r="AY2"/>
  <c r="Z2"/>
  <c r="AZ2"/>
  <c r="AA2"/>
  <c r="BA2"/>
  <c r="AB2"/>
  <c r="BB2"/>
  <c r="AD1"/>
  <c r="AE1"/>
  <c r="AF1"/>
  <c r="AG1"/>
  <c r="AH1"/>
  <c r="AI1"/>
  <c r="AJ1"/>
  <c r="AK1"/>
  <c r="AL1"/>
  <c r="AM1"/>
  <c r="AN1"/>
  <c r="AO1"/>
  <c r="AP1"/>
  <c r="AQ1"/>
  <c r="AR1"/>
  <c r="AS1"/>
  <c r="AT1"/>
  <c r="AU1"/>
  <c r="AV1"/>
  <c r="AW1"/>
  <c r="AX1"/>
  <c r="AY1"/>
  <c r="AZ1"/>
  <c r="BA1"/>
  <c r="BB1"/>
  <c r="C2"/>
  <c r="AC2"/>
  <c r="AC1"/>
  <c r="M2" i="2"/>
  <c r="E2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F2"/>
  <c r="G2"/>
  <c r="F3"/>
  <c r="G3"/>
  <c r="F4"/>
  <c r="G4"/>
  <c r="F5"/>
  <c r="G5"/>
  <c r="F6"/>
  <c r="G6"/>
  <c r="F7"/>
  <c r="G7"/>
  <c r="F8"/>
  <c r="G8"/>
  <c r="F9"/>
  <c r="G9"/>
  <c r="F10"/>
  <c r="G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I2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J2"/>
  <c r="K2"/>
  <c r="F26"/>
  <c r="G26"/>
  <c r="I3"/>
  <c r="F78"/>
  <c r="G78"/>
  <c r="J3"/>
  <c r="K3"/>
  <c r="F27"/>
  <c r="G27"/>
  <c r="I4"/>
  <c r="F79"/>
  <c r="G79"/>
  <c r="J4"/>
  <c r="K4"/>
  <c r="F28"/>
  <c r="G28"/>
  <c r="I5"/>
  <c r="F80"/>
  <c r="G80"/>
  <c r="J5"/>
  <c r="K5"/>
  <c r="F29"/>
  <c r="G29"/>
  <c r="I6"/>
  <c r="F81"/>
  <c r="G81"/>
  <c r="J6"/>
  <c r="K6"/>
  <c r="F30"/>
  <c r="G30"/>
  <c r="I7"/>
  <c r="F82"/>
  <c r="G82"/>
  <c r="J7"/>
  <c r="K7"/>
  <c r="F31"/>
  <c r="G31"/>
  <c r="I8"/>
  <c r="F83"/>
  <c r="G83"/>
  <c r="J8"/>
  <c r="K8"/>
  <c r="F32"/>
  <c r="G32"/>
  <c r="I9"/>
  <c r="F84"/>
  <c r="G84"/>
  <c r="J9"/>
  <c r="K9"/>
  <c r="F33"/>
  <c r="G33"/>
  <c r="I10"/>
  <c r="F85"/>
  <c r="G85"/>
  <c r="J10"/>
  <c r="K10"/>
  <c r="F34"/>
  <c r="G34"/>
  <c r="I11"/>
  <c r="F86"/>
  <c r="G86"/>
  <c r="J11"/>
  <c r="K11"/>
  <c r="F35"/>
  <c r="G35"/>
  <c r="I12"/>
  <c r="F87"/>
  <c r="G87"/>
  <c r="J12"/>
  <c r="K12"/>
  <c r="F36"/>
  <c r="G36"/>
  <c r="I13"/>
  <c r="F88"/>
  <c r="G88"/>
  <c r="J13"/>
  <c r="K13"/>
  <c r="F37"/>
  <c r="G37"/>
  <c r="I14"/>
  <c r="F89"/>
  <c r="G89"/>
  <c r="J14"/>
  <c r="K14"/>
  <c r="F38"/>
  <c r="G38"/>
  <c r="I15"/>
  <c r="F90"/>
  <c r="G90"/>
  <c r="J15"/>
  <c r="K15"/>
  <c r="F39"/>
  <c r="G39"/>
  <c r="I16"/>
  <c r="F91"/>
  <c r="G91"/>
  <c r="J16"/>
  <c r="K16"/>
  <c r="F40"/>
  <c r="G40"/>
  <c r="I17"/>
  <c r="F92"/>
  <c r="G92"/>
  <c r="J17"/>
  <c r="K17"/>
  <c r="F41"/>
  <c r="G41"/>
  <c r="I18"/>
  <c r="F93"/>
  <c r="G93"/>
  <c r="J18"/>
  <c r="K18"/>
  <c r="F42"/>
  <c r="G42"/>
  <c r="I19"/>
  <c r="F94"/>
  <c r="G94"/>
  <c r="J19"/>
  <c r="K19"/>
  <c r="F43"/>
  <c r="G43"/>
  <c r="I20"/>
  <c r="F95"/>
  <c r="G95"/>
  <c r="J20"/>
  <c r="K20"/>
  <c r="F44"/>
  <c r="G44"/>
  <c r="I21"/>
  <c r="F96"/>
  <c r="G96"/>
  <c r="J21"/>
  <c r="K21"/>
  <c r="F45"/>
  <c r="G45"/>
  <c r="I22"/>
  <c r="F97"/>
  <c r="G97"/>
  <c r="J22"/>
  <c r="K22"/>
  <c r="F46"/>
  <c r="G46"/>
  <c r="I23"/>
  <c r="F98"/>
  <c r="G98"/>
  <c r="J23"/>
  <c r="K23"/>
  <c r="F47"/>
  <c r="G47"/>
  <c r="I24"/>
  <c r="F99"/>
  <c r="G99"/>
  <c r="J24"/>
  <c r="K24"/>
  <c r="F48"/>
  <c r="G48"/>
  <c r="I25"/>
  <c r="F100"/>
  <c r="G100"/>
  <c r="J25"/>
  <c r="K25"/>
  <c r="F49"/>
  <c r="G49"/>
  <c r="I26"/>
  <c r="F101"/>
  <c r="G101"/>
  <c r="J26"/>
  <c r="K26"/>
  <c r="F50"/>
  <c r="G50"/>
  <c r="I27"/>
  <c r="F102"/>
  <c r="G102"/>
  <c r="J27"/>
  <c r="K27"/>
  <c r="F51"/>
  <c r="G51"/>
  <c r="I28"/>
  <c r="F103"/>
  <c r="G103"/>
  <c r="J28"/>
  <c r="K28"/>
  <c r="K29"/>
  <c r="K30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2"/>
</calcChain>
</file>

<file path=xl/sharedStrings.xml><?xml version="1.0" encoding="utf-8"?>
<sst xmlns="http://schemas.openxmlformats.org/spreadsheetml/2006/main" count="118" uniqueCount="37">
  <si>
    <t>Pos</t>
    <phoneticPr fontId="3" type="noConversion"/>
  </si>
  <si>
    <t>CharPos</t>
  </si>
  <si>
    <t>Pos</t>
  </si>
  <si>
    <t>K4ct</t>
  </si>
  <si>
    <t>K4ctc</t>
  </si>
  <si>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</si>
  <si>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</si>
  <si>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</si>
  <si>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</si>
  <si>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</si>
  <si>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</si>
  <si>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</si>
  <si>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</si>
  <si>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</si>
  <si>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</si>
  <si>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I</t>
  </si>
  <si>
    <t>F</t>
  </si>
  <si>
    <t>W</t>
  </si>
  <si>
    <t>V</t>
  </si>
  <si>
    <t>Q</t>
  </si>
  <si>
    <t>P</t>
  </si>
  <si>
    <t>N</t>
  </si>
  <si>
    <t>T</t>
  </si>
  <si>
    <t>J</t>
  </si>
  <si>
    <t>E</t>
  </si>
  <si>
    <t>Z</t>
  </si>
  <si>
    <t>A</t>
  </si>
  <si>
    <t>D</t>
  </si>
  <si>
    <t>Y</t>
  </si>
  <si>
    <t>M</t>
  </si>
  <si>
    <t>C</t>
  </si>
  <si>
    <t>T is your pos</t>
    <phoneticPr fontId="3" type="noConversion"/>
  </si>
  <si>
    <t>Stripped</t>
    <phoneticPr fontId="3" type="noConversion"/>
  </si>
  <si>
    <t>Stripped</t>
    <phoneticPr fontId="3" type="noConversion"/>
  </si>
  <si>
    <t>First50</t>
    <phoneticPr fontId="3" type="noConversion"/>
  </si>
  <si>
    <t>second50</t>
    <phoneticPr fontId="3" type="noConversion"/>
  </si>
  <si>
    <t>Sine</t>
    <phoneticPr fontId="3" type="noConversion"/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</si>
</sst>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0"/>
      <name val="Verdana"/>
    </font>
    <font>
      <b/>
      <sz val="10"/>
      <name val="Verdana"/>
    </font>
    <font>
      <b/>
      <sz val="10"/>
      <name val="Verdana"/>
    </font>
    <font>
      <sz val="8"/>
      <name val="Verdana"/>
    </font>
    <font>
      <b/>
      <sz val="10"/>
      <color indexed="10"/>
      <name val="Verdana"/>
    </font>
    <font>
      <sz val="10"/>
      <color indexed="10"/>
      <name val="Verdana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4" fillId="2" borderId="0" xfId="0" applyFont="1" applyFill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plotArea>
      <c:layout>
        <c:manualLayout>
          <c:layoutTarget val="inner"/>
          <c:xMode val="edge"/>
          <c:yMode val="edge"/>
          <c:x val="0.029097586410144"/>
          <c:y val="0.0115340253748558"/>
          <c:w val="0.938632147948877"/>
          <c:h val="0.95038452805856"/>
        </c:manualLayout>
      </c:layout>
      <c:lineChart>
        <c:grouping val="standard"/>
        <c:ser>
          <c:idx val="0"/>
          <c:order val="0"/>
          <c:tx>
            <c:strRef>
              <c:f>LinearOffsetAnalysis!$AC$1</c:f>
              <c:strCache>
                <c:ptCount val="1"/>
                <c:pt idx="0">
                  <c:v>A</c:v>
                </c:pt>
              </c:strCache>
            </c:strRef>
          </c:tx>
          <c:marker>
            <c:symbol val="none"/>
          </c:marker>
          <c:val>
            <c:numRef>
              <c:f>LinearOffsetAnalysis!$AC$2:$AC$78</c:f>
              <c:numCache>
                <c:formatCode>0.0</c:formatCode>
                <c:ptCount val="77"/>
                <c:pt idx="0">
                  <c:v>15.66666666666667</c:v>
                </c:pt>
                <c:pt idx="1">
                  <c:v>15.95833333333333</c:v>
                </c:pt>
                <c:pt idx="2">
                  <c:v>16.25</c:v>
                </c:pt>
                <c:pt idx="3">
                  <c:v>16.54166666666667</c:v>
                </c:pt>
                <c:pt idx="4">
                  <c:v>16.83333333333333</c:v>
                </c:pt>
                <c:pt idx="5">
                  <c:v>17.125</c:v>
                </c:pt>
                <c:pt idx="6">
                  <c:v>17.41666666666667</c:v>
                </c:pt>
                <c:pt idx="7">
                  <c:v>17.70833333333333</c:v>
                </c:pt>
                <c:pt idx="8">
                  <c:v>16.91666666666667</c:v>
                </c:pt>
                <c:pt idx="9">
                  <c:v>16.125</c:v>
                </c:pt>
                <c:pt idx="10">
                  <c:v>15.70833333333333</c:v>
                </c:pt>
                <c:pt idx="11">
                  <c:v>15.29166666666667</c:v>
                </c:pt>
                <c:pt idx="12">
                  <c:v>14.875</c:v>
                </c:pt>
                <c:pt idx="13">
                  <c:v>14.45833333333333</c:v>
                </c:pt>
                <c:pt idx="14">
                  <c:v>14.04166666666667</c:v>
                </c:pt>
                <c:pt idx="15">
                  <c:v>14.70833333333333</c:v>
                </c:pt>
                <c:pt idx="16">
                  <c:v>15.375</c:v>
                </c:pt>
                <c:pt idx="17">
                  <c:v>15.66666666666667</c:v>
                </c:pt>
                <c:pt idx="18">
                  <c:v>15.95833333333333</c:v>
                </c:pt>
                <c:pt idx="19">
                  <c:v>16.25</c:v>
                </c:pt>
                <c:pt idx="20">
                  <c:v>16.54166666666667</c:v>
                </c:pt>
                <c:pt idx="21">
                  <c:v>16.83333333333333</c:v>
                </c:pt>
                <c:pt idx="22">
                  <c:v>17.125</c:v>
                </c:pt>
                <c:pt idx="23">
                  <c:v>17.41666666666667</c:v>
                </c:pt>
                <c:pt idx="24">
                  <c:v>17.70833333333333</c:v>
                </c:pt>
                <c:pt idx="25">
                  <c:v>16.91666666666667</c:v>
                </c:pt>
                <c:pt idx="26">
                  <c:v>16.125</c:v>
                </c:pt>
                <c:pt idx="27">
                  <c:v>15.70833333333333</c:v>
                </c:pt>
                <c:pt idx="28">
                  <c:v>15.29166666666667</c:v>
                </c:pt>
                <c:pt idx="29">
                  <c:v>14.875</c:v>
                </c:pt>
                <c:pt idx="30">
                  <c:v>14.45833333333333</c:v>
                </c:pt>
                <c:pt idx="31">
                  <c:v>14.04166666666667</c:v>
                </c:pt>
                <c:pt idx="32">
                  <c:v>14.70833333333333</c:v>
                </c:pt>
                <c:pt idx="33">
                  <c:v>15.375</c:v>
                </c:pt>
                <c:pt idx="34">
                  <c:v>15.66666666666667</c:v>
                </c:pt>
                <c:pt idx="35">
                  <c:v>15.95833333333333</c:v>
                </c:pt>
                <c:pt idx="36">
                  <c:v>16.25</c:v>
                </c:pt>
                <c:pt idx="37">
                  <c:v>16.54166666666667</c:v>
                </c:pt>
                <c:pt idx="38">
                  <c:v>16.83333333333333</c:v>
                </c:pt>
                <c:pt idx="39">
                  <c:v>17.125</c:v>
                </c:pt>
                <c:pt idx="40">
                  <c:v>17.41666666666667</c:v>
                </c:pt>
                <c:pt idx="41">
                  <c:v>17.70833333333333</c:v>
                </c:pt>
                <c:pt idx="42">
                  <c:v>16.91666666666667</c:v>
                </c:pt>
                <c:pt idx="43">
                  <c:v>16.125</c:v>
                </c:pt>
                <c:pt idx="44">
                  <c:v>15.70833333333333</c:v>
                </c:pt>
                <c:pt idx="45">
                  <c:v>15.29166666666667</c:v>
                </c:pt>
                <c:pt idx="46">
                  <c:v>14.875</c:v>
                </c:pt>
                <c:pt idx="47">
                  <c:v>14.45833333333333</c:v>
                </c:pt>
                <c:pt idx="48">
                  <c:v>14.04166666666667</c:v>
                </c:pt>
                <c:pt idx="49">
                  <c:v>14.70833333333333</c:v>
                </c:pt>
                <c:pt idx="50">
                  <c:v>15.375</c:v>
                </c:pt>
                <c:pt idx="51">
                  <c:v>15.66666666666667</c:v>
                </c:pt>
                <c:pt idx="52">
                  <c:v>15.95833333333333</c:v>
                </c:pt>
                <c:pt idx="53">
                  <c:v>16.25</c:v>
                </c:pt>
                <c:pt idx="54">
                  <c:v>16.54166666666667</c:v>
                </c:pt>
                <c:pt idx="55">
                  <c:v>16.83333333333333</c:v>
                </c:pt>
                <c:pt idx="56">
                  <c:v>17.125</c:v>
                </c:pt>
                <c:pt idx="57">
                  <c:v>17.41666666666667</c:v>
                </c:pt>
                <c:pt idx="58">
                  <c:v>17.70833333333333</c:v>
                </c:pt>
                <c:pt idx="59">
                  <c:v>16.91666666666667</c:v>
                </c:pt>
                <c:pt idx="60">
                  <c:v>16.125</c:v>
                </c:pt>
                <c:pt idx="61">
                  <c:v>15.70833333333333</c:v>
                </c:pt>
                <c:pt idx="62">
                  <c:v>15.29166666666667</c:v>
                </c:pt>
                <c:pt idx="63">
                  <c:v>14.875</c:v>
                </c:pt>
                <c:pt idx="64">
                  <c:v>14.45833333333333</c:v>
                </c:pt>
                <c:pt idx="65">
                  <c:v>14.04166666666667</c:v>
                </c:pt>
                <c:pt idx="66">
                  <c:v>14.70833333333333</c:v>
                </c:pt>
                <c:pt idx="67">
                  <c:v>15.375</c:v>
                </c:pt>
                <c:pt idx="68">
                  <c:v>15.66666666666667</c:v>
                </c:pt>
                <c:pt idx="69">
                  <c:v>15.95833333333333</c:v>
                </c:pt>
                <c:pt idx="70">
                  <c:v>16.25</c:v>
                </c:pt>
                <c:pt idx="71">
                  <c:v>16.54166666666667</c:v>
                </c:pt>
                <c:pt idx="72">
                  <c:v>16.83333333333333</c:v>
                </c:pt>
                <c:pt idx="73">
                  <c:v>17.125</c:v>
                </c:pt>
                <c:pt idx="74">
                  <c:v>17.41666666666667</c:v>
                </c:pt>
                <c:pt idx="75">
                  <c:v>17.70833333333333</c:v>
                </c:pt>
              </c:numCache>
            </c:numRef>
          </c:val>
        </c:ser>
        <c:ser>
          <c:idx val="1"/>
          <c:order val="1"/>
          <c:tx>
            <c:strRef>
              <c:f>LinearOffsetAnalysis!$AD$1</c:f>
              <c:strCache>
                <c:ptCount val="1"/>
                <c:pt idx="0">
                  <c:v>B</c:v>
                </c:pt>
              </c:strCache>
            </c:strRef>
          </c:tx>
          <c:marker>
            <c:symbol val="none"/>
          </c:marker>
          <c:val>
            <c:numRef>
              <c:f>LinearOffsetAnalysis!$AD$2:$AD$78</c:f>
              <c:numCache>
                <c:formatCode>0.0</c:formatCode>
                <c:ptCount val="77"/>
                <c:pt idx="0">
                  <c:v>15.58333333333333</c:v>
                </c:pt>
                <c:pt idx="1">
                  <c:v>15.875</c:v>
                </c:pt>
                <c:pt idx="2">
                  <c:v>16.16666666666667</c:v>
                </c:pt>
                <c:pt idx="3">
                  <c:v>16.45833333333333</c:v>
                </c:pt>
                <c:pt idx="4">
                  <c:v>16.75</c:v>
                </c:pt>
                <c:pt idx="5">
                  <c:v>17.04166666666667</c:v>
                </c:pt>
                <c:pt idx="6">
                  <c:v>17.33333333333333</c:v>
                </c:pt>
                <c:pt idx="7">
                  <c:v>16.54166666666667</c:v>
                </c:pt>
                <c:pt idx="8">
                  <c:v>15.75</c:v>
                </c:pt>
                <c:pt idx="9">
                  <c:v>14.95833333333333</c:v>
                </c:pt>
                <c:pt idx="10">
                  <c:v>14.54166666666667</c:v>
                </c:pt>
                <c:pt idx="11">
                  <c:v>14.125</c:v>
                </c:pt>
                <c:pt idx="12">
                  <c:v>13.70833333333333</c:v>
                </c:pt>
                <c:pt idx="13">
                  <c:v>13.29166666666667</c:v>
                </c:pt>
                <c:pt idx="14">
                  <c:v>13.95833333333333</c:v>
                </c:pt>
                <c:pt idx="15">
                  <c:v>14.625</c:v>
                </c:pt>
                <c:pt idx="16">
                  <c:v>15.29166666666667</c:v>
                </c:pt>
                <c:pt idx="17">
                  <c:v>15.58333333333333</c:v>
                </c:pt>
                <c:pt idx="18">
                  <c:v>15.875</c:v>
                </c:pt>
                <c:pt idx="19">
                  <c:v>16.16666666666667</c:v>
                </c:pt>
                <c:pt idx="20">
                  <c:v>16.45833333333333</c:v>
                </c:pt>
                <c:pt idx="21">
                  <c:v>16.75</c:v>
                </c:pt>
                <c:pt idx="22">
                  <c:v>17.04166666666667</c:v>
                </c:pt>
                <c:pt idx="23">
                  <c:v>17.33333333333333</c:v>
                </c:pt>
                <c:pt idx="24">
                  <c:v>16.54166666666667</c:v>
                </c:pt>
                <c:pt idx="25">
                  <c:v>15.75</c:v>
                </c:pt>
                <c:pt idx="26">
                  <c:v>14.95833333333333</c:v>
                </c:pt>
                <c:pt idx="27">
                  <c:v>14.54166666666667</c:v>
                </c:pt>
                <c:pt idx="28">
                  <c:v>14.125</c:v>
                </c:pt>
                <c:pt idx="29">
                  <c:v>13.70833333333333</c:v>
                </c:pt>
                <c:pt idx="30">
                  <c:v>13.29166666666667</c:v>
                </c:pt>
                <c:pt idx="31">
                  <c:v>13.95833333333333</c:v>
                </c:pt>
                <c:pt idx="32">
                  <c:v>14.625</c:v>
                </c:pt>
                <c:pt idx="33">
                  <c:v>15.29166666666667</c:v>
                </c:pt>
                <c:pt idx="34">
                  <c:v>15.58333333333333</c:v>
                </c:pt>
                <c:pt idx="35">
                  <c:v>15.875</c:v>
                </c:pt>
                <c:pt idx="36">
                  <c:v>16.16666666666667</c:v>
                </c:pt>
                <c:pt idx="37">
                  <c:v>16.45833333333333</c:v>
                </c:pt>
                <c:pt idx="38">
                  <c:v>16.75</c:v>
                </c:pt>
                <c:pt idx="39">
                  <c:v>17.04166666666667</c:v>
                </c:pt>
                <c:pt idx="40">
                  <c:v>17.33333333333333</c:v>
                </c:pt>
                <c:pt idx="41">
                  <c:v>16.54166666666667</c:v>
                </c:pt>
                <c:pt idx="42">
                  <c:v>15.75</c:v>
                </c:pt>
                <c:pt idx="43">
                  <c:v>14.95833333333333</c:v>
                </c:pt>
                <c:pt idx="44">
                  <c:v>14.54166666666667</c:v>
                </c:pt>
                <c:pt idx="45">
                  <c:v>14.125</c:v>
                </c:pt>
                <c:pt idx="46">
                  <c:v>13.70833333333333</c:v>
                </c:pt>
                <c:pt idx="47">
                  <c:v>13.29166666666667</c:v>
                </c:pt>
                <c:pt idx="48">
                  <c:v>13.95833333333333</c:v>
                </c:pt>
                <c:pt idx="49">
                  <c:v>14.625</c:v>
                </c:pt>
                <c:pt idx="50">
                  <c:v>15.29166666666667</c:v>
                </c:pt>
                <c:pt idx="51">
                  <c:v>15.58333333333333</c:v>
                </c:pt>
                <c:pt idx="52">
                  <c:v>15.875</c:v>
                </c:pt>
                <c:pt idx="53">
                  <c:v>16.16666666666667</c:v>
                </c:pt>
                <c:pt idx="54">
                  <c:v>16.45833333333333</c:v>
                </c:pt>
                <c:pt idx="55">
                  <c:v>16.75</c:v>
                </c:pt>
                <c:pt idx="56">
                  <c:v>17.04166666666667</c:v>
                </c:pt>
                <c:pt idx="57">
                  <c:v>17.33333333333333</c:v>
                </c:pt>
                <c:pt idx="58">
                  <c:v>16.54166666666667</c:v>
                </c:pt>
                <c:pt idx="59">
                  <c:v>15.75</c:v>
                </c:pt>
                <c:pt idx="60">
                  <c:v>14.95833333333333</c:v>
                </c:pt>
                <c:pt idx="61">
                  <c:v>14.54166666666667</c:v>
                </c:pt>
                <c:pt idx="62">
                  <c:v>14.125</c:v>
                </c:pt>
                <c:pt idx="63">
                  <c:v>13.70833333333333</c:v>
                </c:pt>
                <c:pt idx="64">
                  <c:v>13.29166666666667</c:v>
                </c:pt>
                <c:pt idx="65">
                  <c:v>13.95833333333333</c:v>
                </c:pt>
                <c:pt idx="66">
                  <c:v>14.625</c:v>
                </c:pt>
                <c:pt idx="67">
                  <c:v>15.29166666666667</c:v>
                </c:pt>
                <c:pt idx="68">
                  <c:v>15.58333333333333</c:v>
                </c:pt>
                <c:pt idx="69">
                  <c:v>15.875</c:v>
                </c:pt>
                <c:pt idx="70">
                  <c:v>16.16666666666667</c:v>
                </c:pt>
                <c:pt idx="71">
                  <c:v>16.45833333333333</c:v>
                </c:pt>
                <c:pt idx="72">
                  <c:v>16.75</c:v>
                </c:pt>
                <c:pt idx="73">
                  <c:v>17.04166666666667</c:v>
                </c:pt>
                <c:pt idx="74">
                  <c:v>17.33333333333333</c:v>
                </c:pt>
                <c:pt idx="75">
                  <c:v>16.54166666666667</c:v>
                </c:pt>
              </c:numCache>
            </c:numRef>
          </c:val>
        </c:ser>
        <c:ser>
          <c:idx val="2"/>
          <c:order val="2"/>
          <c:tx>
            <c:strRef>
              <c:f>LinearOffsetAnalysis!$AE$1</c:f>
              <c:strCache>
                <c:ptCount val="1"/>
                <c:pt idx="0">
                  <c:v>C</c:v>
                </c:pt>
              </c:strCache>
            </c:strRef>
          </c:tx>
          <c:marker>
            <c:symbol val="none"/>
          </c:marker>
          <c:val>
            <c:numRef>
              <c:f>LinearOffsetAnalysis!$AE$2:$AE$78</c:f>
              <c:numCache>
                <c:formatCode>0.0</c:formatCode>
                <c:ptCount val="77"/>
                <c:pt idx="0">
                  <c:v>15.5</c:v>
                </c:pt>
                <c:pt idx="1">
                  <c:v>15.79166666666667</c:v>
                </c:pt>
                <c:pt idx="2">
                  <c:v>16.08333333333333</c:v>
                </c:pt>
                <c:pt idx="3">
                  <c:v>16.375</c:v>
                </c:pt>
                <c:pt idx="4">
                  <c:v>16.66666666666667</c:v>
                </c:pt>
                <c:pt idx="5">
                  <c:v>16.95833333333333</c:v>
                </c:pt>
                <c:pt idx="6">
                  <c:v>16.16666666666667</c:v>
                </c:pt>
                <c:pt idx="7">
                  <c:v>15.375</c:v>
                </c:pt>
                <c:pt idx="8">
                  <c:v>14.58333333333333</c:v>
                </c:pt>
                <c:pt idx="9">
                  <c:v>13.79166666666667</c:v>
                </c:pt>
                <c:pt idx="10">
                  <c:v>13.375</c:v>
                </c:pt>
                <c:pt idx="11">
                  <c:v>12.95833333333333</c:v>
                </c:pt>
                <c:pt idx="12">
                  <c:v>12.54166666666667</c:v>
                </c:pt>
                <c:pt idx="13">
                  <c:v>13.20833333333333</c:v>
                </c:pt>
                <c:pt idx="14">
                  <c:v>13.875</c:v>
                </c:pt>
                <c:pt idx="15">
                  <c:v>14.54166666666667</c:v>
                </c:pt>
                <c:pt idx="16">
                  <c:v>15.20833333333333</c:v>
                </c:pt>
                <c:pt idx="17">
                  <c:v>15.5</c:v>
                </c:pt>
                <c:pt idx="18">
                  <c:v>15.79166666666667</c:v>
                </c:pt>
                <c:pt idx="19">
                  <c:v>16.08333333333333</c:v>
                </c:pt>
                <c:pt idx="20">
                  <c:v>16.375</c:v>
                </c:pt>
                <c:pt idx="21">
                  <c:v>16.66666666666667</c:v>
                </c:pt>
                <c:pt idx="22">
                  <c:v>16.95833333333333</c:v>
                </c:pt>
                <c:pt idx="23">
                  <c:v>16.16666666666667</c:v>
                </c:pt>
                <c:pt idx="24">
                  <c:v>15.375</c:v>
                </c:pt>
                <c:pt idx="25">
                  <c:v>14.58333333333333</c:v>
                </c:pt>
                <c:pt idx="26">
                  <c:v>13.79166666666667</c:v>
                </c:pt>
                <c:pt idx="27">
                  <c:v>13.375</c:v>
                </c:pt>
                <c:pt idx="28">
                  <c:v>12.95833333333333</c:v>
                </c:pt>
                <c:pt idx="29">
                  <c:v>12.54166666666667</c:v>
                </c:pt>
                <c:pt idx="30">
                  <c:v>13.20833333333333</c:v>
                </c:pt>
                <c:pt idx="31">
                  <c:v>13.875</c:v>
                </c:pt>
                <c:pt idx="32">
                  <c:v>14.54166666666667</c:v>
                </c:pt>
                <c:pt idx="33">
                  <c:v>15.20833333333333</c:v>
                </c:pt>
                <c:pt idx="34">
                  <c:v>15.5</c:v>
                </c:pt>
                <c:pt idx="35">
                  <c:v>15.79166666666667</c:v>
                </c:pt>
                <c:pt idx="36">
                  <c:v>16.08333333333333</c:v>
                </c:pt>
                <c:pt idx="37">
                  <c:v>16.375</c:v>
                </c:pt>
                <c:pt idx="38">
                  <c:v>16.66666666666667</c:v>
                </c:pt>
                <c:pt idx="39">
                  <c:v>16.95833333333333</c:v>
                </c:pt>
                <c:pt idx="40">
                  <c:v>16.16666666666667</c:v>
                </c:pt>
                <c:pt idx="41">
                  <c:v>15.375</c:v>
                </c:pt>
                <c:pt idx="42">
                  <c:v>14.58333333333333</c:v>
                </c:pt>
                <c:pt idx="43">
                  <c:v>13.79166666666667</c:v>
                </c:pt>
                <c:pt idx="44">
                  <c:v>13.375</c:v>
                </c:pt>
                <c:pt idx="45">
                  <c:v>12.95833333333333</c:v>
                </c:pt>
                <c:pt idx="46">
                  <c:v>12.54166666666667</c:v>
                </c:pt>
                <c:pt idx="47">
                  <c:v>13.20833333333333</c:v>
                </c:pt>
                <c:pt idx="48">
                  <c:v>13.875</c:v>
                </c:pt>
                <c:pt idx="49">
                  <c:v>14.54166666666667</c:v>
                </c:pt>
                <c:pt idx="50">
                  <c:v>15.20833333333333</c:v>
                </c:pt>
                <c:pt idx="51">
                  <c:v>15.5</c:v>
                </c:pt>
                <c:pt idx="52">
                  <c:v>15.79166666666667</c:v>
                </c:pt>
                <c:pt idx="53">
                  <c:v>16.08333333333333</c:v>
                </c:pt>
                <c:pt idx="54">
                  <c:v>16.375</c:v>
                </c:pt>
                <c:pt idx="55">
                  <c:v>16.66666666666667</c:v>
                </c:pt>
                <c:pt idx="56">
                  <c:v>16.95833333333333</c:v>
                </c:pt>
                <c:pt idx="57">
                  <c:v>16.16666666666667</c:v>
                </c:pt>
                <c:pt idx="58">
                  <c:v>15.375</c:v>
                </c:pt>
                <c:pt idx="59">
                  <c:v>14.58333333333333</c:v>
                </c:pt>
                <c:pt idx="60">
                  <c:v>13.79166666666667</c:v>
                </c:pt>
                <c:pt idx="61">
                  <c:v>13.375</c:v>
                </c:pt>
                <c:pt idx="62">
                  <c:v>12.95833333333333</c:v>
                </c:pt>
                <c:pt idx="63">
                  <c:v>12.54166666666667</c:v>
                </c:pt>
                <c:pt idx="64">
                  <c:v>13.20833333333333</c:v>
                </c:pt>
                <c:pt idx="65">
                  <c:v>13.875</c:v>
                </c:pt>
                <c:pt idx="66">
                  <c:v>14.54166666666667</c:v>
                </c:pt>
                <c:pt idx="67">
                  <c:v>15.20833333333333</c:v>
                </c:pt>
                <c:pt idx="68">
                  <c:v>15.5</c:v>
                </c:pt>
                <c:pt idx="69">
                  <c:v>15.79166666666667</c:v>
                </c:pt>
                <c:pt idx="70">
                  <c:v>16.08333333333333</c:v>
                </c:pt>
                <c:pt idx="71">
                  <c:v>16.375</c:v>
                </c:pt>
                <c:pt idx="72">
                  <c:v>16.66666666666667</c:v>
                </c:pt>
                <c:pt idx="73">
                  <c:v>16.95833333333333</c:v>
                </c:pt>
                <c:pt idx="74">
                  <c:v>16.16666666666667</c:v>
                </c:pt>
                <c:pt idx="75">
                  <c:v>15.375</c:v>
                </c:pt>
              </c:numCache>
            </c:numRef>
          </c:val>
        </c:ser>
        <c:ser>
          <c:idx val="3"/>
          <c:order val="3"/>
          <c:tx>
            <c:strRef>
              <c:f>LinearOffsetAnalysis!$AF$1</c:f>
              <c:strCache>
                <c:ptCount val="1"/>
                <c:pt idx="0">
                  <c:v>D</c:v>
                </c:pt>
              </c:strCache>
            </c:strRef>
          </c:tx>
          <c:marker>
            <c:symbol val="none"/>
          </c:marker>
          <c:val>
            <c:numRef>
              <c:f>LinearOffsetAnalysis!$AF$2:$AF$78</c:f>
              <c:numCache>
                <c:formatCode>0.0</c:formatCode>
                <c:ptCount val="77"/>
                <c:pt idx="0">
                  <c:v>15.41666666666667</c:v>
                </c:pt>
                <c:pt idx="1">
                  <c:v>15.70833333333333</c:v>
                </c:pt>
                <c:pt idx="2">
                  <c:v>16.0</c:v>
                </c:pt>
                <c:pt idx="3">
                  <c:v>16.29166666666667</c:v>
                </c:pt>
                <c:pt idx="4">
                  <c:v>16.58333333333333</c:v>
                </c:pt>
                <c:pt idx="5">
                  <c:v>15.79166666666667</c:v>
                </c:pt>
                <c:pt idx="6">
                  <c:v>15.0</c:v>
                </c:pt>
                <c:pt idx="7">
                  <c:v>14.20833333333333</c:v>
                </c:pt>
                <c:pt idx="8">
                  <c:v>13.41666666666667</c:v>
                </c:pt>
                <c:pt idx="9">
                  <c:v>12.625</c:v>
                </c:pt>
                <c:pt idx="10">
                  <c:v>12.20833333333333</c:v>
                </c:pt>
                <c:pt idx="11">
                  <c:v>11.79166666666667</c:v>
                </c:pt>
                <c:pt idx="12">
                  <c:v>12.45833333333333</c:v>
                </c:pt>
                <c:pt idx="13">
                  <c:v>13.125</c:v>
                </c:pt>
                <c:pt idx="14">
                  <c:v>13.79166666666667</c:v>
                </c:pt>
                <c:pt idx="15">
                  <c:v>14.45833333333333</c:v>
                </c:pt>
                <c:pt idx="16">
                  <c:v>15.125</c:v>
                </c:pt>
                <c:pt idx="17">
                  <c:v>15.41666666666667</c:v>
                </c:pt>
                <c:pt idx="18">
                  <c:v>15.70833333333333</c:v>
                </c:pt>
                <c:pt idx="19">
                  <c:v>16.0</c:v>
                </c:pt>
                <c:pt idx="20">
                  <c:v>16.29166666666667</c:v>
                </c:pt>
                <c:pt idx="21">
                  <c:v>16.58333333333333</c:v>
                </c:pt>
                <c:pt idx="22">
                  <c:v>15.79166666666667</c:v>
                </c:pt>
                <c:pt idx="23">
                  <c:v>15.0</c:v>
                </c:pt>
                <c:pt idx="24">
                  <c:v>14.20833333333333</c:v>
                </c:pt>
                <c:pt idx="25">
                  <c:v>13.41666666666667</c:v>
                </c:pt>
                <c:pt idx="26">
                  <c:v>12.625</c:v>
                </c:pt>
                <c:pt idx="27">
                  <c:v>12.20833333333333</c:v>
                </c:pt>
                <c:pt idx="28">
                  <c:v>11.79166666666667</c:v>
                </c:pt>
                <c:pt idx="29">
                  <c:v>12.45833333333333</c:v>
                </c:pt>
                <c:pt idx="30">
                  <c:v>13.125</c:v>
                </c:pt>
                <c:pt idx="31">
                  <c:v>13.79166666666667</c:v>
                </c:pt>
                <c:pt idx="32">
                  <c:v>14.45833333333333</c:v>
                </c:pt>
                <c:pt idx="33">
                  <c:v>15.125</c:v>
                </c:pt>
                <c:pt idx="34">
                  <c:v>15.41666666666667</c:v>
                </c:pt>
                <c:pt idx="35">
                  <c:v>15.70833333333333</c:v>
                </c:pt>
                <c:pt idx="36">
                  <c:v>16.0</c:v>
                </c:pt>
                <c:pt idx="37">
                  <c:v>16.29166666666667</c:v>
                </c:pt>
                <c:pt idx="38">
                  <c:v>16.58333333333333</c:v>
                </c:pt>
                <c:pt idx="39">
                  <c:v>15.79166666666667</c:v>
                </c:pt>
                <c:pt idx="40">
                  <c:v>15.0</c:v>
                </c:pt>
                <c:pt idx="41">
                  <c:v>14.20833333333333</c:v>
                </c:pt>
                <c:pt idx="42">
                  <c:v>13.41666666666667</c:v>
                </c:pt>
                <c:pt idx="43">
                  <c:v>12.625</c:v>
                </c:pt>
                <c:pt idx="44">
                  <c:v>12.20833333333333</c:v>
                </c:pt>
                <c:pt idx="45">
                  <c:v>11.79166666666667</c:v>
                </c:pt>
                <c:pt idx="46">
                  <c:v>12.45833333333333</c:v>
                </c:pt>
                <c:pt idx="47">
                  <c:v>13.125</c:v>
                </c:pt>
                <c:pt idx="48">
                  <c:v>13.79166666666667</c:v>
                </c:pt>
                <c:pt idx="49">
                  <c:v>14.45833333333333</c:v>
                </c:pt>
                <c:pt idx="50">
                  <c:v>15.125</c:v>
                </c:pt>
                <c:pt idx="51">
                  <c:v>15.41666666666667</c:v>
                </c:pt>
                <c:pt idx="52">
                  <c:v>15.70833333333333</c:v>
                </c:pt>
                <c:pt idx="53">
                  <c:v>16.0</c:v>
                </c:pt>
                <c:pt idx="54">
                  <c:v>16.29166666666667</c:v>
                </c:pt>
                <c:pt idx="55">
                  <c:v>16.58333333333333</c:v>
                </c:pt>
                <c:pt idx="56">
                  <c:v>15.79166666666667</c:v>
                </c:pt>
                <c:pt idx="57">
                  <c:v>15.0</c:v>
                </c:pt>
                <c:pt idx="58">
                  <c:v>14.20833333333333</c:v>
                </c:pt>
                <c:pt idx="59">
                  <c:v>13.41666666666667</c:v>
                </c:pt>
                <c:pt idx="60">
                  <c:v>12.625</c:v>
                </c:pt>
                <c:pt idx="61">
                  <c:v>12.20833333333333</c:v>
                </c:pt>
                <c:pt idx="62">
                  <c:v>11.79166666666667</c:v>
                </c:pt>
                <c:pt idx="63">
                  <c:v>12.45833333333333</c:v>
                </c:pt>
                <c:pt idx="64">
                  <c:v>13.125</c:v>
                </c:pt>
                <c:pt idx="65">
                  <c:v>13.79166666666667</c:v>
                </c:pt>
                <c:pt idx="66">
                  <c:v>14.45833333333333</c:v>
                </c:pt>
                <c:pt idx="67">
                  <c:v>15.125</c:v>
                </c:pt>
                <c:pt idx="68">
                  <c:v>15.41666666666667</c:v>
                </c:pt>
                <c:pt idx="69">
                  <c:v>15.70833333333333</c:v>
                </c:pt>
                <c:pt idx="70">
                  <c:v>16.0</c:v>
                </c:pt>
                <c:pt idx="71">
                  <c:v>16.29166666666667</c:v>
                </c:pt>
                <c:pt idx="72">
                  <c:v>16.58333333333333</c:v>
                </c:pt>
                <c:pt idx="73">
                  <c:v>15.79166666666667</c:v>
                </c:pt>
                <c:pt idx="74">
                  <c:v>15.0</c:v>
                </c:pt>
                <c:pt idx="75">
                  <c:v>14.20833333333333</c:v>
                </c:pt>
              </c:numCache>
            </c:numRef>
          </c:val>
        </c:ser>
        <c:ser>
          <c:idx val="4"/>
          <c:order val="4"/>
          <c:tx>
            <c:strRef>
              <c:f>LinearOffsetAnalysis!$AG$1</c:f>
              <c:strCache>
                <c:ptCount val="1"/>
                <c:pt idx="0">
                  <c:v>E</c:v>
                </c:pt>
              </c:strCache>
            </c:strRef>
          </c:tx>
          <c:marker>
            <c:symbol val="none"/>
          </c:marker>
          <c:val>
            <c:numRef>
              <c:f>LinearOffsetAnalysis!$AG$2:$AG$78</c:f>
              <c:numCache>
                <c:formatCode>0.0</c:formatCode>
                <c:ptCount val="77"/>
                <c:pt idx="0">
                  <c:v>15.33333333333333</c:v>
                </c:pt>
                <c:pt idx="1">
                  <c:v>15.625</c:v>
                </c:pt>
                <c:pt idx="2">
                  <c:v>15.91666666666667</c:v>
                </c:pt>
                <c:pt idx="3">
                  <c:v>16.20833333333333</c:v>
                </c:pt>
                <c:pt idx="4">
                  <c:v>15.41666666666667</c:v>
                </c:pt>
                <c:pt idx="5">
                  <c:v>14.625</c:v>
                </c:pt>
                <c:pt idx="6">
                  <c:v>13.83333333333333</c:v>
                </c:pt>
                <c:pt idx="7">
                  <c:v>13.04166666666667</c:v>
                </c:pt>
                <c:pt idx="8">
                  <c:v>12.25</c:v>
                </c:pt>
                <c:pt idx="9">
                  <c:v>11.45833333333333</c:v>
                </c:pt>
                <c:pt idx="10">
                  <c:v>11.04166666666667</c:v>
                </c:pt>
                <c:pt idx="11">
                  <c:v>11.70833333333333</c:v>
                </c:pt>
                <c:pt idx="12">
                  <c:v>12.375</c:v>
                </c:pt>
                <c:pt idx="13">
                  <c:v>13.04166666666667</c:v>
                </c:pt>
                <c:pt idx="14">
                  <c:v>13.70833333333333</c:v>
                </c:pt>
                <c:pt idx="15">
                  <c:v>14.375</c:v>
                </c:pt>
                <c:pt idx="16">
                  <c:v>15.04166666666667</c:v>
                </c:pt>
                <c:pt idx="17">
                  <c:v>15.33333333333333</c:v>
                </c:pt>
                <c:pt idx="18">
                  <c:v>15.625</c:v>
                </c:pt>
                <c:pt idx="19">
                  <c:v>15.91666666666667</c:v>
                </c:pt>
                <c:pt idx="20">
                  <c:v>16.20833333333333</c:v>
                </c:pt>
                <c:pt idx="21">
                  <c:v>15.41666666666667</c:v>
                </c:pt>
                <c:pt idx="22">
                  <c:v>14.625</c:v>
                </c:pt>
                <c:pt idx="23">
                  <c:v>13.83333333333333</c:v>
                </c:pt>
                <c:pt idx="24">
                  <c:v>13.04166666666667</c:v>
                </c:pt>
                <c:pt idx="25">
                  <c:v>12.25</c:v>
                </c:pt>
                <c:pt idx="26">
                  <c:v>11.45833333333333</c:v>
                </c:pt>
                <c:pt idx="27">
                  <c:v>11.04166666666667</c:v>
                </c:pt>
                <c:pt idx="28">
                  <c:v>11.70833333333333</c:v>
                </c:pt>
                <c:pt idx="29">
                  <c:v>12.375</c:v>
                </c:pt>
                <c:pt idx="30">
                  <c:v>13.04166666666667</c:v>
                </c:pt>
                <c:pt idx="31">
                  <c:v>13.70833333333333</c:v>
                </c:pt>
                <c:pt idx="32">
                  <c:v>14.375</c:v>
                </c:pt>
                <c:pt idx="33">
                  <c:v>15.04166666666667</c:v>
                </c:pt>
                <c:pt idx="34">
                  <c:v>15.33333333333333</c:v>
                </c:pt>
                <c:pt idx="35">
                  <c:v>15.625</c:v>
                </c:pt>
                <c:pt idx="36">
                  <c:v>15.91666666666667</c:v>
                </c:pt>
                <c:pt idx="37">
                  <c:v>16.20833333333333</c:v>
                </c:pt>
                <c:pt idx="38">
                  <c:v>15.41666666666667</c:v>
                </c:pt>
                <c:pt idx="39">
                  <c:v>14.625</c:v>
                </c:pt>
                <c:pt idx="40">
                  <c:v>13.83333333333333</c:v>
                </c:pt>
                <c:pt idx="41">
                  <c:v>13.04166666666667</c:v>
                </c:pt>
                <c:pt idx="42">
                  <c:v>12.25</c:v>
                </c:pt>
                <c:pt idx="43">
                  <c:v>11.45833333333333</c:v>
                </c:pt>
                <c:pt idx="44">
                  <c:v>11.04166666666667</c:v>
                </c:pt>
                <c:pt idx="45">
                  <c:v>11.70833333333333</c:v>
                </c:pt>
                <c:pt idx="46">
                  <c:v>12.375</c:v>
                </c:pt>
                <c:pt idx="47">
                  <c:v>13.04166666666667</c:v>
                </c:pt>
                <c:pt idx="48">
                  <c:v>13.70833333333333</c:v>
                </c:pt>
                <c:pt idx="49">
                  <c:v>14.375</c:v>
                </c:pt>
                <c:pt idx="50">
                  <c:v>15.04166666666667</c:v>
                </c:pt>
                <c:pt idx="51">
                  <c:v>15.33333333333333</c:v>
                </c:pt>
                <c:pt idx="52">
                  <c:v>15.625</c:v>
                </c:pt>
                <c:pt idx="53">
                  <c:v>15.91666666666667</c:v>
                </c:pt>
                <c:pt idx="54">
                  <c:v>16.20833333333333</c:v>
                </c:pt>
                <c:pt idx="55">
                  <c:v>15.41666666666667</c:v>
                </c:pt>
                <c:pt idx="56">
                  <c:v>14.625</c:v>
                </c:pt>
                <c:pt idx="57">
                  <c:v>13.83333333333333</c:v>
                </c:pt>
                <c:pt idx="58">
                  <c:v>13.04166666666667</c:v>
                </c:pt>
                <c:pt idx="59">
                  <c:v>12.25</c:v>
                </c:pt>
                <c:pt idx="60">
                  <c:v>11.45833333333333</c:v>
                </c:pt>
                <c:pt idx="61">
                  <c:v>11.04166666666667</c:v>
                </c:pt>
                <c:pt idx="62">
                  <c:v>11.70833333333333</c:v>
                </c:pt>
                <c:pt idx="63">
                  <c:v>12.375</c:v>
                </c:pt>
                <c:pt idx="64">
                  <c:v>13.04166666666667</c:v>
                </c:pt>
                <c:pt idx="65">
                  <c:v>13.70833333333333</c:v>
                </c:pt>
                <c:pt idx="66">
                  <c:v>14.375</c:v>
                </c:pt>
                <c:pt idx="67">
                  <c:v>15.04166666666667</c:v>
                </c:pt>
                <c:pt idx="68">
                  <c:v>15.33333333333333</c:v>
                </c:pt>
                <c:pt idx="69">
                  <c:v>15.625</c:v>
                </c:pt>
                <c:pt idx="70">
                  <c:v>15.91666666666667</c:v>
                </c:pt>
                <c:pt idx="71">
                  <c:v>16.20833333333333</c:v>
                </c:pt>
                <c:pt idx="72">
                  <c:v>15.41666666666667</c:v>
                </c:pt>
                <c:pt idx="73">
                  <c:v>14.625</c:v>
                </c:pt>
                <c:pt idx="74">
                  <c:v>13.83333333333333</c:v>
                </c:pt>
                <c:pt idx="75">
                  <c:v>13.04166666666667</c:v>
                </c:pt>
              </c:numCache>
            </c:numRef>
          </c:val>
        </c:ser>
        <c:ser>
          <c:idx val="5"/>
          <c:order val="5"/>
          <c:tx>
            <c:strRef>
              <c:f>LinearOffsetAnalysis!$AH$1</c:f>
              <c:strCache>
                <c:ptCount val="1"/>
                <c:pt idx="0">
                  <c:v>F</c:v>
                </c:pt>
              </c:strCache>
            </c:strRef>
          </c:tx>
          <c:marker>
            <c:symbol val="none"/>
          </c:marker>
          <c:val>
            <c:numRef>
              <c:f>LinearOffsetAnalysis!$AH$2:$AH$78</c:f>
              <c:numCache>
                <c:formatCode>0.0</c:formatCode>
                <c:ptCount val="77"/>
                <c:pt idx="0">
                  <c:v>15.25</c:v>
                </c:pt>
                <c:pt idx="1">
                  <c:v>15.54166666666667</c:v>
                </c:pt>
                <c:pt idx="2">
                  <c:v>15.83333333333333</c:v>
                </c:pt>
                <c:pt idx="3">
                  <c:v>15.04166666666667</c:v>
                </c:pt>
                <c:pt idx="4">
                  <c:v>14.25</c:v>
                </c:pt>
                <c:pt idx="5">
                  <c:v>13.45833333333333</c:v>
                </c:pt>
                <c:pt idx="6">
                  <c:v>12.66666666666667</c:v>
                </c:pt>
                <c:pt idx="7">
                  <c:v>11.875</c:v>
                </c:pt>
                <c:pt idx="8">
                  <c:v>11.08333333333333</c:v>
                </c:pt>
                <c:pt idx="9">
                  <c:v>10.29166666666667</c:v>
                </c:pt>
                <c:pt idx="10">
                  <c:v>10.95833333333333</c:v>
                </c:pt>
                <c:pt idx="11">
                  <c:v>11.625</c:v>
                </c:pt>
                <c:pt idx="12">
                  <c:v>12.29166666666667</c:v>
                </c:pt>
                <c:pt idx="13">
                  <c:v>12.95833333333333</c:v>
                </c:pt>
                <c:pt idx="14">
                  <c:v>13.625</c:v>
                </c:pt>
                <c:pt idx="15">
                  <c:v>14.29166666666667</c:v>
                </c:pt>
                <c:pt idx="16">
                  <c:v>14.95833333333333</c:v>
                </c:pt>
                <c:pt idx="17">
                  <c:v>15.25</c:v>
                </c:pt>
                <c:pt idx="18">
                  <c:v>15.54166666666667</c:v>
                </c:pt>
                <c:pt idx="19">
                  <c:v>15.83333333333333</c:v>
                </c:pt>
                <c:pt idx="20">
                  <c:v>15.04166666666667</c:v>
                </c:pt>
                <c:pt idx="21">
                  <c:v>14.25</c:v>
                </c:pt>
                <c:pt idx="22">
                  <c:v>13.45833333333333</c:v>
                </c:pt>
                <c:pt idx="23">
                  <c:v>12.66666666666667</c:v>
                </c:pt>
                <c:pt idx="24">
                  <c:v>11.875</c:v>
                </c:pt>
                <c:pt idx="25">
                  <c:v>11.08333333333333</c:v>
                </c:pt>
                <c:pt idx="26">
                  <c:v>10.29166666666667</c:v>
                </c:pt>
                <c:pt idx="27">
                  <c:v>10.95833333333333</c:v>
                </c:pt>
                <c:pt idx="28">
                  <c:v>11.625</c:v>
                </c:pt>
                <c:pt idx="29">
                  <c:v>12.29166666666667</c:v>
                </c:pt>
                <c:pt idx="30">
                  <c:v>12.95833333333333</c:v>
                </c:pt>
                <c:pt idx="31">
                  <c:v>13.625</c:v>
                </c:pt>
                <c:pt idx="32">
                  <c:v>14.29166666666667</c:v>
                </c:pt>
                <c:pt idx="33">
                  <c:v>14.95833333333333</c:v>
                </c:pt>
                <c:pt idx="34">
                  <c:v>15.25</c:v>
                </c:pt>
                <c:pt idx="35">
                  <c:v>15.54166666666667</c:v>
                </c:pt>
                <c:pt idx="36">
                  <c:v>15.83333333333333</c:v>
                </c:pt>
                <c:pt idx="37">
                  <c:v>15.04166666666667</c:v>
                </c:pt>
                <c:pt idx="38">
                  <c:v>14.25</c:v>
                </c:pt>
                <c:pt idx="39">
                  <c:v>13.45833333333333</c:v>
                </c:pt>
                <c:pt idx="40">
                  <c:v>12.66666666666667</c:v>
                </c:pt>
                <c:pt idx="41">
                  <c:v>11.875</c:v>
                </c:pt>
                <c:pt idx="42">
                  <c:v>11.08333333333333</c:v>
                </c:pt>
                <c:pt idx="43">
                  <c:v>10.29166666666667</c:v>
                </c:pt>
                <c:pt idx="44">
                  <c:v>10.95833333333333</c:v>
                </c:pt>
                <c:pt idx="45">
                  <c:v>11.625</c:v>
                </c:pt>
                <c:pt idx="46">
                  <c:v>12.29166666666667</c:v>
                </c:pt>
                <c:pt idx="47">
                  <c:v>12.95833333333333</c:v>
                </c:pt>
                <c:pt idx="48">
                  <c:v>13.625</c:v>
                </c:pt>
                <c:pt idx="49">
                  <c:v>14.29166666666667</c:v>
                </c:pt>
                <c:pt idx="50">
                  <c:v>14.95833333333333</c:v>
                </c:pt>
                <c:pt idx="51">
                  <c:v>15.25</c:v>
                </c:pt>
                <c:pt idx="52">
                  <c:v>15.54166666666667</c:v>
                </c:pt>
                <c:pt idx="53">
                  <c:v>15.83333333333333</c:v>
                </c:pt>
                <c:pt idx="54">
                  <c:v>15.04166666666667</c:v>
                </c:pt>
                <c:pt idx="55">
                  <c:v>14.25</c:v>
                </c:pt>
                <c:pt idx="56">
                  <c:v>13.45833333333333</c:v>
                </c:pt>
                <c:pt idx="57">
                  <c:v>12.66666666666667</c:v>
                </c:pt>
                <c:pt idx="58">
                  <c:v>11.875</c:v>
                </c:pt>
                <c:pt idx="59">
                  <c:v>11.08333333333333</c:v>
                </c:pt>
                <c:pt idx="60">
                  <c:v>10.29166666666667</c:v>
                </c:pt>
                <c:pt idx="61">
                  <c:v>10.95833333333333</c:v>
                </c:pt>
                <c:pt idx="62">
                  <c:v>11.625</c:v>
                </c:pt>
                <c:pt idx="63">
                  <c:v>12.29166666666667</c:v>
                </c:pt>
                <c:pt idx="64">
                  <c:v>12.95833333333333</c:v>
                </c:pt>
                <c:pt idx="65">
                  <c:v>13.625</c:v>
                </c:pt>
                <c:pt idx="66">
                  <c:v>14.29166666666667</c:v>
                </c:pt>
                <c:pt idx="67">
                  <c:v>14.95833333333333</c:v>
                </c:pt>
                <c:pt idx="68">
                  <c:v>15.25</c:v>
                </c:pt>
                <c:pt idx="69">
                  <c:v>15.54166666666667</c:v>
                </c:pt>
                <c:pt idx="70">
                  <c:v>15.83333333333333</c:v>
                </c:pt>
                <c:pt idx="71">
                  <c:v>15.04166666666667</c:v>
                </c:pt>
                <c:pt idx="72">
                  <c:v>14.25</c:v>
                </c:pt>
                <c:pt idx="73">
                  <c:v>13.45833333333333</c:v>
                </c:pt>
                <c:pt idx="74">
                  <c:v>12.66666666666667</c:v>
                </c:pt>
                <c:pt idx="75">
                  <c:v>11.875</c:v>
                </c:pt>
              </c:numCache>
            </c:numRef>
          </c:val>
        </c:ser>
        <c:ser>
          <c:idx val="6"/>
          <c:order val="6"/>
          <c:tx>
            <c:strRef>
              <c:f>LinearOffsetAnalysis!$AI$1</c:f>
              <c:strCache>
                <c:ptCount val="1"/>
                <c:pt idx="0">
                  <c:v>G</c:v>
                </c:pt>
              </c:strCache>
            </c:strRef>
          </c:tx>
          <c:marker>
            <c:symbol val="none"/>
          </c:marker>
          <c:val>
            <c:numRef>
              <c:f>LinearOffsetAnalysis!$AI$2:$AI$78</c:f>
              <c:numCache>
                <c:formatCode>0.0</c:formatCode>
                <c:ptCount val="77"/>
                <c:pt idx="0">
                  <c:v>15.16666666666667</c:v>
                </c:pt>
                <c:pt idx="1">
                  <c:v>15.45833333333333</c:v>
                </c:pt>
                <c:pt idx="2">
                  <c:v>14.66666666666667</c:v>
                </c:pt>
                <c:pt idx="3">
                  <c:v>13.875</c:v>
                </c:pt>
                <c:pt idx="4">
                  <c:v>13.08333333333333</c:v>
                </c:pt>
                <c:pt idx="5">
                  <c:v>12.29166666666667</c:v>
                </c:pt>
                <c:pt idx="6">
                  <c:v>11.5</c:v>
                </c:pt>
                <c:pt idx="7">
                  <c:v>10.70833333333333</c:v>
                </c:pt>
                <c:pt idx="8">
                  <c:v>9.916666666666666</c:v>
                </c:pt>
                <c:pt idx="9">
                  <c:v>10.20833333333333</c:v>
                </c:pt>
                <c:pt idx="10">
                  <c:v>10.875</c:v>
                </c:pt>
                <c:pt idx="11">
                  <c:v>11.54166666666667</c:v>
                </c:pt>
                <c:pt idx="12">
                  <c:v>12.20833333333333</c:v>
                </c:pt>
                <c:pt idx="13">
                  <c:v>12.875</c:v>
                </c:pt>
                <c:pt idx="14">
                  <c:v>13.54166666666667</c:v>
                </c:pt>
                <c:pt idx="15">
                  <c:v>14.20833333333333</c:v>
                </c:pt>
                <c:pt idx="16">
                  <c:v>14.875</c:v>
                </c:pt>
                <c:pt idx="17">
                  <c:v>15.16666666666667</c:v>
                </c:pt>
                <c:pt idx="18">
                  <c:v>15.45833333333333</c:v>
                </c:pt>
                <c:pt idx="19">
                  <c:v>14.66666666666667</c:v>
                </c:pt>
                <c:pt idx="20">
                  <c:v>13.875</c:v>
                </c:pt>
                <c:pt idx="21">
                  <c:v>13.08333333333333</c:v>
                </c:pt>
                <c:pt idx="22">
                  <c:v>12.29166666666667</c:v>
                </c:pt>
                <c:pt idx="23">
                  <c:v>11.5</c:v>
                </c:pt>
                <c:pt idx="24">
                  <c:v>10.70833333333333</c:v>
                </c:pt>
                <c:pt idx="25">
                  <c:v>9.916666666666666</c:v>
                </c:pt>
                <c:pt idx="26">
                  <c:v>10.20833333333333</c:v>
                </c:pt>
                <c:pt idx="27">
                  <c:v>10.875</c:v>
                </c:pt>
                <c:pt idx="28">
                  <c:v>11.54166666666667</c:v>
                </c:pt>
                <c:pt idx="29">
                  <c:v>12.20833333333333</c:v>
                </c:pt>
                <c:pt idx="30">
                  <c:v>12.875</c:v>
                </c:pt>
                <c:pt idx="31">
                  <c:v>13.54166666666667</c:v>
                </c:pt>
                <c:pt idx="32">
                  <c:v>14.20833333333333</c:v>
                </c:pt>
                <c:pt idx="33">
                  <c:v>14.875</c:v>
                </c:pt>
                <c:pt idx="34">
                  <c:v>15.16666666666667</c:v>
                </c:pt>
                <c:pt idx="35">
                  <c:v>15.45833333333333</c:v>
                </c:pt>
                <c:pt idx="36">
                  <c:v>14.66666666666667</c:v>
                </c:pt>
                <c:pt idx="37">
                  <c:v>13.875</c:v>
                </c:pt>
                <c:pt idx="38">
                  <c:v>13.08333333333333</c:v>
                </c:pt>
                <c:pt idx="39">
                  <c:v>12.29166666666667</c:v>
                </c:pt>
                <c:pt idx="40">
                  <c:v>11.5</c:v>
                </c:pt>
                <c:pt idx="41">
                  <c:v>10.70833333333333</c:v>
                </c:pt>
                <c:pt idx="42">
                  <c:v>9.916666666666666</c:v>
                </c:pt>
                <c:pt idx="43">
                  <c:v>10.20833333333333</c:v>
                </c:pt>
                <c:pt idx="44">
                  <c:v>10.875</c:v>
                </c:pt>
                <c:pt idx="45">
                  <c:v>11.54166666666667</c:v>
                </c:pt>
                <c:pt idx="46">
                  <c:v>12.20833333333333</c:v>
                </c:pt>
                <c:pt idx="47">
                  <c:v>12.875</c:v>
                </c:pt>
                <c:pt idx="48">
                  <c:v>13.54166666666667</c:v>
                </c:pt>
                <c:pt idx="49">
                  <c:v>14.20833333333333</c:v>
                </c:pt>
                <c:pt idx="50">
                  <c:v>14.875</c:v>
                </c:pt>
                <c:pt idx="51">
                  <c:v>15.16666666666667</c:v>
                </c:pt>
                <c:pt idx="52">
                  <c:v>15.45833333333333</c:v>
                </c:pt>
                <c:pt idx="53">
                  <c:v>14.66666666666667</c:v>
                </c:pt>
                <c:pt idx="54">
                  <c:v>13.875</c:v>
                </c:pt>
                <c:pt idx="55">
                  <c:v>13.08333333333333</c:v>
                </c:pt>
                <c:pt idx="56">
                  <c:v>12.29166666666667</c:v>
                </c:pt>
                <c:pt idx="57">
                  <c:v>11.5</c:v>
                </c:pt>
                <c:pt idx="58">
                  <c:v>10.70833333333333</c:v>
                </c:pt>
                <c:pt idx="59">
                  <c:v>9.916666666666666</c:v>
                </c:pt>
                <c:pt idx="60">
                  <c:v>10.20833333333333</c:v>
                </c:pt>
                <c:pt idx="61">
                  <c:v>10.875</c:v>
                </c:pt>
                <c:pt idx="62">
                  <c:v>11.54166666666667</c:v>
                </c:pt>
                <c:pt idx="63">
                  <c:v>12.20833333333333</c:v>
                </c:pt>
                <c:pt idx="64">
                  <c:v>12.875</c:v>
                </c:pt>
                <c:pt idx="65">
                  <c:v>13.54166666666667</c:v>
                </c:pt>
                <c:pt idx="66">
                  <c:v>14.20833333333333</c:v>
                </c:pt>
                <c:pt idx="67">
                  <c:v>14.875</c:v>
                </c:pt>
                <c:pt idx="68">
                  <c:v>15.16666666666667</c:v>
                </c:pt>
                <c:pt idx="69">
                  <c:v>15.45833333333333</c:v>
                </c:pt>
                <c:pt idx="70">
                  <c:v>14.66666666666667</c:v>
                </c:pt>
                <c:pt idx="71">
                  <c:v>13.875</c:v>
                </c:pt>
                <c:pt idx="72">
                  <c:v>13.08333333333333</c:v>
                </c:pt>
                <c:pt idx="73">
                  <c:v>12.29166666666667</c:v>
                </c:pt>
                <c:pt idx="74">
                  <c:v>11.5</c:v>
                </c:pt>
                <c:pt idx="75">
                  <c:v>10.70833333333333</c:v>
                </c:pt>
              </c:numCache>
            </c:numRef>
          </c:val>
        </c:ser>
        <c:ser>
          <c:idx val="7"/>
          <c:order val="7"/>
          <c:tx>
            <c:strRef>
              <c:f>LinearOffsetAnalysis!$AJ$1</c:f>
              <c:strCache>
                <c:ptCount val="1"/>
                <c:pt idx="0">
                  <c:v>H</c:v>
                </c:pt>
              </c:strCache>
            </c:strRef>
          </c:tx>
          <c:marker>
            <c:symbol val="none"/>
          </c:marker>
          <c:val>
            <c:numRef>
              <c:f>LinearOffsetAnalysis!$AJ$2:$AJ$78</c:f>
              <c:numCache>
                <c:formatCode>0.0</c:formatCode>
                <c:ptCount val="77"/>
                <c:pt idx="0">
                  <c:v>15.08333333333333</c:v>
                </c:pt>
                <c:pt idx="1">
                  <c:v>14.29166666666667</c:v>
                </c:pt>
                <c:pt idx="2">
                  <c:v>13.5</c:v>
                </c:pt>
                <c:pt idx="3">
                  <c:v>12.70833333333333</c:v>
                </c:pt>
                <c:pt idx="4">
                  <c:v>11.91666666666667</c:v>
                </c:pt>
                <c:pt idx="5">
                  <c:v>11.125</c:v>
                </c:pt>
                <c:pt idx="6">
                  <c:v>10.33333333333333</c:v>
                </c:pt>
                <c:pt idx="7">
                  <c:v>9.541666666666666</c:v>
                </c:pt>
                <c:pt idx="8">
                  <c:v>9.833333333333333</c:v>
                </c:pt>
                <c:pt idx="9">
                  <c:v>10.125</c:v>
                </c:pt>
                <c:pt idx="10">
                  <c:v>10.79166666666667</c:v>
                </c:pt>
                <c:pt idx="11">
                  <c:v>11.45833333333333</c:v>
                </c:pt>
                <c:pt idx="12">
                  <c:v>12.125</c:v>
                </c:pt>
                <c:pt idx="13">
                  <c:v>12.79166666666667</c:v>
                </c:pt>
                <c:pt idx="14">
                  <c:v>13.45833333333333</c:v>
                </c:pt>
                <c:pt idx="15">
                  <c:v>14.125</c:v>
                </c:pt>
                <c:pt idx="16">
                  <c:v>14.79166666666667</c:v>
                </c:pt>
                <c:pt idx="17">
                  <c:v>15.08333333333333</c:v>
                </c:pt>
                <c:pt idx="18">
                  <c:v>14.29166666666667</c:v>
                </c:pt>
                <c:pt idx="19">
                  <c:v>13.5</c:v>
                </c:pt>
                <c:pt idx="20">
                  <c:v>12.70833333333333</c:v>
                </c:pt>
                <c:pt idx="21">
                  <c:v>11.91666666666667</c:v>
                </c:pt>
                <c:pt idx="22">
                  <c:v>11.125</c:v>
                </c:pt>
                <c:pt idx="23">
                  <c:v>10.33333333333333</c:v>
                </c:pt>
                <c:pt idx="24">
                  <c:v>9.541666666666666</c:v>
                </c:pt>
                <c:pt idx="25">
                  <c:v>9.833333333333333</c:v>
                </c:pt>
                <c:pt idx="26">
                  <c:v>10.125</c:v>
                </c:pt>
                <c:pt idx="27">
                  <c:v>10.79166666666667</c:v>
                </c:pt>
                <c:pt idx="28">
                  <c:v>11.45833333333333</c:v>
                </c:pt>
                <c:pt idx="29">
                  <c:v>12.125</c:v>
                </c:pt>
                <c:pt idx="30">
                  <c:v>12.79166666666667</c:v>
                </c:pt>
                <c:pt idx="31">
                  <c:v>13.45833333333333</c:v>
                </c:pt>
                <c:pt idx="32">
                  <c:v>14.125</c:v>
                </c:pt>
                <c:pt idx="33">
                  <c:v>14.79166666666667</c:v>
                </c:pt>
                <c:pt idx="34">
                  <c:v>15.08333333333333</c:v>
                </c:pt>
                <c:pt idx="35">
                  <c:v>14.29166666666667</c:v>
                </c:pt>
                <c:pt idx="36">
                  <c:v>13.5</c:v>
                </c:pt>
                <c:pt idx="37">
                  <c:v>12.70833333333333</c:v>
                </c:pt>
                <c:pt idx="38">
                  <c:v>11.91666666666667</c:v>
                </c:pt>
                <c:pt idx="39">
                  <c:v>11.125</c:v>
                </c:pt>
                <c:pt idx="40">
                  <c:v>10.33333333333333</c:v>
                </c:pt>
                <c:pt idx="41">
                  <c:v>9.541666666666666</c:v>
                </c:pt>
                <c:pt idx="42">
                  <c:v>9.833333333333333</c:v>
                </c:pt>
                <c:pt idx="43">
                  <c:v>10.125</c:v>
                </c:pt>
                <c:pt idx="44">
                  <c:v>10.79166666666667</c:v>
                </c:pt>
                <c:pt idx="45">
                  <c:v>11.45833333333333</c:v>
                </c:pt>
                <c:pt idx="46">
                  <c:v>12.125</c:v>
                </c:pt>
                <c:pt idx="47">
                  <c:v>12.79166666666667</c:v>
                </c:pt>
                <c:pt idx="48">
                  <c:v>13.45833333333333</c:v>
                </c:pt>
                <c:pt idx="49">
                  <c:v>14.125</c:v>
                </c:pt>
                <c:pt idx="50">
                  <c:v>14.79166666666667</c:v>
                </c:pt>
                <c:pt idx="51">
                  <c:v>15.08333333333333</c:v>
                </c:pt>
                <c:pt idx="52">
                  <c:v>14.29166666666667</c:v>
                </c:pt>
                <c:pt idx="53">
                  <c:v>13.5</c:v>
                </c:pt>
                <c:pt idx="54">
                  <c:v>12.70833333333333</c:v>
                </c:pt>
                <c:pt idx="55">
                  <c:v>11.91666666666667</c:v>
                </c:pt>
                <c:pt idx="56">
                  <c:v>11.125</c:v>
                </c:pt>
                <c:pt idx="57">
                  <c:v>10.33333333333333</c:v>
                </c:pt>
                <c:pt idx="58">
                  <c:v>9.541666666666666</c:v>
                </c:pt>
                <c:pt idx="59">
                  <c:v>9.833333333333333</c:v>
                </c:pt>
                <c:pt idx="60">
                  <c:v>10.125</c:v>
                </c:pt>
                <c:pt idx="61">
                  <c:v>10.79166666666667</c:v>
                </c:pt>
                <c:pt idx="62">
                  <c:v>11.45833333333333</c:v>
                </c:pt>
                <c:pt idx="63">
                  <c:v>12.125</c:v>
                </c:pt>
                <c:pt idx="64">
                  <c:v>12.79166666666667</c:v>
                </c:pt>
                <c:pt idx="65">
                  <c:v>13.45833333333333</c:v>
                </c:pt>
                <c:pt idx="66">
                  <c:v>14.125</c:v>
                </c:pt>
                <c:pt idx="67">
                  <c:v>14.79166666666667</c:v>
                </c:pt>
                <c:pt idx="68">
                  <c:v>15.08333333333333</c:v>
                </c:pt>
                <c:pt idx="69">
                  <c:v>14.29166666666667</c:v>
                </c:pt>
                <c:pt idx="70">
                  <c:v>13.5</c:v>
                </c:pt>
                <c:pt idx="71">
                  <c:v>12.70833333333333</c:v>
                </c:pt>
                <c:pt idx="72">
                  <c:v>11.91666666666667</c:v>
                </c:pt>
                <c:pt idx="73">
                  <c:v>11.125</c:v>
                </c:pt>
                <c:pt idx="74">
                  <c:v>10.33333333333333</c:v>
                </c:pt>
                <c:pt idx="75">
                  <c:v>9.541666666666666</c:v>
                </c:pt>
              </c:numCache>
            </c:numRef>
          </c:val>
        </c:ser>
        <c:ser>
          <c:idx val="8"/>
          <c:order val="8"/>
          <c:tx>
            <c:strRef>
              <c:f>LinearOffsetAnalysis!$AK$1</c:f>
              <c:strCache>
                <c:ptCount val="1"/>
                <c:pt idx="0">
                  <c:v>I</c:v>
                </c:pt>
              </c:strCache>
            </c:strRef>
          </c:tx>
          <c:marker>
            <c:symbol val="none"/>
          </c:marker>
          <c:val>
            <c:numRef>
              <c:f>LinearOffsetAnalysis!$AK$2:$AK$78</c:f>
              <c:numCache>
                <c:formatCode>0.0</c:formatCode>
                <c:ptCount val="77"/>
                <c:pt idx="0">
                  <c:v>13.91666666666667</c:v>
                </c:pt>
                <c:pt idx="1">
                  <c:v>13.125</c:v>
                </c:pt>
                <c:pt idx="2">
                  <c:v>12.33333333333333</c:v>
                </c:pt>
                <c:pt idx="3">
                  <c:v>11.54166666666667</c:v>
                </c:pt>
                <c:pt idx="4">
                  <c:v>10.75</c:v>
                </c:pt>
                <c:pt idx="5">
                  <c:v>9.958333333333333</c:v>
                </c:pt>
                <c:pt idx="6">
                  <c:v>9.166666666666666</c:v>
                </c:pt>
                <c:pt idx="7">
                  <c:v>9.458333333333333</c:v>
                </c:pt>
                <c:pt idx="8">
                  <c:v>9.75</c:v>
                </c:pt>
                <c:pt idx="9">
                  <c:v>10.04166666666667</c:v>
                </c:pt>
                <c:pt idx="10">
                  <c:v>10.70833333333333</c:v>
                </c:pt>
                <c:pt idx="11">
                  <c:v>11.375</c:v>
                </c:pt>
                <c:pt idx="12">
                  <c:v>12.04166666666667</c:v>
                </c:pt>
                <c:pt idx="13">
                  <c:v>12.70833333333333</c:v>
                </c:pt>
                <c:pt idx="14">
                  <c:v>13.375</c:v>
                </c:pt>
                <c:pt idx="15">
                  <c:v>14.04166666666667</c:v>
                </c:pt>
                <c:pt idx="16">
                  <c:v>14.70833333333333</c:v>
                </c:pt>
                <c:pt idx="17">
                  <c:v>13.91666666666667</c:v>
                </c:pt>
                <c:pt idx="18">
                  <c:v>13.125</c:v>
                </c:pt>
                <c:pt idx="19">
                  <c:v>12.33333333333333</c:v>
                </c:pt>
                <c:pt idx="20">
                  <c:v>11.54166666666667</c:v>
                </c:pt>
                <c:pt idx="21">
                  <c:v>10.75</c:v>
                </c:pt>
                <c:pt idx="22">
                  <c:v>9.958333333333333</c:v>
                </c:pt>
                <c:pt idx="23">
                  <c:v>9.166666666666666</c:v>
                </c:pt>
                <c:pt idx="24">
                  <c:v>9.458333333333333</c:v>
                </c:pt>
                <c:pt idx="25">
                  <c:v>9.75</c:v>
                </c:pt>
                <c:pt idx="26">
                  <c:v>10.04166666666667</c:v>
                </c:pt>
                <c:pt idx="27">
                  <c:v>10.70833333333333</c:v>
                </c:pt>
                <c:pt idx="28">
                  <c:v>11.375</c:v>
                </c:pt>
                <c:pt idx="29">
                  <c:v>12.04166666666667</c:v>
                </c:pt>
                <c:pt idx="30">
                  <c:v>12.70833333333333</c:v>
                </c:pt>
                <c:pt idx="31">
                  <c:v>13.375</c:v>
                </c:pt>
                <c:pt idx="32">
                  <c:v>14.04166666666667</c:v>
                </c:pt>
                <c:pt idx="33">
                  <c:v>14.70833333333333</c:v>
                </c:pt>
                <c:pt idx="34">
                  <c:v>13.91666666666667</c:v>
                </c:pt>
                <c:pt idx="35">
                  <c:v>13.125</c:v>
                </c:pt>
                <c:pt idx="36">
                  <c:v>12.33333333333333</c:v>
                </c:pt>
                <c:pt idx="37">
                  <c:v>11.54166666666667</c:v>
                </c:pt>
                <c:pt idx="38">
                  <c:v>10.75</c:v>
                </c:pt>
                <c:pt idx="39">
                  <c:v>9.958333333333333</c:v>
                </c:pt>
                <c:pt idx="40">
                  <c:v>9.166666666666666</c:v>
                </c:pt>
                <c:pt idx="41">
                  <c:v>9.458333333333333</c:v>
                </c:pt>
                <c:pt idx="42">
                  <c:v>9.75</c:v>
                </c:pt>
                <c:pt idx="43">
                  <c:v>10.04166666666667</c:v>
                </c:pt>
                <c:pt idx="44">
                  <c:v>10.70833333333333</c:v>
                </c:pt>
                <c:pt idx="45">
                  <c:v>11.375</c:v>
                </c:pt>
                <c:pt idx="46">
                  <c:v>12.04166666666667</c:v>
                </c:pt>
                <c:pt idx="47">
                  <c:v>12.70833333333333</c:v>
                </c:pt>
                <c:pt idx="48">
                  <c:v>13.375</c:v>
                </c:pt>
                <c:pt idx="49">
                  <c:v>14.04166666666667</c:v>
                </c:pt>
                <c:pt idx="50">
                  <c:v>14.70833333333333</c:v>
                </c:pt>
                <c:pt idx="51">
                  <c:v>13.91666666666667</c:v>
                </c:pt>
                <c:pt idx="52">
                  <c:v>13.125</c:v>
                </c:pt>
                <c:pt idx="53">
                  <c:v>12.33333333333333</c:v>
                </c:pt>
                <c:pt idx="54">
                  <c:v>11.54166666666667</c:v>
                </c:pt>
                <c:pt idx="55">
                  <c:v>10.75</c:v>
                </c:pt>
                <c:pt idx="56">
                  <c:v>9.958333333333333</c:v>
                </c:pt>
                <c:pt idx="57">
                  <c:v>9.166666666666666</c:v>
                </c:pt>
                <c:pt idx="58">
                  <c:v>9.458333333333333</c:v>
                </c:pt>
                <c:pt idx="59">
                  <c:v>9.75</c:v>
                </c:pt>
                <c:pt idx="60">
                  <c:v>10.04166666666667</c:v>
                </c:pt>
                <c:pt idx="61">
                  <c:v>10.70833333333333</c:v>
                </c:pt>
                <c:pt idx="62">
                  <c:v>11.375</c:v>
                </c:pt>
                <c:pt idx="63">
                  <c:v>12.04166666666667</c:v>
                </c:pt>
                <c:pt idx="64">
                  <c:v>12.70833333333333</c:v>
                </c:pt>
                <c:pt idx="65">
                  <c:v>13.375</c:v>
                </c:pt>
                <c:pt idx="66">
                  <c:v>14.04166666666667</c:v>
                </c:pt>
                <c:pt idx="67">
                  <c:v>14.70833333333333</c:v>
                </c:pt>
                <c:pt idx="68">
                  <c:v>13.91666666666667</c:v>
                </c:pt>
                <c:pt idx="69">
                  <c:v>13.125</c:v>
                </c:pt>
                <c:pt idx="70">
                  <c:v>12.33333333333333</c:v>
                </c:pt>
                <c:pt idx="71">
                  <c:v>11.54166666666667</c:v>
                </c:pt>
                <c:pt idx="72">
                  <c:v>10.75</c:v>
                </c:pt>
                <c:pt idx="73">
                  <c:v>9.958333333333333</c:v>
                </c:pt>
                <c:pt idx="74">
                  <c:v>9.166666666666666</c:v>
                </c:pt>
                <c:pt idx="75">
                  <c:v>9.458333333333333</c:v>
                </c:pt>
              </c:numCache>
            </c:numRef>
          </c:val>
        </c:ser>
        <c:ser>
          <c:idx val="9"/>
          <c:order val="9"/>
          <c:tx>
            <c:strRef>
              <c:f>LinearOffsetAnalysis!$AL$1</c:f>
              <c:strCache>
                <c:ptCount val="1"/>
                <c:pt idx="0">
                  <c:v>J</c:v>
                </c:pt>
              </c:strCache>
            </c:strRef>
          </c:tx>
          <c:marker>
            <c:symbol val="none"/>
          </c:marker>
          <c:val>
            <c:numRef>
              <c:f>LinearOffsetAnalysis!$AL$2:$AL$78</c:f>
              <c:numCache>
                <c:formatCode>0.0</c:formatCode>
                <c:ptCount val="77"/>
                <c:pt idx="0">
                  <c:v>12.75</c:v>
                </c:pt>
                <c:pt idx="1">
                  <c:v>11.95833333333333</c:v>
                </c:pt>
                <c:pt idx="2">
                  <c:v>11.16666666666667</c:v>
                </c:pt>
                <c:pt idx="3">
                  <c:v>10.375</c:v>
                </c:pt>
                <c:pt idx="4">
                  <c:v>9.583333333333333</c:v>
                </c:pt>
                <c:pt idx="5">
                  <c:v>8.791666666666665</c:v>
                </c:pt>
                <c:pt idx="6">
                  <c:v>9.083333333333333</c:v>
                </c:pt>
                <c:pt idx="7">
                  <c:v>9.375</c:v>
                </c:pt>
                <c:pt idx="8">
                  <c:v>9.666666666666665</c:v>
                </c:pt>
                <c:pt idx="9">
                  <c:v>9.958333333333333</c:v>
                </c:pt>
                <c:pt idx="10">
                  <c:v>10.625</c:v>
                </c:pt>
                <c:pt idx="11">
                  <c:v>11.29166666666667</c:v>
                </c:pt>
                <c:pt idx="12">
                  <c:v>11.95833333333333</c:v>
                </c:pt>
                <c:pt idx="13">
                  <c:v>12.625</c:v>
                </c:pt>
                <c:pt idx="14">
                  <c:v>13.29166666666667</c:v>
                </c:pt>
                <c:pt idx="15">
                  <c:v>13.95833333333333</c:v>
                </c:pt>
                <c:pt idx="16">
                  <c:v>13.54166666666667</c:v>
                </c:pt>
                <c:pt idx="17">
                  <c:v>12.75</c:v>
                </c:pt>
                <c:pt idx="18">
                  <c:v>11.95833333333333</c:v>
                </c:pt>
                <c:pt idx="19">
                  <c:v>11.16666666666667</c:v>
                </c:pt>
                <c:pt idx="20">
                  <c:v>10.375</c:v>
                </c:pt>
                <c:pt idx="21">
                  <c:v>9.583333333333333</c:v>
                </c:pt>
                <c:pt idx="22">
                  <c:v>8.791666666666665</c:v>
                </c:pt>
                <c:pt idx="23">
                  <c:v>9.083333333333333</c:v>
                </c:pt>
                <c:pt idx="24">
                  <c:v>9.375</c:v>
                </c:pt>
                <c:pt idx="25">
                  <c:v>9.666666666666665</c:v>
                </c:pt>
                <c:pt idx="26">
                  <c:v>9.958333333333333</c:v>
                </c:pt>
                <c:pt idx="27">
                  <c:v>10.625</c:v>
                </c:pt>
                <c:pt idx="28">
                  <c:v>11.29166666666667</c:v>
                </c:pt>
                <c:pt idx="29">
                  <c:v>11.95833333333333</c:v>
                </c:pt>
                <c:pt idx="30">
                  <c:v>12.625</c:v>
                </c:pt>
                <c:pt idx="31">
                  <c:v>13.29166666666667</c:v>
                </c:pt>
                <c:pt idx="32">
                  <c:v>13.95833333333333</c:v>
                </c:pt>
                <c:pt idx="33">
                  <c:v>13.54166666666667</c:v>
                </c:pt>
                <c:pt idx="34">
                  <c:v>12.75</c:v>
                </c:pt>
                <c:pt idx="35">
                  <c:v>11.95833333333333</c:v>
                </c:pt>
                <c:pt idx="36">
                  <c:v>11.16666666666667</c:v>
                </c:pt>
                <c:pt idx="37">
                  <c:v>10.375</c:v>
                </c:pt>
                <c:pt idx="38">
                  <c:v>9.583333333333333</c:v>
                </c:pt>
                <c:pt idx="39">
                  <c:v>8.791666666666665</c:v>
                </c:pt>
                <c:pt idx="40">
                  <c:v>9.083333333333333</c:v>
                </c:pt>
                <c:pt idx="41">
                  <c:v>9.375</c:v>
                </c:pt>
                <c:pt idx="42">
                  <c:v>9.666666666666665</c:v>
                </c:pt>
                <c:pt idx="43">
                  <c:v>9.958333333333333</c:v>
                </c:pt>
                <c:pt idx="44">
                  <c:v>10.625</c:v>
                </c:pt>
                <c:pt idx="45">
                  <c:v>11.29166666666667</c:v>
                </c:pt>
                <c:pt idx="46">
                  <c:v>11.95833333333333</c:v>
                </c:pt>
                <c:pt idx="47">
                  <c:v>12.625</c:v>
                </c:pt>
                <c:pt idx="48">
                  <c:v>13.29166666666667</c:v>
                </c:pt>
                <c:pt idx="49">
                  <c:v>13.95833333333333</c:v>
                </c:pt>
                <c:pt idx="50">
                  <c:v>13.54166666666667</c:v>
                </c:pt>
                <c:pt idx="51">
                  <c:v>12.75</c:v>
                </c:pt>
                <c:pt idx="52">
                  <c:v>11.95833333333333</c:v>
                </c:pt>
                <c:pt idx="53">
                  <c:v>11.16666666666667</c:v>
                </c:pt>
                <c:pt idx="54">
                  <c:v>10.375</c:v>
                </c:pt>
                <c:pt idx="55">
                  <c:v>9.583333333333333</c:v>
                </c:pt>
                <c:pt idx="56">
                  <c:v>8.791666666666665</c:v>
                </c:pt>
                <c:pt idx="57">
                  <c:v>9.083333333333333</c:v>
                </c:pt>
                <c:pt idx="58">
                  <c:v>9.375</c:v>
                </c:pt>
                <c:pt idx="59">
                  <c:v>9.666666666666665</c:v>
                </c:pt>
                <c:pt idx="60">
                  <c:v>9.958333333333333</c:v>
                </c:pt>
                <c:pt idx="61">
                  <c:v>10.625</c:v>
                </c:pt>
                <c:pt idx="62">
                  <c:v>11.29166666666667</c:v>
                </c:pt>
                <c:pt idx="63">
                  <c:v>11.95833333333333</c:v>
                </c:pt>
                <c:pt idx="64">
                  <c:v>12.625</c:v>
                </c:pt>
                <c:pt idx="65">
                  <c:v>13.29166666666667</c:v>
                </c:pt>
                <c:pt idx="66">
                  <c:v>13.95833333333333</c:v>
                </c:pt>
                <c:pt idx="67">
                  <c:v>13.54166666666667</c:v>
                </c:pt>
                <c:pt idx="68">
                  <c:v>12.75</c:v>
                </c:pt>
                <c:pt idx="69">
                  <c:v>11.95833333333333</c:v>
                </c:pt>
                <c:pt idx="70">
                  <c:v>11.16666666666667</c:v>
                </c:pt>
                <c:pt idx="71">
                  <c:v>10.375</c:v>
                </c:pt>
                <c:pt idx="72">
                  <c:v>9.583333333333333</c:v>
                </c:pt>
                <c:pt idx="73">
                  <c:v>8.791666666666665</c:v>
                </c:pt>
                <c:pt idx="74">
                  <c:v>9.083333333333333</c:v>
                </c:pt>
                <c:pt idx="75">
                  <c:v>9.375</c:v>
                </c:pt>
              </c:numCache>
            </c:numRef>
          </c:val>
        </c:ser>
        <c:ser>
          <c:idx val="10"/>
          <c:order val="10"/>
          <c:tx>
            <c:strRef>
              <c:f>LinearOffsetAnalysis!$AM$1</c:f>
              <c:strCache>
                <c:ptCount val="1"/>
                <c:pt idx="0">
                  <c:v>K</c:v>
                </c:pt>
              </c:strCache>
            </c:strRef>
          </c:tx>
          <c:marker>
            <c:symbol val="none"/>
          </c:marker>
          <c:val>
            <c:numRef>
              <c:f>LinearOffsetAnalysis!$AM$2:$AM$78</c:f>
              <c:numCache>
                <c:formatCode>0.0</c:formatCode>
                <c:ptCount val="77"/>
                <c:pt idx="0">
                  <c:v>11.58333333333333</c:v>
                </c:pt>
                <c:pt idx="1">
                  <c:v>10.79166666666667</c:v>
                </c:pt>
                <c:pt idx="2">
                  <c:v>10.0</c:v>
                </c:pt>
                <c:pt idx="3">
                  <c:v>9.208333333333334</c:v>
                </c:pt>
                <c:pt idx="4">
                  <c:v>8.416666666666666</c:v>
                </c:pt>
                <c:pt idx="5">
                  <c:v>8.708333333333334</c:v>
                </c:pt>
                <c:pt idx="6">
                  <c:v>9.0</c:v>
                </c:pt>
                <c:pt idx="7">
                  <c:v>9.291666666666666</c:v>
                </c:pt>
                <c:pt idx="8">
                  <c:v>9.583333333333333</c:v>
                </c:pt>
                <c:pt idx="9">
                  <c:v>9.875</c:v>
                </c:pt>
                <c:pt idx="10">
                  <c:v>10.54166666666667</c:v>
                </c:pt>
                <c:pt idx="11">
                  <c:v>11.20833333333333</c:v>
                </c:pt>
                <c:pt idx="12">
                  <c:v>11.875</c:v>
                </c:pt>
                <c:pt idx="13">
                  <c:v>12.54166666666667</c:v>
                </c:pt>
                <c:pt idx="14">
                  <c:v>13.20833333333333</c:v>
                </c:pt>
                <c:pt idx="15">
                  <c:v>12.79166666666667</c:v>
                </c:pt>
                <c:pt idx="16">
                  <c:v>12.375</c:v>
                </c:pt>
                <c:pt idx="17">
                  <c:v>11.58333333333333</c:v>
                </c:pt>
                <c:pt idx="18">
                  <c:v>10.79166666666667</c:v>
                </c:pt>
                <c:pt idx="19">
                  <c:v>10.0</c:v>
                </c:pt>
                <c:pt idx="20">
                  <c:v>9.208333333333334</c:v>
                </c:pt>
                <c:pt idx="21">
                  <c:v>8.416666666666666</c:v>
                </c:pt>
                <c:pt idx="22">
                  <c:v>8.708333333333334</c:v>
                </c:pt>
                <c:pt idx="23">
                  <c:v>9.0</c:v>
                </c:pt>
                <c:pt idx="24">
                  <c:v>9.291666666666666</c:v>
                </c:pt>
                <c:pt idx="25">
                  <c:v>9.583333333333333</c:v>
                </c:pt>
                <c:pt idx="26">
                  <c:v>9.875</c:v>
                </c:pt>
                <c:pt idx="27">
                  <c:v>10.54166666666667</c:v>
                </c:pt>
                <c:pt idx="28">
                  <c:v>11.20833333333333</c:v>
                </c:pt>
                <c:pt idx="29">
                  <c:v>11.875</c:v>
                </c:pt>
                <c:pt idx="30">
                  <c:v>12.54166666666667</c:v>
                </c:pt>
                <c:pt idx="31">
                  <c:v>13.20833333333333</c:v>
                </c:pt>
                <c:pt idx="32">
                  <c:v>12.79166666666667</c:v>
                </c:pt>
                <c:pt idx="33">
                  <c:v>12.375</c:v>
                </c:pt>
                <c:pt idx="34">
                  <c:v>11.58333333333333</c:v>
                </c:pt>
                <c:pt idx="35">
                  <c:v>10.79166666666667</c:v>
                </c:pt>
                <c:pt idx="36">
                  <c:v>10.0</c:v>
                </c:pt>
                <c:pt idx="37">
                  <c:v>9.208333333333334</c:v>
                </c:pt>
                <c:pt idx="38">
                  <c:v>8.416666666666666</c:v>
                </c:pt>
                <c:pt idx="39">
                  <c:v>8.708333333333334</c:v>
                </c:pt>
                <c:pt idx="40">
                  <c:v>9.0</c:v>
                </c:pt>
                <c:pt idx="41">
                  <c:v>9.291666666666666</c:v>
                </c:pt>
                <c:pt idx="42">
                  <c:v>9.583333333333333</c:v>
                </c:pt>
                <c:pt idx="43">
                  <c:v>9.875</c:v>
                </c:pt>
                <c:pt idx="44">
                  <c:v>10.54166666666667</c:v>
                </c:pt>
                <c:pt idx="45">
                  <c:v>11.20833333333333</c:v>
                </c:pt>
                <c:pt idx="46">
                  <c:v>11.875</c:v>
                </c:pt>
                <c:pt idx="47">
                  <c:v>12.54166666666667</c:v>
                </c:pt>
                <c:pt idx="48">
                  <c:v>13.20833333333333</c:v>
                </c:pt>
                <c:pt idx="49">
                  <c:v>12.79166666666667</c:v>
                </c:pt>
                <c:pt idx="50">
                  <c:v>12.375</c:v>
                </c:pt>
                <c:pt idx="51">
                  <c:v>11.58333333333333</c:v>
                </c:pt>
                <c:pt idx="52">
                  <c:v>10.79166666666667</c:v>
                </c:pt>
                <c:pt idx="53">
                  <c:v>10.0</c:v>
                </c:pt>
                <c:pt idx="54">
                  <c:v>9.208333333333334</c:v>
                </c:pt>
                <c:pt idx="55">
                  <c:v>8.416666666666666</c:v>
                </c:pt>
                <c:pt idx="56">
                  <c:v>8.708333333333334</c:v>
                </c:pt>
                <c:pt idx="57">
                  <c:v>9.0</c:v>
                </c:pt>
                <c:pt idx="58">
                  <c:v>9.291666666666666</c:v>
                </c:pt>
                <c:pt idx="59">
                  <c:v>9.583333333333333</c:v>
                </c:pt>
                <c:pt idx="60">
                  <c:v>9.875</c:v>
                </c:pt>
                <c:pt idx="61">
                  <c:v>10.54166666666667</c:v>
                </c:pt>
                <c:pt idx="62">
                  <c:v>11.20833333333333</c:v>
                </c:pt>
                <c:pt idx="63">
                  <c:v>11.875</c:v>
                </c:pt>
                <c:pt idx="64">
                  <c:v>12.54166666666667</c:v>
                </c:pt>
                <c:pt idx="65">
                  <c:v>13.20833333333333</c:v>
                </c:pt>
                <c:pt idx="66">
                  <c:v>12.79166666666667</c:v>
                </c:pt>
                <c:pt idx="67">
                  <c:v>12.375</c:v>
                </c:pt>
                <c:pt idx="68">
                  <c:v>11.58333333333333</c:v>
                </c:pt>
                <c:pt idx="69">
                  <c:v>10.79166666666667</c:v>
                </c:pt>
                <c:pt idx="70">
                  <c:v>10.0</c:v>
                </c:pt>
                <c:pt idx="71">
                  <c:v>9.208333333333334</c:v>
                </c:pt>
                <c:pt idx="72">
                  <c:v>8.416666666666666</c:v>
                </c:pt>
                <c:pt idx="73">
                  <c:v>8.708333333333334</c:v>
                </c:pt>
                <c:pt idx="74">
                  <c:v>9.0</c:v>
                </c:pt>
                <c:pt idx="75">
                  <c:v>9.291666666666666</c:v>
                </c:pt>
              </c:numCache>
            </c:numRef>
          </c:val>
        </c:ser>
        <c:ser>
          <c:idx val="11"/>
          <c:order val="11"/>
          <c:tx>
            <c:strRef>
              <c:f>LinearOffsetAnalysis!$AN$1</c:f>
              <c:strCache>
                <c:ptCount val="1"/>
                <c:pt idx="0">
                  <c:v>L</c:v>
                </c:pt>
              </c:strCache>
            </c:strRef>
          </c:tx>
          <c:marker>
            <c:symbol val="none"/>
          </c:marker>
          <c:val>
            <c:numRef>
              <c:f>LinearOffsetAnalysis!$AN$2:$AN$78</c:f>
              <c:numCache>
                <c:formatCode>0.0</c:formatCode>
                <c:ptCount val="77"/>
                <c:pt idx="0">
                  <c:v>10.41666666666667</c:v>
                </c:pt>
                <c:pt idx="1">
                  <c:v>9.625</c:v>
                </c:pt>
                <c:pt idx="2">
                  <c:v>8.833333333333333</c:v>
                </c:pt>
                <c:pt idx="3">
                  <c:v>8.041666666666666</c:v>
                </c:pt>
                <c:pt idx="4">
                  <c:v>8.333333333333333</c:v>
                </c:pt>
                <c:pt idx="5">
                  <c:v>8.625</c:v>
                </c:pt>
                <c:pt idx="6">
                  <c:v>8.916666666666666</c:v>
                </c:pt>
                <c:pt idx="7">
                  <c:v>9.208333333333334</c:v>
                </c:pt>
                <c:pt idx="8">
                  <c:v>9.5</c:v>
                </c:pt>
                <c:pt idx="9">
                  <c:v>9.791666666666665</c:v>
                </c:pt>
                <c:pt idx="10">
                  <c:v>10.45833333333333</c:v>
                </c:pt>
                <c:pt idx="11">
                  <c:v>11.125</c:v>
                </c:pt>
                <c:pt idx="12">
                  <c:v>11.79166666666667</c:v>
                </c:pt>
                <c:pt idx="13">
                  <c:v>12.45833333333333</c:v>
                </c:pt>
                <c:pt idx="14">
                  <c:v>12.04166666666667</c:v>
                </c:pt>
                <c:pt idx="15">
                  <c:v>11.625</c:v>
                </c:pt>
                <c:pt idx="16">
                  <c:v>11.20833333333333</c:v>
                </c:pt>
                <c:pt idx="17">
                  <c:v>10.41666666666667</c:v>
                </c:pt>
                <c:pt idx="18">
                  <c:v>9.625</c:v>
                </c:pt>
                <c:pt idx="19">
                  <c:v>8.833333333333333</c:v>
                </c:pt>
                <c:pt idx="20">
                  <c:v>8.041666666666666</c:v>
                </c:pt>
                <c:pt idx="21">
                  <c:v>8.333333333333333</c:v>
                </c:pt>
                <c:pt idx="22">
                  <c:v>8.625</c:v>
                </c:pt>
                <c:pt idx="23">
                  <c:v>8.916666666666666</c:v>
                </c:pt>
                <c:pt idx="24">
                  <c:v>9.208333333333334</c:v>
                </c:pt>
                <c:pt idx="25">
                  <c:v>9.5</c:v>
                </c:pt>
                <c:pt idx="26">
                  <c:v>9.791666666666665</c:v>
                </c:pt>
                <c:pt idx="27">
                  <c:v>10.45833333333333</c:v>
                </c:pt>
                <c:pt idx="28">
                  <c:v>11.125</c:v>
                </c:pt>
                <c:pt idx="29">
                  <c:v>11.79166666666667</c:v>
                </c:pt>
                <c:pt idx="30">
                  <c:v>12.45833333333333</c:v>
                </c:pt>
                <c:pt idx="31">
                  <c:v>12.04166666666667</c:v>
                </c:pt>
                <c:pt idx="32">
                  <c:v>11.625</c:v>
                </c:pt>
                <c:pt idx="33">
                  <c:v>11.20833333333333</c:v>
                </c:pt>
                <c:pt idx="34">
                  <c:v>10.41666666666667</c:v>
                </c:pt>
                <c:pt idx="35">
                  <c:v>9.625</c:v>
                </c:pt>
                <c:pt idx="36">
                  <c:v>8.833333333333333</c:v>
                </c:pt>
                <c:pt idx="37">
                  <c:v>8.041666666666666</c:v>
                </c:pt>
                <c:pt idx="38">
                  <c:v>8.333333333333333</c:v>
                </c:pt>
                <c:pt idx="39">
                  <c:v>8.625</c:v>
                </c:pt>
                <c:pt idx="40">
                  <c:v>8.916666666666666</c:v>
                </c:pt>
                <c:pt idx="41">
                  <c:v>9.208333333333334</c:v>
                </c:pt>
                <c:pt idx="42">
                  <c:v>9.5</c:v>
                </c:pt>
                <c:pt idx="43">
                  <c:v>9.791666666666665</c:v>
                </c:pt>
                <c:pt idx="44">
                  <c:v>10.45833333333333</c:v>
                </c:pt>
                <c:pt idx="45">
                  <c:v>11.125</c:v>
                </c:pt>
                <c:pt idx="46">
                  <c:v>11.79166666666667</c:v>
                </c:pt>
                <c:pt idx="47">
                  <c:v>12.45833333333333</c:v>
                </c:pt>
                <c:pt idx="48">
                  <c:v>12.04166666666667</c:v>
                </c:pt>
                <c:pt idx="49">
                  <c:v>11.625</c:v>
                </c:pt>
                <c:pt idx="50">
                  <c:v>11.20833333333333</c:v>
                </c:pt>
                <c:pt idx="51">
                  <c:v>10.41666666666667</c:v>
                </c:pt>
                <c:pt idx="52">
                  <c:v>9.625</c:v>
                </c:pt>
                <c:pt idx="53">
                  <c:v>8.833333333333333</c:v>
                </c:pt>
                <c:pt idx="54">
                  <c:v>8.041666666666666</c:v>
                </c:pt>
                <c:pt idx="55">
                  <c:v>8.333333333333333</c:v>
                </c:pt>
                <c:pt idx="56">
                  <c:v>8.625</c:v>
                </c:pt>
                <c:pt idx="57">
                  <c:v>8.916666666666666</c:v>
                </c:pt>
                <c:pt idx="58">
                  <c:v>9.208333333333334</c:v>
                </c:pt>
                <c:pt idx="59">
                  <c:v>9.5</c:v>
                </c:pt>
                <c:pt idx="60">
                  <c:v>9.791666666666665</c:v>
                </c:pt>
                <c:pt idx="61">
                  <c:v>10.45833333333333</c:v>
                </c:pt>
                <c:pt idx="62">
                  <c:v>11.125</c:v>
                </c:pt>
                <c:pt idx="63">
                  <c:v>11.79166666666667</c:v>
                </c:pt>
                <c:pt idx="64">
                  <c:v>12.45833333333333</c:v>
                </c:pt>
                <c:pt idx="65">
                  <c:v>12.04166666666667</c:v>
                </c:pt>
                <c:pt idx="66">
                  <c:v>11.625</c:v>
                </c:pt>
                <c:pt idx="67">
                  <c:v>11.20833333333333</c:v>
                </c:pt>
                <c:pt idx="68">
                  <c:v>10.41666666666667</c:v>
                </c:pt>
                <c:pt idx="69">
                  <c:v>9.625</c:v>
                </c:pt>
                <c:pt idx="70">
                  <c:v>8.833333333333333</c:v>
                </c:pt>
                <c:pt idx="71">
                  <c:v>8.041666666666666</c:v>
                </c:pt>
                <c:pt idx="72">
                  <c:v>8.333333333333333</c:v>
                </c:pt>
                <c:pt idx="73">
                  <c:v>8.625</c:v>
                </c:pt>
                <c:pt idx="74">
                  <c:v>8.916666666666666</c:v>
                </c:pt>
                <c:pt idx="75">
                  <c:v>9.208333333333334</c:v>
                </c:pt>
              </c:numCache>
            </c:numRef>
          </c:val>
        </c:ser>
        <c:ser>
          <c:idx val="12"/>
          <c:order val="12"/>
          <c:tx>
            <c:strRef>
              <c:f>LinearOffsetAnalysis!$AO$1</c:f>
              <c:strCache>
                <c:ptCount val="1"/>
                <c:pt idx="0">
                  <c:v>M</c:v>
                </c:pt>
              </c:strCache>
            </c:strRef>
          </c:tx>
          <c:marker>
            <c:symbol val="none"/>
          </c:marker>
          <c:val>
            <c:numRef>
              <c:f>LinearOffsetAnalysis!$AO$2:$AO$78</c:f>
              <c:numCache>
                <c:formatCode>0.0</c:formatCode>
                <c:ptCount val="77"/>
                <c:pt idx="0">
                  <c:v>9.25</c:v>
                </c:pt>
                <c:pt idx="1">
                  <c:v>8.458333333333333</c:v>
                </c:pt>
                <c:pt idx="2">
                  <c:v>7.666666666666667</c:v>
                </c:pt>
                <c:pt idx="3">
                  <c:v>7.958333333333333</c:v>
                </c:pt>
                <c:pt idx="4">
                  <c:v>8.25</c:v>
                </c:pt>
                <c:pt idx="5">
                  <c:v>8.541666666666666</c:v>
                </c:pt>
                <c:pt idx="6">
                  <c:v>8.833333333333333</c:v>
                </c:pt>
                <c:pt idx="7">
                  <c:v>9.125</c:v>
                </c:pt>
                <c:pt idx="8">
                  <c:v>9.416666666666666</c:v>
                </c:pt>
                <c:pt idx="9">
                  <c:v>9.708333333333334</c:v>
                </c:pt>
                <c:pt idx="10">
                  <c:v>10.375</c:v>
                </c:pt>
                <c:pt idx="11">
                  <c:v>11.04166666666667</c:v>
                </c:pt>
                <c:pt idx="12">
                  <c:v>11.70833333333333</c:v>
                </c:pt>
                <c:pt idx="13">
                  <c:v>11.29166666666667</c:v>
                </c:pt>
                <c:pt idx="14">
                  <c:v>10.875</c:v>
                </c:pt>
                <c:pt idx="15">
                  <c:v>10.45833333333333</c:v>
                </c:pt>
                <c:pt idx="16">
                  <c:v>10.04166666666667</c:v>
                </c:pt>
                <c:pt idx="17">
                  <c:v>9.25</c:v>
                </c:pt>
                <c:pt idx="18">
                  <c:v>8.458333333333333</c:v>
                </c:pt>
                <c:pt idx="19">
                  <c:v>7.666666666666667</c:v>
                </c:pt>
                <c:pt idx="20">
                  <c:v>7.958333333333333</c:v>
                </c:pt>
                <c:pt idx="21">
                  <c:v>8.25</c:v>
                </c:pt>
                <c:pt idx="22">
                  <c:v>8.541666666666666</c:v>
                </c:pt>
                <c:pt idx="23">
                  <c:v>8.833333333333333</c:v>
                </c:pt>
                <c:pt idx="24">
                  <c:v>9.125</c:v>
                </c:pt>
                <c:pt idx="25">
                  <c:v>9.416666666666666</c:v>
                </c:pt>
                <c:pt idx="26">
                  <c:v>9.708333333333334</c:v>
                </c:pt>
                <c:pt idx="27">
                  <c:v>10.375</c:v>
                </c:pt>
                <c:pt idx="28">
                  <c:v>11.04166666666667</c:v>
                </c:pt>
                <c:pt idx="29">
                  <c:v>11.70833333333333</c:v>
                </c:pt>
                <c:pt idx="30">
                  <c:v>11.29166666666667</c:v>
                </c:pt>
                <c:pt idx="31">
                  <c:v>10.875</c:v>
                </c:pt>
                <c:pt idx="32">
                  <c:v>10.45833333333333</c:v>
                </c:pt>
                <c:pt idx="33">
                  <c:v>10.04166666666667</c:v>
                </c:pt>
                <c:pt idx="34">
                  <c:v>9.25</c:v>
                </c:pt>
                <c:pt idx="35">
                  <c:v>8.458333333333333</c:v>
                </c:pt>
                <c:pt idx="36">
                  <c:v>7.666666666666667</c:v>
                </c:pt>
                <c:pt idx="37">
                  <c:v>7.958333333333333</c:v>
                </c:pt>
                <c:pt idx="38">
                  <c:v>8.25</c:v>
                </c:pt>
                <c:pt idx="39">
                  <c:v>8.541666666666666</c:v>
                </c:pt>
                <c:pt idx="40">
                  <c:v>8.833333333333333</c:v>
                </c:pt>
                <c:pt idx="41">
                  <c:v>9.125</c:v>
                </c:pt>
                <c:pt idx="42">
                  <c:v>9.416666666666666</c:v>
                </c:pt>
                <c:pt idx="43">
                  <c:v>9.708333333333334</c:v>
                </c:pt>
                <c:pt idx="44">
                  <c:v>10.375</c:v>
                </c:pt>
                <c:pt idx="45">
                  <c:v>11.04166666666667</c:v>
                </c:pt>
                <c:pt idx="46">
                  <c:v>11.70833333333333</c:v>
                </c:pt>
                <c:pt idx="47">
                  <c:v>11.29166666666667</c:v>
                </c:pt>
                <c:pt idx="48">
                  <c:v>10.875</c:v>
                </c:pt>
                <c:pt idx="49">
                  <c:v>10.45833333333333</c:v>
                </c:pt>
                <c:pt idx="50">
                  <c:v>10.04166666666667</c:v>
                </c:pt>
                <c:pt idx="51">
                  <c:v>9.25</c:v>
                </c:pt>
                <c:pt idx="52">
                  <c:v>8.458333333333333</c:v>
                </c:pt>
                <c:pt idx="53">
                  <c:v>7.666666666666667</c:v>
                </c:pt>
                <c:pt idx="54">
                  <c:v>7.958333333333333</c:v>
                </c:pt>
                <c:pt idx="55">
                  <c:v>8.25</c:v>
                </c:pt>
                <c:pt idx="56">
                  <c:v>8.541666666666666</c:v>
                </c:pt>
                <c:pt idx="57">
                  <c:v>8.833333333333333</c:v>
                </c:pt>
                <c:pt idx="58">
                  <c:v>9.125</c:v>
                </c:pt>
                <c:pt idx="59">
                  <c:v>9.416666666666666</c:v>
                </c:pt>
                <c:pt idx="60">
                  <c:v>9.708333333333334</c:v>
                </c:pt>
                <c:pt idx="61">
                  <c:v>10.375</c:v>
                </c:pt>
                <c:pt idx="62">
                  <c:v>11.04166666666667</c:v>
                </c:pt>
                <c:pt idx="63">
                  <c:v>11.70833333333333</c:v>
                </c:pt>
                <c:pt idx="64">
                  <c:v>11.29166666666667</c:v>
                </c:pt>
                <c:pt idx="65">
                  <c:v>10.875</c:v>
                </c:pt>
                <c:pt idx="66">
                  <c:v>10.45833333333333</c:v>
                </c:pt>
                <c:pt idx="67">
                  <c:v>10.04166666666667</c:v>
                </c:pt>
                <c:pt idx="68">
                  <c:v>9.25</c:v>
                </c:pt>
                <c:pt idx="69">
                  <c:v>8.458333333333333</c:v>
                </c:pt>
                <c:pt idx="70">
                  <c:v>7.666666666666667</c:v>
                </c:pt>
                <c:pt idx="71">
                  <c:v>7.958333333333333</c:v>
                </c:pt>
                <c:pt idx="72">
                  <c:v>8.25</c:v>
                </c:pt>
                <c:pt idx="73">
                  <c:v>8.541666666666666</c:v>
                </c:pt>
                <c:pt idx="74">
                  <c:v>8.833333333333333</c:v>
                </c:pt>
                <c:pt idx="75">
                  <c:v>9.125</c:v>
                </c:pt>
              </c:numCache>
            </c:numRef>
          </c:val>
        </c:ser>
        <c:ser>
          <c:idx val="13"/>
          <c:order val="13"/>
          <c:tx>
            <c:strRef>
              <c:f>LinearOffsetAnalysis!$AP$1</c:f>
              <c:strCache>
                <c:ptCount val="1"/>
                <c:pt idx="0">
                  <c:v>N</c:v>
                </c:pt>
              </c:strCache>
            </c:strRef>
          </c:tx>
          <c:marker>
            <c:symbol val="none"/>
          </c:marker>
          <c:val>
            <c:numRef>
              <c:f>LinearOffsetAnalysis!$AP$2:$AP$78</c:f>
              <c:numCache>
                <c:formatCode>0.0</c:formatCode>
                <c:ptCount val="77"/>
                <c:pt idx="0">
                  <c:v>8.083333333333333</c:v>
                </c:pt>
                <c:pt idx="1">
                  <c:v>7.291666666666666</c:v>
                </c:pt>
                <c:pt idx="2">
                  <c:v>7.583333333333333</c:v>
                </c:pt>
                <c:pt idx="3">
                  <c:v>7.875</c:v>
                </c:pt>
                <c:pt idx="4">
                  <c:v>8.166666666666666</c:v>
                </c:pt>
                <c:pt idx="5">
                  <c:v>8.458333333333333</c:v>
                </c:pt>
                <c:pt idx="6">
                  <c:v>8.75</c:v>
                </c:pt>
                <c:pt idx="7">
                  <c:v>9.041666666666666</c:v>
                </c:pt>
                <c:pt idx="8">
                  <c:v>9.333333333333333</c:v>
                </c:pt>
                <c:pt idx="9">
                  <c:v>9.625</c:v>
                </c:pt>
                <c:pt idx="10">
                  <c:v>10.29166666666667</c:v>
                </c:pt>
                <c:pt idx="11">
                  <c:v>10.95833333333333</c:v>
                </c:pt>
                <c:pt idx="12">
                  <c:v>10.54166666666667</c:v>
                </c:pt>
                <c:pt idx="13">
                  <c:v>10.125</c:v>
                </c:pt>
                <c:pt idx="14">
                  <c:v>9.708333333333334</c:v>
                </c:pt>
                <c:pt idx="15">
                  <c:v>9.291666666666666</c:v>
                </c:pt>
                <c:pt idx="16">
                  <c:v>8.875</c:v>
                </c:pt>
                <c:pt idx="17">
                  <c:v>8.083333333333333</c:v>
                </c:pt>
                <c:pt idx="18">
                  <c:v>7.291666666666666</c:v>
                </c:pt>
                <c:pt idx="19">
                  <c:v>7.583333333333333</c:v>
                </c:pt>
                <c:pt idx="20">
                  <c:v>7.875</c:v>
                </c:pt>
                <c:pt idx="21">
                  <c:v>8.166666666666666</c:v>
                </c:pt>
                <c:pt idx="22">
                  <c:v>8.458333333333333</c:v>
                </c:pt>
                <c:pt idx="23">
                  <c:v>8.75</c:v>
                </c:pt>
                <c:pt idx="24">
                  <c:v>9.041666666666666</c:v>
                </c:pt>
                <c:pt idx="25">
                  <c:v>9.333333333333333</c:v>
                </c:pt>
                <c:pt idx="26">
                  <c:v>9.625</c:v>
                </c:pt>
                <c:pt idx="27">
                  <c:v>10.29166666666667</c:v>
                </c:pt>
                <c:pt idx="28">
                  <c:v>10.95833333333333</c:v>
                </c:pt>
                <c:pt idx="29">
                  <c:v>10.54166666666667</c:v>
                </c:pt>
                <c:pt idx="30">
                  <c:v>10.125</c:v>
                </c:pt>
                <c:pt idx="31">
                  <c:v>9.708333333333334</c:v>
                </c:pt>
                <c:pt idx="32">
                  <c:v>9.291666666666666</c:v>
                </c:pt>
                <c:pt idx="33">
                  <c:v>8.875</c:v>
                </c:pt>
                <c:pt idx="34">
                  <c:v>8.083333333333333</c:v>
                </c:pt>
                <c:pt idx="35">
                  <c:v>7.291666666666666</c:v>
                </c:pt>
                <c:pt idx="36">
                  <c:v>7.583333333333333</c:v>
                </c:pt>
                <c:pt idx="37">
                  <c:v>7.875</c:v>
                </c:pt>
                <c:pt idx="38">
                  <c:v>8.166666666666666</c:v>
                </c:pt>
                <c:pt idx="39">
                  <c:v>8.458333333333333</c:v>
                </c:pt>
                <c:pt idx="40">
                  <c:v>8.75</c:v>
                </c:pt>
                <c:pt idx="41">
                  <c:v>9.041666666666666</c:v>
                </c:pt>
                <c:pt idx="42">
                  <c:v>9.333333333333333</c:v>
                </c:pt>
                <c:pt idx="43">
                  <c:v>9.625</c:v>
                </c:pt>
                <c:pt idx="44">
                  <c:v>10.29166666666667</c:v>
                </c:pt>
                <c:pt idx="45">
                  <c:v>10.95833333333333</c:v>
                </c:pt>
                <c:pt idx="46">
                  <c:v>10.54166666666667</c:v>
                </c:pt>
                <c:pt idx="47">
                  <c:v>10.125</c:v>
                </c:pt>
                <c:pt idx="48">
                  <c:v>9.708333333333334</c:v>
                </c:pt>
                <c:pt idx="49">
                  <c:v>9.291666666666666</c:v>
                </c:pt>
                <c:pt idx="50">
                  <c:v>8.875</c:v>
                </c:pt>
                <c:pt idx="51">
                  <c:v>8.083333333333333</c:v>
                </c:pt>
                <c:pt idx="52">
                  <c:v>7.291666666666666</c:v>
                </c:pt>
                <c:pt idx="53">
                  <c:v>7.583333333333333</c:v>
                </c:pt>
                <c:pt idx="54">
                  <c:v>7.875</c:v>
                </c:pt>
                <c:pt idx="55">
                  <c:v>8.166666666666666</c:v>
                </c:pt>
                <c:pt idx="56">
                  <c:v>8.458333333333333</c:v>
                </c:pt>
                <c:pt idx="57">
                  <c:v>8.75</c:v>
                </c:pt>
                <c:pt idx="58">
                  <c:v>9.041666666666666</c:v>
                </c:pt>
                <c:pt idx="59">
                  <c:v>9.333333333333333</c:v>
                </c:pt>
                <c:pt idx="60">
                  <c:v>9.625</c:v>
                </c:pt>
                <c:pt idx="61">
                  <c:v>10.29166666666667</c:v>
                </c:pt>
                <c:pt idx="62">
                  <c:v>10.95833333333333</c:v>
                </c:pt>
                <c:pt idx="63">
                  <c:v>10.54166666666667</c:v>
                </c:pt>
                <c:pt idx="64">
                  <c:v>10.125</c:v>
                </c:pt>
                <c:pt idx="65">
                  <c:v>9.708333333333334</c:v>
                </c:pt>
                <c:pt idx="66">
                  <c:v>9.291666666666666</c:v>
                </c:pt>
                <c:pt idx="67">
                  <c:v>8.875</c:v>
                </c:pt>
                <c:pt idx="68">
                  <c:v>8.083333333333333</c:v>
                </c:pt>
                <c:pt idx="69">
                  <c:v>7.291666666666666</c:v>
                </c:pt>
                <c:pt idx="70">
                  <c:v>7.583333333333333</c:v>
                </c:pt>
                <c:pt idx="71">
                  <c:v>7.875</c:v>
                </c:pt>
                <c:pt idx="72">
                  <c:v>8.166666666666666</c:v>
                </c:pt>
                <c:pt idx="73">
                  <c:v>8.458333333333333</c:v>
                </c:pt>
                <c:pt idx="74">
                  <c:v>8.75</c:v>
                </c:pt>
                <c:pt idx="75">
                  <c:v>9.041666666666666</c:v>
                </c:pt>
              </c:numCache>
            </c:numRef>
          </c:val>
        </c:ser>
        <c:ser>
          <c:idx val="14"/>
          <c:order val="14"/>
          <c:tx>
            <c:strRef>
              <c:f>LinearOffsetAnalysis!$AQ$1</c:f>
              <c:strCache>
                <c:ptCount val="1"/>
                <c:pt idx="0">
                  <c:v>O</c:v>
                </c:pt>
              </c:strCache>
            </c:strRef>
          </c:tx>
          <c:marker>
            <c:symbol val="none"/>
          </c:marker>
          <c:val>
            <c:numRef>
              <c:f>LinearOffsetAnalysis!$AQ$2:$AQ$78</c:f>
              <c:numCache>
                <c:formatCode>0.0</c:formatCode>
                <c:ptCount val="77"/>
                <c:pt idx="0">
                  <c:v>6.916666666666666</c:v>
                </c:pt>
                <c:pt idx="1">
                  <c:v>7.208333333333333</c:v>
                </c:pt>
                <c:pt idx="2">
                  <c:v>7.5</c:v>
                </c:pt>
                <c:pt idx="3">
                  <c:v>7.791666666666666</c:v>
                </c:pt>
                <c:pt idx="4">
                  <c:v>8.083333333333333</c:v>
                </c:pt>
                <c:pt idx="5">
                  <c:v>8.375</c:v>
                </c:pt>
                <c:pt idx="6">
                  <c:v>8.666666666666665</c:v>
                </c:pt>
                <c:pt idx="7">
                  <c:v>8.958333333333333</c:v>
                </c:pt>
                <c:pt idx="8">
                  <c:v>9.25</c:v>
                </c:pt>
                <c:pt idx="9">
                  <c:v>9.541666666666666</c:v>
                </c:pt>
                <c:pt idx="10">
                  <c:v>10.20833333333333</c:v>
                </c:pt>
                <c:pt idx="11">
                  <c:v>9.791666666666665</c:v>
                </c:pt>
                <c:pt idx="12">
                  <c:v>9.375</c:v>
                </c:pt>
                <c:pt idx="13">
                  <c:v>8.958333333333333</c:v>
                </c:pt>
                <c:pt idx="14">
                  <c:v>8.541666666666666</c:v>
                </c:pt>
                <c:pt idx="15">
                  <c:v>8.125</c:v>
                </c:pt>
                <c:pt idx="16">
                  <c:v>7.708333333333332</c:v>
                </c:pt>
                <c:pt idx="17">
                  <c:v>6.916666666666666</c:v>
                </c:pt>
                <c:pt idx="18">
                  <c:v>7.208333333333333</c:v>
                </c:pt>
                <c:pt idx="19">
                  <c:v>7.5</c:v>
                </c:pt>
                <c:pt idx="20">
                  <c:v>7.791666666666666</c:v>
                </c:pt>
                <c:pt idx="21">
                  <c:v>8.083333333333333</c:v>
                </c:pt>
                <c:pt idx="22">
                  <c:v>8.375</c:v>
                </c:pt>
                <c:pt idx="23">
                  <c:v>8.666666666666665</c:v>
                </c:pt>
                <c:pt idx="24">
                  <c:v>8.958333333333333</c:v>
                </c:pt>
                <c:pt idx="25">
                  <c:v>9.25</c:v>
                </c:pt>
                <c:pt idx="26">
                  <c:v>9.541666666666666</c:v>
                </c:pt>
                <c:pt idx="27">
                  <c:v>10.20833333333333</c:v>
                </c:pt>
                <c:pt idx="28">
                  <c:v>9.791666666666665</c:v>
                </c:pt>
                <c:pt idx="29">
                  <c:v>9.375</c:v>
                </c:pt>
                <c:pt idx="30">
                  <c:v>8.958333333333333</c:v>
                </c:pt>
                <c:pt idx="31">
                  <c:v>8.541666666666666</c:v>
                </c:pt>
                <c:pt idx="32">
                  <c:v>8.125</c:v>
                </c:pt>
                <c:pt idx="33">
                  <c:v>7.708333333333332</c:v>
                </c:pt>
                <c:pt idx="34">
                  <c:v>6.916666666666666</c:v>
                </c:pt>
                <c:pt idx="35">
                  <c:v>7.208333333333333</c:v>
                </c:pt>
                <c:pt idx="36">
                  <c:v>7.5</c:v>
                </c:pt>
                <c:pt idx="37">
                  <c:v>7.791666666666666</c:v>
                </c:pt>
                <c:pt idx="38">
                  <c:v>8.083333333333333</c:v>
                </c:pt>
                <c:pt idx="39">
                  <c:v>8.375</c:v>
                </c:pt>
                <c:pt idx="40">
                  <c:v>8.666666666666665</c:v>
                </c:pt>
                <c:pt idx="41">
                  <c:v>8.958333333333333</c:v>
                </c:pt>
                <c:pt idx="42">
                  <c:v>9.25</c:v>
                </c:pt>
                <c:pt idx="43">
                  <c:v>9.541666666666666</c:v>
                </c:pt>
                <c:pt idx="44">
                  <c:v>10.20833333333333</c:v>
                </c:pt>
                <c:pt idx="45">
                  <c:v>9.791666666666665</c:v>
                </c:pt>
                <c:pt idx="46">
                  <c:v>9.375</c:v>
                </c:pt>
                <c:pt idx="47">
                  <c:v>8.958333333333333</c:v>
                </c:pt>
                <c:pt idx="48">
                  <c:v>8.541666666666666</c:v>
                </c:pt>
                <c:pt idx="49">
                  <c:v>8.125</c:v>
                </c:pt>
                <c:pt idx="50">
                  <c:v>7.708333333333332</c:v>
                </c:pt>
                <c:pt idx="51">
                  <c:v>6.916666666666666</c:v>
                </c:pt>
                <c:pt idx="52">
                  <c:v>7.208333333333333</c:v>
                </c:pt>
                <c:pt idx="53">
                  <c:v>7.5</c:v>
                </c:pt>
                <c:pt idx="54">
                  <c:v>7.791666666666666</c:v>
                </c:pt>
                <c:pt idx="55">
                  <c:v>8.083333333333333</c:v>
                </c:pt>
                <c:pt idx="56">
                  <c:v>8.375</c:v>
                </c:pt>
                <c:pt idx="57">
                  <c:v>8.666666666666665</c:v>
                </c:pt>
                <c:pt idx="58">
                  <c:v>8.958333333333333</c:v>
                </c:pt>
                <c:pt idx="59">
                  <c:v>9.25</c:v>
                </c:pt>
                <c:pt idx="60">
                  <c:v>9.541666666666666</c:v>
                </c:pt>
                <c:pt idx="61">
                  <c:v>10.20833333333333</c:v>
                </c:pt>
                <c:pt idx="62">
                  <c:v>9.791666666666665</c:v>
                </c:pt>
                <c:pt idx="63">
                  <c:v>9.375</c:v>
                </c:pt>
                <c:pt idx="64">
                  <c:v>8.958333333333333</c:v>
                </c:pt>
                <c:pt idx="65">
                  <c:v>8.541666666666666</c:v>
                </c:pt>
                <c:pt idx="66">
                  <c:v>8.125</c:v>
                </c:pt>
                <c:pt idx="67">
                  <c:v>7.708333333333332</c:v>
                </c:pt>
                <c:pt idx="68">
                  <c:v>6.916666666666666</c:v>
                </c:pt>
                <c:pt idx="69">
                  <c:v>7.208333333333333</c:v>
                </c:pt>
                <c:pt idx="70">
                  <c:v>7.5</c:v>
                </c:pt>
                <c:pt idx="71">
                  <c:v>7.791666666666666</c:v>
                </c:pt>
                <c:pt idx="72">
                  <c:v>8.083333333333333</c:v>
                </c:pt>
                <c:pt idx="73">
                  <c:v>8.375</c:v>
                </c:pt>
                <c:pt idx="74">
                  <c:v>8.666666666666665</c:v>
                </c:pt>
                <c:pt idx="75">
                  <c:v>8.958333333333333</c:v>
                </c:pt>
              </c:numCache>
            </c:numRef>
          </c:val>
        </c:ser>
        <c:ser>
          <c:idx val="15"/>
          <c:order val="15"/>
          <c:tx>
            <c:strRef>
              <c:f>LinearOffsetAnalysis!$AR$1</c:f>
              <c:strCache>
                <c:ptCount val="1"/>
                <c:pt idx="0">
                  <c:v>P</c:v>
                </c:pt>
              </c:strCache>
            </c:strRef>
          </c:tx>
          <c:marker>
            <c:symbol val="none"/>
          </c:marker>
          <c:val>
            <c:numRef>
              <c:f>LinearOffsetAnalysis!$AR$2:$AR$78</c:f>
              <c:numCache>
                <c:formatCode>0.0</c:formatCode>
                <c:ptCount val="77"/>
                <c:pt idx="0">
                  <c:v>6.833333333333332</c:v>
                </c:pt>
                <c:pt idx="1">
                  <c:v>7.125</c:v>
                </c:pt>
                <c:pt idx="2">
                  <c:v>7.416666666666666</c:v>
                </c:pt>
                <c:pt idx="3">
                  <c:v>7.708333333333332</c:v>
                </c:pt>
                <c:pt idx="4">
                  <c:v>8.0</c:v>
                </c:pt>
                <c:pt idx="5">
                  <c:v>8.291666666666666</c:v>
                </c:pt>
                <c:pt idx="6">
                  <c:v>8.583333333333333</c:v>
                </c:pt>
                <c:pt idx="7">
                  <c:v>8.875</c:v>
                </c:pt>
                <c:pt idx="8">
                  <c:v>9.166666666666666</c:v>
                </c:pt>
                <c:pt idx="9">
                  <c:v>9.458333333333333</c:v>
                </c:pt>
                <c:pt idx="10">
                  <c:v>9.041666666666666</c:v>
                </c:pt>
                <c:pt idx="11">
                  <c:v>8.625</c:v>
                </c:pt>
                <c:pt idx="12">
                  <c:v>8.208333333333334</c:v>
                </c:pt>
                <c:pt idx="13">
                  <c:v>7.791666666666666</c:v>
                </c:pt>
                <c:pt idx="14">
                  <c:v>7.375</c:v>
                </c:pt>
                <c:pt idx="15">
                  <c:v>6.958333333333333</c:v>
                </c:pt>
                <c:pt idx="16">
                  <c:v>6.541666666666666</c:v>
                </c:pt>
                <c:pt idx="17">
                  <c:v>6.833333333333332</c:v>
                </c:pt>
                <c:pt idx="18">
                  <c:v>7.125</c:v>
                </c:pt>
                <c:pt idx="19">
                  <c:v>7.416666666666666</c:v>
                </c:pt>
                <c:pt idx="20">
                  <c:v>7.708333333333332</c:v>
                </c:pt>
                <c:pt idx="21">
                  <c:v>8.0</c:v>
                </c:pt>
                <c:pt idx="22">
                  <c:v>8.291666666666666</c:v>
                </c:pt>
                <c:pt idx="23">
                  <c:v>8.583333333333333</c:v>
                </c:pt>
                <c:pt idx="24">
                  <c:v>8.875</c:v>
                </c:pt>
                <c:pt idx="25">
                  <c:v>9.166666666666666</c:v>
                </c:pt>
                <c:pt idx="26">
                  <c:v>9.458333333333333</c:v>
                </c:pt>
                <c:pt idx="27">
                  <c:v>9.041666666666666</c:v>
                </c:pt>
                <c:pt idx="28">
                  <c:v>8.625</c:v>
                </c:pt>
                <c:pt idx="29">
                  <c:v>8.208333333333334</c:v>
                </c:pt>
                <c:pt idx="30">
                  <c:v>7.791666666666666</c:v>
                </c:pt>
                <c:pt idx="31">
                  <c:v>7.375</c:v>
                </c:pt>
                <c:pt idx="32">
                  <c:v>6.958333333333333</c:v>
                </c:pt>
                <c:pt idx="33">
                  <c:v>6.541666666666666</c:v>
                </c:pt>
                <c:pt idx="34">
                  <c:v>6.833333333333332</c:v>
                </c:pt>
                <c:pt idx="35">
                  <c:v>7.125</c:v>
                </c:pt>
                <c:pt idx="36">
                  <c:v>7.416666666666666</c:v>
                </c:pt>
                <c:pt idx="37">
                  <c:v>7.708333333333332</c:v>
                </c:pt>
                <c:pt idx="38">
                  <c:v>8.0</c:v>
                </c:pt>
                <c:pt idx="39">
                  <c:v>8.291666666666666</c:v>
                </c:pt>
                <c:pt idx="40">
                  <c:v>8.583333333333333</c:v>
                </c:pt>
                <c:pt idx="41">
                  <c:v>8.875</c:v>
                </c:pt>
                <c:pt idx="42">
                  <c:v>9.166666666666666</c:v>
                </c:pt>
                <c:pt idx="43">
                  <c:v>9.458333333333333</c:v>
                </c:pt>
                <c:pt idx="44">
                  <c:v>9.041666666666666</c:v>
                </c:pt>
                <c:pt idx="45">
                  <c:v>8.625</c:v>
                </c:pt>
                <c:pt idx="46">
                  <c:v>8.208333333333334</c:v>
                </c:pt>
                <c:pt idx="47">
                  <c:v>7.791666666666666</c:v>
                </c:pt>
                <c:pt idx="48">
                  <c:v>7.375</c:v>
                </c:pt>
                <c:pt idx="49">
                  <c:v>6.958333333333333</c:v>
                </c:pt>
                <c:pt idx="50">
                  <c:v>6.541666666666666</c:v>
                </c:pt>
                <c:pt idx="51">
                  <c:v>6.833333333333332</c:v>
                </c:pt>
                <c:pt idx="52">
                  <c:v>7.125</c:v>
                </c:pt>
                <c:pt idx="53">
                  <c:v>7.416666666666666</c:v>
                </c:pt>
                <c:pt idx="54">
                  <c:v>7.708333333333332</c:v>
                </c:pt>
                <c:pt idx="55">
                  <c:v>8.0</c:v>
                </c:pt>
                <c:pt idx="56">
                  <c:v>8.291666666666666</c:v>
                </c:pt>
                <c:pt idx="57">
                  <c:v>8.583333333333333</c:v>
                </c:pt>
                <c:pt idx="58">
                  <c:v>8.875</c:v>
                </c:pt>
                <c:pt idx="59">
                  <c:v>9.166666666666666</c:v>
                </c:pt>
                <c:pt idx="60">
                  <c:v>9.458333333333333</c:v>
                </c:pt>
                <c:pt idx="61">
                  <c:v>9.041666666666666</c:v>
                </c:pt>
                <c:pt idx="62">
                  <c:v>8.625</c:v>
                </c:pt>
                <c:pt idx="63">
                  <c:v>8.208333333333334</c:v>
                </c:pt>
                <c:pt idx="64">
                  <c:v>7.791666666666666</c:v>
                </c:pt>
                <c:pt idx="65">
                  <c:v>7.375</c:v>
                </c:pt>
                <c:pt idx="66">
                  <c:v>6.958333333333333</c:v>
                </c:pt>
                <c:pt idx="67">
                  <c:v>6.541666666666666</c:v>
                </c:pt>
                <c:pt idx="68">
                  <c:v>6.833333333333332</c:v>
                </c:pt>
                <c:pt idx="69">
                  <c:v>7.125</c:v>
                </c:pt>
                <c:pt idx="70">
                  <c:v>7.416666666666666</c:v>
                </c:pt>
                <c:pt idx="71">
                  <c:v>7.708333333333332</c:v>
                </c:pt>
                <c:pt idx="72">
                  <c:v>8.0</c:v>
                </c:pt>
                <c:pt idx="73">
                  <c:v>8.291666666666666</c:v>
                </c:pt>
                <c:pt idx="74">
                  <c:v>8.583333333333333</c:v>
                </c:pt>
                <c:pt idx="75">
                  <c:v>8.875</c:v>
                </c:pt>
              </c:numCache>
            </c:numRef>
          </c:val>
        </c:ser>
        <c:ser>
          <c:idx val="16"/>
          <c:order val="16"/>
          <c:tx>
            <c:strRef>
              <c:f>LinearOffsetAnalysis!$AS$1</c:f>
              <c:strCache>
                <c:ptCount val="1"/>
                <c:pt idx="0">
                  <c:v>Q</c:v>
                </c:pt>
              </c:strCache>
            </c:strRef>
          </c:tx>
          <c:marker>
            <c:symbol val="none"/>
          </c:marker>
          <c:val>
            <c:numRef>
              <c:f>LinearOffsetAnalysis!$AS$2:$AS$78</c:f>
              <c:numCache>
                <c:formatCode>0.0</c:formatCode>
                <c:ptCount val="77"/>
                <c:pt idx="0">
                  <c:v>7.833333333333332</c:v>
                </c:pt>
                <c:pt idx="1">
                  <c:v>8.125</c:v>
                </c:pt>
                <c:pt idx="2">
                  <c:v>8.416666666666666</c:v>
                </c:pt>
                <c:pt idx="3">
                  <c:v>8.708333333333334</c:v>
                </c:pt>
                <c:pt idx="4">
                  <c:v>9.0</c:v>
                </c:pt>
                <c:pt idx="5">
                  <c:v>9.291666666666666</c:v>
                </c:pt>
                <c:pt idx="6">
                  <c:v>9.583333333333333</c:v>
                </c:pt>
                <c:pt idx="7">
                  <c:v>9.875</c:v>
                </c:pt>
                <c:pt idx="8">
                  <c:v>10.16666666666667</c:v>
                </c:pt>
                <c:pt idx="9">
                  <c:v>10.45833333333333</c:v>
                </c:pt>
                <c:pt idx="10">
                  <c:v>10.04166666666667</c:v>
                </c:pt>
                <c:pt idx="11">
                  <c:v>9.625</c:v>
                </c:pt>
                <c:pt idx="12">
                  <c:v>9.208333333333334</c:v>
                </c:pt>
                <c:pt idx="13">
                  <c:v>8.791666666666665</c:v>
                </c:pt>
                <c:pt idx="14">
                  <c:v>8.375</c:v>
                </c:pt>
                <c:pt idx="15">
                  <c:v>7.958333333333333</c:v>
                </c:pt>
                <c:pt idx="16">
                  <c:v>7.541666666666666</c:v>
                </c:pt>
                <c:pt idx="17">
                  <c:v>7.833333333333332</c:v>
                </c:pt>
                <c:pt idx="18">
                  <c:v>8.125</c:v>
                </c:pt>
                <c:pt idx="19">
                  <c:v>8.416666666666666</c:v>
                </c:pt>
                <c:pt idx="20">
                  <c:v>8.708333333333334</c:v>
                </c:pt>
                <c:pt idx="21">
                  <c:v>9.0</c:v>
                </c:pt>
                <c:pt idx="22">
                  <c:v>9.291666666666666</c:v>
                </c:pt>
                <c:pt idx="23">
                  <c:v>9.583333333333333</c:v>
                </c:pt>
                <c:pt idx="24">
                  <c:v>9.875</c:v>
                </c:pt>
                <c:pt idx="25">
                  <c:v>10.16666666666667</c:v>
                </c:pt>
                <c:pt idx="26">
                  <c:v>10.45833333333333</c:v>
                </c:pt>
                <c:pt idx="27">
                  <c:v>10.04166666666667</c:v>
                </c:pt>
                <c:pt idx="28">
                  <c:v>9.625</c:v>
                </c:pt>
                <c:pt idx="29">
                  <c:v>9.208333333333334</c:v>
                </c:pt>
                <c:pt idx="30">
                  <c:v>8.791666666666665</c:v>
                </c:pt>
                <c:pt idx="31">
                  <c:v>8.375</c:v>
                </c:pt>
                <c:pt idx="32">
                  <c:v>7.958333333333333</c:v>
                </c:pt>
                <c:pt idx="33">
                  <c:v>7.541666666666666</c:v>
                </c:pt>
                <c:pt idx="34">
                  <c:v>7.833333333333332</c:v>
                </c:pt>
                <c:pt idx="35">
                  <c:v>8.125</c:v>
                </c:pt>
                <c:pt idx="36">
                  <c:v>8.416666666666666</c:v>
                </c:pt>
                <c:pt idx="37">
                  <c:v>8.708333333333334</c:v>
                </c:pt>
                <c:pt idx="38">
                  <c:v>9.0</c:v>
                </c:pt>
                <c:pt idx="39">
                  <c:v>9.291666666666666</c:v>
                </c:pt>
                <c:pt idx="40">
                  <c:v>9.583333333333333</c:v>
                </c:pt>
                <c:pt idx="41">
                  <c:v>9.875</c:v>
                </c:pt>
                <c:pt idx="42">
                  <c:v>10.16666666666667</c:v>
                </c:pt>
                <c:pt idx="43">
                  <c:v>10.45833333333333</c:v>
                </c:pt>
                <c:pt idx="44">
                  <c:v>10.04166666666667</c:v>
                </c:pt>
                <c:pt idx="45">
                  <c:v>9.625</c:v>
                </c:pt>
                <c:pt idx="46">
                  <c:v>9.208333333333334</c:v>
                </c:pt>
                <c:pt idx="47">
                  <c:v>8.791666666666665</c:v>
                </c:pt>
                <c:pt idx="48">
                  <c:v>8.375</c:v>
                </c:pt>
                <c:pt idx="49">
                  <c:v>7.958333333333333</c:v>
                </c:pt>
                <c:pt idx="50">
                  <c:v>7.541666666666666</c:v>
                </c:pt>
                <c:pt idx="51">
                  <c:v>7.833333333333332</c:v>
                </c:pt>
                <c:pt idx="52">
                  <c:v>8.125</c:v>
                </c:pt>
                <c:pt idx="53">
                  <c:v>8.416666666666666</c:v>
                </c:pt>
                <c:pt idx="54">
                  <c:v>8.708333333333334</c:v>
                </c:pt>
                <c:pt idx="55">
                  <c:v>9.0</c:v>
                </c:pt>
                <c:pt idx="56">
                  <c:v>9.291666666666666</c:v>
                </c:pt>
                <c:pt idx="57">
                  <c:v>9.583333333333333</c:v>
                </c:pt>
                <c:pt idx="58">
                  <c:v>9.875</c:v>
                </c:pt>
                <c:pt idx="59">
                  <c:v>10.16666666666667</c:v>
                </c:pt>
                <c:pt idx="60">
                  <c:v>10.45833333333333</c:v>
                </c:pt>
                <c:pt idx="61">
                  <c:v>10.04166666666667</c:v>
                </c:pt>
                <c:pt idx="62">
                  <c:v>9.625</c:v>
                </c:pt>
                <c:pt idx="63">
                  <c:v>9.208333333333334</c:v>
                </c:pt>
                <c:pt idx="64">
                  <c:v>8.791666666666665</c:v>
                </c:pt>
                <c:pt idx="65">
                  <c:v>8.375</c:v>
                </c:pt>
                <c:pt idx="66">
                  <c:v>7.958333333333333</c:v>
                </c:pt>
                <c:pt idx="67">
                  <c:v>7.541666666666666</c:v>
                </c:pt>
                <c:pt idx="68">
                  <c:v>7.833333333333332</c:v>
                </c:pt>
                <c:pt idx="69">
                  <c:v>8.125</c:v>
                </c:pt>
                <c:pt idx="70">
                  <c:v>8.416666666666666</c:v>
                </c:pt>
                <c:pt idx="71">
                  <c:v>8.708333333333334</c:v>
                </c:pt>
                <c:pt idx="72">
                  <c:v>9.0</c:v>
                </c:pt>
                <c:pt idx="73">
                  <c:v>9.291666666666666</c:v>
                </c:pt>
                <c:pt idx="74">
                  <c:v>9.583333333333333</c:v>
                </c:pt>
                <c:pt idx="75">
                  <c:v>9.875</c:v>
                </c:pt>
              </c:numCache>
            </c:numRef>
          </c:val>
        </c:ser>
        <c:ser>
          <c:idx val="17"/>
          <c:order val="17"/>
          <c:tx>
            <c:strRef>
              <c:f>LinearOffsetAnalysis!$AT$1</c:f>
              <c:strCache>
                <c:ptCount val="1"/>
                <c:pt idx="0">
                  <c:v>R</c:v>
                </c:pt>
              </c:strCache>
            </c:strRef>
          </c:tx>
          <c:marker>
            <c:symbol val="none"/>
          </c:marker>
          <c:val>
            <c:numRef>
              <c:f>LinearOffsetAnalysis!$AT$2:$AT$78</c:f>
              <c:numCache>
                <c:formatCode>0.0</c:formatCode>
                <c:ptCount val="77"/>
                <c:pt idx="0">
                  <c:v>8.833333333333333</c:v>
                </c:pt>
                <c:pt idx="1">
                  <c:v>9.125</c:v>
                </c:pt>
                <c:pt idx="2">
                  <c:v>9.416666666666666</c:v>
                </c:pt>
                <c:pt idx="3">
                  <c:v>9.708333333333334</c:v>
                </c:pt>
                <c:pt idx="4">
                  <c:v>10.0</c:v>
                </c:pt>
                <c:pt idx="5">
                  <c:v>10.29166666666667</c:v>
                </c:pt>
                <c:pt idx="6">
                  <c:v>10.58333333333333</c:v>
                </c:pt>
                <c:pt idx="7">
                  <c:v>10.875</c:v>
                </c:pt>
                <c:pt idx="8">
                  <c:v>11.16666666666667</c:v>
                </c:pt>
                <c:pt idx="9">
                  <c:v>11.45833333333333</c:v>
                </c:pt>
                <c:pt idx="10">
                  <c:v>11.04166666666667</c:v>
                </c:pt>
                <c:pt idx="11">
                  <c:v>10.625</c:v>
                </c:pt>
                <c:pt idx="12">
                  <c:v>10.20833333333333</c:v>
                </c:pt>
                <c:pt idx="13">
                  <c:v>9.791666666666665</c:v>
                </c:pt>
                <c:pt idx="14">
                  <c:v>9.375</c:v>
                </c:pt>
                <c:pt idx="15">
                  <c:v>8.958333333333333</c:v>
                </c:pt>
                <c:pt idx="16">
                  <c:v>8.541666666666666</c:v>
                </c:pt>
                <c:pt idx="17">
                  <c:v>8.833333333333333</c:v>
                </c:pt>
                <c:pt idx="18">
                  <c:v>9.125</c:v>
                </c:pt>
                <c:pt idx="19">
                  <c:v>9.416666666666666</c:v>
                </c:pt>
                <c:pt idx="20">
                  <c:v>9.708333333333334</c:v>
                </c:pt>
                <c:pt idx="21">
                  <c:v>10.0</c:v>
                </c:pt>
                <c:pt idx="22">
                  <c:v>10.29166666666667</c:v>
                </c:pt>
                <c:pt idx="23">
                  <c:v>10.58333333333333</c:v>
                </c:pt>
                <c:pt idx="24">
                  <c:v>10.875</c:v>
                </c:pt>
                <c:pt idx="25">
                  <c:v>11.16666666666667</c:v>
                </c:pt>
                <c:pt idx="26">
                  <c:v>11.45833333333333</c:v>
                </c:pt>
                <c:pt idx="27">
                  <c:v>11.04166666666667</c:v>
                </c:pt>
                <c:pt idx="28">
                  <c:v>10.625</c:v>
                </c:pt>
                <c:pt idx="29">
                  <c:v>10.20833333333333</c:v>
                </c:pt>
                <c:pt idx="30">
                  <c:v>9.791666666666665</c:v>
                </c:pt>
                <c:pt idx="31">
                  <c:v>9.375</c:v>
                </c:pt>
                <c:pt idx="32">
                  <c:v>8.958333333333333</c:v>
                </c:pt>
                <c:pt idx="33">
                  <c:v>8.541666666666666</c:v>
                </c:pt>
                <c:pt idx="34">
                  <c:v>8.833333333333333</c:v>
                </c:pt>
                <c:pt idx="35">
                  <c:v>9.125</c:v>
                </c:pt>
                <c:pt idx="36">
                  <c:v>9.416666666666666</c:v>
                </c:pt>
                <c:pt idx="37">
                  <c:v>9.708333333333334</c:v>
                </c:pt>
                <c:pt idx="38">
                  <c:v>10.0</c:v>
                </c:pt>
                <c:pt idx="39">
                  <c:v>10.29166666666667</c:v>
                </c:pt>
                <c:pt idx="40">
                  <c:v>10.58333333333333</c:v>
                </c:pt>
                <c:pt idx="41">
                  <c:v>10.875</c:v>
                </c:pt>
                <c:pt idx="42">
                  <c:v>11.16666666666667</c:v>
                </c:pt>
                <c:pt idx="43">
                  <c:v>11.45833333333333</c:v>
                </c:pt>
                <c:pt idx="44">
                  <c:v>11.04166666666667</c:v>
                </c:pt>
                <c:pt idx="45">
                  <c:v>10.625</c:v>
                </c:pt>
                <c:pt idx="46">
                  <c:v>10.20833333333333</c:v>
                </c:pt>
                <c:pt idx="47">
                  <c:v>9.791666666666665</c:v>
                </c:pt>
                <c:pt idx="48">
                  <c:v>9.375</c:v>
                </c:pt>
                <c:pt idx="49">
                  <c:v>8.958333333333333</c:v>
                </c:pt>
                <c:pt idx="50">
                  <c:v>8.541666666666666</c:v>
                </c:pt>
                <c:pt idx="51">
                  <c:v>8.833333333333333</c:v>
                </c:pt>
                <c:pt idx="52">
                  <c:v>9.125</c:v>
                </c:pt>
                <c:pt idx="53">
                  <c:v>9.416666666666666</c:v>
                </c:pt>
                <c:pt idx="54">
                  <c:v>9.708333333333334</c:v>
                </c:pt>
                <c:pt idx="55">
                  <c:v>10.0</c:v>
                </c:pt>
                <c:pt idx="56">
                  <c:v>10.29166666666667</c:v>
                </c:pt>
                <c:pt idx="57">
                  <c:v>10.58333333333333</c:v>
                </c:pt>
                <c:pt idx="58">
                  <c:v>10.875</c:v>
                </c:pt>
                <c:pt idx="59">
                  <c:v>11.16666666666667</c:v>
                </c:pt>
                <c:pt idx="60">
                  <c:v>11.45833333333333</c:v>
                </c:pt>
                <c:pt idx="61">
                  <c:v>11.04166666666667</c:v>
                </c:pt>
                <c:pt idx="62">
                  <c:v>10.625</c:v>
                </c:pt>
                <c:pt idx="63">
                  <c:v>10.20833333333333</c:v>
                </c:pt>
                <c:pt idx="64">
                  <c:v>9.791666666666665</c:v>
                </c:pt>
                <c:pt idx="65">
                  <c:v>9.375</c:v>
                </c:pt>
                <c:pt idx="66">
                  <c:v>8.958333333333333</c:v>
                </c:pt>
                <c:pt idx="67">
                  <c:v>8.541666666666666</c:v>
                </c:pt>
                <c:pt idx="68">
                  <c:v>8.833333333333333</c:v>
                </c:pt>
                <c:pt idx="69">
                  <c:v>9.125</c:v>
                </c:pt>
                <c:pt idx="70">
                  <c:v>9.416666666666666</c:v>
                </c:pt>
                <c:pt idx="71">
                  <c:v>9.708333333333334</c:v>
                </c:pt>
                <c:pt idx="72">
                  <c:v>10.0</c:v>
                </c:pt>
                <c:pt idx="73">
                  <c:v>10.29166666666667</c:v>
                </c:pt>
                <c:pt idx="74">
                  <c:v>10.58333333333333</c:v>
                </c:pt>
                <c:pt idx="75">
                  <c:v>10.875</c:v>
                </c:pt>
              </c:numCache>
            </c:numRef>
          </c:val>
        </c:ser>
        <c:ser>
          <c:idx val="18"/>
          <c:order val="18"/>
          <c:tx>
            <c:strRef>
              <c:f>LinearOffsetAnalysis!$AU$1</c:f>
              <c:strCache>
                <c:ptCount val="1"/>
                <c:pt idx="0">
                  <c:v>S</c:v>
                </c:pt>
              </c:strCache>
            </c:strRef>
          </c:tx>
          <c:marker>
            <c:symbol val="none"/>
          </c:marker>
          <c:val>
            <c:numRef>
              <c:f>LinearOffsetAnalysis!$AU$2:$AU$78</c:f>
              <c:numCache>
                <c:formatCode>0.0</c:formatCode>
                <c:ptCount val="77"/>
                <c:pt idx="0">
                  <c:v>9.833333333333333</c:v>
                </c:pt>
                <c:pt idx="1">
                  <c:v>10.125</c:v>
                </c:pt>
                <c:pt idx="2">
                  <c:v>10.41666666666667</c:v>
                </c:pt>
                <c:pt idx="3">
                  <c:v>10.70833333333333</c:v>
                </c:pt>
                <c:pt idx="4">
                  <c:v>11.0</c:v>
                </c:pt>
                <c:pt idx="5">
                  <c:v>11.29166666666667</c:v>
                </c:pt>
                <c:pt idx="6">
                  <c:v>11.58333333333333</c:v>
                </c:pt>
                <c:pt idx="7">
                  <c:v>11.875</c:v>
                </c:pt>
                <c:pt idx="8">
                  <c:v>12.16666666666667</c:v>
                </c:pt>
                <c:pt idx="9">
                  <c:v>12.45833333333333</c:v>
                </c:pt>
                <c:pt idx="10">
                  <c:v>12.04166666666667</c:v>
                </c:pt>
                <c:pt idx="11">
                  <c:v>11.625</c:v>
                </c:pt>
                <c:pt idx="12">
                  <c:v>11.20833333333333</c:v>
                </c:pt>
                <c:pt idx="13">
                  <c:v>10.79166666666667</c:v>
                </c:pt>
                <c:pt idx="14">
                  <c:v>10.375</c:v>
                </c:pt>
                <c:pt idx="15">
                  <c:v>9.958333333333333</c:v>
                </c:pt>
                <c:pt idx="16">
                  <c:v>9.541666666666666</c:v>
                </c:pt>
                <c:pt idx="17">
                  <c:v>9.833333333333333</c:v>
                </c:pt>
                <c:pt idx="18">
                  <c:v>10.125</c:v>
                </c:pt>
                <c:pt idx="19">
                  <c:v>10.41666666666667</c:v>
                </c:pt>
                <c:pt idx="20">
                  <c:v>10.70833333333333</c:v>
                </c:pt>
                <c:pt idx="21">
                  <c:v>11.0</c:v>
                </c:pt>
                <c:pt idx="22">
                  <c:v>11.29166666666667</c:v>
                </c:pt>
                <c:pt idx="23">
                  <c:v>11.58333333333333</c:v>
                </c:pt>
                <c:pt idx="24">
                  <c:v>11.875</c:v>
                </c:pt>
                <c:pt idx="25">
                  <c:v>12.16666666666667</c:v>
                </c:pt>
                <c:pt idx="26">
                  <c:v>12.45833333333333</c:v>
                </c:pt>
                <c:pt idx="27">
                  <c:v>12.04166666666667</c:v>
                </c:pt>
                <c:pt idx="28">
                  <c:v>11.625</c:v>
                </c:pt>
                <c:pt idx="29">
                  <c:v>11.20833333333333</c:v>
                </c:pt>
                <c:pt idx="30">
                  <c:v>10.79166666666667</c:v>
                </c:pt>
                <c:pt idx="31">
                  <c:v>10.375</c:v>
                </c:pt>
                <c:pt idx="32">
                  <c:v>9.958333333333333</c:v>
                </c:pt>
                <c:pt idx="33">
                  <c:v>9.541666666666666</c:v>
                </c:pt>
                <c:pt idx="34">
                  <c:v>9.833333333333333</c:v>
                </c:pt>
                <c:pt idx="35">
                  <c:v>10.125</c:v>
                </c:pt>
                <c:pt idx="36">
                  <c:v>10.41666666666667</c:v>
                </c:pt>
                <c:pt idx="37">
                  <c:v>10.70833333333333</c:v>
                </c:pt>
                <c:pt idx="38">
                  <c:v>11.0</c:v>
                </c:pt>
                <c:pt idx="39">
                  <c:v>11.29166666666667</c:v>
                </c:pt>
                <c:pt idx="40">
                  <c:v>11.58333333333333</c:v>
                </c:pt>
                <c:pt idx="41">
                  <c:v>11.875</c:v>
                </c:pt>
                <c:pt idx="42">
                  <c:v>12.16666666666667</c:v>
                </c:pt>
                <c:pt idx="43">
                  <c:v>12.45833333333333</c:v>
                </c:pt>
                <c:pt idx="44">
                  <c:v>12.04166666666667</c:v>
                </c:pt>
                <c:pt idx="45">
                  <c:v>11.625</c:v>
                </c:pt>
                <c:pt idx="46">
                  <c:v>11.20833333333333</c:v>
                </c:pt>
                <c:pt idx="47">
                  <c:v>10.79166666666667</c:v>
                </c:pt>
                <c:pt idx="48">
                  <c:v>10.375</c:v>
                </c:pt>
                <c:pt idx="49">
                  <c:v>9.958333333333333</c:v>
                </c:pt>
                <c:pt idx="50">
                  <c:v>9.541666666666666</c:v>
                </c:pt>
                <c:pt idx="51">
                  <c:v>9.833333333333333</c:v>
                </c:pt>
                <c:pt idx="52">
                  <c:v>10.125</c:v>
                </c:pt>
                <c:pt idx="53">
                  <c:v>10.41666666666667</c:v>
                </c:pt>
                <c:pt idx="54">
                  <c:v>10.70833333333333</c:v>
                </c:pt>
                <c:pt idx="55">
                  <c:v>11.0</c:v>
                </c:pt>
                <c:pt idx="56">
                  <c:v>11.29166666666667</c:v>
                </c:pt>
                <c:pt idx="57">
                  <c:v>11.58333333333333</c:v>
                </c:pt>
                <c:pt idx="58">
                  <c:v>11.875</c:v>
                </c:pt>
                <c:pt idx="59">
                  <c:v>12.16666666666667</c:v>
                </c:pt>
                <c:pt idx="60">
                  <c:v>12.45833333333333</c:v>
                </c:pt>
                <c:pt idx="61">
                  <c:v>12.04166666666667</c:v>
                </c:pt>
                <c:pt idx="62">
                  <c:v>11.625</c:v>
                </c:pt>
                <c:pt idx="63">
                  <c:v>11.20833333333333</c:v>
                </c:pt>
                <c:pt idx="64">
                  <c:v>10.79166666666667</c:v>
                </c:pt>
                <c:pt idx="65">
                  <c:v>10.375</c:v>
                </c:pt>
                <c:pt idx="66">
                  <c:v>9.958333333333333</c:v>
                </c:pt>
                <c:pt idx="67">
                  <c:v>9.541666666666666</c:v>
                </c:pt>
                <c:pt idx="68">
                  <c:v>9.833333333333333</c:v>
                </c:pt>
                <c:pt idx="69">
                  <c:v>10.125</c:v>
                </c:pt>
                <c:pt idx="70">
                  <c:v>10.41666666666667</c:v>
                </c:pt>
                <c:pt idx="71">
                  <c:v>10.70833333333333</c:v>
                </c:pt>
                <c:pt idx="72">
                  <c:v>11.0</c:v>
                </c:pt>
                <c:pt idx="73">
                  <c:v>11.29166666666667</c:v>
                </c:pt>
                <c:pt idx="74">
                  <c:v>11.58333333333333</c:v>
                </c:pt>
                <c:pt idx="75">
                  <c:v>11.875</c:v>
                </c:pt>
              </c:numCache>
            </c:numRef>
          </c:val>
        </c:ser>
        <c:ser>
          <c:idx val="19"/>
          <c:order val="19"/>
          <c:tx>
            <c:strRef>
              <c:f>LinearOffsetAnalysis!$AV$1</c:f>
              <c:strCache>
                <c:ptCount val="1"/>
                <c:pt idx="0">
                  <c:v>T</c:v>
                </c:pt>
              </c:strCache>
            </c:strRef>
          </c:tx>
          <c:marker>
            <c:symbol val="none"/>
          </c:marker>
          <c:val>
            <c:numRef>
              <c:f>LinearOffsetAnalysis!$AV$2:$AV$78</c:f>
              <c:numCache>
                <c:formatCode>0.0</c:formatCode>
                <c:ptCount val="77"/>
                <c:pt idx="0">
                  <c:v>10.83333333333333</c:v>
                </c:pt>
                <c:pt idx="1">
                  <c:v>11.125</c:v>
                </c:pt>
                <c:pt idx="2">
                  <c:v>11.41666666666667</c:v>
                </c:pt>
                <c:pt idx="3">
                  <c:v>11.70833333333333</c:v>
                </c:pt>
                <c:pt idx="4">
                  <c:v>12.0</c:v>
                </c:pt>
                <c:pt idx="5">
                  <c:v>12.29166666666667</c:v>
                </c:pt>
                <c:pt idx="6">
                  <c:v>12.58333333333333</c:v>
                </c:pt>
                <c:pt idx="7">
                  <c:v>12.875</c:v>
                </c:pt>
                <c:pt idx="8">
                  <c:v>13.16666666666667</c:v>
                </c:pt>
                <c:pt idx="9">
                  <c:v>13.45833333333333</c:v>
                </c:pt>
                <c:pt idx="10">
                  <c:v>13.04166666666667</c:v>
                </c:pt>
                <c:pt idx="11">
                  <c:v>12.625</c:v>
                </c:pt>
                <c:pt idx="12">
                  <c:v>12.20833333333333</c:v>
                </c:pt>
                <c:pt idx="13">
                  <c:v>11.79166666666667</c:v>
                </c:pt>
                <c:pt idx="14">
                  <c:v>11.375</c:v>
                </c:pt>
                <c:pt idx="15">
                  <c:v>10.95833333333333</c:v>
                </c:pt>
                <c:pt idx="16">
                  <c:v>10.54166666666667</c:v>
                </c:pt>
                <c:pt idx="17">
                  <c:v>10.83333333333333</c:v>
                </c:pt>
                <c:pt idx="18">
                  <c:v>11.125</c:v>
                </c:pt>
                <c:pt idx="19">
                  <c:v>11.41666666666667</c:v>
                </c:pt>
                <c:pt idx="20">
                  <c:v>11.70833333333333</c:v>
                </c:pt>
                <c:pt idx="21">
                  <c:v>12.0</c:v>
                </c:pt>
                <c:pt idx="22">
                  <c:v>12.29166666666667</c:v>
                </c:pt>
                <c:pt idx="23">
                  <c:v>12.58333333333333</c:v>
                </c:pt>
                <c:pt idx="24">
                  <c:v>12.875</c:v>
                </c:pt>
                <c:pt idx="25">
                  <c:v>13.16666666666667</c:v>
                </c:pt>
                <c:pt idx="26">
                  <c:v>13.45833333333333</c:v>
                </c:pt>
                <c:pt idx="27">
                  <c:v>13.04166666666667</c:v>
                </c:pt>
                <c:pt idx="28">
                  <c:v>12.625</c:v>
                </c:pt>
                <c:pt idx="29">
                  <c:v>12.20833333333333</c:v>
                </c:pt>
                <c:pt idx="30">
                  <c:v>11.79166666666667</c:v>
                </c:pt>
                <c:pt idx="31">
                  <c:v>11.375</c:v>
                </c:pt>
                <c:pt idx="32">
                  <c:v>10.95833333333333</c:v>
                </c:pt>
                <c:pt idx="33">
                  <c:v>10.54166666666667</c:v>
                </c:pt>
                <c:pt idx="34">
                  <c:v>10.83333333333333</c:v>
                </c:pt>
                <c:pt idx="35">
                  <c:v>11.125</c:v>
                </c:pt>
                <c:pt idx="36">
                  <c:v>11.41666666666667</c:v>
                </c:pt>
                <c:pt idx="37">
                  <c:v>11.70833333333333</c:v>
                </c:pt>
                <c:pt idx="38">
                  <c:v>12.0</c:v>
                </c:pt>
                <c:pt idx="39">
                  <c:v>12.29166666666667</c:v>
                </c:pt>
                <c:pt idx="40">
                  <c:v>12.58333333333333</c:v>
                </c:pt>
                <c:pt idx="41">
                  <c:v>12.875</c:v>
                </c:pt>
                <c:pt idx="42">
                  <c:v>13.16666666666667</c:v>
                </c:pt>
                <c:pt idx="43">
                  <c:v>13.45833333333333</c:v>
                </c:pt>
                <c:pt idx="44">
                  <c:v>13.04166666666667</c:v>
                </c:pt>
                <c:pt idx="45">
                  <c:v>12.625</c:v>
                </c:pt>
                <c:pt idx="46">
                  <c:v>12.20833333333333</c:v>
                </c:pt>
                <c:pt idx="47">
                  <c:v>11.79166666666667</c:v>
                </c:pt>
                <c:pt idx="48">
                  <c:v>11.375</c:v>
                </c:pt>
                <c:pt idx="49">
                  <c:v>10.95833333333333</c:v>
                </c:pt>
                <c:pt idx="50">
                  <c:v>10.54166666666667</c:v>
                </c:pt>
                <c:pt idx="51">
                  <c:v>10.83333333333333</c:v>
                </c:pt>
                <c:pt idx="52">
                  <c:v>11.125</c:v>
                </c:pt>
                <c:pt idx="53">
                  <c:v>11.41666666666667</c:v>
                </c:pt>
                <c:pt idx="54">
                  <c:v>11.70833333333333</c:v>
                </c:pt>
                <c:pt idx="55">
                  <c:v>12.0</c:v>
                </c:pt>
                <c:pt idx="56">
                  <c:v>12.29166666666667</c:v>
                </c:pt>
                <c:pt idx="57">
                  <c:v>12.58333333333333</c:v>
                </c:pt>
                <c:pt idx="58">
                  <c:v>12.875</c:v>
                </c:pt>
                <c:pt idx="59">
                  <c:v>13.16666666666667</c:v>
                </c:pt>
                <c:pt idx="60">
                  <c:v>13.45833333333333</c:v>
                </c:pt>
                <c:pt idx="61">
                  <c:v>13.04166666666667</c:v>
                </c:pt>
                <c:pt idx="62">
                  <c:v>12.625</c:v>
                </c:pt>
                <c:pt idx="63">
                  <c:v>12.20833333333333</c:v>
                </c:pt>
                <c:pt idx="64">
                  <c:v>11.79166666666667</c:v>
                </c:pt>
                <c:pt idx="65">
                  <c:v>11.375</c:v>
                </c:pt>
                <c:pt idx="66">
                  <c:v>10.95833333333333</c:v>
                </c:pt>
                <c:pt idx="67">
                  <c:v>10.54166666666667</c:v>
                </c:pt>
                <c:pt idx="68">
                  <c:v>10.83333333333333</c:v>
                </c:pt>
                <c:pt idx="69">
                  <c:v>11.125</c:v>
                </c:pt>
                <c:pt idx="70">
                  <c:v>11.41666666666667</c:v>
                </c:pt>
                <c:pt idx="71">
                  <c:v>11.70833333333333</c:v>
                </c:pt>
                <c:pt idx="72">
                  <c:v>12.0</c:v>
                </c:pt>
                <c:pt idx="73">
                  <c:v>12.29166666666667</c:v>
                </c:pt>
                <c:pt idx="74">
                  <c:v>12.58333333333333</c:v>
                </c:pt>
                <c:pt idx="75">
                  <c:v>12.875</c:v>
                </c:pt>
              </c:numCache>
            </c:numRef>
          </c:val>
        </c:ser>
        <c:ser>
          <c:idx val="20"/>
          <c:order val="20"/>
          <c:tx>
            <c:strRef>
              <c:f>LinearOffsetAnalysis!$AW$1</c:f>
              <c:strCache>
                <c:ptCount val="1"/>
                <c:pt idx="0">
                  <c:v>U</c:v>
                </c:pt>
              </c:strCache>
            </c:strRef>
          </c:tx>
          <c:marker>
            <c:symbol val="none"/>
          </c:marker>
          <c:val>
            <c:numRef>
              <c:f>LinearOffsetAnalysis!$AW$2:$AW$78</c:f>
              <c:numCache>
                <c:formatCode>0.0</c:formatCode>
                <c:ptCount val="77"/>
                <c:pt idx="0">
                  <c:v>11.83333333333333</c:v>
                </c:pt>
                <c:pt idx="1">
                  <c:v>12.125</c:v>
                </c:pt>
                <c:pt idx="2">
                  <c:v>12.41666666666667</c:v>
                </c:pt>
                <c:pt idx="3">
                  <c:v>12.70833333333333</c:v>
                </c:pt>
                <c:pt idx="4">
                  <c:v>13.0</c:v>
                </c:pt>
                <c:pt idx="5">
                  <c:v>13.29166666666667</c:v>
                </c:pt>
                <c:pt idx="6">
                  <c:v>13.58333333333333</c:v>
                </c:pt>
                <c:pt idx="7">
                  <c:v>13.875</c:v>
                </c:pt>
                <c:pt idx="8">
                  <c:v>14.16666666666667</c:v>
                </c:pt>
                <c:pt idx="9">
                  <c:v>14.45833333333333</c:v>
                </c:pt>
                <c:pt idx="10">
                  <c:v>14.04166666666667</c:v>
                </c:pt>
                <c:pt idx="11">
                  <c:v>13.625</c:v>
                </c:pt>
                <c:pt idx="12">
                  <c:v>13.20833333333333</c:v>
                </c:pt>
                <c:pt idx="13">
                  <c:v>12.79166666666667</c:v>
                </c:pt>
                <c:pt idx="14">
                  <c:v>12.375</c:v>
                </c:pt>
                <c:pt idx="15">
                  <c:v>11.95833333333333</c:v>
                </c:pt>
                <c:pt idx="16">
                  <c:v>11.54166666666667</c:v>
                </c:pt>
                <c:pt idx="17">
                  <c:v>11.83333333333333</c:v>
                </c:pt>
                <c:pt idx="18">
                  <c:v>12.125</c:v>
                </c:pt>
                <c:pt idx="19">
                  <c:v>12.41666666666667</c:v>
                </c:pt>
                <c:pt idx="20">
                  <c:v>12.70833333333333</c:v>
                </c:pt>
                <c:pt idx="21">
                  <c:v>13.0</c:v>
                </c:pt>
                <c:pt idx="22">
                  <c:v>13.29166666666667</c:v>
                </c:pt>
                <c:pt idx="23">
                  <c:v>13.58333333333333</c:v>
                </c:pt>
                <c:pt idx="24">
                  <c:v>13.875</c:v>
                </c:pt>
                <c:pt idx="25">
                  <c:v>14.16666666666667</c:v>
                </c:pt>
                <c:pt idx="26">
                  <c:v>14.45833333333333</c:v>
                </c:pt>
                <c:pt idx="27">
                  <c:v>14.04166666666667</c:v>
                </c:pt>
                <c:pt idx="28">
                  <c:v>13.625</c:v>
                </c:pt>
                <c:pt idx="29">
                  <c:v>13.20833333333333</c:v>
                </c:pt>
                <c:pt idx="30">
                  <c:v>12.79166666666667</c:v>
                </c:pt>
                <c:pt idx="31">
                  <c:v>12.375</c:v>
                </c:pt>
                <c:pt idx="32">
                  <c:v>11.95833333333333</c:v>
                </c:pt>
                <c:pt idx="33">
                  <c:v>11.54166666666667</c:v>
                </c:pt>
                <c:pt idx="34">
                  <c:v>11.83333333333333</c:v>
                </c:pt>
                <c:pt idx="35">
                  <c:v>12.125</c:v>
                </c:pt>
                <c:pt idx="36">
                  <c:v>12.41666666666667</c:v>
                </c:pt>
                <c:pt idx="37">
                  <c:v>12.70833333333333</c:v>
                </c:pt>
                <c:pt idx="38">
                  <c:v>13.0</c:v>
                </c:pt>
                <c:pt idx="39">
                  <c:v>13.29166666666667</c:v>
                </c:pt>
                <c:pt idx="40">
                  <c:v>13.58333333333333</c:v>
                </c:pt>
                <c:pt idx="41">
                  <c:v>13.875</c:v>
                </c:pt>
                <c:pt idx="42">
                  <c:v>14.16666666666667</c:v>
                </c:pt>
                <c:pt idx="43">
                  <c:v>14.45833333333333</c:v>
                </c:pt>
                <c:pt idx="44">
                  <c:v>14.04166666666667</c:v>
                </c:pt>
                <c:pt idx="45">
                  <c:v>13.625</c:v>
                </c:pt>
                <c:pt idx="46">
                  <c:v>13.20833333333333</c:v>
                </c:pt>
                <c:pt idx="47">
                  <c:v>12.79166666666667</c:v>
                </c:pt>
                <c:pt idx="48">
                  <c:v>12.375</c:v>
                </c:pt>
                <c:pt idx="49">
                  <c:v>11.95833333333333</c:v>
                </c:pt>
                <c:pt idx="50">
                  <c:v>11.54166666666667</c:v>
                </c:pt>
                <c:pt idx="51">
                  <c:v>11.83333333333333</c:v>
                </c:pt>
                <c:pt idx="52">
                  <c:v>12.125</c:v>
                </c:pt>
                <c:pt idx="53">
                  <c:v>12.41666666666667</c:v>
                </c:pt>
                <c:pt idx="54">
                  <c:v>12.70833333333333</c:v>
                </c:pt>
                <c:pt idx="55">
                  <c:v>13.0</c:v>
                </c:pt>
                <c:pt idx="56">
                  <c:v>13.29166666666667</c:v>
                </c:pt>
                <c:pt idx="57">
                  <c:v>13.58333333333333</c:v>
                </c:pt>
                <c:pt idx="58">
                  <c:v>13.875</c:v>
                </c:pt>
                <c:pt idx="59">
                  <c:v>14.16666666666667</c:v>
                </c:pt>
                <c:pt idx="60">
                  <c:v>14.45833333333333</c:v>
                </c:pt>
                <c:pt idx="61">
                  <c:v>14.04166666666667</c:v>
                </c:pt>
                <c:pt idx="62">
                  <c:v>13.625</c:v>
                </c:pt>
                <c:pt idx="63">
                  <c:v>13.20833333333333</c:v>
                </c:pt>
                <c:pt idx="64">
                  <c:v>12.79166666666667</c:v>
                </c:pt>
                <c:pt idx="65">
                  <c:v>12.375</c:v>
                </c:pt>
                <c:pt idx="66">
                  <c:v>11.95833333333333</c:v>
                </c:pt>
                <c:pt idx="67">
                  <c:v>11.54166666666667</c:v>
                </c:pt>
                <c:pt idx="68">
                  <c:v>11.83333333333333</c:v>
                </c:pt>
                <c:pt idx="69">
                  <c:v>12.125</c:v>
                </c:pt>
                <c:pt idx="70">
                  <c:v>12.41666666666667</c:v>
                </c:pt>
                <c:pt idx="71">
                  <c:v>12.70833333333333</c:v>
                </c:pt>
                <c:pt idx="72">
                  <c:v>13.0</c:v>
                </c:pt>
                <c:pt idx="73">
                  <c:v>13.29166666666667</c:v>
                </c:pt>
                <c:pt idx="74">
                  <c:v>13.58333333333333</c:v>
                </c:pt>
                <c:pt idx="75">
                  <c:v>13.875</c:v>
                </c:pt>
              </c:numCache>
            </c:numRef>
          </c:val>
        </c:ser>
        <c:ser>
          <c:idx val="21"/>
          <c:order val="21"/>
          <c:tx>
            <c:strRef>
              <c:f>LinearOffsetAnalysis!$AX$1</c:f>
              <c:strCache>
                <c:ptCount val="1"/>
                <c:pt idx="0">
                  <c:v>V</c:v>
                </c:pt>
              </c:strCache>
            </c:strRef>
          </c:tx>
          <c:marker>
            <c:symbol val="none"/>
          </c:marker>
          <c:val>
            <c:numRef>
              <c:f>LinearOffsetAnalysis!$AX$2:$AX$78</c:f>
              <c:numCache>
                <c:formatCode>0.0</c:formatCode>
                <c:ptCount val="77"/>
                <c:pt idx="0">
                  <c:v>12.83333333333333</c:v>
                </c:pt>
                <c:pt idx="1">
                  <c:v>13.125</c:v>
                </c:pt>
                <c:pt idx="2">
                  <c:v>13.41666666666667</c:v>
                </c:pt>
                <c:pt idx="3">
                  <c:v>13.70833333333333</c:v>
                </c:pt>
                <c:pt idx="4">
                  <c:v>14.0</c:v>
                </c:pt>
                <c:pt idx="5">
                  <c:v>14.29166666666667</c:v>
                </c:pt>
                <c:pt idx="6">
                  <c:v>14.58333333333333</c:v>
                </c:pt>
                <c:pt idx="7">
                  <c:v>14.875</c:v>
                </c:pt>
                <c:pt idx="8">
                  <c:v>15.16666666666667</c:v>
                </c:pt>
                <c:pt idx="9">
                  <c:v>15.45833333333333</c:v>
                </c:pt>
                <c:pt idx="10">
                  <c:v>15.04166666666667</c:v>
                </c:pt>
                <c:pt idx="11">
                  <c:v>14.625</c:v>
                </c:pt>
                <c:pt idx="12">
                  <c:v>14.20833333333333</c:v>
                </c:pt>
                <c:pt idx="13">
                  <c:v>13.79166666666667</c:v>
                </c:pt>
                <c:pt idx="14">
                  <c:v>13.375</c:v>
                </c:pt>
                <c:pt idx="15">
                  <c:v>12.95833333333333</c:v>
                </c:pt>
                <c:pt idx="16">
                  <c:v>12.54166666666667</c:v>
                </c:pt>
                <c:pt idx="17">
                  <c:v>12.83333333333333</c:v>
                </c:pt>
                <c:pt idx="18">
                  <c:v>13.125</c:v>
                </c:pt>
                <c:pt idx="19">
                  <c:v>13.41666666666667</c:v>
                </c:pt>
                <c:pt idx="20">
                  <c:v>13.70833333333333</c:v>
                </c:pt>
                <c:pt idx="21">
                  <c:v>14.0</c:v>
                </c:pt>
                <c:pt idx="22">
                  <c:v>14.29166666666667</c:v>
                </c:pt>
                <c:pt idx="23">
                  <c:v>14.58333333333333</c:v>
                </c:pt>
                <c:pt idx="24">
                  <c:v>14.875</c:v>
                </c:pt>
                <c:pt idx="25">
                  <c:v>15.16666666666667</c:v>
                </c:pt>
                <c:pt idx="26">
                  <c:v>15.45833333333333</c:v>
                </c:pt>
                <c:pt idx="27">
                  <c:v>15.04166666666667</c:v>
                </c:pt>
                <c:pt idx="28">
                  <c:v>14.625</c:v>
                </c:pt>
                <c:pt idx="29">
                  <c:v>14.20833333333333</c:v>
                </c:pt>
                <c:pt idx="30">
                  <c:v>13.79166666666667</c:v>
                </c:pt>
                <c:pt idx="31">
                  <c:v>13.375</c:v>
                </c:pt>
                <c:pt idx="32">
                  <c:v>12.95833333333333</c:v>
                </c:pt>
                <c:pt idx="33">
                  <c:v>12.54166666666667</c:v>
                </c:pt>
                <c:pt idx="34">
                  <c:v>12.83333333333333</c:v>
                </c:pt>
                <c:pt idx="35">
                  <c:v>13.125</c:v>
                </c:pt>
                <c:pt idx="36">
                  <c:v>13.41666666666667</c:v>
                </c:pt>
                <c:pt idx="37">
                  <c:v>13.70833333333333</c:v>
                </c:pt>
                <c:pt idx="38">
                  <c:v>14.0</c:v>
                </c:pt>
                <c:pt idx="39">
                  <c:v>14.29166666666667</c:v>
                </c:pt>
                <c:pt idx="40">
                  <c:v>14.58333333333333</c:v>
                </c:pt>
                <c:pt idx="41">
                  <c:v>14.875</c:v>
                </c:pt>
                <c:pt idx="42">
                  <c:v>15.16666666666667</c:v>
                </c:pt>
                <c:pt idx="43">
                  <c:v>15.45833333333333</c:v>
                </c:pt>
                <c:pt idx="44">
                  <c:v>15.04166666666667</c:v>
                </c:pt>
                <c:pt idx="45">
                  <c:v>14.625</c:v>
                </c:pt>
                <c:pt idx="46">
                  <c:v>14.20833333333333</c:v>
                </c:pt>
                <c:pt idx="47">
                  <c:v>13.79166666666667</c:v>
                </c:pt>
                <c:pt idx="48">
                  <c:v>13.375</c:v>
                </c:pt>
                <c:pt idx="49">
                  <c:v>12.95833333333333</c:v>
                </c:pt>
                <c:pt idx="50">
                  <c:v>12.54166666666667</c:v>
                </c:pt>
                <c:pt idx="51">
                  <c:v>12.83333333333333</c:v>
                </c:pt>
                <c:pt idx="52">
                  <c:v>13.125</c:v>
                </c:pt>
                <c:pt idx="53">
                  <c:v>13.41666666666667</c:v>
                </c:pt>
                <c:pt idx="54">
                  <c:v>13.70833333333333</c:v>
                </c:pt>
                <c:pt idx="55">
                  <c:v>14.0</c:v>
                </c:pt>
                <c:pt idx="56">
                  <c:v>14.29166666666667</c:v>
                </c:pt>
                <c:pt idx="57">
                  <c:v>14.58333333333333</c:v>
                </c:pt>
                <c:pt idx="58">
                  <c:v>14.875</c:v>
                </c:pt>
                <c:pt idx="59">
                  <c:v>15.16666666666667</c:v>
                </c:pt>
                <c:pt idx="60">
                  <c:v>15.45833333333333</c:v>
                </c:pt>
                <c:pt idx="61">
                  <c:v>15.04166666666667</c:v>
                </c:pt>
                <c:pt idx="62">
                  <c:v>14.625</c:v>
                </c:pt>
                <c:pt idx="63">
                  <c:v>14.20833333333333</c:v>
                </c:pt>
                <c:pt idx="64">
                  <c:v>13.79166666666667</c:v>
                </c:pt>
                <c:pt idx="65">
                  <c:v>13.375</c:v>
                </c:pt>
                <c:pt idx="66">
                  <c:v>12.95833333333333</c:v>
                </c:pt>
                <c:pt idx="67">
                  <c:v>12.54166666666667</c:v>
                </c:pt>
                <c:pt idx="68">
                  <c:v>12.83333333333333</c:v>
                </c:pt>
                <c:pt idx="69">
                  <c:v>13.125</c:v>
                </c:pt>
                <c:pt idx="70">
                  <c:v>13.41666666666667</c:v>
                </c:pt>
                <c:pt idx="71">
                  <c:v>13.70833333333333</c:v>
                </c:pt>
                <c:pt idx="72">
                  <c:v>14.0</c:v>
                </c:pt>
                <c:pt idx="73">
                  <c:v>14.29166666666667</c:v>
                </c:pt>
                <c:pt idx="74">
                  <c:v>14.58333333333333</c:v>
                </c:pt>
                <c:pt idx="75">
                  <c:v>14.875</c:v>
                </c:pt>
              </c:numCache>
            </c:numRef>
          </c:val>
        </c:ser>
        <c:ser>
          <c:idx val="22"/>
          <c:order val="22"/>
          <c:tx>
            <c:strRef>
              <c:f>LinearOffsetAnalysis!$AY$1</c:f>
              <c:strCache>
                <c:ptCount val="1"/>
                <c:pt idx="0">
                  <c:v>W</c:v>
                </c:pt>
              </c:strCache>
            </c:strRef>
          </c:tx>
          <c:marker>
            <c:symbol val="none"/>
          </c:marker>
          <c:val>
            <c:numRef>
              <c:f>LinearOffsetAnalysis!$AY$2:$AY$78</c:f>
              <c:numCache>
                <c:formatCode>0.0</c:formatCode>
                <c:ptCount val="77"/>
                <c:pt idx="0">
                  <c:v>13.83333333333333</c:v>
                </c:pt>
                <c:pt idx="1">
                  <c:v>14.125</c:v>
                </c:pt>
                <c:pt idx="2">
                  <c:v>14.41666666666667</c:v>
                </c:pt>
                <c:pt idx="3">
                  <c:v>14.70833333333333</c:v>
                </c:pt>
                <c:pt idx="4">
                  <c:v>15.0</c:v>
                </c:pt>
                <c:pt idx="5">
                  <c:v>15.29166666666667</c:v>
                </c:pt>
                <c:pt idx="6">
                  <c:v>15.58333333333333</c:v>
                </c:pt>
                <c:pt idx="7">
                  <c:v>15.875</c:v>
                </c:pt>
                <c:pt idx="8">
                  <c:v>16.16666666666667</c:v>
                </c:pt>
                <c:pt idx="9">
                  <c:v>16.45833333333333</c:v>
                </c:pt>
                <c:pt idx="10">
                  <c:v>16.04166666666667</c:v>
                </c:pt>
                <c:pt idx="11">
                  <c:v>15.625</c:v>
                </c:pt>
                <c:pt idx="12">
                  <c:v>15.20833333333333</c:v>
                </c:pt>
                <c:pt idx="13">
                  <c:v>14.79166666666667</c:v>
                </c:pt>
                <c:pt idx="14">
                  <c:v>14.375</c:v>
                </c:pt>
                <c:pt idx="15">
                  <c:v>13.95833333333333</c:v>
                </c:pt>
                <c:pt idx="16">
                  <c:v>13.54166666666667</c:v>
                </c:pt>
                <c:pt idx="17">
                  <c:v>13.83333333333333</c:v>
                </c:pt>
                <c:pt idx="18">
                  <c:v>14.125</c:v>
                </c:pt>
                <c:pt idx="19">
                  <c:v>14.41666666666667</c:v>
                </c:pt>
                <c:pt idx="20">
                  <c:v>14.70833333333333</c:v>
                </c:pt>
                <c:pt idx="21">
                  <c:v>15.0</c:v>
                </c:pt>
                <c:pt idx="22">
                  <c:v>15.29166666666667</c:v>
                </c:pt>
                <c:pt idx="23">
                  <c:v>15.58333333333333</c:v>
                </c:pt>
                <c:pt idx="24">
                  <c:v>15.875</c:v>
                </c:pt>
                <c:pt idx="25">
                  <c:v>16.16666666666667</c:v>
                </c:pt>
                <c:pt idx="26">
                  <c:v>16.45833333333333</c:v>
                </c:pt>
                <c:pt idx="27">
                  <c:v>16.04166666666667</c:v>
                </c:pt>
                <c:pt idx="28">
                  <c:v>15.625</c:v>
                </c:pt>
                <c:pt idx="29">
                  <c:v>15.20833333333333</c:v>
                </c:pt>
                <c:pt idx="30">
                  <c:v>14.79166666666667</c:v>
                </c:pt>
                <c:pt idx="31">
                  <c:v>14.375</c:v>
                </c:pt>
                <c:pt idx="32">
                  <c:v>13.95833333333333</c:v>
                </c:pt>
                <c:pt idx="33">
                  <c:v>13.54166666666667</c:v>
                </c:pt>
                <c:pt idx="34">
                  <c:v>13.83333333333333</c:v>
                </c:pt>
                <c:pt idx="35">
                  <c:v>14.125</c:v>
                </c:pt>
                <c:pt idx="36">
                  <c:v>14.41666666666667</c:v>
                </c:pt>
                <c:pt idx="37">
                  <c:v>14.70833333333333</c:v>
                </c:pt>
                <c:pt idx="38">
                  <c:v>15.0</c:v>
                </c:pt>
                <c:pt idx="39">
                  <c:v>15.29166666666667</c:v>
                </c:pt>
                <c:pt idx="40">
                  <c:v>15.58333333333333</c:v>
                </c:pt>
                <c:pt idx="41">
                  <c:v>15.875</c:v>
                </c:pt>
                <c:pt idx="42">
                  <c:v>16.16666666666667</c:v>
                </c:pt>
                <c:pt idx="43">
                  <c:v>16.45833333333333</c:v>
                </c:pt>
                <c:pt idx="44">
                  <c:v>16.04166666666667</c:v>
                </c:pt>
                <c:pt idx="45">
                  <c:v>15.625</c:v>
                </c:pt>
                <c:pt idx="46">
                  <c:v>15.20833333333333</c:v>
                </c:pt>
                <c:pt idx="47">
                  <c:v>14.79166666666667</c:v>
                </c:pt>
                <c:pt idx="48">
                  <c:v>14.375</c:v>
                </c:pt>
                <c:pt idx="49">
                  <c:v>13.95833333333333</c:v>
                </c:pt>
                <c:pt idx="50">
                  <c:v>13.54166666666667</c:v>
                </c:pt>
                <c:pt idx="51">
                  <c:v>13.83333333333333</c:v>
                </c:pt>
                <c:pt idx="52">
                  <c:v>14.125</c:v>
                </c:pt>
                <c:pt idx="53">
                  <c:v>14.41666666666667</c:v>
                </c:pt>
                <c:pt idx="54">
                  <c:v>14.70833333333333</c:v>
                </c:pt>
                <c:pt idx="55">
                  <c:v>15.0</c:v>
                </c:pt>
                <c:pt idx="56">
                  <c:v>15.29166666666667</c:v>
                </c:pt>
                <c:pt idx="57">
                  <c:v>15.58333333333333</c:v>
                </c:pt>
                <c:pt idx="58">
                  <c:v>15.875</c:v>
                </c:pt>
                <c:pt idx="59">
                  <c:v>16.16666666666667</c:v>
                </c:pt>
                <c:pt idx="60">
                  <c:v>16.45833333333333</c:v>
                </c:pt>
                <c:pt idx="61">
                  <c:v>16.04166666666667</c:v>
                </c:pt>
                <c:pt idx="62">
                  <c:v>15.625</c:v>
                </c:pt>
                <c:pt idx="63">
                  <c:v>15.20833333333333</c:v>
                </c:pt>
                <c:pt idx="64">
                  <c:v>14.79166666666667</c:v>
                </c:pt>
                <c:pt idx="65">
                  <c:v>14.375</c:v>
                </c:pt>
                <c:pt idx="66">
                  <c:v>13.95833333333333</c:v>
                </c:pt>
                <c:pt idx="67">
                  <c:v>13.54166666666667</c:v>
                </c:pt>
                <c:pt idx="68">
                  <c:v>13.83333333333333</c:v>
                </c:pt>
                <c:pt idx="69">
                  <c:v>14.125</c:v>
                </c:pt>
                <c:pt idx="70">
                  <c:v>14.41666666666667</c:v>
                </c:pt>
                <c:pt idx="71">
                  <c:v>14.70833333333333</c:v>
                </c:pt>
                <c:pt idx="72">
                  <c:v>15.0</c:v>
                </c:pt>
                <c:pt idx="73">
                  <c:v>15.29166666666667</c:v>
                </c:pt>
                <c:pt idx="74">
                  <c:v>15.58333333333333</c:v>
                </c:pt>
                <c:pt idx="75">
                  <c:v>15.875</c:v>
                </c:pt>
              </c:numCache>
            </c:numRef>
          </c:val>
        </c:ser>
        <c:ser>
          <c:idx val="23"/>
          <c:order val="23"/>
          <c:tx>
            <c:strRef>
              <c:f>LinearOffsetAnalysis!$AZ$1</c:f>
              <c:strCache>
                <c:ptCount val="1"/>
                <c:pt idx="0">
                  <c:v>X</c:v>
                </c:pt>
              </c:strCache>
            </c:strRef>
          </c:tx>
          <c:marker>
            <c:symbol val="none"/>
          </c:marker>
          <c:val>
            <c:numRef>
              <c:f>LinearOffsetAnalysis!$AZ$2:$AZ$78</c:f>
              <c:numCache>
                <c:formatCode>0.0</c:formatCode>
                <c:ptCount val="77"/>
                <c:pt idx="0">
                  <c:v>14.83333333333333</c:v>
                </c:pt>
                <c:pt idx="1">
                  <c:v>15.125</c:v>
                </c:pt>
                <c:pt idx="2">
                  <c:v>15.41666666666667</c:v>
                </c:pt>
                <c:pt idx="3">
                  <c:v>15.70833333333333</c:v>
                </c:pt>
                <c:pt idx="4">
                  <c:v>16.0</c:v>
                </c:pt>
                <c:pt idx="5">
                  <c:v>16.29166666666667</c:v>
                </c:pt>
                <c:pt idx="6">
                  <c:v>16.58333333333333</c:v>
                </c:pt>
                <c:pt idx="7">
                  <c:v>16.875</c:v>
                </c:pt>
                <c:pt idx="8">
                  <c:v>17.16666666666667</c:v>
                </c:pt>
                <c:pt idx="9">
                  <c:v>17.45833333333333</c:v>
                </c:pt>
                <c:pt idx="10">
                  <c:v>17.04166666666667</c:v>
                </c:pt>
                <c:pt idx="11">
                  <c:v>16.625</c:v>
                </c:pt>
                <c:pt idx="12">
                  <c:v>16.20833333333333</c:v>
                </c:pt>
                <c:pt idx="13">
                  <c:v>15.79166666666667</c:v>
                </c:pt>
                <c:pt idx="14">
                  <c:v>15.375</c:v>
                </c:pt>
                <c:pt idx="15">
                  <c:v>14.95833333333333</c:v>
                </c:pt>
                <c:pt idx="16">
                  <c:v>14.54166666666667</c:v>
                </c:pt>
                <c:pt idx="17">
                  <c:v>14.83333333333333</c:v>
                </c:pt>
                <c:pt idx="18">
                  <c:v>15.125</c:v>
                </c:pt>
                <c:pt idx="19">
                  <c:v>15.41666666666667</c:v>
                </c:pt>
                <c:pt idx="20">
                  <c:v>15.70833333333333</c:v>
                </c:pt>
                <c:pt idx="21">
                  <c:v>16.0</c:v>
                </c:pt>
                <c:pt idx="22">
                  <c:v>16.29166666666667</c:v>
                </c:pt>
                <c:pt idx="23">
                  <c:v>16.58333333333333</c:v>
                </c:pt>
                <c:pt idx="24">
                  <c:v>16.875</c:v>
                </c:pt>
                <c:pt idx="25">
                  <c:v>17.16666666666667</c:v>
                </c:pt>
                <c:pt idx="26">
                  <c:v>17.45833333333333</c:v>
                </c:pt>
                <c:pt idx="27">
                  <c:v>17.04166666666667</c:v>
                </c:pt>
                <c:pt idx="28">
                  <c:v>16.625</c:v>
                </c:pt>
                <c:pt idx="29">
                  <c:v>16.20833333333333</c:v>
                </c:pt>
                <c:pt idx="30">
                  <c:v>15.79166666666667</c:v>
                </c:pt>
                <c:pt idx="31">
                  <c:v>15.375</c:v>
                </c:pt>
                <c:pt idx="32">
                  <c:v>14.95833333333333</c:v>
                </c:pt>
                <c:pt idx="33">
                  <c:v>14.54166666666667</c:v>
                </c:pt>
                <c:pt idx="34">
                  <c:v>14.83333333333333</c:v>
                </c:pt>
                <c:pt idx="35">
                  <c:v>15.125</c:v>
                </c:pt>
                <c:pt idx="36">
                  <c:v>15.41666666666667</c:v>
                </c:pt>
                <c:pt idx="37">
                  <c:v>15.70833333333333</c:v>
                </c:pt>
                <c:pt idx="38">
                  <c:v>16.0</c:v>
                </c:pt>
                <c:pt idx="39">
                  <c:v>16.29166666666667</c:v>
                </c:pt>
                <c:pt idx="40">
                  <c:v>16.58333333333333</c:v>
                </c:pt>
                <c:pt idx="41">
                  <c:v>16.875</c:v>
                </c:pt>
                <c:pt idx="42">
                  <c:v>17.16666666666667</c:v>
                </c:pt>
                <c:pt idx="43">
                  <c:v>17.45833333333333</c:v>
                </c:pt>
                <c:pt idx="44">
                  <c:v>17.04166666666667</c:v>
                </c:pt>
                <c:pt idx="45">
                  <c:v>16.625</c:v>
                </c:pt>
                <c:pt idx="46">
                  <c:v>16.20833333333333</c:v>
                </c:pt>
                <c:pt idx="47">
                  <c:v>15.79166666666667</c:v>
                </c:pt>
                <c:pt idx="48">
                  <c:v>15.375</c:v>
                </c:pt>
                <c:pt idx="49">
                  <c:v>14.95833333333333</c:v>
                </c:pt>
                <c:pt idx="50">
                  <c:v>14.54166666666667</c:v>
                </c:pt>
                <c:pt idx="51">
                  <c:v>14.83333333333333</c:v>
                </c:pt>
                <c:pt idx="52">
                  <c:v>15.125</c:v>
                </c:pt>
                <c:pt idx="53">
                  <c:v>15.41666666666667</c:v>
                </c:pt>
                <c:pt idx="54">
                  <c:v>15.70833333333333</c:v>
                </c:pt>
                <c:pt idx="55">
                  <c:v>16.0</c:v>
                </c:pt>
                <c:pt idx="56">
                  <c:v>16.29166666666667</c:v>
                </c:pt>
                <c:pt idx="57">
                  <c:v>16.58333333333333</c:v>
                </c:pt>
                <c:pt idx="58">
                  <c:v>16.875</c:v>
                </c:pt>
                <c:pt idx="59">
                  <c:v>17.16666666666667</c:v>
                </c:pt>
                <c:pt idx="60">
                  <c:v>17.45833333333333</c:v>
                </c:pt>
                <c:pt idx="61">
                  <c:v>17.04166666666667</c:v>
                </c:pt>
                <c:pt idx="62">
                  <c:v>16.625</c:v>
                </c:pt>
                <c:pt idx="63">
                  <c:v>16.20833333333333</c:v>
                </c:pt>
                <c:pt idx="64">
                  <c:v>15.79166666666667</c:v>
                </c:pt>
                <c:pt idx="65">
                  <c:v>15.375</c:v>
                </c:pt>
                <c:pt idx="66">
                  <c:v>14.95833333333333</c:v>
                </c:pt>
                <c:pt idx="67">
                  <c:v>14.54166666666667</c:v>
                </c:pt>
                <c:pt idx="68">
                  <c:v>14.83333333333333</c:v>
                </c:pt>
                <c:pt idx="69">
                  <c:v>15.125</c:v>
                </c:pt>
                <c:pt idx="70">
                  <c:v>15.41666666666667</c:v>
                </c:pt>
                <c:pt idx="71">
                  <c:v>15.70833333333333</c:v>
                </c:pt>
                <c:pt idx="72">
                  <c:v>16.0</c:v>
                </c:pt>
                <c:pt idx="73">
                  <c:v>16.29166666666667</c:v>
                </c:pt>
                <c:pt idx="74">
                  <c:v>16.58333333333333</c:v>
                </c:pt>
                <c:pt idx="75">
                  <c:v>16.875</c:v>
                </c:pt>
              </c:numCache>
            </c:numRef>
          </c:val>
        </c:ser>
        <c:ser>
          <c:idx val="24"/>
          <c:order val="24"/>
          <c:tx>
            <c:strRef>
              <c:f>LinearOffsetAnalysis!$BA$1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val>
            <c:numRef>
              <c:f>LinearOffsetAnalysis!$BA$2:$BA$78</c:f>
              <c:numCache>
                <c:formatCode>0.0</c:formatCode>
                <c:ptCount val="77"/>
                <c:pt idx="0">
                  <c:v>15.83333333333333</c:v>
                </c:pt>
                <c:pt idx="1">
                  <c:v>16.125</c:v>
                </c:pt>
                <c:pt idx="2">
                  <c:v>16.41666666666667</c:v>
                </c:pt>
                <c:pt idx="3">
                  <c:v>16.70833333333333</c:v>
                </c:pt>
                <c:pt idx="4">
                  <c:v>17.0</c:v>
                </c:pt>
                <c:pt idx="5">
                  <c:v>17.29166666666667</c:v>
                </c:pt>
                <c:pt idx="6">
                  <c:v>17.58333333333333</c:v>
                </c:pt>
                <c:pt idx="7">
                  <c:v>17.875</c:v>
                </c:pt>
                <c:pt idx="8">
                  <c:v>18.16666666666667</c:v>
                </c:pt>
                <c:pt idx="9">
                  <c:v>18.45833333333333</c:v>
                </c:pt>
                <c:pt idx="10">
                  <c:v>18.04166666666667</c:v>
                </c:pt>
                <c:pt idx="11">
                  <c:v>17.625</c:v>
                </c:pt>
                <c:pt idx="12">
                  <c:v>17.20833333333333</c:v>
                </c:pt>
                <c:pt idx="13">
                  <c:v>16.79166666666667</c:v>
                </c:pt>
                <c:pt idx="14">
                  <c:v>16.375</c:v>
                </c:pt>
                <c:pt idx="15">
                  <c:v>15.95833333333333</c:v>
                </c:pt>
                <c:pt idx="16">
                  <c:v>15.54166666666667</c:v>
                </c:pt>
                <c:pt idx="17">
                  <c:v>15.83333333333333</c:v>
                </c:pt>
                <c:pt idx="18">
                  <c:v>16.125</c:v>
                </c:pt>
                <c:pt idx="19">
                  <c:v>16.41666666666667</c:v>
                </c:pt>
                <c:pt idx="20">
                  <c:v>16.70833333333333</c:v>
                </c:pt>
                <c:pt idx="21">
                  <c:v>17.0</c:v>
                </c:pt>
                <c:pt idx="22">
                  <c:v>17.29166666666667</c:v>
                </c:pt>
                <c:pt idx="23">
                  <c:v>17.58333333333333</c:v>
                </c:pt>
                <c:pt idx="24">
                  <c:v>17.875</c:v>
                </c:pt>
                <c:pt idx="25">
                  <c:v>18.16666666666667</c:v>
                </c:pt>
                <c:pt idx="26">
                  <c:v>18.45833333333333</c:v>
                </c:pt>
                <c:pt idx="27">
                  <c:v>18.04166666666667</c:v>
                </c:pt>
                <c:pt idx="28">
                  <c:v>17.625</c:v>
                </c:pt>
                <c:pt idx="29">
                  <c:v>17.20833333333333</c:v>
                </c:pt>
                <c:pt idx="30">
                  <c:v>16.79166666666667</c:v>
                </c:pt>
                <c:pt idx="31">
                  <c:v>16.375</c:v>
                </c:pt>
                <c:pt idx="32">
                  <c:v>15.95833333333333</c:v>
                </c:pt>
                <c:pt idx="33">
                  <c:v>15.54166666666667</c:v>
                </c:pt>
                <c:pt idx="34">
                  <c:v>15.83333333333333</c:v>
                </c:pt>
                <c:pt idx="35">
                  <c:v>16.125</c:v>
                </c:pt>
                <c:pt idx="36">
                  <c:v>16.41666666666667</c:v>
                </c:pt>
                <c:pt idx="37">
                  <c:v>16.70833333333333</c:v>
                </c:pt>
                <c:pt idx="38">
                  <c:v>17.0</c:v>
                </c:pt>
                <c:pt idx="39">
                  <c:v>17.29166666666667</c:v>
                </c:pt>
                <c:pt idx="40">
                  <c:v>17.58333333333333</c:v>
                </c:pt>
                <c:pt idx="41">
                  <c:v>17.875</c:v>
                </c:pt>
                <c:pt idx="42">
                  <c:v>18.16666666666667</c:v>
                </c:pt>
                <c:pt idx="43">
                  <c:v>18.45833333333333</c:v>
                </c:pt>
                <c:pt idx="44">
                  <c:v>18.04166666666667</c:v>
                </c:pt>
                <c:pt idx="45">
                  <c:v>17.625</c:v>
                </c:pt>
                <c:pt idx="46">
                  <c:v>17.20833333333333</c:v>
                </c:pt>
                <c:pt idx="47">
                  <c:v>16.79166666666667</c:v>
                </c:pt>
                <c:pt idx="48">
                  <c:v>16.375</c:v>
                </c:pt>
                <c:pt idx="49">
                  <c:v>15.95833333333333</c:v>
                </c:pt>
                <c:pt idx="50">
                  <c:v>15.54166666666667</c:v>
                </c:pt>
                <c:pt idx="51">
                  <c:v>15.83333333333333</c:v>
                </c:pt>
                <c:pt idx="52">
                  <c:v>16.125</c:v>
                </c:pt>
                <c:pt idx="53">
                  <c:v>16.41666666666667</c:v>
                </c:pt>
                <c:pt idx="54">
                  <c:v>16.70833333333333</c:v>
                </c:pt>
                <c:pt idx="55">
                  <c:v>17.0</c:v>
                </c:pt>
                <c:pt idx="56">
                  <c:v>17.29166666666667</c:v>
                </c:pt>
                <c:pt idx="57">
                  <c:v>17.58333333333333</c:v>
                </c:pt>
                <c:pt idx="58">
                  <c:v>17.875</c:v>
                </c:pt>
                <c:pt idx="59">
                  <c:v>18.16666666666667</c:v>
                </c:pt>
                <c:pt idx="60">
                  <c:v>18.45833333333333</c:v>
                </c:pt>
                <c:pt idx="61">
                  <c:v>18.04166666666667</c:v>
                </c:pt>
                <c:pt idx="62">
                  <c:v>17.625</c:v>
                </c:pt>
                <c:pt idx="63">
                  <c:v>17.20833333333333</c:v>
                </c:pt>
                <c:pt idx="64">
                  <c:v>16.79166666666667</c:v>
                </c:pt>
                <c:pt idx="65">
                  <c:v>16.375</c:v>
                </c:pt>
                <c:pt idx="66">
                  <c:v>15.95833333333333</c:v>
                </c:pt>
                <c:pt idx="67">
                  <c:v>15.54166666666667</c:v>
                </c:pt>
                <c:pt idx="68">
                  <c:v>15.83333333333333</c:v>
                </c:pt>
                <c:pt idx="69">
                  <c:v>16.125</c:v>
                </c:pt>
                <c:pt idx="70">
                  <c:v>16.41666666666667</c:v>
                </c:pt>
                <c:pt idx="71">
                  <c:v>16.70833333333333</c:v>
                </c:pt>
                <c:pt idx="72">
                  <c:v>17.0</c:v>
                </c:pt>
                <c:pt idx="73">
                  <c:v>17.29166666666667</c:v>
                </c:pt>
                <c:pt idx="74">
                  <c:v>17.58333333333333</c:v>
                </c:pt>
                <c:pt idx="75">
                  <c:v>17.875</c:v>
                </c:pt>
              </c:numCache>
            </c:numRef>
          </c:val>
        </c:ser>
        <c:ser>
          <c:idx val="25"/>
          <c:order val="25"/>
          <c:tx>
            <c:strRef>
              <c:f>LinearOffsetAnalysis!$BB$1</c:f>
              <c:strCache>
                <c:ptCount val="1"/>
                <c:pt idx="0">
                  <c:v>Z</c:v>
                </c:pt>
              </c:strCache>
            </c:strRef>
          </c:tx>
          <c:marker>
            <c:symbol val="none"/>
          </c:marker>
          <c:val>
            <c:numRef>
              <c:f>LinearOffsetAnalysis!$BB$2:$BB$78</c:f>
              <c:numCache>
                <c:formatCode>0.0</c:formatCode>
                <c:ptCount val="77"/>
                <c:pt idx="0">
                  <c:v>15.75</c:v>
                </c:pt>
                <c:pt idx="1">
                  <c:v>16.04166666666667</c:v>
                </c:pt>
                <c:pt idx="2">
                  <c:v>16.33333333333333</c:v>
                </c:pt>
                <c:pt idx="3">
                  <c:v>16.625</c:v>
                </c:pt>
                <c:pt idx="4">
                  <c:v>16.91666666666667</c:v>
                </c:pt>
                <c:pt idx="5">
                  <c:v>17.20833333333333</c:v>
                </c:pt>
                <c:pt idx="6">
                  <c:v>17.5</c:v>
                </c:pt>
                <c:pt idx="7">
                  <c:v>17.79166666666667</c:v>
                </c:pt>
                <c:pt idx="8">
                  <c:v>18.08333333333333</c:v>
                </c:pt>
                <c:pt idx="9">
                  <c:v>17.29166666666667</c:v>
                </c:pt>
                <c:pt idx="10">
                  <c:v>16.875</c:v>
                </c:pt>
                <c:pt idx="11">
                  <c:v>16.45833333333333</c:v>
                </c:pt>
                <c:pt idx="12">
                  <c:v>16.04166666666667</c:v>
                </c:pt>
                <c:pt idx="13">
                  <c:v>15.625</c:v>
                </c:pt>
                <c:pt idx="14">
                  <c:v>15.20833333333333</c:v>
                </c:pt>
                <c:pt idx="15">
                  <c:v>14.79166666666667</c:v>
                </c:pt>
                <c:pt idx="16">
                  <c:v>15.45833333333333</c:v>
                </c:pt>
                <c:pt idx="17">
                  <c:v>15.75</c:v>
                </c:pt>
                <c:pt idx="18">
                  <c:v>16.04166666666667</c:v>
                </c:pt>
                <c:pt idx="19">
                  <c:v>16.33333333333333</c:v>
                </c:pt>
                <c:pt idx="20">
                  <c:v>16.625</c:v>
                </c:pt>
                <c:pt idx="21">
                  <c:v>16.91666666666667</c:v>
                </c:pt>
                <c:pt idx="22">
                  <c:v>17.20833333333333</c:v>
                </c:pt>
                <c:pt idx="23">
                  <c:v>17.5</c:v>
                </c:pt>
                <c:pt idx="24">
                  <c:v>17.79166666666667</c:v>
                </c:pt>
                <c:pt idx="25">
                  <c:v>18.08333333333333</c:v>
                </c:pt>
                <c:pt idx="26">
                  <c:v>17.29166666666667</c:v>
                </c:pt>
                <c:pt idx="27">
                  <c:v>16.875</c:v>
                </c:pt>
                <c:pt idx="28">
                  <c:v>16.45833333333333</c:v>
                </c:pt>
                <c:pt idx="29">
                  <c:v>16.04166666666667</c:v>
                </c:pt>
                <c:pt idx="30">
                  <c:v>15.625</c:v>
                </c:pt>
                <c:pt idx="31">
                  <c:v>15.20833333333333</c:v>
                </c:pt>
                <c:pt idx="32">
                  <c:v>14.79166666666667</c:v>
                </c:pt>
                <c:pt idx="33">
                  <c:v>15.45833333333333</c:v>
                </c:pt>
                <c:pt idx="34">
                  <c:v>15.75</c:v>
                </c:pt>
                <c:pt idx="35">
                  <c:v>16.04166666666667</c:v>
                </c:pt>
                <c:pt idx="36">
                  <c:v>16.33333333333333</c:v>
                </c:pt>
                <c:pt idx="37">
                  <c:v>16.625</c:v>
                </c:pt>
                <c:pt idx="38">
                  <c:v>16.91666666666667</c:v>
                </c:pt>
                <c:pt idx="39">
                  <c:v>17.20833333333333</c:v>
                </c:pt>
                <c:pt idx="40">
                  <c:v>17.5</c:v>
                </c:pt>
                <c:pt idx="41">
                  <c:v>17.79166666666667</c:v>
                </c:pt>
                <c:pt idx="42">
                  <c:v>18.08333333333333</c:v>
                </c:pt>
                <c:pt idx="43">
                  <c:v>17.29166666666667</c:v>
                </c:pt>
                <c:pt idx="44">
                  <c:v>16.875</c:v>
                </c:pt>
                <c:pt idx="45">
                  <c:v>16.45833333333333</c:v>
                </c:pt>
                <c:pt idx="46">
                  <c:v>16.04166666666667</c:v>
                </c:pt>
                <c:pt idx="47">
                  <c:v>15.625</c:v>
                </c:pt>
                <c:pt idx="48">
                  <c:v>15.20833333333333</c:v>
                </c:pt>
                <c:pt idx="49">
                  <c:v>14.79166666666667</c:v>
                </c:pt>
                <c:pt idx="50">
                  <c:v>15.45833333333333</c:v>
                </c:pt>
                <c:pt idx="51">
                  <c:v>15.75</c:v>
                </c:pt>
                <c:pt idx="52">
                  <c:v>16.04166666666667</c:v>
                </c:pt>
                <c:pt idx="53">
                  <c:v>16.33333333333333</c:v>
                </c:pt>
                <c:pt idx="54">
                  <c:v>16.625</c:v>
                </c:pt>
                <c:pt idx="55">
                  <c:v>16.91666666666667</c:v>
                </c:pt>
                <c:pt idx="56">
                  <c:v>17.20833333333333</c:v>
                </c:pt>
                <c:pt idx="57">
                  <c:v>17.5</c:v>
                </c:pt>
                <c:pt idx="58">
                  <c:v>17.79166666666667</c:v>
                </c:pt>
                <c:pt idx="59">
                  <c:v>18.08333333333333</c:v>
                </c:pt>
                <c:pt idx="60">
                  <c:v>17.29166666666667</c:v>
                </c:pt>
                <c:pt idx="61">
                  <c:v>16.875</c:v>
                </c:pt>
                <c:pt idx="62">
                  <c:v>16.45833333333333</c:v>
                </c:pt>
                <c:pt idx="63">
                  <c:v>16.04166666666667</c:v>
                </c:pt>
                <c:pt idx="64">
                  <c:v>15.625</c:v>
                </c:pt>
                <c:pt idx="65">
                  <c:v>15.20833333333333</c:v>
                </c:pt>
                <c:pt idx="66">
                  <c:v>14.79166666666667</c:v>
                </c:pt>
                <c:pt idx="67">
                  <c:v>15.45833333333333</c:v>
                </c:pt>
                <c:pt idx="68">
                  <c:v>15.75</c:v>
                </c:pt>
                <c:pt idx="69">
                  <c:v>16.04166666666667</c:v>
                </c:pt>
                <c:pt idx="70">
                  <c:v>16.33333333333333</c:v>
                </c:pt>
                <c:pt idx="71">
                  <c:v>16.625</c:v>
                </c:pt>
                <c:pt idx="72">
                  <c:v>16.91666666666667</c:v>
                </c:pt>
                <c:pt idx="73">
                  <c:v>17.20833333333333</c:v>
                </c:pt>
                <c:pt idx="74">
                  <c:v>17.5</c:v>
                </c:pt>
                <c:pt idx="75">
                  <c:v>17.79166666666667</c:v>
                </c:pt>
              </c:numCache>
            </c:numRef>
          </c:val>
        </c:ser>
        <c:marker val="1"/>
        <c:axId val="445709704"/>
        <c:axId val="445712648"/>
      </c:lineChart>
      <c:catAx>
        <c:axId val="445709704"/>
        <c:scaling>
          <c:orientation val="minMax"/>
        </c:scaling>
        <c:axPos val="b"/>
        <c:tickLblPos val="nextTo"/>
        <c:crossAx val="445712648"/>
        <c:crosses val="autoZero"/>
        <c:auto val="1"/>
        <c:lblAlgn val="ctr"/>
        <c:lblOffset val="100"/>
      </c:catAx>
      <c:valAx>
        <c:axId val="445712648"/>
        <c:scaling>
          <c:orientation val="minMax"/>
        </c:scaling>
        <c:axPos val="l"/>
        <c:majorGridlines/>
        <c:numFmt formatCode="0.0" sourceLinked="1"/>
        <c:tickLblPos val="nextTo"/>
        <c:crossAx val="4457097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plotArea>
      <c:layout/>
      <c:scatterChart>
        <c:scatterStyle val="lineMarker"/>
        <c:ser>
          <c:idx val="0"/>
          <c:order val="0"/>
          <c:tx>
            <c:strRef>
              <c:f>Sheet1!$I$1</c:f>
              <c:strCache>
                <c:ptCount val="1"/>
                <c:pt idx="0">
                  <c:v>First50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Sheet1!$B$2:$B$28</c:f>
              <c:numCache>
                <c:formatCode>General</c:formatCode>
                <c:ptCount val="27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</c:numCache>
            </c:numRef>
          </c:xVal>
          <c:yVal>
            <c:numRef>
              <c:f>Sheet1!$I$2:$I$28</c:f>
              <c:numCache>
                <c:formatCode>General</c:formatCode>
                <c:ptCount val="27"/>
                <c:pt idx="0">
                  <c:v>12.91666666666667</c:v>
                </c:pt>
                <c:pt idx="1">
                  <c:v>12.91666666666667</c:v>
                </c:pt>
                <c:pt idx="2">
                  <c:v>13.25</c:v>
                </c:pt>
                <c:pt idx="3">
                  <c:v>13.20833333333333</c:v>
                </c:pt>
                <c:pt idx="4">
                  <c:v>12.83333333333333</c:v>
                </c:pt>
                <c:pt idx="5">
                  <c:v>12.41666666666667</c:v>
                </c:pt>
                <c:pt idx="6">
                  <c:v>12.08333333333333</c:v>
                </c:pt>
                <c:pt idx="7">
                  <c:v>12.16666666666667</c:v>
                </c:pt>
                <c:pt idx="8">
                  <c:v>11.70833333333333</c:v>
                </c:pt>
                <c:pt idx="9">
                  <c:v>11.91666666666667</c:v>
                </c:pt>
                <c:pt idx="10">
                  <c:v>12.08333333333333</c:v>
                </c:pt>
                <c:pt idx="11">
                  <c:v>12.25</c:v>
                </c:pt>
                <c:pt idx="12">
                  <c:v>13.0</c:v>
                </c:pt>
                <c:pt idx="13">
                  <c:v>12.125</c:v>
                </c:pt>
                <c:pt idx="14">
                  <c:v>12.58333333333333</c:v>
                </c:pt>
                <c:pt idx="15">
                  <c:v>13.08333333333333</c:v>
                </c:pt>
                <c:pt idx="16">
                  <c:v>13.79166666666667</c:v>
                </c:pt>
                <c:pt idx="17">
                  <c:v>13.16666666666667</c:v>
                </c:pt>
                <c:pt idx="18">
                  <c:v>13.33333333333333</c:v>
                </c:pt>
                <c:pt idx="19">
                  <c:v>13.75</c:v>
                </c:pt>
                <c:pt idx="20">
                  <c:v>14.16666666666667</c:v>
                </c:pt>
                <c:pt idx="21">
                  <c:v>13.125</c:v>
                </c:pt>
                <c:pt idx="22">
                  <c:v>13.04166666666667</c:v>
                </c:pt>
                <c:pt idx="23">
                  <c:v>13.33333333333333</c:v>
                </c:pt>
                <c:pt idx="24">
                  <c:v>13.375</c:v>
                </c:pt>
                <c:pt idx="25">
                  <c:v>13.125</c:v>
                </c:pt>
                <c:pt idx="26">
                  <c:v>13.25</c:v>
                </c:pt>
              </c:numCache>
            </c:numRef>
          </c:yVal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second50</c:v>
                </c:pt>
              </c:strCache>
            </c:strRef>
          </c:tx>
          <c:spPr>
            <a:ln w="28575">
              <a:noFill/>
            </a:ln>
          </c:spPr>
          <c:xVal>
            <c:numRef>
              <c:f>Sheet1!$B$2:$B$28</c:f>
              <c:numCache>
                <c:formatCode>General</c:formatCode>
                <c:ptCount val="27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  <c:pt idx="13">
                  <c:v>14.0</c:v>
                </c:pt>
                <c:pt idx="14">
                  <c:v>15.0</c:v>
                </c:pt>
                <c:pt idx="15">
                  <c:v>16.0</c:v>
                </c:pt>
                <c:pt idx="16">
                  <c:v>17.0</c:v>
                </c:pt>
                <c:pt idx="17">
                  <c:v>18.0</c:v>
                </c:pt>
                <c:pt idx="18">
                  <c:v>19.0</c:v>
                </c:pt>
                <c:pt idx="19">
                  <c:v>20.0</c:v>
                </c:pt>
                <c:pt idx="20">
                  <c:v>21.0</c:v>
                </c:pt>
                <c:pt idx="21">
                  <c:v>22.0</c:v>
                </c:pt>
                <c:pt idx="22">
                  <c:v>23.0</c:v>
                </c:pt>
                <c:pt idx="23">
                  <c:v>24.0</c:v>
                </c:pt>
                <c:pt idx="24">
                  <c:v>25.0</c:v>
                </c:pt>
                <c:pt idx="25">
                  <c:v>26.0</c:v>
                </c:pt>
                <c:pt idx="26">
                  <c:v>27.0</c:v>
                </c:pt>
              </c:numCache>
            </c:numRef>
          </c:xVal>
          <c:yVal>
            <c:numRef>
              <c:f>Sheet1!$J$2:$J$28</c:f>
              <c:numCache>
                <c:formatCode>General</c:formatCode>
                <c:ptCount val="27"/>
                <c:pt idx="0">
                  <c:v>13.33333333333333</c:v>
                </c:pt>
                <c:pt idx="1">
                  <c:v>13.16666666666667</c:v>
                </c:pt>
                <c:pt idx="2">
                  <c:v>12.75</c:v>
                </c:pt>
                <c:pt idx="3">
                  <c:v>12.16666666666667</c:v>
                </c:pt>
                <c:pt idx="4">
                  <c:v>11.83333333333333</c:v>
                </c:pt>
                <c:pt idx="5">
                  <c:v>11.75</c:v>
                </c:pt>
                <c:pt idx="6">
                  <c:v>12.29166666666667</c:v>
                </c:pt>
                <c:pt idx="7">
                  <c:v>12.45833333333333</c:v>
                </c:pt>
                <c:pt idx="8">
                  <c:v>11.45833333333333</c:v>
                </c:pt>
                <c:pt idx="9">
                  <c:v>11.41666666666667</c:v>
                </c:pt>
                <c:pt idx="10">
                  <c:v>12.0</c:v>
                </c:pt>
                <c:pt idx="11">
                  <c:v>12.20833333333333</c:v>
                </c:pt>
                <c:pt idx="12">
                  <c:v>12.66666666666667</c:v>
                </c:pt>
                <c:pt idx="13">
                  <c:v>12.375</c:v>
                </c:pt>
                <c:pt idx="14">
                  <c:v>13.08333333333333</c:v>
                </c:pt>
                <c:pt idx="15">
                  <c:v>12.79166666666667</c:v>
                </c:pt>
                <c:pt idx="16">
                  <c:v>13.41666666666667</c:v>
                </c:pt>
                <c:pt idx="17">
                  <c:v>12.95833333333333</c:v>
                </c:pt>
                <c:pt idx="18">
                  <c:v>12.70833333333333</c:v>
                </c:pt>
                <c:pt idx="19">
                  <c:v>11.79166666666667</c:v>
                </c:pt>
                <c:pt idx="20">
                  <c:v>11.41666666666667</c:v>
                </c:pt>
                <c:pt idx="21">
                  <c:v>12.33333333333333</c:v>
                </c:pt>
                <c:pt idx="22">
                  <c:v>12.91666666666667</c:v>
                </c:pt>
                <c:pt idx="23">
                  <c:v>12.70833333333333</c:v>
                </c:pt>
                <c:pt idx="24">
                  <c:v>12.79166666666667</c:v>
                </c:pt>
                <c:pt idx="25">
                  <c:v>12.83333333333333</c:v>
                </c:pt>
                <c:pt idx="26">
                  <c:v>13.0</c:v>
                </c:pt>
              </c:numCache>
            </c:numRef>
          </c:yVal>
        </c:ser>
        <c:axId val="500921256"/>
        <c:axId val="500918008"/>
      </c:scatterChart>
      <c:valAx>
        <c:axId val="500921256"/>
        <c:scaling>
          <c:orientation val="minMax"/>
        </c:scaling>
        <c:axPos val="b"/>
        <c:numFmt formatCode="General" sourceLinked="1"/>
        <c:tickLblPos val="nextTo"/>
        <c:crossAx val="500918008"/>
        <c:crosses val="autoZero"/>
        <c:crossBetween val="midCat"/>
      </c:valAx>
      <c:valAx>
        <c:axId val="500918008"/>
        <c:scaling>
          <c:orientation val="minMax"/>
        </c:scaling>
        <c:axPos val="l"/>
        <c:majorGridlines/>
        <c:numFmt formatCode="General" sourceLinked="1"/>
        <c:tickLblPos val="nextTo"/>
        <c:crossAx val="50092125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673100</xdr:colOff>
      <xdr:row>10</xdr:row>
      <xdr:rowOff>12700</xdr:rowOff>
    </xdr:from>
    <xdr:to>
      <xdr:col>51</xdr:col>
      <xdr:colOff>520700</xdr:colOff>
      <xdr:row>76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254000</xdr:colOff>
      <xdr:row>13</xdr:row>
      <xdr:rowOff>127000</xdr:rowOff>
    </xdr:from>
    <xdr:to>
      <xdr:col>28</xdr:col>
      <xdr:colOff>609600</xdr:colOff>
      <xdr:row>71</xdr:row>
      <xdr:rowOff>63500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BB100"/>
  <sheetViews>
    <sheetView workbookViewId="0">
      <selection activeCell="AV1" sqref="AV1"/>
    </sheetView>
  </sheetViews>
  <sheetFormatPr baseColWidth="10" defaultRowHeight="13"/>
  <cols>
    <col min="3" max="28" width="10.7109375" hidden="1" customWidth="1"/>
  </cols>
  <sheetData>
    <row r="1" spans="1:54">
      <c r="A1" t="s">
        <v>0</v>
      </c>
      <c r="B1" s="2">
        <v>17</v>
      </c>
      <c r="C1">
        <v>0</v>
      </c>
      <c r="D1">
        <f>C1+1</f>
        <v>1</v>
      </c>
      <c r="E1">
        <f t="shared" ref="E1:AB1" si="0">D1+1</f>
        <v>2</v>
      </c>
      <c r="F1">
        <f t="shared" si="0"/>
        <v>3</v>
      </c>
      <c r="G1">
        <f t="shared" si="0"/>
        <v>4</v>
      </c>
      <c r="H1">
        <f t="shared" si="0"/>
        <v>5</v>
      </c>
      <c r="I1">
        <f t="shared" si="0"/>
        <v>6</v>
      </c>
      <c r="J1">
        <f t="shared" si="0"/>
        <v>7</v>
      </c>
      <c r="K1">
        <f t="shared" si="0"/>
        <v>8</v>
      </c>
      <c r="L1">
        <f t="shared" si="0"/>
        <v>9</v>
      </c>
      <c r="M1">
        <f t="shared" si="0"/>
        <v>10</v>
      </c>
      <c r="N1">
        <f t="shared" si="0"/>
        <v>11</v>
      </c>
      <c r="O1">
        <f t="shared" si="0"/>
        <v>12</v>
      </c>
      <c r="P1">
        <f t="shared" si="0"/>
        <v>13</v>
      </c>
      <c r="Q1">
        <f t="shared" si="0"/>
        <v>14</v>
      </c>
      <c r="R1">
        <f t="shared" si="0"/>
        <v>15</v>
      </c>
      <c r="S1">
        <f t="shared" si="0"/>
        <v>16</v>
      </c>
      <c r="T1">
        <f t="shared" si="0"/>
        <v>17</v>
      </c>
      <c r="U1">
        <f t="shared" si="0"/>
        <v>18</v>
      </c>
      <c r="V1">
        <f t="shared" si="0"/>
        <v>19</v>
      </c>
      <c r="W1">
        <f t="shared" si="0"/>
        <v>20</v>
      </c>
      <c r="X1">
        <f t="shared" si="0"/>
        <v>21</v>
      </c>
      <c r="Y1">
        <f t="shared" si="0"/>
        <v>22</v>
      </c>
      <c r="Z1">
        <f t="shared" si="0"/>
        <v>23</v>
      </c>
      <c r="AA1">
        <f t="shared" si="0"/>
        <v>24</v>
      </c>
      <c r="AB1">
        <f t="shared" si="0"/>
        <v>25</v>
      </c>
      <c r="AC1" s="3" t="str">
        <f>CHAR(C1+65)</f>
        <v>A</v>
      </c>
      <c r="AD1" s="3" t="str">
        <f t="shared" ref="AD1:BB1" si="1">CHAR(D1+65)</f>
        <v>B</v>
      </c>
      <c r="AE1" s="3" t="str">
        <f t="shared" si="1"/>
        <v>C</v>
      </c>
      <c r="AF1" s="3" t="str">
        <f t="shared" si="1"/>
        <v>D</v>
      </c>
      <c r="AG1" s="3" t="str">
        <f t="shared" si="1"/>
        <v>E</v>
      </c>
      <c r="AH1" s="3" t="str">
        <f t="shared" si="1"/>
        <v>F</v>
      </c>
      <c r="AI1" s="3" t="str">
        <f t="shared" si="1"/>
        <v>G</v>
      </c>
      <c r="AJ1" s="3" t="str">
        <f t="shared" si="1"/>
        <v>H</v>
      </c>
      <c r="AK1" s="3" t="str">
        <f t="shared" si="1"/>
        <v>I</v>
      </c>
      <c r="AL1" s="3" t="str">
        <f t="shared" si="1"/>
        <v>J</v>
      </c>
      <c r="AM1" s="3" t="str">
        <f t="shared" si="1"/>
        <v>K</v>
      </c>
      <c r="AN1" s="3" t="str">
        <f t="shared" si="1"/>
        <v>L</v>
      </c>
      <c r="AO1" s="3" t="str">
        <f t="shared" si="1"/>
        <v>M</v>
      </c>
      <c r="AP1" s="3" t="str">
        <f t="shared" si="1"/>
        <v>N</v>
      </c>
      <c r="AQ1" s="3" t="str">
        <f t="shared" si="1"/>
        <v>O</v>
      </c>
      <c r="AR1" s="3" t="str">
        <f t="shared" si="1"/>
        <v>P</v>
      </c>
      <c r="AS1" s="3" t="str">
        <f t="shared" si="1"/>
        <v>Q</v>
      </c>
      <c r="AT1" s="3" t="str">
        <f t="shared" si="1"/>
        <v>R</v>
      </c>
      <c r="AU1" s="3" t="str">
        <f t="shared" si="1"/>
        <v>S</v>
      </c>
      <c r="AV1" s="4" t="str">
        <f t="shared" si="1"/>
        <v>T</v>
      </c>
      <c r="AW1" s="3" t="str">
        <f t="shared" si="1"/>
        <v>U</v>
      </c>
      <c r="AX1" s="3" t="str">
        <f t="shared" si="1"/>
        <v>V</v>
      </c>
      <c r="AY1" s="3" t="str">
        <f t="shared" si="1"/>
        <v>W</v>
      </c>
      <c r="AZ1" s="3" t="str">
        <f t="shared" si="1"/>
        <v>X</v>
      </c>
      <c r="BA1" s="3" t="str">
        <f t="shared" si="1"/>
        <v>Y</v>
      </c>
      <c r="BB1" s="3" t="str">
        <f t="shared" si="1"/>
        <v>Z</v>
      </c>
    </row>
    <row r="2" spans="1:54">
      <c r="A2">
        <f>1</f>
        <v>1</v>
      </c>
      <c r="B2">
        <f>MOD(A2,$B$1)</f>
        <v>1</v>
      </c>
      <c r="C2">
        <f>MOD($B2+11+C$1,26)</f>
        <v>12</v>
      </c>
      <c r="D2">
        <f t="shared" ref="D2:AB12" si="2">MOD($B2+11+D$1,26)</f>
        <v>13</v>
      </c>
      <c r="E2">
        <f t="shared" si="2"/>
        <v>14</v>
      </c>
      <c r="F2">
        <f t="shared" si="2"/>
        <v>15</v>
      </c>
      <c r="G2">
        <f t="shared" si="2"/>
        <v>16</v>
      </c>
      <c r="H2">
        <f t="shared" si="2"/>
        <v>17</v>
      </c>
      <c r="I2">
        <f t="shared" si="2"/>
        <v>18</v>
      </c>
      <c r="J2">
        <f t="shared" si="2"/>
        <v>19</v>
      </c>
      <c r="K2">
        <f t="shared" si="2"/>
        <v>20</v>
      </c>
      <c r="L2">
        <f t="shared" si="2"/>
        <v>21</v>
      </c>
      <c r="M2">
        <f t="shared" si="2"/>
        <v>22</v>
      </c>
      <c r="N2">
        <f t="shared" si="2"/>
        <v>23</v>
      </c>
      <c r="O2">
        <f t="shared" si="2"/>
        <v>24</v>
      </c>
      <c r="P2">
        <f t="shared" si="2"/>
        <v>25</v>
      </c>
      <c r="Q2">
        <f t="shared" si="2"/>
        <v>0</v>
      </c>
      <c r="R2">
        <f t="shared" si="2"/>
        <v>1</v>
      </c>
      <c r="S2">
        <f t="shared" si="2"/>
        <v>2</v>
      </c>
      <c r="T2">
        <f t="shared" si="2"/>
        <v>3</v>
      </c>
      <c r="U2">
        <f t="shared" si="2"/>
        <v>4</v>
      </c>
      <c r="V2">
        <f t="shared" si="2"/>
        <v>5</v>
      </c>
      <c r="W2">
        <f t="shared" si="2"/>
        <v>6</v>
      </c>
      <c r="X2">
        <f t="shared" si="2"/>
        <v>7</v>
      </c>
      <c r="Y2">
        <f t="shared" si="2"/>
        <v>8</v>
      </c>
      <c r="Z2">
        <f t="shared" si="2"/>
        <v>9</v>
      </c>
      <c r="AA2">
        <f t="shared" si="2"/>
        <v>10</v>
      </c>
      <c r="AB2">
        <f t="shared" si="2"/>
        <v>11</v>
      </c>
      <c r="AC2" s="1">
        <f>AVERAGE(C2:C25)</f>
        <v>15.666666666666666</v>
      </c>
      <c r="AD2" s="1">
        <f t="shared" ref="AD2:BB2" si="3">AVERAGE(D2:D25)</f>
        <v>15.583333333333334</v>
      </c>
      <c r="AE2" s="1">
        <f t="shared" si="3"/>
        <v>15.5</v>
      </c>
      <c r="AF2" s="1">
        <f t="shared" si="3"/>
        <v>15.416666666666666</v>
      </c>
      <c r="AG2" s="1">
        <f t="shared" si="3"/>
        <v>15.333333333333334</v>
      </c>
      <c r="AH2" s="1">
        <f t="shared" si="3"/>
        <v>15.25</v>
      </c>
      <c r="AI2" s="1">
        <f t="shared" si="3"/>
        <v>15.166666666666666</v>
      </c>
      <c r="AJ2" s="1">
        <f t="shared" si="3"/>
        <v>15.083333333333334</v>
      </c>
      <c r="AK2" s="1">
        <f t="shared" si="3"/>
        <v>13.916666666666666</v>
      </c>
      <c r="AL2" s="1">
        <f t="shared" si="3"/>
        <v>12.75</v>
      </c>
      <c r="AM2" s="1">
        <f t="shared" si="3"/>
        <v>11.583333333333334</v>
      </c>
      <c r="AN2" s="1">
        <f t="shared" si="3"/>
        <v>10.416666666666666</v>
      </c>
      <c r="AO2" s="1">
        <f t="shared" si="3"/>
        <v>9.25</v>
      </c>
      <c r="AP2" s="1">
        <f t="shared" si="3"/>
        <v>8.0833333333333339</v>
      </c>
      <c r="AQ2" s="1">
        <f t="shared" si="3"/>
        <v>6.916666666666667</v>
      </c>
      <c r="AR2" s="1">
        <f t="shared" si="3"/>
        <v>6.833333333333333</v>
      </c>
      <c r="AS2" s="1">
        <f t="shared" si="3"/>
        <v>7.833333333333333</v>
      </c>
      <c r="AT2" s="1">
        <f t="shared" si="3"/>
        <v>8.8333333333333339</v>
      </c>
      <c r="AU2" s="1">
        <f t="shared" si="3"/>
        <v>9.8333333333333339</v>
      </c>
      <c r="AV2" s="1">
        <f t="shared" si="3"/>
        <v>10.833333333333334</v>
      </c>
      <c r="AW2" s="1">
        <f t="shared" si="3"/>
        <v>11.833333333333334</v>
      </c>
      <c r="AX2" s="1">
        <f t="shared" si="3"/>
        <v>12.833333333333334</v>
      </c>
      <c r="AY2" s="1">
        <f t="shared" si="3"/>
        <v>13.833333333333334</v>
      </c>
      <c r="AZ2" s="1">
        <f t="shared" si="3"/>
        <v>14.833333333333334</v>
      </c>
      <c r="BA2" s="1">
        <f t="shared" si="3"/>
        <v>15.833333333333334</v>
      </c>
      <c r="BB2" s="1">
        <f t="shared" si="3"/>
        <v>15.75</v>
      </c>
    </row>
    <row r="3" spans="1:54">
      <c r="A3">
        <f>1+A2</f>
        <v>2</v>
      </c>
      <c r="B3">
        <f t="shared" ref="B3:B66" si="4">MOD(A3,$B$1)</f>
        <v>2</v>
      </c>
      <c r="C3">
        <f t="shared" ref="C3:R28" si="5">MOD($B3+11+C$1,26)</f>
        <v>13</v>
      </c>
      <c r="D3">
        <f t="shared" si="2"/>
        <v>14</v>
      </c>
      <c r="E3">
        <f t="shared" si="2"/>
        <v>15</v>
      </c>
      <c r="F3">
        <f t="shared" si="2"/>
        <v>16</v>
      </c>
      <c r="G3">
        <f t="shared" si="2"/>
        <v>17</v>
      </c>
      <c r="H3">
        <f t="shared" si="2"/>
        <v>18</v>
      </c>
      <c r="I3">
        <f t="shared" si="2"/>
        <v>19</v>
      </c>
      <c r="J3">
        <f t="shared" si="2"/>
        <v>20</v>
      </c>
      <c r="K3">
        <f t="shared" si="2"/>
        <v>21</v>
      </c>
      <c r="L3">
        <f t="shared" si="2"/>
        <v>22</v>
      </c>
      <c r="M3">
        <f t="shared" si="2"/>
        <v>23</v>
      </c>
      <c r="N3">
        <f t="shared" si="2"/>
        <v>24</v>
      </c>
      <c r="O3">
        <f t="shared" si="2"/>
        <v>25</v>
      </c>
      <c r="P3">
        <f t="shared" si="2"/>
        <v>0</v>
      </c>
      <c r="Q3">
        <f t="shared" si="2"/>
        <v>1</v>
      </c>
      <c r="R3">
        <f t="shared" si="2"/>
        <v>2</v>
      </c>
      <c r="S3">
        <f t="shared" si="2"/>
        <v>3</v>
      </c>
      <c r="T3">
        <f t="shared" si="2"/>
        <v>4</v>
      </c>
      <c r="U3">
        <f t="shared" si="2"/>
        <v>5</v>
      </c>
      <c r="V3">
        <f t="shared" si="2"/>
        <v>6</v>
      </c>
      <c r="W3">
        <f t="shared" si="2"/>
        <v>7</v>
      </c>
      <c r="X3">
        <f t="shared" si="2"/>
        <v>8</v>
      </c>
      <c r="Y3">
        <f t="shared" si="2"/>
        <v>9</v>
      </c>
      <c r="Z3">
        <f t="shared" si="2"/>
        <v>10</v>
      </c>
      <c r="AA3">
        <f t="shared" si="2"/>
        <v>11</v>
      </c>
      <c r="AB3">
        <f t="shared" si="2"/>
        <v>12</v>
      </c>
      <c r="AC3" s="1">
        <f t="shared" ref="AC3:AC66" si="6">AVERAGE(C3:C26)</f>
        <v>15.958333333333334</v>
      </c>
      <c r="AD3" s="1">
        <f t="shared" ref="AD3:AD66" si="7">AVERAGE(D3:D26)</f>
        <v>15.875</v>
      </c>
      <c r="AE3" s="1">
        <f t="shared" ref="AE3:AE66" si="8">AVERAGE(E3:E26)</f>
        <v>15.791666666666666</v>
      </c>
      <c r="AF3" s="1">
        <f t="shared" ref="AF3:AF66" si="9">AVERAGE(F3:F26)</f>
        <v>15.708333333333334</v>
      </c>
      <c r="AG3" s="1">
        <f t="shared" ref="AG3:AG66" si="10">AVERAGE(G3:G26)</f>
        <v>15.625</v>
      </c>
      <c r="AH3" s="1">
        <f t="shared" ref="AH3:AH66" si="11">AVERAGE(H3:H26)</f>
        <v>15.541666666666666</v>
      </c>
      <c r="AI3" s="1">
        <f t="shared" ref="AI3:AI66" si="12">AVERAGE(I3:I26)</f>
        <v>15.458333333333334</v>
      </c>
      <c r="AJ3" s="1">
        <f t="shared" ref="AJ3:AJ66" si="13">AVERAGE(J3:J26)</f>
        <v>14.291666666666666</v>
      </c>
      <c r="AK3" s="1">
        <f t="shared" ref="AK3:AK66" si="14">AVERAGE(K3:K26)</f>
        <v>13.125</v>
      </c>
      <c r="AL3" s="1">
        <f t="shared" ref="AL3:AL66" si="15">AVERAGE(L3:L26)</f>
        <v>11.958333333333334</v>
      </c>
      <c r="AM3" s="1">
        <f t="shared" ref="AM3:AM66" si="16">AVERAGE(M3:M26)</f>
        <v>10.791666666666666</v>
      </c>
      <c r="AN3" s="1">
        <f t="shared" ref="AN3:AN66" si="17">AVERAGE(N3:N26)</f>
        <v>9.625</v>
      </c>
      <c r="AO3" s="1">
        <f t="shared" ref="AO3:AO66" si="18">AVERAGE(O3:O26)</f>
        <v>8.4583333333333339</v>
      </c>
      <c r="AP3" s="1">
        <f t="shared" ref="AP3:AP66" si="19">AVERAGE(P3:P26)</f>
        <v>7.291666666666667</v>
      </c>
      <c r="AQ3" s="1">
        <f t="shared" ref="AQ3:AQ66" si="20">AVERAGE(Q3:Q26)</f>
        <v>7.208333333333333</v>
      </c>
      <c r="AR3" s="1">
        <f t="shared" ref="AR3:AR66" si="21">AVERAGE(R3:R26)</f>
        <v>7.125</v>
      </c>
      <c r="AS3" s="1">
        <f t="shared" ref="AS3:AS66" si="22">AVERAGE(S3:S26)</f>
        <v>8.125</v>
      </c>
      <c r="AT3" s="1">
        <f t="shared" ref="AT3:AT66" si="23">AVERAGE(T3:T26)</f>
        <v>9.125</v>
      </c>
      <c r="AU3" s="1">
        <f t="shared" ref="AU3:AU66" si="24">AVERAGE(U3:U26)</f>
        <v>10.125</v>
      </c>
      <c r="AV3" s="1">
        <f t="shared" ref="AV3:AV66" si="25">AVERAGE(V3:V26)</f>
        <v>11.125</v>
      </c>
      <c r="AW3" s="1">
        <f t="shared" ref="AW3:AW66" si="26">AVERAGE(W3:W26)</f>
        <v>12.125</v>
      </c>
      <c r="AX3" s="1">
        <f t="shared" ref="AX3:AX66" si="27">AVERAGE(X3:X26)</f>
        <v>13.125</v>
      </c>
      <c r="AY3" s="1">
        <f t="shared" ref="AY3:AY66" si="28">AVERAGE(Y3:Y26)</f>
        <v>14.125</v>
      </c>
      <c r="AZ3" s="1">
        <f t="shared" ref="AZ3:AZ66" si="29">AVERAGE(Z3:Z26)</f>
        <v>15.125</v>
      </c>
      <c r="BA3" s="1">
        <f t="shared" ref="BA3:BA66" si="30">AVERAGE(AA3:AA26)</f>
        <v>16.125</v>
      </c>
      <c r="BB3" s="1">
        <f t="shared" ref="BB3:BB66" si="31">AVERAGE(AB3:AB26)</f>
        <v>16.041666666666668</v>
      </c>
    </row>
    <row r="4" spans="1:54">
      <c r="A4">
        <f t="shared" ref="A4:A67" si="32">1+A3</f>
        <v>3</v>
      </c>
      <c r="B4">
        <f t="shared" si="4"/>
        <v>3</v>
      </c>
      <c r="C4">
        <f t="shared" si="5"/>
        <v>14</v>
      </c>
      <c r="D4">
        <f t="shared" si="2"/>
        <v>15</v>
      </c>
      <c r="E4">
        <f t="shared" si="2"/>
        <v>16</v>
      </c>
      <c r="F4">
        <f t="shared" si="2"/>
        <v>17</v>
      </c>
      <c r="G4">
        <f t="shared" si="2"/>
        <v>18</v>
      </c>
      <c r="H4">
        <f t="shared" si="2"/>
        <v>19</v>
      </c>
      <c r="I4">
        <f t="shared" si="2"/>
        <v>20</v>
      </c>
      <c r="J4">
        <f t="shared" si="2"/>
        <v>21</v>
      </c>
      <c r="K4">
        <f t="shared" si="2"/>
        <v>22</v>
      </c>
      <c r="L4">
        <f t="shared" si="2"/>
        <v>23</v>
      </c>
      <c r="M4">
        <f t="shared" si="2"/>
        <v>24</v>
      </c>
      <c r="N4">
        <f t="shared" si="2"/>
        <v>25</v>
      </c>
      <c r="O4">
        <f t="shared" si="2"/>
        <v>0</v>
      </c>
      <c r="P4">
        <f t="shared" si="2"/>
        <v>1</v>
      </c>
      <c r="Q4">
        <f t="shared" si="2"/>
        <v>2</v>
      </c>
      <c r="R4">
        <f t="shared" si="2"/>
        <v>3</v>
      </c>
      <c r="S4">
        <f t="shared" si="2"/>
        <v>4</v>
      </c>
      <c r="T4">
        <f t="shared" si="2"/>
        <v>5</v>
      </c>
      <c r="U4">
        <f t="shared" si="2"/>
        <v>6</v>
      </c>
      <c r="V4">
        <f t="shared" si="2"/>
        <v>7</v>
      </c>
      <c r="W4">
        <f t="shared" si="2"/>
        <v>8</v>
      </c>
      <c r="X4">
        <f t="shared" si="2"/>
        <v>9</v>
      </c>
      <c r="Y4">
        <f t="shared" si="2"/>
        <v>10</v>
      </c>
      <c r="Z4">
        <f t="shared" si="2"/>
        <v>11</v>
      </c>
      <c r="AA4">
        <f t="shared" si="2"/>
        <v>12</v>
      </c>
      <c r="AB4">
        <f t="shared" si="2"/>
        <v>13</v>
      </c>
      <c r="AC4" s="1">
        <f t="shared" si="6"/>
        <v>16.25</v>
      </c>
      <c r="AD4" s="1">
        <f t="shared" si="7"/>
        <v>16.166666666666668</v>
      </c>
      <c r="AE4" s="1">
        <f t="shared" si="8"/>
        <v>16.083333333333332</v>
      </c>
      <c r="AF4" s="1">
        <f t="shared" si="9"/>
        <v>16</v>
      </c>
      <c r="AG4" s="1">
        <f t="shared" si="10"/>
        <v>15.916666666666666</v>
      </c>
      <c r="AH4" s="1">
        <f t="shared" si="11"/>
        <v>15.833333333333334</v>
      </c>
      <c r="AI4" s="1">
        <f t="shared" si="12"/>
        <v>14.666666666666666</v>
      </c>
      <c r="AJ4" s="1">
        <f t="shared" si="13"/>
        <v>13.5</v>
      </c>
      <c r="AK4" s="1">
        <f t="shared" si="14"/>
        <v>12.333333333333334</v>
      </c>
      <c r="AL4" s="1">
        <f t="shared" si="15"/>
        <v>11.166666666666666</v>
      </c>
      <c r="AM4" s="1">
        <f t="shared" si="16"/>
        <v>10</v>
      </c>
      <c r="AN4" s="1">
        <f t="shared" si="17"/>
        <v>8.8333333333333339</v>
      </c>
      <c r="AO4" s="1">
        <f t="shared" si="18"/>
        <v>7.666666666666667</v>
      </c>
      <c r="AP4" s="1">
        <f t="shared" si="19"/>
        <v>7.583333333333333</v>
      </c>
      <c r="AQ4" s="1">
        <f t="shared" si="20"/>
        <v>7.5</v>
      </c>
      <c r="AR4" s="1">
        <f t="shared" si="21"/>
        <v>7.416666666666667</v>
      </c>
      <c r="AS4" s="1">
        <f t="shared" si="22"/>
        <v>8.4166666666666661</v>
      </c>
      <c r="AT4" s="1">
        <f t="shared" si="23"/>
        <v>9.4166666666666661</v>
      </c>
      <c r="AU4" s="1">
        <f t="shared" si="24"/>
        <v>10.416666666666666</v>
      </c>
      <c r="AV4" s="1">
        <f t="shared" si="25"/>
        <v>11.416666666666666</v>
      </c>
      <c r="AW4" s="1">
        <f t="shared" si="26"/>
        <v>12.416666666666666</v>
      </c>
      <c r="AX4" s="1">
        <f t="shared" si="27"/>
        <v>13.416666666666666</v>
      </c>
      <c r="AY4" s="1">
        <f t="shared" si="28"/>
        <v>14.416666666666666</v>
      </c>
      <c r="AZ4" s="1">
        <f t="shared" si="29"/>
        <v>15.416666666666666</v>
      </c>
      <c r="BA4" s="1">
        <f t="shared" si="30"/>
        <v>16.416666666666668</v>
      </c>
      <c r="BB4" s="1">
        <f t="shared" si="31"/>
        <v>16.333333333333332</v>
      </c>
    </row>
    <row r="5" spans="1:54">
      <c r="A5">
        <f t="shared" si="32"/>
        <v>4</v>
      </c>
      <c r="B5">
        <f t="shared" si="4"/>
        <v>4</v>
      </c>
      <c r="C5">
        <f t="shared" si="5"/>
        <v>15</v>
      </c>
      <c r="D5">
        <f t="shared" si="2"/>
        <v>16</v>
      </c>
      <c r="E5">
        <f t="shared" si="2"/>
        <v>17</v>
      </c>
      <c r="F5">
        <f t="shared" si="2"/>
        <v>18</v>
      </c>
      <c r="G5">
        <f t="shared" si="2"/>
        <v>19</v>
      </c>
      <c r="H5">
        <f t="shared" si="2"/>
        <v>20</v>
      </c>
      <c r="I5">
        <f t="shared" si="2"/>
        <v>21</v>
      </c>
      <c r="J5">
        <f t="shared" si="2"/>
        <v>22</v>
      </c>
      <c r="K5">
        <f t="shared" si="2"/>
        <v>23</v>
      </c>
      <c r="L5">
        <f t="shared" si="2"/>
        <v>24</v>
      </c>
      <c r="M5">
        <f t="shared" si="2"/>
        <v>25</v>
      </c>
      <c r="N5">
        <f t="shared" si="2"/>
        <v>0</v>
      </c>
      <c r="O5">
        <f t="shared" si="2"/>
        <v>1</v>
      </c>
      <c r="P5">
        <f t="shared" si="2"/>
        <v>2</v>
      </c>
      <c r="Q5">
        <f t="shared" si="2"/>
        <v>3</v>
      </c>
      <c r="R5">
        <f t="shared" si="2"/>
        <v>4</v>
      </c>
      <c r="S5">
        <f t="shared" si="2"/>
        <v>5</v>
      </c>
      <c r="T5">
        <f t="shared" si="2"/>
        <v>6</v>
      </c>
      <c r="U5">
        <f t="shared" si="2"/>
        <v>7</v>
      </c>
      <c r="V5">
        <f t="shared" si="2"/>
        <v>8</v>
      </c>
      <c r="W5">
        <f t="shared" si="2"/>
        <v>9</v>
      </c>
      <c r="X5">
        <f t="shared" si="2"/>
        <v>10</v>
      </c>
      <c r="Y5">
        <f t="shared" si="2"/>
        <v>11</v>
      </c>
      <c r="Z5">
        <f t="shared" si="2"/>
        <v>12</v>
      </c>
      <c r="AA5">
        <f t="shared" si="2"/>
        <v>13</v>
      </c>
      <c r="AB5">
        <f t="shared" si="2"/>
        <v>14</v>
      </c>
      <c r="AC5" s="1">
        <f t="shared" si="6"/>
        <v>16.541666666666668</v>
      </c>
      <c r="AD5" s="1">
        <f t="shared" si="7"/>
        <v>16.458333333333332</v>
      </c>
      <c r="AE5" s="1">
        <f t="shared" si="8"/>
        <v>16.375</v>
      </c>
      <c r="AF5" s="1">
        <f t="shared" si="9"/>
        <v>16.291666666666668</v>
      </c>
      <c r="AG5" s="1">
        <f t="shared" si="10"/>
        <v>16.208333333333332</v>
      </c>
      <c r="AH5" s="1">
        <f t="shared" si="11"/>
        <v>15.041666666666666</v>
      </c>
      <c r="AI5" s="1">
        <f t="shared" si="12"/>
        <v>13.875</v>
      </c>
      <c r="AJ5" s="1">
        <f t="shared" si="13"/>
        <v>12.708333333333334</v>
      </c>
      <c r="AK5" s="1">
        <f t="shared" si="14"/>
        <v>11.541666666666666</v>
      </c>
      <c r="AL5" s="1">
        <f t="shared" si="15"/>
        <v>10.375</v>
      </c>
      <c r="AM5" s="1">
        <f t="shared" si="16"/>
        <v>9.2083333333333339</v>
      </c>
      <c r="AN5" s="1">
        <f t="shared" si="17"/>
        <v>8.0416666666666661</v>
      </c>
      <c r="AO5" s="1">
        <f t="shared" si="18"/>
        <v>7.958333333333333</v>
      </c>
      <c r="AP5" s="1">
        <f t="shared" si="19"/>
        <v>7.875</v>
      </c>
      <c r="AQ5" s="1">
        <f t="shared" si="20"/>
        <v>7.791666666666667</v>
      </c>
      <c r="AR5" s="1">
        <f t="shared" si="21"/>
        <v>7.708333333333333</v>
      </c>
      <c r="AS5" s="1">
        <f t="shared" si="22"/>
        <v>8.7083333333333339</v>
      </c>
      <c r="AT5" s="1">
        <f t="shared" si="23"/>
        <v>9.7083333333333339</v>
      </c>
      <c r="AU5" s="1">
        <f t="shared" si="24"/>
        <v>10.708333333333334</v>
      </c>
      <c r="AV5" s="1">
        <f t="shared" si="25"/>
        <v>11.708333333333334</v>
      </c>
      <c r="AW5" s="1">
        <f t="shared" si="26"/>
        <v>12.708333333333334</v>
      </c>
      <c r="AX5" s="1">
        <f t="shared" si="27"/>
        <v>13.708333333333334</v>
      </c>
      <c r="AY5" s="1">
        <f t="shared" si="28"/>
        <v>14.708333333333334</v>
      </c>
      <c r="AZ5" s="1">
        <f t="shared" si="29"/>
        <v>15.708333333333334</v>
      </c>
      <c r="BA5" s="1">
        <f t="shared" si="30"/>
        <v>16.708333333333332</v>
      </c>
      <c r="BB5" s="1">
        <f t="shared" si="31"/>
        <v>16.625</v>
      </c>
    </row>
    <row r="6" spans="1:54">
      <c r="A6">
        <f t="shared" si="32"/>
        <v>5</v>
      </c>
      <c r="B6">
        <f t="shared" si="4"/>
        <v>5</v>
      </c>
      <c r="C6">
        <f t="shared" si="5"/>
        <v>16</v>
      </c>
      <c r="D6">
        <f t="shared" si="2"/>
        <v>17</v>
      </c>
      <c r="E6">
        <f t="shared" si="2"/>
        <v>18</v>
      </c>
      <c r="F6">
        <f t="shared" si="2"/>
        <v>19</v>
      </c>
      <c r="G6">
        <f t="shared" si="2"/>
        <v>20</v>
      </c>
      <c r="H6">
        <f t="shared" si="2"/>
        <v>21</v>
      </c>
      <c r="I6">
        <f t="shared" si="2"/>
        <v>22</v>
      </c>
      <c r="J6">
        <f t="shared" si="2"/>
        <v>23</v>
      </c>
      <c r="K6">
        <f t="shared" si="2"/>
        <v>24</v>
      </c>
      <c r="L6">
        <f t="shared" si="2"/>
        <v>25</v>
      </c>
      <c r="M6">
        <f t="shared" si="2"/>
        <v>0</v>
      </c>
      <c r="N6">
        <f t="shared" si="2"/>
        <v>1</v>
      </c>
      <c r="O6">
        <f t="shared" si="2"/>
        <v>2</v>
      </c>
      <c r="P6">
        <f t="shared" si="2"/>
        <v>3</v>
      </c>
      <c r="Q6">
        <f t="shared" si="2"/>
        <v>4</v>
      </c>
      <c r="R6">
        <f t="shared" si="2"/>
        <v>5</v>
      </c>
      <c r="S6">
        <f t="shared" si="2"/>
        <v>6</v>
      </c>
      <c r="T6">
        <f t="shared" si="2"/>
        <v>7</v>
      </c>
      <c r="U6">
        <f t="shared" si="2"/>
        <v>8</v>
      </c>
      <c r="V6">
        <f t="shared" si="2"/>
        <v>9</v>
      </c>
      <c r="W6">
        <f t="shared" si="2"/>
        <v>10</v>
      </c>
      <c r="X6">
        <f t="shared" si="2"/>
        <v>11</v>
      </c>
      <c r="Y6">
        <f t="shared" si="2"/>
        <v>12</v>
      </c>
      <c r="Z6">
        <f t="shared" si="2"/>
        <v>13</v>
      </c>
      <c r="AA6">
        <f t="shared" si="2"/>
        <v>14</v>
      </c>
      <c r="AB6">
        <f t="shared" si="2"/>
        <v>15</v>
      </c>
      <c r="AC6" s="1">
        <f t="shared" si="6"/>
        <v>16.833333333333332</v>
      </c>
      <c r="AD6" s="1">
        <f t="shared" si="7"/>
        <v>16.75</v>
      </c>
      <c r="AE6" s="1">
        <f t="shared" si="8"/>
        <v>16.666666666666668</v>
      </c>
      <c r="AF6" s="1">
        <f t="shared" si="9"/>
        <v>16.583333333333332</v>
      </c>
      <c r="AG6" s="1">
        <f t="shared" si="10"/>
        <v>15.416666666666666</v>
      </c>
      <c r="AH6" s="1">
        <f t="shared" si="11"/>
        <v>14.25</v>
      </c>
      <c r="AI6" s="1">
        <f t="shared" si="12"/>
        <v>13.083333333333334</v>
      </c>
      <c r="AJ6" s="1">
        <f t="shared" si="13"/>
        <v>11.916666666666666</v>
      </c>
      <c r="AK6" s="1">
        <f t="shared" si="14"/>
        <v>10.75</v>
      </c>
      <c r="AL6" s="1">
        <f t="shared" si="15"/>
        <v>9.5833333333333339</v>
      </c>
      <c r="AM6" s="1">
        <f t="shared" si="16"/>
        <v>8.4166666666666661</v>
      </c>
      <c r="AN6" s="1">
        <f t="shared" si="17"/>
        <v>8.3333333333333339</v>
      </c>
      <c r="AO6" s="1">
        <f t="shared" si="18"/>
        <v>8.25</v>
      </c>
      <c r="AP6" s="1">
        <f t="shared" si="19"/>
        <v>8.1666666666666661</v>
      </c>
      <c r="AQ6" s="1">
        <f t="shared" si="20"/>
        <v>8.0833333333333339</v>
      </c>
      <c r="AR6" s="1">
        <f t="shared" si="21"/>
        <v>8</v>
      </c>
      <c r="AS6" s="1">
        <f t="shared" si="22"/>
        <v>9</v>
      </c>
      <c r="AT6" s="1">
        <f t="shared" si="23"/>
        <v>10</v>
      </c>
      <c r="AU6" s="1">
        <f t="shared" si="24"/>
        <v>11</v>
      </c>
      <c r="AV6" s="1">
        <f t="shared" si="25"/>
        <v>12</v>
      </c>
      <c r="AW6" s="1">
        <f t="shared" si="26"/>
        <v>13</v>
      </c>
      <c r="AX6" s="1">
        <f t="shared" si="27"/>
        <v>14</v>
      </c>
      <c r="AY6" s="1">
        <f t="shared" si="28"/>
        <v>15</v>
      </c>
      <c r="AZ6" s="1">
        <f t="shared" si="29"/>
        <v>16</v>
      </c>
      <c r="BA6" s="1">
        <f t="shared" si="30"/>
        <v>17</v>
      </c>
      <c r="BB6" s="1">
        <f t="shared" si="31"/>
        <v>16.916666666666668</v>
      </c>
    </row>
    <row r="7" spans="1:54">
      <c r="A7">
        <f t="shared" si="32"/>
        <v>6</v>
      </c>
      <c r="B7">
        <f t="shared" si="4"/>
        <v>6</v>
      </c>
      <c r="C7">
        <f t="shared" si="5"/>
        <v>17</v>
      </c>
      <c r="D7">
        <f t="shared" si="2"/>
        <v>18</v>
      </c>
      <c r="E7">
        <f t="shared" si="2"/>
        <v>19</v>
      </c>
      <c r="F7">
        <f t="shared" si="2"/>
        <v>20</v>
      </c>
      <c r="G7">
        <f t="shared" si="2"/>
        <v>21</v>
      </c>
      <c r="H7">
        <f t="shared" si="2"/>
        <v>22</v>
      </c>
      <c r="I7">
        <f t="shared" si="2"/>
        <v>23</v>
      </c>
      <c r="J7">
        <f t="shared" si="2"/>
        <v>24</v>
      </c>
      <c r="K7">
        <f t="shared" si="2"/>
        <v>25</v>
      </c>
      <c r="L7">
        <f t="shared" si="2"/>
        <v>0</v>
      </c>
      <c r="M7">
        <f t="shared" si="2"/>
        <v>1</v>
      </c>
      <c r="N7">
        <f t="shared" si="2"/>
        <v>2</v>
      </c>
      <c r="O7">
        <f t="shared" si="2"/>
        <v>3</v>
      </c>
      <c r="P7">
        <f t="shared" si="2"/>
        <v>4</v>
      </c>
      <c r="Q7">
        <f t="shared" si="2"/>
        <v>5</v>
      </c>
      <c r="R7">
        <f t="shared" si="2"/>
        <v>6</v>
      </c>
      <c r="S7">
        <f t="shared" si="2"/>
        <v>7</v>
      </c>
      <c r="T7">
        <f t="shared" si="2"/>
        <v>8</v>
      </c>
      <c r="U7">
        <f t="shared" si="2"/>
        <v>9</v>
      </c>
      <c r="V7">
        <f t="shared" si="2"/>
        <v>10</v>
      </c>
      <c r="W7">
        <f t="shared" si="2"/>
        <v>11</v>
      </c>
      <c r="X7">
        <f t="shared" si="2"/>
        <v>12</v>
      </c>
      <c r="Y7">
        <f t="shared" si="2"/>
        <v>13</v>
      </c>
      <c r="Z7">
        <f t="shared" si="2"/>
        <v>14</v>
      </c>
      <c r="AA7">
        <f t="shared" si="2"/>
        <v>15</v>
      </c>
      <c r="AB7">
        <f t="shared" si="2"/>
        <v>16</v>
      </c>
      <c r="AC7" s="1">
        <f t="shared" si="6"/>
        <v>17.125</v>
      </c>
      <c r="AD7" s="1">
        <f t="shared" si="7"/>
        <v>17.041666666666668</v>
      </c>
      <c r="AE7" s="1">
        <f t="shared" si="8"/>
        <v>16.958333333333332</v>
      </c>
      <c r="AF7" s="1">
        <f t="shared" si="9"/>
        <v>15.791666666666666</v>
      </c>
      <c r="AG7" s="1">
        <f t="shared" si="10"/>
        <v>14.625</v>
      </c>
      <c r="AH7" s="1">
        <f t="shared" si="11"/>
        <v>13.458333333333334</v>
      </c>
      <c r="AI7" s="1">
        <f t="shared" si="12"/>
        <v>12.291666666666666</v>
      </c>
      <c r="AJ7" s="1">
        <f t="shared" si="13"/>
        <v>11.125</v>
      </c>
      <c r="AK7" s="1">
        <f t="shared" si="14"/>
        <v>9.9583333333333339</v>
      </c>
      <c r="AL7" s="1">
        <f t="shared" si="15"/>
        <v>8.7916666666666661</v>
      </c>
      <c r="AM7" s="1">
        <f t="shared" si="16"/>
        <v>8.7083333333333339</v>
      </c>
      <c r="AN7" s="1">
        <f t="shared" si="17"/>
        <v>8.625</v>
      </c>
      <c r="AO7" s="1">
        <f t="shared" si="18"/>
        <v>8.5416666666666661</v>
      </c>
      <c r="AP7" s="1">
        <f t="shared" si="19"/>
        <v>8.4583333333333339</v>
      </c>
      <c r="AQ7" s="1">
        <f t="shared" si="20"/>
        <v>8.375</v>
      </c>
      <c r="AR7" s="1">
        <f t="shared" si="21"/>
        <v>8.2916666666666661</v>
      </c>
      <c r="AS7" s="1">
        <f t="shared" si="22"/>
        <v>9.2916666666666661</v>
      </c>
      <c r="AT7" s="1">
        <f t="shared" si="23"/>
        <v>10.291666666666666</v>
      </c>
      <c r="AU7" s="1">
        <f t="shared" si="24"/>
        <v>11.291666666666666</v>
      </c>
      <c r="AV7" s="1">
        <f t="shared" si="25"/>
        <v>12.291666666666666</v>
      </c>
      <c r="AW7" s="1">
        <f t="shared" si="26"/>
        <v>13.291666666666666</v>
      </c>
      <c r="AX7" s="1">
        <f t="shared" si="27"/>
        <v>14.291666666666666</v>
      </c>
      <c r="AY7" s="1">
        <f t="shared" si="28"/>
        <v>15.291666666666666</v>
      </c>
      <c r="AZ7" s="1">
        <f t="shared" si="29"/>
        <v>16.291666666666668</v>
      </c>
      <c r="BA7" s="1">
        <f t="shared" si="30"/>
        <v>17.291666666666668</v>
      </c>
      <c r="BB7" s="1">
        <f t="shared" si="31"/>
        <v>17.208333333333332</v>
      </c>
    </row>
    <row r="8" spans="1:54">
      <c r="A8">
        <f t="shared" si="32"/>
        <v>7</v>
      </c>
      <c r="B8">
        <f t="shared" si="4"/>
        <v>7</v>
      </c>
      <c r="C8">
        <f t="shared" si="5"/>
        <v>18</v>
      </c>
      <c r="D8">
        <f t="shared" si="2"/>
        <v>19</v>
      </c>
      <c r="E8">
        <f t="shared" si="2"/>
        <v>20</v>
      </c>
      <c r="F8">
        <f t="shared" si="2"/>
        <v>21</v>
      </c>
      <c r="G8">
        <f t="shared" si="2"/>
        <v>22</v>
      </c>
      <c r="H8">
        <f t="shared" si="2"/>
        <v>23</v>
      </c>
      <c r="I8">
        <f t="shared" si="2"/>
        <v>24</v>
      </c>
      <c r="J8">
        <f t="shared" si="2"/>
        <v>25</v>
      </c>
      <c r="K8">
        <f t="shared" si="2"/>
        <v>0</v>
      </c>
      <c r="L8">
        <f t="shared" si="2"/>
        <v>1</v>
      </c>
      <c r="M8">
        <f t="shared" si="2"/>
        <v>2</v>
      </c>
      <c r="N8">
        <f t="shared" si="2"/>
        <v>3</v>
      </c>
      <c r="O8">
        <f t="shared" si="2"/>
        <v>4</v>
      </c>
      <c r="P8">
        <f t="shared" si="2"/>
        <v>5</v>
      </c>
      <c r="Q8">
        <f t="shared" si="2"/>
        <v>6</v>
      </c>
      <c r="R8">
        <f t="shared" si="2"/>
        <v>7</v>
      </c>
      <c r="S8">
        <f t="shared" si="2"/>
        <v>8</v>
      </c>
      <c r="T8">
        <f t="shared" si="2"/>
        <v>9</v>
      </c>
      <c r="U8">
        <f t="shared" si="2"/>
        <v>10</v>
      </c>
      <c r="V8">
        <f t="shared" si="2"/>
        <v>11</v>
      </c>
      <c r="W8">
        <f t="shared" si="2"/>
        <v>12</v>
      </c>
      <c r="X8">
        <f t="shared" si="2"/>
        <v>13</v>
      </c>
      <c r="Y8">
        <f t="shared" si="2"/>
        <v>14</v>
      </c>
      <c r="Z8">
        <f t="shared" si="2"/>
        <v>15</v>
      </c>
      <c r="AA8">
        <f t="shared" si="2"/>
        <v>16</v>
      </c>
      <c r="AB8">
        <f t="shared" si="2"/>
        <v>17</v>
      </c>
      <c r="AC8" s="1">
        <f t="shared" si="6"/>
        <v>17.416666666666668</v>
      </c>
      <c r="AD8" s="1">
        <f t="shared" si="7"/>
        <v>17.333333333333332</v>
      </c>
      <c r="AE8" s="1">
        <f t="shared" si="8"/>
        <v>16.166666666666668</v>
      </c>
      <c r="AF8" s="1">
        <f t="shared" si="9"/>
        <v>15</v>
      </c>
      <c r="AG8" s="1">
        <f t="shared" si="10"/>
        <v>13.833333333333334</v>
      </c>
      <c r="AH8" s="1">
        <f t="shared" si="11"/>
        <v>12.666666666666666</v>
      </c>
      <c r="AI8" s="1">
        <f t="shared" si="12"/>
        <v>11.5</v>
      </c>
      <c r="AJ8" s="1">
        <f t="shared" si="13"/>
        <v>10.333333333333334</v>
      </c>
      <c r="AK8" s="1">
        <f t="shared" si="14"/>
        <v>9.1666666666666661</v>
      </c>
      <c r="AL8" s="1">
        <f t="shared" si="15"/>
        <v>9.0833333333333339</v>
      </c>
      <c r="AM8" s="1">
        <f t="shared" si="16"/>
        <v>9</v>
      </c>
      <c r="AN8" s="1">
        <f t="shared" si="17"/>
        <v>8.9166666666666661</v>
      </c>
      <c r="AO8" s="1">
        <f t="shared" si="18"/>
        <v>8.8333333333333339</v>
      </c>
      <c r="AP8" s="1">
        <f t="shared" si="19"/>
        <v>8.75</v>
      </c>
      <c r="AQ8" s="1">
        <f t="shared" si="20"/>
        <v>8.6666666666666661</v>
      </c>
      <c r="AR8" s="1">
        <f t="shared" si="21"/>
        <v>8.5833333333333339</v>
      </c>
      <c r="AS8" s="1">
        <f t="shared" si="22"/>
        <v>9.5833333333333339</v>
      </c>
      <c r="AT8" s="1">
        <f t="shared" si="23"/>
        <v>10.583333333333334</v>
      </c>
      <c r="AU8" s="1">
        <f t="shared" si="24"/>
        <v>11.583333333333334</v>
      </c>
      <c r="AV8" s="1">
        <f t="shared" si="25"/>
        <v>12.583333333333334</v>
      </c>
      <c r="AW8" s="1">
        <f t="shared" si="26"/>
        <v>13.583333333333334</v>
      </c>
      <c r="AX8" s="1">
        <f t="shared" si="27"/>
        <v>14.583333333333334</v>
      </c>
      <c r="AY8" s="1">
        <f t="shared" si="28"/>
        <v>15.583333333333334</v>
      </c>
      <c r="AZ8" s="1">
        <f t="shared" si="29"/>
        <v>16.583333333333332</v>
      </c>
      <c r="BA8" s="1">
        <f t="shared" si="30"/>
        <v>17.583333333333332</v>
      </c>
      <c r="BB8" s="1">
        <f t="shared" si="31"/>
        <v>17.5</v>
      </c>
    </row>
    <row r="9" spans="1:54">
      <c r="A9">
        <f t="shared" si="32"/>
        <v>8</v>
      </c>
      <c r="B9">
        <f t="shared" si="4"/>
        <v>8</v>
      </c>
      <c r="C9">
        <f t="shared" si="5"/>
        <v>19</v>
      </c>
      <c r="D9">
        <f t="shared" si="2"/>
        <v>20</v>
      </c>
      <c r="E9">
        <f t="shared" si="2"/>
        <v>21</v>
      </c>
      <c r="F9">
        <f t="shared" si="2"/>
        <v>22</v>
      </c>
      <c r="G9">
        <f t="shared" si="2"/>
        <v>23</v>
      </c>
      <c r="H9">
        <f t="shared" si="2"/>
        <v>24</v>
      </c>
      <c r="I9">
        <f t="shared" si="2"/>
        <v>25</v>
      </c>
      <c r="J9">
        <f t="shared" si="2"/>
        <v>0</v>
      </c>
      <c r="K9">
        <f t="shared" si="2"/>
        <v>1</v>
      </c>
      <c r="L9">
        <f t="shared" si="2"/>
        <v>2</v>
      </c>
      <c r="M9">
        <f t="shared" si="2"/>
        <v>3</v>
      </c>
      <c r="N9">
        <f t="shared" si="2"/>
        <v>4</v>
      </c>
      <c r="O9">
        <f t="shared" si="2"/>
        <v>5</v>
      </c>
      <c r="P9">
        <f t="shared" si="2"/>
        <v>6</v>
      </c>
      <c r="Q9">
        <f t="shared" si="2"/>
        <v>7</v>
      </c>
      <c r="R9">
        <f t="shared" si="2"/>
        <v>8</v>
      </c>
      <c r="S9">
        <f t="shared" si="2"/>
        <v>9</v>
      </c>
      <c r="T9">
        <f t="shared" si="2"/>
        <v>10</v>
      </c>
      <c r="U9">
        <f t="shared" si="2"/>
        <v>11</v>
      </c>
      <c r="V9">
        <f t="shared" si="2"/>
        <v>12</v>
      </c>
      <c r="W9">
        <f t="shared" si="2"/>
        <v>13</v>
      </c>
      <c r="X9">
        <f t="shared" si="2"/>
        <v>14</v>
      </c>
      <c r="Y9">
        <f t="shared" si="2"/>
        <v>15</v>
      </c>
      <c r="Z9">
        <f t="shared" si="2"/>
        <v>16</v>
      </c>
      <c r="AA9">
        <f t="shared" si="2"/>
        <v>17</v>
      </c>
      <c r="AB9">
        <f t="shared" si="2"/>
        <v>18</v>
      </c>
      <c r="AC9" s="1">
        <f t="shared" si="6"/>
        <v>17.708333333333332</v>
      </c>
      <c r="AD9" s="1">
        <f t="shared" si="7"/>
        <v>16.541666666666668</v>
      </c>
      <c r="AE9" s="1">
        <f t="shared" si="8"/>
        <v>15.375</v>
      </c>
      <c r="AF9" s="1">
        <f t="shared" si="9"/>
        <v>14.208333333333334</v>
      </c>
      <c r="AG9" s="1">
        <f t="shared" si="10"/>
        <v>13.041666666666666</v>
      </c>
      <c r="AH9" s="1">
        <f t="shared" si="11"/>
        <v>11.875</v>
      </c>
      <c r="AI9" s="1">
        <f t="shared" si="12"/>
        <v>10.708333333333334</v>
      </c>
      <c r="AJ9" s="1">
        <f t="shared" si="13"/>
        <v>9.5416666666666661</v>
      </c>
      <c r="AK9" s="1">
        <f t="shared" si="14"/>
        <v>9.4583333333333339</v>
      </c>
      <c r="AL9" s="1">
        <f t="shared" si="15"/>
        <v>9.375</v>
      </c>
      <c r="AM9" s="1">
        <f t="shared" si="16"/>
        <v>9.2916666666666661</v>
      </c>
      <c r="AN9" s="1">
        <f t="shared" si="17"/>
        <v>9.2083333333333339</v>
      </c>
      <c r="AO9" s="1">
        <f t="shared" si="18"/>
        <v>9.125</v>
      </c>
      <c r="AP9" s="1">
        <f t="shared" si="19"/>
        <v>9.0416666666666661</v>
      </c>
      <c r="AQ9" s="1">
        <f t="shared" si="20"/>
        <v>8.9583333333333339</v>
      </c>
      <c r="AR9" s="1">
        <f t="shared" si="21"/>
        <v>8.875</v>
      </c>
      <c r="AS9" s="1">
        <f t="shared" si="22"/>
        <v>9.875</v>
      </c>
      <c r="AT9" s="1">
        <f t="shared" si="23"/>
        <v>10.875</v>
      </c>
      <c r="AU9" s="1">
        <f t="shared" si="24"/>
        <v>11.875</v>
      </c>
      <c r="AV9" s="1">
        <f t="shared" si="25"/>
        <v>12.875</v>
      </c>
      <c r="AW9" s="1">
        <f t="shared" si="26"/>
        <v>13.875</v>
      </c>
      <c r="AX9" s="1">
        <f t="shared" si="27"/>
        <v>14.875</v>
      </c>
      <c r="AY9" s="1">
        <f t="shared" si="28"/>
        <v>15.875</v>
      </c>
      <c r="AZ9" s="1">
        <f t="shared" si="29"/>
        <v>16.875</v>
      </c>
      <c r="BA9" s="1">
        <f t="shared" si="30"/>
        <v>17.875</v>
      </c>
      <c r="BB9" s="1">
        <f t="shared" si="31"/>
        <v>17.791666666666668</v>
      </c>
    </row>
    <row r="10" spans="1:54">
      <c r="A10">
        <f t="shared" si="32"/>
        <v>9</v>
      </c>
      <c r="B10">
        <f t="shared" si="4"/>
        <v>9</v>
      </c>
      <c r="C10">
        <f t="shared" si="5"/>
        <v>20</v>
      </c>
      <c r="D10">
        <f t="shared" si="2"/>
        <v>21</v>
      </c>
      <c r="E10">
        <f t="shared" si="2"/>
        <v>22</v>
      </c>
      <c r="F10">
        <f t="shared" si="2"/>
        <v>23</v>
      </c>
      <c r="G10">
        <f t="shared" si="2"/>
        <v>24</v>
      </c>
      <c r="H10">
        <f t="shared" si="2"/>
        <v>25</v>
      </c>
      <c r="I10">
        <f t="shared" si="2"/>
        <v>0</v>
      </c>
      <c r="J10">
        <f t="shared" si="2"/>
        <v>1</v>
      </c>
      <c r="K10">
        <f t="shared" si="2"/>
        <v>2</v>
      </c>
      <c r="L10">
        <f t="shared" si="2"/>
        <v>3</v>
      </c>
      <c r="M10">
        <f t="shared" si="2"/>
        <v>4</v>
      </c>
      <c r="N10">
        <f t="shared" si="2"/>
        <v>5</v>
      </c>
      <c r="O10">
        <f t="shared" si="2"/>
        <v>6</v>
      </c>
      <c r="P10">
        <f t="shared" si="2"/>
        <v>7</v>
      </c>
      <c r="Q10">
        <f t="shared" si="2"/>
        <v>8</v>
      </c>
      <c r="R10">
        <f t="shared" si="2"/>
        <v>9</v>
      </c>
      <c r="S10">
        <f t="shared" si="2"/>
        <v>10</v>
      </c>
      <c r="T10">
        <f t="shared" si="2"/>
        <v>11</v>
      </c>
      <c r="U10">
        <f t="shared" si="2"/>
        <v>12</v>
      </c>
      <c r="V10">
        <f t="shared" si="2"/>
        <v>13</v>
      </c>
      <c r="W10">
        <f t="shared" si="2"/>
        <v>14</v>
      </c>
      <c r="X10">
        <f t="shared" si="2"/>
        <v>15</v>
      </c>
      <c r="Y10">
        <f t="shared" si="2"/>
        <v>16</v>
      </c>
      <c r="Z10">
        <f t="shared" si="2"/>
        <v>17</v>
      </c>
      <c r="AA10">
        <f t="shared" si="2"/>
        <v>18</v>
      </c>
      <c r="AB10">
        <f t="shared" si="2"/>
        <v>19</v>
      </c>
      <c r="AC10" s="1">
        <f t="shared" si="6"/>
        <v>16.916666666666668</v>
      </c>
      <c r="AD10" s="1">
        <f t="shared" si="7"/>
        <v>15.75</v>
      </c>
      <c r="AE10" s="1">
        <f t="shared" si="8"/>
        <v>14.583333333333334</v>
      </c>
      <c r="AF10" s="1">
        <f t="shared" si="9"/>
        <v>13.416666666666666</v>
      </c>
      <c r="AG10" s="1">
        <f t="shared" si="10"/>
        <v>12.25</v>
      </c>
      <c r="AH10" s="1">
        <f t="shared" si="11"/>
        <v>11.083333333333334</v>
      </c>
      <c r="AI10" s="1">
        <f t="shared" si="12"/>
        <v>9.9166666666666661</v>
      </c>
      <c r="AJ10" s="1">
        <f t="shared" si="13"/>
        <v>9.8333333333333339</v>
      </c>
      <c r="AK10" s="1">
        <f t="shared" si="14"/>
        <v>9.75</v>
      </c>
      <c r="AL10" s="1">
        <f t="shared" si="15"/>
        <v>9.6666666666666661</v>
      </c>
      <c r="AM10" s="1">
        <f t="shared" si="16"/>
        <v>9.5833333333333339</v>
      </c>
      <c r="AN10" s="1">
        <f t="shared" si="17"/>
        <v>9.5</v>
      </c>
      <c r="AO10" s="1">
        <f t="shared" si="18"/>
        <v>9.4166666666666661</v>
      </c>
      <c r="AP10" s="1">
        <f t="shared" si="19"/>
        <v>9.3333333333333339</v>
      </c>
      <c r="AQ10" s="1">
        <f t="shared" si="20"/>
        <v>9.25</v>
      </c>
      <c r="AR10" s="1">
        <f t="shared" si="21"/>
        <v>9.1666666666666661</v>
      </c>
      <c r="AS10" s="1">
        <f t="shared" si="22"/>
        <v>10.166666666666666</v>
      </c>
      <c r="AT10" s="1">
        <f t="shared" si="23"/>
        <v>11.166666666666666</v>
      </c>
      <c r="AU10" s="1">
        <f t="shared" si="24"/>
        <v>12.166666666666666</v>
      </c>
      <c r="AV10" s="1">
        <f t="shared" si="25"/>
        <v>13.166666666666666</v>
      </c>
      <c r="AW10" s="1">
        <f t="shared" si="26"/>
        <v>14.166666666666666</v>
      </c>
      <c r="AX10" s="1">
        <f t="shared" si="27"/>
        <v>15.166666666666666</v>
      </c>
      <c r="AY10" s="1">
        <f t="shared" si="28"/>
        <v>16.166666666666668</v>
      </c>
      <c r="AZ10" s="1">
        <f t="shared" si="29"/>
        <v>17.166666666666668</v>
      </c>
      <c r="BA10" s="1">
        <f t="shared" si="30"/>
        <v>18.166666666666668</v>
      </c>
      <c r="BB10" s="1">
        <f t="shared" si="31"/>
        <v>18.083333333333332</v>
      </c>
    </row>
    <row r="11" spans="1:54">
      <c r="A11">
        <f t="shared" si="32"/>
        <v>10</v>
      </c>
      <c r="B11">
        <f t="shared" si="4"/>
        <v>10</v>
      </c>
      <c r="C11">
        <f t="shared" si="5"/>
        <v>21</v>
      </c>
      <c r="D11">
        <f t="shared" si="2"/>
        <v>22</v>
      </c>
      <c r="E11">
        <f t="shared" si="2"/>
        <v>23</v>
      </c>
      <c r="F11">
        <f t="shared" si="2"/>
        <v>24</v>
      </c>
      <c r="G11">
        <f t="shared" si="2"/>
        <v>25</v>
      </c>
      <c r="H11">
        <f t="shared" si="2"/>
        <v>0</v>
      </c>
      <c r="I11">
        <f t="shared" si="2"/>
        <v>1</v>
      </c>
      <c r="J11">
        <f t="shared" si="2"/>
        <v>2</v>
      </c>
      <c r="K11">
        <f t="shared" si="2"/>
        <v>3</v>
      </c>
      <c r="L11">
        <f t="shared" si="2"/>
        <v>4</v>
      </c>
      <c r="M11">
        <f t="shared" si="2"/>
        <v>5</v>
      </c>
      <c r="N11">
        <f t="shared" si="2"/>
        <v>6</v>
      </c>
      <c r="O11">
        <f t="shared" si="2"/>
        <v>7</v>
      </c>
      <c r="P11">
        <f t="shared" si="2"/>
        <v>8</v>
      </c>
      <c r="Q11">
        <f t="shared" si="2"/>
        <v>9</v>
      </c>
      <c r="R11">
        <f t="shared" si="2"/>
        <v>10</v>
      </c>
      <c r="S11">
        <f t="shared" si="2"/>
        <v>11</v>
      </c>
      <c r="T11">
        <f t="shared" si="2"/>
        <v>12</v>
      </c>
      <c r="U11">
        <f t="shared" si="2"/>
        <v>13</v>
      </c>
      <c r="V11">
        <f t="shared" si="2"/>
        <v>14</v>
      </c>
      <c r="W11">
        <f t="shared" si="2"/>
        <v>15</v>
      </c>
      <c r="X11">
        <f t="shared" si="2"/>
        <v>16</v>
      </c>
      <c r="Y11">
        <f t="shared" si="2"/>
        <v>17</v>
      </c>
      <c r="Z11">
        <f t="shared" si="2"/>
        <v>18</v>
      </c>
      <c r="AA11">
        <f t="shared" si="2"/>
        <v>19</v>
      </c>
      <c r="AB11">
        <f t="shared" si="2"/>
        <v>20</v>
      </c>
      <c r="AC11" s="1">
        <f t="shared" si="6"/>
        <v>16.125</v>
      </c>
      <c r="AD11" s="1">
        <f t="shared" si="7"/>
        <v>14.958333333333334</v>
      </c>
      <c r="AE11" s="1">
        <f t="shared" si="8"/>
        <v>13.791666666666666</v>
      </c>
      <c r="AF11" s="1">
        <f t="shared" si="9"/>
        <v>12.625</v>
      </c>
      <c r="AG11" s="1">
        <f t="shared" si="10"/>
        <v>11.458333333333334</v>
      </c>
      <c r="AH11" s="1">
        <f t="shared" si="11"/>
        <v>10.291666666666666</v>
      </c>
      <c r="AI11" s="1">
        <f t="shared" si="12"/>
        <v>10.208333333333334</v>
      </c>
      <c r="AJ11" s="1">
        <f t="shared" si="13"/>
        <v>10.125</v>
      </c>
      <c r="AK11" s="1">
        <f t="shared" si="14"/>
        <v>10.041666666666666</v>
      </c>
      <c r="AL11" s="1">
        <f t="shared" si="15"/>
        <v>9.9583333333333339</v>
      </c>
      <c r="AM11" s="1">
        <f t="shared" si="16"/>
        <v>9.875</v>
      </c>
      <c r="AN11" s="1">
        <f t="shared" si="17"/>
        <v>9.7916666666666661</v>
      </c>
      <c r="AO11" s="1">
        <f t="shared" si="18"/>
        <v>9.7083333333333339</v>
      </c>
      <c r="AP11" s="1">
        <f t="shared" si="19"/>
        <v>9.625</v>
      </c>
      <c r="AQ11" s="1">
        <f t="shared" si="20"/>
        <v>9.5416666666666661</v>
      </c>
      <c r="AR11" s="1">
        <f t="shared" si="21"/>
        <v>9.4583333333333339</v>
      </c>
      <c r="AS11" s="1">
        <f t="shared" si="22"/>
        <v>10.458333333333334</v>
      </c>
      <c r="AT11" s="1">
        <f t="shared" si="23"/>
        <v>11.458333333333334</v>
      </c>
      <c r="AU11" s="1">
        <f t="shared" si="24"/>
        <v>12.458333333333334</v>
      </c>
      <c r="AV11" s="1">
        <f t="shared" si="25"/>
        <v>13.458333333333334</v>
      </c>
      <c r="AW11" s="1">
        <f t="shared" si="26"/>
        <v>14.458333333333334</v>
      </c>
      <c r="AX11" s="1">
        <f t="shared" si="27"/>
        <v>15.458333333333334</v>
      </c>
      <c r="AY11" s="1">
        <f t="shared" si="28"/>
        <v>16.458333333333332</v>
      </c>
      <c r="AZ11" s="1">
        <f t="shared" si="29"/>
        <v>17.458333333333332</v>
      </c>
      <c r="BA11" s="1">
        <f t="shared" si="30"/>
        <v>18.458333333333332</v>
      </c>
      <c r="BB11" s="1">
        <f t="shared" si="31"/>
        <v>17.291666666666668</v>
      </c>
    </row>
    <row r="12" spans="1:54">
      <c r="A12">
        <f t="shared" si="32"/>
        <v>11</v>
      </c>
      <c r="B12">
        <f t="shared" si="4"/>
        <v>11</v>
      </c>
      <c r="C12">
        <f t="shared" si="5"/>
        <v>22</v>
      </c>
      <c r="D12">
        <f t="shared" si="2"/>
        <v>23</v>
      </c>
      <c r="E12">
        <f t="shared" si="2"/>
        <v>24</v>
      </c>
      <c r="F12">
        <f t="shared" si="2"/>
        <v>25</v>
      </c>
      <c r="G12">
        <f t="shared" si="2"/>
        <v>0</v>
      </c>
      <c r="H12">
        <f t="shared" si="2"/>
        <v>1</v>
      </c>
      <c r="I12">
        <f t="shared" ref="I12:X43" si="33">MOD($B12+11+I$1,26)</f>
        <v>2</v>
      </c>
      <c r="J12">
        <f t="shared" si="33"/>
        <v>3</v>
      </c>
      <c r="K12">
        <f t="shared" si="33"/>
        <v>4</v>
      </c>
      <c r="L12">
        <f t="shared" si="33"/>
        <v>5</v>
      </c>
      <c r="M12">
        <f t="shared" si="33"/>
        <v>6</v>
      </c>
      <c r="N12">
        <f t="shared" si="33"/>
        <v>7</v>
      </c>
      <c r="O12">
        <f t="shared" si="33"/>
        <v>8</v>
      </c>
      <c r="P12">
        <f t="shared" si="33"/>
        <v>9</v>
      </c>
      <c r="Q12">
        <f t="shared" si="33"/>
        <v>10</v>
      </c>
      <c r="R12">
        <f t="shared" si="33"/>
        <v>11</v>
      </c>
      <c r="S12">
        <f t="shared" si="33"/>
        <v>12</v>
      </c>
      <c r="T12">
        <f t="shared" si="33"/>
        <v>13</v>
      </c>
      <c r="U12">
        <f t="shared" si="33"/>
        <v>14</v>
      </c>
      <c r="V12">
        <f t="shared" si="33"/>
        <v>15</v>
      </c>
      <c r="W12">
        <f t="shared" si="33"/>
        <v>16</v>
      </c>
      <c r="X12">
        <f t="shared" si="33"/>
        <v>17</v>
      </c>
      <c r="Y12">
        <f t="shared" ref="Y12:AB43" si="34">MOD($B12+11+Y$1,26)</f>
        <v>18</v>
      </c>
      <c r="Z12">
        <f t="shared" si="34"/>
        <v>19</v>
      </c>
      <c r="AA12">
        <f t="shared" si="34"/>
        <v>20</v>
      </c>
      <c r="AB12">
        <f t="shared" si="34"/>
        <v>21</v>
      </c>
      <c r="AC12" s="1">
        <f t="shared" si="6"/>
        <v>15.708333333333334</v>
      </c>
      <c r="AD12" s="1">
        <f t="shared" si="7"/>
        <v>14.541666666666666</v>
      </c>
      <c r="AE12" s="1">
        <f t="shared" si="8"/>
        <v>13.375</v>
      </c>
      <c r="AF12" s="1">
        <f t="shared" si="9"/>
        <v>12.208333333333334</v>
      </c>
      <c r="AG12" s="1">
        <f t="shared" si="10"/>
        <v>11.041666666666666</v>
      </c>
      <c r="AH12" s="1">
        <f t="shared" si="11"/>
        <v>10.958333333333334</v>
      </c>
      <c r="AI12" s="1">
        <f t="shared" si="12"/>
        <v>10.875</v>
      </c>
      <c r="AJ12" s="1">
        <f t="shared" si="13"/>
        <v>10.791666666666666</v>
      </c>
      <c r="AK12" s="1">
        <f t="shared" si="14"/>
        <v>10.708333333333334</v>
      </c>
      <c r="AL12" s="1">
        <f t="shared" si="15"/>
        <v>10.625</v>
      </c>
      <c r="AM12" s="1">
        <f t="shared" si="16"/>
        <v>10.541666666666666</v>
      </c>
      <c r="AN12" s="1">
        <f t="shared" si="17"/>
        <v>10.458333333333334</v>
      </c>
      <c r="AO12" s="1">
        <f t="shared" si="18"/>
        <v>10.375</v>
      </c>
      <c r="AP12" s="1">
        <f t="shared" si="19"/>
        <v>10.291666666666666</v>
      </c>
      <c r="AQ12" s="1">
        <f t="shared" si="20"/>
        <v>10.208333333333334</v>
      </c>
      <c r="AR12" s="1">
        <f t="shared" si="21"/>
        <v>9.0416666666666661</v>
      </c>
      <c r="AS12" s="1">
        <f t="shared" si="22"/>
        <v>10.041666666666666</v>
      </c>
      <c r="AT12" s="1">
        <f t="shared" si="23"/>
        <v>11.041666666666666</v>
      </c>
      <c r="AU12" s="1">
        <f t="shared" si="24"/>
        <v>12.041666666666666</v>
      </c>
      <c r="AV12" s="1">
        <f t="shared" si="25"/>
        <v>13.041666666666666</v>
      </c>
      <c r="AW12" s="1">
        <f t="shared" si="26"/>
        <v>14.041666666666666</v>
      </c>
      <c r="AX12" s="1">
        <f t="shared" si="27"/>
        <v>15.041666666666666</v>
      </c>
      <c r="AY12" s="1">
        <f t="shared" si="28"/>
        <v>16.041666666666668</v>
      </c>
      <c r="AZ12" s="1">
        <f t="shared" si="29"/>
        <v>17.041666666666668</v>
      </c>
      <c r="BA12" s="1">
        <f t="shared" si="30"/>
        <v>18.041666666666668</v>
      </c>
      <c r="BB12" s="1">
        <f t="shared" si="31"/>
        <v>16.875</v>
      </c>
    </row>
    <row r="13" spans="1:54">
      <c r="A13">
        <f t="shared" si="32"/>
        <v>12</v>
      </c>
      <c r="B13">
        <f t="shared" si="4"/>
        <v>12</v>
      </c>
      <c r="C13">
        <f t="shared" si="5"/>
        <v>23</v>
      </c>
      <c r="D13">
        <f t="shared" si="5"/>
        <v>24</v>
      </c>
      <c r="E13">
        <f t="shared" si="5"/>
        <v>25</v>
      </c>
      <c r="F13">
        <f t="shared" si="5"/>
        <v>0</v>
      </c>
      <c r="G13">
        <f t="shared" si="5"/>
        <v>1</v>
      </c>
      <c r="H13">
        <f t="shared" si="5"/>
        <v>2</v>
      </c>
      <c r="I13">
        <f t="shared" si="5"/>
        <v>3</v>
      </c>
      <c r="J13">
        <f t="shared" si="5"/>
        <v>4</v>
      </c>
      <c r="K13">
        <f t="shared" si="5"/>
        <v>5</v>
      </c>
      <c r="L13">
        <f t="shared" si="5"/>
        <v>6</v>
      </c>
      <c r="M13">
        <f t="shared" si="5"/>
        <v>7</v>
      </c>
      <c r="N13">
        <f t="shared" si="5"/>
        <v>8</v>
      </c>
      <c r="O13">
        <f t="shared" si="5"/>
        <v>9</v>
      </c>
      <c r="P13">
        <f t="shared" si="5"/>
        <v>10</v>
      </c>
      <c r="Q13">
        <f t="shared" si="5"/>
        <v>11</v>
      </c>
      <c r="R13">
        <f t="shared" si="5"/>
        <v>12</v>
      </c>
      <c r="S13">
        <f t="shared" si="33"/>
        <v>13</v>
      </c>
      <c r="T13">
        <f t="shared" si="33"/>
        <v>14</v>
      </c>
      <c r="U13">
        <f t="shared" si="33"/>
        <v>15</v>
      </c>
      <c r="V13">
        <f t="shared" si="33"/>
        <v>16</v>
      </c>
      <c r="W13">
        <f t="shared" si="33"/>
        <v>17</v>
      </c>
      <c r="X13">
        <f t="shared" si="33"/>
        <v>18</v>
      </c>
      <c r="Y13">
        <f t="shared" si="34"/>
        <v>19</v>
      </c>
      <c r="Z13">
        <f t="shared" si="34"/>
        <v>20</v>
      </c>
      <c r="AA13">
        <f t="shared" si="34"/>
        <v>21</v>
      </c>
      <c r="AB13">
        <f t="shared" si="34"/>
        <v>22</v>
      </c>
      <c r="AC13" s="1">
        <f t="shared" si="6"/>
        <v>15.291666666666666</v>
      </c>
      <c r="AD13" s="1">
        <f t="shared" si="7"/>
        <v>14.125</v>
      </c>
      <c r="AE13" s="1">
        <f t="shared" si="8"/>
        <v>12.958333333333334</v>
      </c>
      <c r="AF13" s="1">
        <f t="shared" si="9"/>
        <v>11.791666666666666</v>
      </c>
      <c r="AG13" s="1">
        <f t="shared" si="10"/>
        <v>11.708333333333334</v>
      </c>
      <c r="AH13" s="1">
        <f t="shared" si="11"/>
        <v>11.625</v>
      </c>
      <c r="AI13" s="1">
        <f t="shared" si="12"/>
        <v>11.541666666666666</v>
      </c>
      <c r="AJ13" s="1">
        <f t="shared" si="13"/>
        <v>11.458333333333334</v>
      </c>
      <c r="AK13" s="1">
        <f t="shared" si="14"/>
        <v>11.375</v>
      </c>
      <c r="AL13" s="1">
        <f t="shared" si="15"/>
        <v>11.291666666666666</v>
      </c>
      <c r="AM13" s="1">
        <f t="shared" si="16"/>
        <v>11.208333333333334</v>
      </c>
      <c r="AN13" s="1">
        <f t="shared" si="17"/>
        <v>11.125</v>
      </c>
      <c r="AO13" s="1">
        <f t="shared" si="18"/>
        <v>11.041666666666666</v>
      </c>
      <c r="AP13" s="1">
        <f t="shared" si="19"/>
        <v>10.958333333333334</v>
      </c>
      <c r="AQ13" s="1">
        <f t="shared" si="20"/>
        <v>9.7916666666666661</v>
      </c>
      <c r="AR13" s="1">
        <f t="shared" si="21"/>
        <v>8.625</v>
      </c>
      <c r="AS13" s="1">
        <f t="shared" si="22"/>
        <v>9.625</v>
      </c>
      <c r="AT13" s="1">
        <f t="shared" si="23"/>
        <v>10.625</v>
      </c>
      <c r="AU13" s="1">
        <f t="shared" si="24"/>
        <v>11.625</v>
      </c>
      <c r="AV13" s="1">
        <f t="shared" si="25"/>
        <v>12.625</v>
      </c>
      <c r="AW13" s="1">
        <f t="shared" si="26"/>
        <v>13.625</v>
      </c>
      <c r="AX13" s="1">
        <f t="shared" si="27"/>
        <v>14.625</v>
      </c>
      <c r="AY13" s="1">
        <f t="shared" si="28"/>
        <v>15.625</v>
      </c>
      <c r="AZ13" s="1">
        <f t="shared" si="29"/>
        <v>16.625</v>
      </c>
      <c r="BA13" s="1">
        <f t="shared" si="30"/>
        <v>17.625</v>
      </c>
      <c r="BB13" s="1">
        <f t="shared" si="31"/>
        <v>16.458333333333332</v>
      </c>
    </row>
    <row r="14" spans="1:54">
      <c r="A14">
        <f t="shared" si="32"/>
        <v>13</v>
      </c>
      <c r="B14">
        <f t="shared" si="4"/>
        <v>13</v>
      </c>
      <c r="C14">
        <f t="shared" si="5"/>
        <v>24</v>
      </c>
      <c r="D14">
        <f t="shared" si="5"/>
        <v>25</v>
      </c>
      <c r="E14">
        <f t="shared" si="5"/>
        <v>0</v>
      </c>
      <c r="F14">
        <f t="shared" si="5"/>
        <v>1</v>
      </c>
      <c r="G14">
        <f t="shared" si="5"/>
        <v>2</v>
      </c>
      <c r="H14">
        <f t="shared" si="5"/>
        <v>3</v>
      </c>
      <c r="I14">
        <f t="shared" si="5"/>
        <v>4</v>
      </c>
      <c r="J14">
        <f t="shared" si="5"/>
        <v>5</v>
      </c>
      <c r="K14">
        <f t="shared" si="5"/>
        <v>6</v>
      </c>
      <c r="L14">
        <f t="shared" si="5"/>
        <v>7</v>
      </c>
      <c r="M14">
        <f t="shared" si="5"/>
        <v>8</v>
      </c>
      <c r="N14">
        <f t="shared" si="5"/>
        <v>9</v>
      </c>
      <c r="O14">
        <f t="shared" si="5"/>
        <v>10</v>
      </c>
      <c r="P14">
        <f t="shared" si="5"/>
        <v>11</v>
      </c>
      <c r="Q14">
        <f t="shared" si="5"/>
        <v>12</v>
      </c>
      <c r="R14">
        <f t="shared" si="5"/>
        <v>13</v>
      </c>
      <c r="S14">
        <f t="shared" si="33"/>
        <v>14</v>
      </c>
      <c r="T14">
        <f t="shared" si="33"/>
        <v>15</v>
      </c>
      <c r="U14">
        <f t="shared" si="33"/>
        <v>16</v>
      </c>
      <c r="V14">
        <f t="shared" si="33"/>
        <v>17</v>
      </c>
      <c r="W14">
        <f t="shared" si="33"/>
        <v>18</v>
      </c>
      <c r="X14">
        <f t="shared" si="33"/>
        <v>19</v>
      </c>
      <c r="Y14">
        <f t="shared" si="34"/>
        <v>20</v>
      </c>
      <c r="Z14">
        <f t="shared" si="34"/>
        <v>21</v>
      </c>
      <c r="AA14">
        <f t="shared" si="34"/>
        <v>22</v>
      </c>
      <c r="AB14">
        <f t="shared" si="34"/>
        <v>23</v>
      </c>
      <c r="AC14" s="1">
        <f t="shared" si="6"/>
        <v>14.875</v>
      </c>
      <c r="AD14" s="1">
        <f t="shared" si="7"/>
        <v>13.708333333333334</v>
      </c>
      <c r="AE14" s="1">
        <f t="shared" si="8"/>
        <v>12.541666666666666</v>
      </c>
      <c r="AF14" s="1">
        <f t="shared" si="9"/>
        <v>12.458333333333334</v>
      </c>
      <c r="AG14" s="1">
        <f t="shared" si="10"/>
        <v>12.375</v>
      </c>
      <c r="AH14" s="1">
        <f t="shared" si="11"/>
        <v>12.291666666666666</v>
      </c>
      <c r="AI14" s="1">
        <f t="shared" si="12"/>
        <v>12.208333333333334</v>
      </c>
      <c r="AJ14" s="1">
        <f t="shared" si="13"/>
        <v>12.125</v>
      </c>
      <c r="AK14" s="1">
        <f t="shared" si="14"/>
        <v>12.041666666666666</v>
      </c>
      <c r="AL14" s="1">
        <f t="shared" si="15"/>
        <v>11.958333333333334</v>
      </c>
      <c r="AM14" s="1">
        <f t="shared" si="16"/>
        <v>11.875</v>
      </c>
      <c r="AN14" s="1">
        <f t="shared" si="17"/>
        <v>11.791666666666666</v>
      </c>
      <c r="AO14" s="1">
        <f t="shared" si="18"/>
        <v>11.708333333333334</v>
      </c>
      <c r="AP14" s="1">
        <f t="shared" si="19"/>
        <v>10.541666666666666</v>
      </c>
      <c r="AQ14" s="1">
        <f t="shared" si="20"/>
        <v>9.375</v>
      </c>
      <c r="AR14" s="1">
        <f t="shared" si="21"/>
        <v>8.2083333333333339</v>
      </c>
      <c r="AS14" s="1">
        <f t="shared" si="22"/>
        <v>9.2083333333333339</v>
      </c>
      <c r="AT14" s="1">
        <f t="shared" si="23"/>
        <v>10.208333333333334</v>
      </c>
      <c r="AU14" s="1">
        <f t="shared" si="24"/>
        <v>11.208333333333334</v>
      </c>
      <c r="AV14" s="1">
        <f t="shared" si="25"/>
        <v>12.208333333333334</v>
      </c>
      <c r="AW14" s="1">
        <f t="shared" si="26"/>
        <v>13.208333333333334</v>
      </c>
      <c r="AX14" s="1">
        <f t="shared" si="27"/>
        <v>14.208333333333334</v>
      </c>
      <c r="AY14" s="1">
        <f t="shared" si="28"/>
        <v>15.208333333333334</v>
      </c>
      <c r="AZ14" s="1">
        <f t="shared" si="29"/>
        <v>16.208333333333332</v>
      </c>
      <c r="BA14" s="1">
        <f t="shared" si="30"/>
        <v>17.208333333333332</v>
      </c>
      <c r="BB14" s="1">
        <f t="shared" si="31"/>
        <v>16.041666666666668</v>
      </c>
    </row>
    <row r="15" spans="1:54">
      <c r="A15">
        <f t="shared" si="32"/>
        <v>14</v>
      </c>
      <c r="B15">
        <f t="shared" si="4"/>
        <v>14</v>
      </c>
      <c r="C15">
        <f t="shared" si="5"/>
        <v>25</v>
      </c>
      <c r="D15">
        <f t="shared" si="5"/>
        <v>0</v>
      </c>
      <c r="E15">
        <f t="shared" si="5"/>
        <v>1</v>
      </c>
      <c r="F15">
        <f t="shared" si="5"/>
        <v>2</v>
      </c>
      <c r="G15">
        <f t="shared" si="5"/>
        <v>3</v>
      </c>
      <c r="H15">
        <f t="shared" si="5"/>
        <v>4</v>
      </c>
      <c r="I15">
        <f t="shared" si="5"/>
        <v>5</v>
      </c>
      <c r="J15">
        <f t="shared" si="5"/>
        <v>6</v>
      </c>
      <c r="K15">
        <f t="shared" si="5"/>
        <v>7</v>
      </c>
      <c r="L15">
        <f t="shared" si="5"/>
        <v>8</v>
      </c>
      <c r="M15">
        <f t="shared" si="5"/>
        <v>9</v>
      </c>
      <c r="N15">
        <f t="shared" si="5"/>
        <v>10</v>
      </c>
      <c r="O15">
        <f t="shared" si="5"/>
        <v>11</v>
      </c>
      <c r="P15">
        <f t="shared" si="5"/>
        <v>12</v>
      </c>
      <c r="Q15">
        <f t="shared" si="5"/>
        <v>13</v>
      </c>
      <c r="R15">
        <f t="shared" si="5"/>
        <v>14</v>
      </c>
      <c r="S15">
        <f t="shared" si="33"/>
        <v>15</v>
      </c>
      <c r="T15">
        <f t="shared" si="33"/>
        <v>16</v>
      </c>
      <c r="U15">
        <f t="shared" si="33"/>
        <v>17</v>
      </c>
      <c r="V15">
        <f t="shared" si="33"/>
        <v>18</v>
      </c>
      <c r="W15">
        <f t="shared" si="33"/>
        <v>19</v>
      </c>
      <c r="X15">
        <f t="shared" si="33"/>
        <v>20</v>
      </c>
      <c r="Y15">
        <f t="shared" si="34"/>
        <v>21</v>
      </c>
      <c r="Z15">
        <f t="shared" si="34"/>
        <v>22</v>
      </c>
      <c r="AA15">
        <f t="shared" si="34"/>
        <v>23</v>
      </c>
      <c r="AB15">
        <f t="shared" si="34"/>
        <v>24</v>
      </c>
      <c r="AC15" s="1">
        <f t="shared" si="6"/>
        <v>14.458333333333334</v>
      </c>
      <c r="AD15" s="1">
        <f t="shared" si="7"/>
        <v>13.291666666666666</v>
      </c>
      <c r="AE15" s="1">
        <f t="shared" si="8"/>
        <v>13.208333333333334</v>
      </c>
      <c r="AF15" s="1">
        <f t="shared" si="9"/>
        <v>13.125</v>
      </c>
      <c r="AG15" s="1">
        <f t="shared" si="10"/>
        <v>13.041666666666666</v>
      </c>
      <c r="AH15" s="1">
        <f t="shared" si="11"/>
        <v>12.958333333333334</v>
      </c>
      <c r="AI15" s="1">
        <f t="shared" si="12"/>
        <v>12.875</v>
      </c>
      <c r="AJ15" s="1">
        <f t="shared" si="13"/>
        <v>12.791666666666666</v>
      </c>
      <c r="AK15" s="1">
        <f t="shared" si="14"/>
        <v>12.708333333333334</v>
      </c>
      <c r="AL15" s="1">
        <f t="shared" si="15"/>
        <v>12.625</v>
      </c>
      <c r="AM15" s="1">
        <f t="shared" si="16"/>
        <v>12.541666666666666</v>
      </c>
      <c r="AN15" s="1">
        <f t="shared" si="17"/>
        <v>12.458333333333334</v>
      </c>
      <c r="AO15" s="1">
        <f t="shared" si="18"/>
        <v>11.291666666666666</v>
      </c>
      <c r="AP15" s="1">
        <f t="shared" si="19"/>
        <v>10.125</v>
      </c>
      <c r="AQ15" s="1">
        <f t="shared" si="20"/>
        <v>8.9583333333333339</v>
      </c>
      <c r="AR15" s="1">
        <f t="shared" si="21"/>
        <v>7.791666666666667</v>
      </c>
      <c r="AS15" s="1">
        <f t="shared" si="22"/>
        <v>8.7916666666666661</v>
      </c>
      <c r="AT15" s="1">
        <f t="shared" si="23"/>
        <v>9.7916666666666661</v>
      </c>
      <c r="AU15" s="1">
        <f t="shared" si="24"/>
        <v>10.791666666666666</v>
      </c>
      <c r="AV15" s="1">
        <f t="shared" si="25"/>
        <v>11.791666666666666</v>
      </c>
      <c r="AW15" s="1">
        <f t="shared" si="26"/>
        <v>12.791666666666666</v>
      </c>
      <c r="AX15" s="1">
        <f t="shared" si="27"/>
        <v>13.791666666666666</v>
      </c>
      <c r="AY15" s="1">
        <f t="shared" si="28"/>
        <v>14.791666666666666</v>
      </c>
      <c r="AZ15" s="1">
        <f t="shared" si="29"/>
        <v>15.791666666666666</v>
      </c>
      <c r="BA15" s="1">
        <f t="shared" si="30"/>
        <v>16.791666666666668</v>
      </c>
      <c r="BB15" s="1">
        <f t="shared" si="31"/>
        <v>15.625</v>
      </c>
    </row>
    <row r="16" spans="1:54">
      <c r="A16">
        <f t="shared" si="32"/>
        <v>15</v>
      </c>
      <c r="B16">
        <f t="shared" si="4"/>
        <v>15</v>
      </c>
      <c r="C16">
        <f t="shared" si="5"/>
        <v>0</v>
      </c>
      <c r="D16">
        <f t="shared" si="5"/>
        <v>1</v>
      </c>
      <c r="E16">
        <f t="shared" si="5"/>
        <v>2</v>
      </c>
      <c r="F16">
        <f t="shared" si="5"/>
        <v>3</v>
      </c>
      <c r="G16">
        <f t="shared" si="5"/>
        <v>4</v>
      </c>
      <c r="H16">
        <f t="shared" si="5"/>
        <v>5</v>
      </c>
      <c r="I16">
        <f t="shared" si="5"/>
        <v>6</v>
      </c>
      <c r="J16">
        <f t="shared" si="5"/>
        <v>7</v>
      </c>
      <c r="K16">
        <f t="shared" si="5"/>
        <v>8</v>
      </c>
      <c r="L16">
        <f t="shared" si="5"/>
        <v>9</v>
      </c>
      <c r="M16">
        <f t="shared" si="5"/>
        <v>10</v>
      </c>
      <c r="N16">
        <f t="shared" si="5"/>
        <v>11</v>
      </c>
      <c r="O16">
        <f t="shared" si="5"/>
        <v>12</v>
      </c>
      <c r="P16">
        <f t="shared" si="5"/>
        <v>13</v>
      </c>
      <c r="Q16">
        <f t="shared" si="5"/>
        <v>14</v>
      </c>
      <c r="R16">
        <f t="shared" si="5"/>
        <v>15</v>
      </c>
      <c r="S16">
        <f t="shared" si="33"/>
        <v>16</v>
      </c>
      <c r="T16">
        <f t="shared" si="33"/>
        <v>17</v>
      </c>
      <c r="U16">
        <f t="shared" si="33"/>
        <v>18</v>
      </c>
      <c r="V16">
        <f t="shared" si="33"/>
        <v>19</v>
      </c>
      <c r="W16">
        <f t="shared" si="33"/>
        <v>20</v>
      </c>
      <c r="X16">
        <f t="shared" si="33"/>
        <v>21</v>
      </c>
      <c r="Y16">
        <f t="shared" si="34"/>
        <v>22</v>
      </c>
      <c r="Z16">
        <f t="shared" si="34"/>
        <v>23</v>
      </c>
      <c r="AA16">
        <f t="shared" si="34"/>
        <v>24</v>
      </c>
      <c r="AB16">
        <f t="shared" si="34"/>
        <v>25</v>
      </c>
      <c r="AC16" s="1">
        <f t="shared" si="6"/>
        <v>14.041666666666666</v>
      </c>
      <c r="AD16" s="1">
        <f t="shared" si="7"/>
        <v>13.958333333333334</v>
      </c>
      <c r="AE16" s="1">
        <f t="shared" si="8"/>
        <v>13.875</v>
      </c>
      <c r="AF16" s="1">
        <f t="shared" si="9"/>
        <v>13.791666666666666</v>
      </c>
      <c r="AG16" s="1">
        <f t="shared" si="10"/>
        <v>13.708333333333334</v>
      </c>
      <c r="AH16" s="1">
        <f t="shared" si="11"/>
        <v>13.625</v>
      </c>
      <c r="AI16" s="1">
        <f t="shared" si="12"/>
        <v>13.541666666666666</v>
      </c>
      <c r="AJ16" s="1">
        <f t="shared" si="13"/>
        <v>13.458333333333334</v>
      </c>
      <c r="AK16" s="1">
        <f t="shared" si="14"/>
        <v>13.375</v>
      </c>
      <c r="AL16" s="1">
        <f t="shared" si="15"/>
        <v>13.291666666666666</v>
      </c>
      <c r="AM16" s="1">
        <f t="shared" si="16"/>
        <v>13.208333333333334</v>
      </c>
      <c r="AN16" s="1">
        <f t="shared" si="17"/>
        <v>12.041666666666666</v>
      </c>
      <c r="AO16" s="1">
        <f t="shared" si="18"/>
        <v>10.875</v>
      </c>
      <c r="AP16" s="1">
        <f t="shared" si="19"/>
        <v>9.7083333333333339</v>
      </c>
      <c r="AQ16" s="1">
        <f t="shared" si="20"/>
        <v>8.5416666666666661</v>
      </c>
      <c r="AR16" s="1">
        <f t="shared" si="21"/>
        <v>7.375</v>
      </c>
      <c r="AS16" s="1">
        <f t="shared" si="22"/>
        <v>8.375</v>
      </c>
      <c r="AT16" s="1">
        <f t="shared" si="23"/>
        <v>9.375</v>
      </c>
      <c r="AU16" s="1">
        <f t="shared" si="24"/>
        <v>10.375</v>
      </c>
      <c r="AV16" s="1">
        <f t="shared" si="25"/>
        <v>11.375</v>
      </c>
      <c r="AW16" s="1">
        <f t="shared" si="26"/>
        <v>12.375</v>
      </c>
      <c r="AX16" s="1">
        <f t="shared" si="27"/>
        <v>13.375</v>
      </c>
      <c r="AY16" s="1">
        <f t="shared" si="28"/>
        <v>14.375</v>
      </c>
      <c r="AZ16" s="1">
        <f t="shared" si="29"/>
        <v>15.375</v>
      </c>
      <c r="BA16" s="1">
        <f t="shared" si="30"/>
        <v>16.375</v>
      </c>
      <c r="BB16" s="1">
        <f t="shared" si="31"/>
        <v>15.208333333333334</v>
      </c>
    </row>
    <row r="17" spans="1:54">
      <c r="A17">
        <f t="shared" si="32"/>
        <v>16</v>
      </c>
      <c r="B17">
        <f t="shared" si="4"/>
        <v>16</v>
      </c>
      <c r="C17">
        <f t="shared" si="5"/>
        <v>1</v>
      </c>
      <c r="D17">
        <f t="shared" si="5"/>
        <v>2</v>
      </c>
      <c r="E17">
        <f t="shared" si="5"/>
        <v>3</v>
      </c>
      <c r="F17">
        <f t="shared" si="5"/>
        <v>4</v>
      </c>
      <c r="G17">
        <f t="shared" si="5"/>
        <v>5</v>
      </c>
      <c r="H17">
        <f t="shared" si="5"/>
        <v>6</v>
      </c>
      <c r="I17">
        <f t="shared" si="5"/>
        <v>7</v>
      </c>
      <c r="J17">
        <f t="shared" si="5"/>
        <v>8</v>
      </c>
      <c r="K17">
        <f t="shared" si="5"/>
        <v>9</v>
      </c>
      <c r="L17">
        <f t="shared" si="5"/>
        <v>10</v>
      </c>
      <c r="M17">
        <f t="shared" si="5"/>
        <v>11</v>
      </c>
      <c r="N17">
        <f t="shared" si="5"/>
        <v>12</v>
      </c>
      <c r="O17">
        <f t="shared" si="5"/>
        <v>13</v>
      </c>
      <c r="P17">
        <f t="shared" si="5"/>
        <v>14</v>
      </c>
      <c r="Q17">
        <f t="shared" si="5"/>
        <v>15</v>
      </c>
      <c r="R17">
        <f t="shared" si="5"/>
        <v>16</v>
      </c>
      <c r="S17">
        <f t="shared" si="33"/>
        <v>17</v>
      </c>
      <c r="T17">
        <f t="shared" si="33"/>
        <v>18</v>
      </c>
      <c r="U17">
        <f t="shared" si="33"/>
        <v>19</v>
      </c>
      <c r="V17">
        <f t="shared" si="33"/>
        <v>20</v>
      </c>
      <c r="W17">
        <f t="shared" si="33"/>
        <v>21</v>
      </c>
      <c r="X17">
        <f t="shared" si="33"/>
        <v>22</v>
      </c>
      <c r="Y17">
        <f t="shared" si="34"/>
        <v>23</v>
      </c>
      <c r="Z17">
        <f t="shared" si="34"/>
        <v>24</v>
      </c>
      <c r="AA17">
        <f t="shared" si="34"/>
        <v>25</v>
      </c>
      <c r="AB17">
        <f t="shared" si="34"/>
        <v>0</v>
      </c>
      <c r="AC17" s="1">
        <f t="shared" si="6"/>
        <v>14.708333333333334</v>
      </c>
      <c r="AD17" s="1">
        <f t="shared" si="7"/>
        <v>14.625</v>
      </c>
      <c r="AE17" s="1">
        <f t="shared" si="8"/>
        <v>14.541666666666666</v>
      </c>
      <c r="AF17" s="1">
        <f t="shared" si="9"/>
        <v>14.458333333333334</v>
      </c>
      <c r="AG17" s="1">
        <f t="shared" si="10"/>
        <v>14.375</v>
      </c>
      <c r="AH17" s="1">
        <f t="shared" si="11"/>
        <v>14.291666666666666</v>
      </c>
      <c r="AI17" s="1">
        <f t="shared" si="12"/>
        <v>14.208333333333334</v>
      </c>
      <c r="AJ17" s="1">
        <f t="shared" si="13"/>
        <v>14.125</v>
      </c>
      <c r="AK17" s="1">
        <f t="shared" si="14"/>
        <v>14.041666666666666</v>
      </c>
      <c r="AL17" s="1">
        <f t="shared" si="15"/>
        <v>13.958333333333334</v>
      </c>
      <c r="AM17" s="1">
        <f t="shared" si="16"/>
        <v>12.791666666666666</v>
      </c>
      <c r="AN17" s="1">
        <f t="shared" si="17"/>
        <v>11.625</v>
      </c>
      <c r="AO17" s="1">
        <f t="shared" si="18"/>
        <v>10.458333333333334</v>
      </c>
      <c r="AP17" s="1">
        <f t="shared" si="19"/>
        <v>9.2916666666666661</v>
      </c>
      <c r="AQ17" s="1">
        <f t="shared" si="20"/>
        <v>8.125</v>
      </c>
      <c r="AR17" s="1">
        <f t="shared" si="21"/>
        <v>6.958333333333333</v>
      </c>
      <c r="AS17" s="1">
        <f t="shared" si="22"/>
        <v>7.958333333333333</v>
      </c>
      <c r="AT17" s="1">
        <f t="shared" si="23"/>
        <v>8.9583333333333339</v>
      </c>
      <c r="AU17" s="1">
        <f t="shared" si="24"/>
        <v>9.9583333333333339</v>
      </c>
      <c r="AV17" s="1">
        <f t="shared" si="25"/>
        <v>10.958333333333334</v>
      </c>
      <c r="AW17" s="1">
        <f t="shared" si="26"/>
        <v>11.958333333333334</v>
      </c>
      <c r="AX17" s="1">
        <f t="shared" si="27"/>
        <v>12.958333333333334</v>
      </c>
      <c r="AY17" s="1">
        <f t="shared" si="28"/>
        <v>13.958333333333334</v>
      </c>
      <c r="AZ17" s="1">
        <f t="shared" si="29"/>
        <v>14.958333333333334</v>
      </c>
      <c r="BA17" s="1">
        <f t="shared" si="30"/>
        <v>15.958333333333334</v>
      </c>
      <c r="BB17" s="1">
        <f t="shared" si="31"/>
        <v>14.791666666666666</v>
      </c>
    </row>
    <row r="18" spans="1:54">
      <c r="A18">
        <f t="shared" si="32"/>
        <v>17</v>
      </c>
      <c r="B18">
        <f t="shared" si="4"/>
        <v>0</v>
      </c>
      <c r="C18">
        <f t="shared" si="5"/>
        <v>11</v>
      </c>
      <c r="D18">
        <f t="shared" si="5"/>
        <v>12</v>
      </c>
      <c r="E18">
        <f t="shared" si="5"/>
        <v>13</v>
      </c>
      <c r="F18">
        <f t="shared" si="5"/>
        <v>14</v>
      </c>
      <c r="G18">
        <f t="shared" si="5"/>
        <v>15</v>
      </c>
      <c r="H18">
        <f t="shared" si="5"/>
        <v>16</v>
      </c>
      <c r="I18">
        <f t="shared" si="5"/>
        <v>17</v>
      </c>
      <c r="J18">
        <f t="shared" si="5"/>
        <v>18</v>
      </c>
      <c r="K18">
        <f t="shared" si="5"/>
        <v>19</v>
      </c>
      <c r="L18">
        <f t="shared" si="5"/>
        <v>20</v>
      </c>
      <c r="M18">
        <f t="shared" si="5"/>
        <v>21</v>
      </c>
      <c r="N18">
        <f t="shared" si="5"/>
        <v>22</v>
      </c>
      <c r="O18">
        <f t="shared" si="5"/>
        <v>23</v>
      </c>
      <c r="P18">
        <f t="shared" si="5"/>
        <v>24</v>
      </c>
      <c r="Q18">
        <f t="shared" si="5"/>
        <v>25</v>
      </c>
      <c r="R18">
        <f t="shared" si="5"/>
        <v>0</v>
      </c>
      <c r="S18">
        <f t="shared" si="33"/>
        <v>1</v>
      </c>
      <c r="T18">
        <f t="shared" si="33"/>
        <v>2</v>
      </c>
      <c r="U18">
        <f t="shared" si="33"/>
        <v>3</v>
      </c>
      <c r="V18">
        <f t="shared" si="33"/>
        <v>4</v>
      </c>
      <c r="W18">
        <f t="shared" si="33"/>
        <v>5</v>
      </c>
      <c r="X18">
        <f t="shared" si="33"/>
        <v>6</v>
      </c>
      <c r="Y18">
        <f t="shared" si="34"/>
        <v>7</v>
      </c>
      <c r="Z18">
        <f t="shared" si="34"/>
        <v>8</v>
      </c>
      <c r="AA18">
        <f t="shared" si="34"/>
        <v>9</v>
      </c>
      <c r="AB18">
        <f t="shared" si="34"/>
        <v>10</v>
      </c>
      <c r="AC18" s="1">
        <f t="shared" si="6"/>
        <v>15.375</v>
      </c>
      <c r="AD18" s="1">
        <f t="shared" si="7"/>
        <v>15.291666666666666</v>
      </c>
      <c r="AE18" s="1">
        <f t="shared" si="8"/>
        <v>15.208333333333334</v>
      </c>
      <c r="AF18" s="1">
        <f t="shared" si="9"/>
        <v>15.125</v>
      </c>
      <c r="AG18" s="1">
        <f t="shared" si="10"/>
        <v>15.041666666666666</v>
      </c>
      <c r="AH18" s="1">
        <f t="shared" si="11"/>
        <v>14.958333333333334</v>
      </c>
      <c r="AI18" s="1">
        <f t="shared" si="12"/>
        <v>14.875</v>
      </c>
      <c r="AJ18" s="1">
        <f t="shared" si="13"/>
        <v>14.791666666666666</v>
      </c>
      <c r="AK18" s="1">
        <f t="shared" si="14"/>
        <v>14.708333333333334</v>
      </c>
      <c r="AL18" s="1">
        <f t="shared" si="15"/>
        <v>13.541666666666666</v>
      </c>
      <c r="AM18" s="1">
        <f t="shared" si="16"/>
        <v>12.375</v>
      </c>
      <c r="AN18" s="1">
        <f t="shared" si="17"/>
        <v>11.208333333333334</v>
      </c>
      <c r="AO18" s="1">
        <f t="shared" si="18"/>
        <v>10.041666666666666</v>
      </c>
      <c r="AP18" s="1">
        <f t="shared" si="19"/>
        <v>8.875</v>
      </c>
      <c r="AQ18" s="1">
        <f t="shared" si="20"/>
        <v>7.708333333333333</v>
      </c>
      <c r="AR18" s="1">
        <f t="shared" si="21"/>
        <v>6.541666666666667</v>
      </c>
      <c r="AS18" s="1">
        <f t="shared" si="22"/>
        <v>7.541666666666667</v>
      </c>
      <c r="AT18" s="1">
        <f t="shared" si="23"/>
        <v>8.5416666666666661</v>
      </c>
      <c r="AU18" s="1">
        <f t="shared" si="24"/>
        <v>9.5416666666666661</v>
      </c>
      <c r="AV18" s="1">
        <f t="shared" si="25"/>
        <v>10.541666666666666</v>
      </c>
      <c r="AW18" s="1">
        <f t="shared" si="26"/>
        <v>11.541666666666666</v>
      </c>
      <c r="AX18" s="1">
        <f t="shared" si="27"/>
        <v>12.541666666666666</v>
      </c>
      <c r="AY18" s="1">
        <f t="shared" si="28"/>
        <v>13.541666666666666</v>
      </c>
      <c r="AZ18" s="1">
        <f t="shared" si="29"/>
        <v>14.541666666666666</v>
      </c>
      <c r="BA18" s="1">
        <f t="shared" si="30"/>
        <v>15.541666666666666</v>
      </c>
      <c r="BB18" s="1">
        <f t="shared" si="31"/>
        <v>15.458333333333334</v>
      </c>
    </row>
    <row r="19" spans="1:54">
      <c r="A19">
        <f t="shared" si="32"/>
        <v>18</v>
      </c>
      <c r="B19">
        <f t="shared" si="4"/>
        <v>1</v>
      </c>
      <c r="C19">
        <f t="shared" si="5"/>
        <v>12</v>
      </c>
      <c r="D19">
        <f t="shared" si="5"/>
        <v>13</v>
      </c>
      <c r="E19">
        <f t="shared" si="5"/>
        <v>14</v>
      </c>
      <c r="F19">
        <f t="shared" si="5"/>
        <v>15</v>
      </c>
      <c r="G19">
        <f t="shared" si="5"/>
        <v>16</v>
      </c>
      <c r="H19">
        <f t="shared" si="5"/>
        <v>17</v>
      </c>
      <c r="I19">
        <f t="shared" si="5"/>
        <v>18</v>
      </c>
      <c r="J19">
        <f t="shared" si="5"/>
        <v>19</v>
      </c>
      <c r="K19">
        <f t="shared" si="5"/>
        <v>20</v>
      </c>
      <c r="L19">
        <f t="shared" si="5"/>
        <v>21</v>
      </c>
      <c r="M19">
        <f t="shared" si="5"/>
        <v>22</v>
      </c>
      <c r="N19">
        <f t="shared" si="5"/>
        <v>23</v>
      </c>
      <c r="O19">
        <f t="shared" si="5"/>
        <v>24</v>
      </c>
      <c r="P19">
        <f t="shared" si="5"/>
        <v>25</v>
      </c>
      <c r="Q19">
        <f t="shared" si="5"/>
        <v>0</v>
      </c>
      <c r="R19">
        <f t="shared" si="5"/>
        <v>1</v>
      </c>
      <c r="S19">
        <f t="shared" si="33"/>
        <v>2</v>
      </c>
      <c r="T19">
        <f t="shared" si="33"/>
        <v>3</v>
      </c>
      <c r="U19">
        <f t="shared" si="33"/>
        <v>4</v>
      </c>
      <c r="V19">
        <f t="shared" si="33"/>
        <v>5</v>
      </c>
      <c r="W19">
        <f t="shared" si="33"/>
        <v>6</v>
      </c>
      <c r="X19">
        <f t="shared" si="33"/>
        <v>7</v>
      </c>
      <c r="Y19">
        <f t="shared" si="34"/>
        <v>8</v>
      </c>
      <c r="Z19">
        <f t="shared" si="34"/>
        <v>9</v>
      </c>
      <c r="AA19">
        <f t="shared" si="34"/>
        <v>10</v>
      </c>
      <c r="AB19">
        <f t="shared" si="34"/>
        <v>11</v>
      </c>
      <c r="AC19" s="1">
        <f t="shared" si="6"/>
        <v>15.666666666666666</v>
      </c>
      <c r="AD19" s="1">
        <f t="shared" si="7"/>
        <v>15.583333333333334</v>
      </c>
      <c r="AE19" s="1">
        <f t="shared" si="8"/>
        <v>15.5</v>
      </c>
      <c r="AF19" s="1">
        <f t="shared" si="9"/>
        <v>15.416666666666666</v>
      </c>
      <c r="AG19" s="1">
        <f t="shared" si="10"/>
        <v>15.333333333333334</v>
      </c>
      <c r="AH19" s="1">
        <f t="shared" si="11"/>
        <v>15.25</v>
      </c>
      <c r="AI19" s="1">
        <f t="shared" si="12"/>
        <v>15.166666666666666</v>
      </c>
      <c r="AJ19" s="1">
        <f t="shared" si="13"/>
        <v>15.083333333333334</v>
      </c>
      <c r="AK19" s="1">
        <f t="shared" si="14"/>
        <v>13.916666666666666</v>
      </c>
      <c r="AL19" s="1">
        <f t="shared" si="15"/>
        <v>12.75</v>
      </c>
      <c r="AM19" s="1">
        <f t="shared" si="16"/>
        <v>11.583333333333334</v>
      </c>
      <c r="AN19" s="1">
        <f t="shared" si="17"/>
        <v>10.416666666666666</v>
      </c>
      <c r="AO19" s="1">
        <f t="shared" si="18"/>
        <v>9.25</v>
      </c>
      <c r="AP19" s="1">
        <f t="shared" si="19"/>
        <v>8.0833333333333339</v>
      </c>
      <c r="AQ19" s="1">
        <f t="shared" si="20"/>
        <v>6.916666666666667</v>
      </c>
      <c r="AR19" s="1">
        <f t="shared" si="21"/>
        <v>6.833333333333333</v>
      </c>
      <c r="AS19" s="1">
        <f t="shared" si="22"/>
        <v>7.833333333333333</v>
      </c>
      <c r="AT19" s="1">
        <f t="shared" si="23"/>
        <v>8.8333333333333339</v>
      </c>
      <c r="AU19" s="1">
        <f t="shared" si="24"/>
        <v>9.8333333333333339</v>
      </c>
      <c r="AV19" s="1">
        <f t="shared" si="25"/>
        <v>10.833333333333334</v>
      </c>
      <c r="AW19" s="1">
        <f t="shared" si="26"/>
        <v>11.833333333333334</v>
      </c>
      <c r="AX19" s="1">
        <f t="shared" si="27"/>
        <v>12.833333333333334</v>
      </c>
      <c r="AY19" s="1">
        <f t="shared" si="28"/>
        <v>13.833333333333334</v>
      </c>
      <c r="AZ19" s="1">
        <f t="shared" si="29"/>
        <v>14.833333333333334</v>
      </c>
      <c r="BA19" s="1">
        <f t="shared" si="30"/>
        <v>15.833333333333334</v>
      </c>
      <c r="BB19" s="1">
        <f t="shared" si="31"/>
        <v>15.75</v>
      </c>
    </row>
    <row r="20" spans="1:54">
      <c r="A20">
        <f t="shared" si="32"/>
        <v>19</v>
      </c>
      <c r="B20">
        <f t="shared" si="4"/>
        <v>2</v>
      </c>
      <c r="C20">
        <f t="shared" si="5"/>
        <v>13</v>
      </c>
      <c r="D20">
        <f t="shared" si="5"/>
        <v>14</v>
      </c>
      <c r="E20">
        <f t="shared" si="5"/>
        <v>15</v>
      </c>
      <c r="F20">
        <f t="shared" si="5"/>
        <v>16</v>
      </c>
      <c r="G20">
        <f t="shared" si="5"/>
        <v>17</v>
      </c>
      <c r="H20">
        <f t="shared" si="5"/>
        <v>18</v>
      </c>
      <c r="I20">
        <f t="shared" si="5"/>
        <v>19</v>
      </c>
      <c r="J20">
        <f t="shared" si="5"/>
        <v>20</v>
      </c>
      <c r="K20">
        <f t="shared" si="5"/>
        <v>21</v>
      </c>
      <c r="L20">
        <f t="shared" si="5"/>
        <v>22</v>
      </c>
      <c r="M20">
        <f t="shared" si="5"/>
        <v>23</v>
      </c>
      <c r="N20">
        <f t="shared" si="5"/>
        <v>24</v>
      </c>
      <c r="O20">
        <f t="shared" si="5"/>
        <v>25</v>
      </c>
      <c r="P20">
        <f t="shared" si="5"/>
        <v>0</v>
      </c>
      <c r="Q20">
        <f t="shared" si="5"/>
        <v>1</v>
      </c>
      <c r="R20">
        <f t="shared" si="5"/>
        <v>2</v>
      </c>
      <c r="S20">
        <f t="shared" si="33"/>
        <v>3</v>
      </c>
      <c r="T20">
        <f t="shared" si="33"/>
        <v>4</v>
      </c>
      <c r="U20">
        <f t="shared" si="33"/>
        <v>5</v>
      </c>
      <c r="V20">
        <f t="shared" si="33"/>
        <v>6</v>
      </c>
      <c r="W20">
        <f t="shared" si="33"/>
        <v>7</v>
      </c>
      <c r="X20">
        <f t="shared" si="33"/>
        <v>8</v>
      </c>
      <c r="Y20">
        <f t="shared" si="34"/>
        <v>9</v>
      </c>
      <c r="Z20">
        <f t="shared" si="34"/>
        <v>10</v>
      </c>
      <c r="AA20">
        <f t="shared" si="34"/>
        <v>11</v>
      </c>
      <c r="AB20">
        <f t="shared" si="34"/>
        <v>12</v>
      </c>
      <c r="AC20" s="1">
        <f t="shared" si="6"/>
        <v>15.958333333333334</v>
      </c>
      <c r="AD20" s="1">
        <f t="shared" si="7"/>
        <v>15.875</v>
      </c>
      <c r="AE20" s="1">
        <f t="shared" si="8"/>
        <v>15.791666666666666</v>
      </c>
      <c r="AF20" s="1">
        <f t="shared" si="9"/>
        <v>15.708333333333334</v>
      </c>
      <c r="AG20" s="1">
        <f t="shared" si="10"/>
        <v>15.625</v>
      </c>
      <c r="AH20" s="1">
        <f t="shared" si="11"/>
        <v>15.541666666666666</v>
      </c>
      <c r="AI20" s="1">
        <f t="shared" si="12"/>
        <v>15.458333333333334</v>
      </c>
      <c r="AJ20" s="1">
        <f t="shared" si="13"/>
        <v>14.291666666666666</v>
      </c>
      <c r="AK20" s="1">
        <f t="shared" si="14"/>
        <v>13.125</v>
      </c>
      <c r="AL20" s="1">
        <f t="shared" si="15"/>
        <v>11.958333333333334</v>
      </c>
      <c r="AM20" s="1">
        <f t="shared" si="16"/>
        <v>10.791666666666666</v>
      </c>
      <c r="AN20" s="1">
        <f t="shared" si="17"/>
        <v>9.625</v>
      </c>
      <c r="AO20" s="1">
        <f t="shared" si="18"/>
        <v>8.4583333333333339</v>
      </c>
      <c r="AP20" s="1">
        <f t="shared" si="19"/>
        <v>7.291666666666667</v>
      </c>
      <c r="AQ20" s="1">
        <f t="shared" si="20"/>
        <v>7.208333333333333</v>
      </c>
      <c r="AR20" s="1">
        <f t="shared" si="21"/>
        <v>7.125</v>
      </c>
      <c r="AS20" s="1">
        <f t="shared" si="22"/>
        <v>8.125</v>
      </c>
      <c r="AT20" s="1">
        <f t="shared" si="23"/>
        <v>9.125</v>
      </c>
      <c r="AU20" s="1">
        <f t="shared" si="24"/>
        <v>10.125</v>
      </c>
      <c r="AV20" s="1">
        <f t="shared" si="25"/>
        <v>11.125</v>
      </c>
      <c r="AW20" s="1">
        <f t="shared" si="26"/>
        <v>12.125</v>
      </c>
      <c r="AX20" s="1">
        <f t="shared" si="27"/>
        <v>13.125</v>
      </c>
      <c r="AY20" s="1">
        <f t="shared" si="28"/>
        <v>14.125</v>
      </c>
      <c r="AZ20" s="1">
        <f t="shared" si="29"/>
        <v>15.125</v>
      </c>
      <c r="BA20" s="1">
        <f t="shared" si="30"/>
        <v>16.125</v>
      </c>
      <c r="BB20" s="1">
        <f t="shared" si="31"/>
        <v>16.041666666666668</v>
      </c>
    </row>
    <row r="21" spans="1:54">
      <c r="A21">
        <f t="shared" si="32"/>
        <v>20</v>
      </c>
      <c r="B21">
        <f t="shared" si="4"/>
        <v>3</v>
      </c>
      <c r="C21">
        <f t="shared" si="5"/>
        <v>14</v>
      </c>
      <c r="D21">
        <f t="shared" si="5"/>
        <v>15</v>
      </c>
      <c r="E21">
        <f t="shared" si="5"/>
        <v>16</v>
      </c>
      <c r="F21">
        <f t="shared" si="5"/>
        <v>17</v>
      </c>
      <c r="G21">
        <f t="shared" si="5"/>
        <v>18</v>
      </c>
      <c r="H21">
        <f t="shared" si="5"/>
        <v>19</v>
      </c>
      <c r="I21">
        <f t="shared" si="5"/>
        <v>20</v>
      </c>
      <c r="J21">
        <f t="shared" si="5"/>
        <v>21</v>
      </c>
      <c r="K21">
        <f t="shared" si="5"/>
        <v>22</v>
      </c>
      <c r="L21">
        <f t="shared" si="5"/>
        <v>23</v>
      </c>
      <c r="M21">
        <f t="shared" si="5"/>
        <v>24</v>
      </c>
      <c r="N21">
        <f t="shared" si="5"/>
        <v>25</v>
      </c>
      <c r="O21">
        <f t="shared" si="5"/>
        <v>0</v>
      </c>
      <c r="P21">
        <f t="shared" si="5"/>
        <v>1</v>
      </c>
      <c r="Q21">
        <f t="shared" si="5"/>
        <v>2</v>
      </c>
      <c r="R21">
        <f t="shared" si="5"/>
        <v>3</v>
      </c>
      <c r="S21">
        <f t="shared" si="33"/>
        <v>4</v>
      </c>
      <c r="T21">
        <f t="shared" si="33"/>
        <v>5</v>
      </c>
      <c r="U21">
        <f t="shared" si="33"/>
        <v>6</v>
      </c>
      <c r="V21">
        <f t="shared" si="33"/>
        <v>7</v>
      </c>
      <c r="W21">
        <f t="shared" si="33"/>
        <v>8</v>
      </c>
      <c r="X21">
        <f t="shared" si="33"/>
        <v>9</v>
      </c>
      <c r="Y21">
        <f t="shared" si="34"/>
        <v>10</v>
      </c>
      <c r="Z21">
        <f t="shared" si="34"/>
        <v>11</v>
      </c>
      <c r="AA21">
        <f t="shared" si="34"/>
        <v>12</v>
      </c>
      <c r="AB21">
        <f t="shared" si="34"/>
        <v>13</v>
      </c>
      <c r="AC21" s="1">
        <f t="shared" si="6"/>
        <v>16.25</v>
      </c>
      <c r="AD21" s="1">
        <f t="shared" si="7"/>
        <v>16.166666666666668</v>
      </c>
      <c r="AE21" s="1">
        <f t="shared" si="8"/>
        <v>16.083333333333332</v>
      </c>
      <c r="AF21" s="1">
        <f t="shared" si="9"/>
        <v>16</v>
      </c>
      <c r="AG21" s="1">
        <f t="shared" si="10"/>
        <v>15.916666666666666</v>
      </c>
      <c r="AH21" s="1">
        <f t="shared" si="11"/>
        <v>15.833333333333334</v>
      </c>
      <c r="AI21" s="1">
        <f t="shared" si="12"/>
        <v>14.666666666666666</v>
      </c>
      <c r="AJ21" s="1">
        <f t="shared" si="13"/>
        <v>13.5</v>
      </c>
      <c r="AK21" s="1">
        <f t="shared" si="14"/>
        <v>12.333333333333334</v>
      </c>
      <c r="AL21" s="1">
        <f t="shared" si="15"/>
        <v>11.166666666666666</v>
      </c>
      <c r="AM21" s="1">
        <f t="shared" si="16"/>
        <v>10</v>
      </c>
      <c r="AN21" s="1">
        <f t="shared" si="17"/>
        <v>8.8333333333333339</v>
      </c>
      <c r="AO21" s="1">
        <f t="shared" si="18"/>
        <v>7.666666666666667</v>
      </c>
      <c r="AP21" s="1">
        <f t="shared" si="19"/>
        <v>7.583333333333333</v>
      </c>
      <c r="AQ21" s="1">
        <f t="shared" si="20"/>
        <v>7.5</v>
      </c>
      <c r="AR21" s="1">
        <f t="shared" si="21"/>
        <v>7.416666666666667</v>
      </c>
      <c r="AS21" s="1">
        <f t="shared" si="22"/>
        <v>8.4166666666666661</v>
      </c>
      <c r="AT21" s="1">
        <f t="shared" si="23"/>
        <v>9.4166666666666661</v>
      </c>
      <c r="AU21" s="1">
        <f t="shared" si="24"/>
        <v>10.416666666666666</v>
      </c>
      <c r="AV21" s="1">
        <f t="shared" si="25"/>
        <v>11.416666666666666</v>
      </c>
      <c r="AW21" s="1">
        <f t="shared" si="26"/>
        <v>12.416666666666666</v>
      </c>
      <c r="AX21" s="1">
        <f t="shared" si="27"/>
        <v>13.416666666666666</v>
      </c>
      <c r="AY21" s="1">
        <f t="shared" si="28"/>
        <v>14.416666666666666</v>
      </c>
      <c r="AZ21" s="1">
        <f t="shared" si="29"/>
        <v>15.416666666666666</v>
      </c>
      <c r="BA21" s="1">
        <f t="shared" si="30"/>
        <v>16.416666666666668</v>
      </c>
      <c r="BB21" s="1">
        <f t="shared" si="31"/>
        <v>16.333333333333332</v>
      </c>
    </row>
    <row r="22" spans="1:54">
      <c r="A22">
        <f t="shared" si="32"/>
        <v>21</v>
      </c>
      <c r="B22">
        <f t="shared" si="4"/>
        <v>4</v>
      </c>
      <c r="C22">
        <f t="shared" si="5"/>
        <v>15</v>
      </c>
      <c r="D22">
        <f t="shared" si="5"/>
        <v>16</v>
      </c>
      <c r="E22">
        <f t="shared" si="5"/>
        <v>17</v>
      </c>
      <c r="F22">
        <f t="shared" si="5"/>
        <v>18</v>
      </c>
      <c r="G22">
        <f t="shared" si="5"/>
        <v>19</v>
      </c>
      <c r="H22">
        <f t="shared" si="5"/>
        <v>20</v>
      </c>
      <c r="I22">
        <f t="shared" si="5"/>
        <v>21</v>
      </c>
      <c r="J22">
        <f t="shared" si="5"/>
        <v>22</v>
      </c>
      <c r="K22">
        <f t="shared" si="5"/>
        <v>23</v>
      </c>
      <c r="L22">
        <f t="shared" si="5"/>
        <v>24</v>
      </c>
      <c r="M22">
        <f t="shared" si="5"/>
        <v>25</v>
      </c>
      <c r="N22">
        <f t="shared" si="5"/>
        <v>0</v>
      </c>
      <c r="O22">
        <f t="shared" si="5"/>
        <v>1</v>
      </c>
      <c r="P22">
        <f t="shared" si="5"/>
        <v>2</v>
      </c>
      <c r="Q22">
        <f t="shared" si="5"/>
        <v>3</v>
      </c>
      <c r="R22">
        <f t="shared" si="5"/>
        <v>4</v>
      </c>
      <c r="S22">
        <f t="shared" si="33"/>
        <v>5</v>
      </c>
      <c r="T22">
        <f t="shared" si="33"/>
        <v>6</v>
      </c>
      <c r="U22">
        <f t="shared" si="33"/>
        <v>7</v>
      </c>
      <c r="V22">
        <f t="shared" si="33"/>
        <v>8</v>
      </c>
      <c r="W22">
        <f t="shared" si="33"/>
        <v>9</v>
      </c>
      <c r="X22">
        <f t="shared" si="33"/>
        <v>10</v>
      </c>
      <c r="Y22">
        <f t="shared" si="34"/>
        <v>11</v>
      </c>
      <c r="Z22">
        <f t="shared" si="34"/>
        <v>12</v>
      </c>
      <c r="AA22">
        <f t="shared" si="34"/>
        <v>13</v>
      </c>
      <c r="AB22">
        <f t="shared" si="34"/>
        <v>14</v>
      </c>
      <c r="AC22" s="1">
        <f t="shared" si="6"/>
        <v>16.541666666666668</v>
      </c>
      <c r="AD22" s="1">
        <f t="shared" si="7"/>
        <v>16.458333333333332</v>
      </c>
      <c r="AE22" s="1">
        <f t="shared" si="8"/>
        <v>16.375</v>
      </c>
      <c r="AF22" s="1">
        <f t="shared" si="9"/>
        <v>16.291666666666668</v>
      </c>
      <c r="AG22" s="1">
        <f t="shared" si="10"/>
        <v>16.208333333333332</v>
      </c>
      <c r="AH22" s="1">
        <f t="shared" si="11"/>
        <v>15.041666666666666</v>
      </c>
      <c r="AI22" s="1">
        <f t="shared" si="12"/>
        <v>13.875</v>
      </c>
      <c r="AJ22" s="1">
        <f t="shared" si="13"/>
        <v>12.708333333333334</v>
      </c>
      <c r="AK22" s="1">
        <f t="shared" si="14"/>
        <v>11.541666666666666</v>
      </c>
      <c r="AL22" s="1">
        <f t="shared" si="15"/>
        <v>10.375</v>
      </c>
      <c r="AM22" s="1">
        <f t="shared" si="16"/>
        <v>9.2083333333333339</v>
      </c>
      <c r="AN22" s="1">
        <f t="shared" si="17"/>
        <v>8.0416666666666661</v>
      </c>
      <c r="AO22" s="1">
        <f t="shared" si="18"/>
        <v>7.958333333333333</v>
      </c>
      <c r="AP22" s="1">
        <f t="shared" si="19"/>
        <v>7.875</v>
      </c>
      <c r="AQ22" s="1">
        <f t="shared" si="20"/>
        <v>7.791666666666667</v>
      </c>
      <c r="AR22" s="1">
        <f t="shared" si="21"/>
        <v>7.708333333333333</v>
      </c>
      <c r="AS22" s="1">
        <f t="shared" si="22"/>
        <v>8.7083333333333339</v>
      </c>
      <c r="AT22" s="1">
        <f t="shared" si="23"/>
        <v>9.7083333333333339</v>
      </c>
      <c r="AU22" s="1">
        <f t="shared" si="24"/>
        <v>10.708333333333334</v>
      </c>
      <c r="AV22" s="1">
        <f t="shared" si="25"/>
        <v>11.708333333333334</v>
      </c>
      <c r="AW22" s="1">
        <f t="shared" si="26"/>
        <v>12.708333333333334</v>
      </c>
      <c r="AX22" s="1">
        <f t="shared" si="27"/>
        <v>13.708333333333334</v>
      </c>
      <c r="AY22" s="1">
        <f t="shared" si="28"/>
        <v>14.708333333333334</v>
      </c>
      <c r="AZ22" s="1">
        <f t="shared" si="29"/>
        <v>15.708333333333334</v>
      </c>
      <c r="BA22" s="1">
        <f t="shared" si="30"/>
        <v>16.708333333333332</v>
      </c>
      <c r="BB22" s="1">
        <f t="shared" si="31"/>
        <v>16.625</v>
      </c>
    </row>
    <row r="23" spans="1:54">
      <c r="A23">
        <f t="shared" si="32"/>
        <v>22</v>
      </c>
      <c r="B23">
        <f t="shared" si="4"/>
        <v>5</v>
      </c>
      <c r="C23">
        <f t="shared" si="5"/>
        <v>16</v>
      </c>
      <c r="D23">
        <f t="shared" si="5"/>
        <v>17</v>
      </c>
      <c r="E23">
        <f t="shared" si="5"/>
        <v>18</v>
      </c>
      <c r="F23">
        <f t="shared" si="5"/>
        <v>19</v>
      </c>
      <c r="G23">
        <f t="shared" si="5"/>
        <v>20</v>
      </c>
      <c r="H23">
        <f t="shared" si="5"/>
        <v>21</v>
      </c>
      <c r="I23">
        <f t="shared" si="5"/>
        <v>22</v>
      </c>
      <c r="J23">
        <f t="shared" si="5"/>
        <v>23</v>
      </c>
      <c r="K23">
        <f t="shared" si="5"/>
        <v>24</v>
      </c>
      <c r="L23">
        <f t="shared" si="5"/>
        <v>25</v>
      </c>
      <c r="M23">
        <f t="shared" si="5"/>
        <v>0</v>
      </c>
      <c r="N23">
        <f t="shared" si="5"/>
        <v>1</v>
      </c>
      <c r="O23">
        <f t="shared" si="5"/>
        <v>2</v>
      </c>
      <c r="P23">
        <f t="shared" si="5"/>
        <v>3</v>
      </c>
      <c r="Q23">
        <f t="shared" si="5"/>
        <v>4</v>
      </c>
      <c r="R23">
        <f t="shared" si="5"/>
        <v>5</v>
      </c>
      <c r="S23">
        <f t="shared" si="33"/>
        <v>6</v>
      </c>
      <c r="T23">
        <f t="shared" si="33"/>
        <v>7</v>
      </c>
      <c r="U23">
        <f t="shared" si="33"/>
        <v>8</v>
      </c>
      <c r="V23">
        <f t="shared" si="33"/>
        <v>9</v>
      </c>
      <c r="W23">
        <f t="shared" si="33"/>
        <v>10</v>
      </c>
      <c r="X23">
        <f t="shared" si="33"/>
        <v>11</v>
      </c>
      <c r="Y23">
        <f t="shared" si="34"/>
        <v>12</v>
      </c>
      <c r="Z23">
        <f t="shared" si="34"/>
        <v>13</v>
      </c>
      <c r="AA23">
        <f t="shared" si="34"/>
        <v>14</v>
      </c>
      <c r="AB23">
        <f t="shared" si="34"/>
        <v>15</v>
      </c>
      <c r="AC23" s="1">
        <f t="shared" si="6"/>
        <v>16.833333333333332</v>
      </c>
      <c r="AD23" s="1">
        <f t="shared" si="7"/>
        <v>16.75</v>
      </c>
      <c r="AE23" s="1">
        <f t="shared" si="8"/>
        <v>16.666666666666668</v>
      </c>
      <c r="AF23" s="1">
        <f t="shared" si="9"/>
        <v>16.583333333333332</v>
      </c>
      <c r="AG23" s="1">
        <f t="shared" si="10"/>
        <v>15.416666666666666</v>
      </c>
      <c r="AH23" s="1">
        <f t="shared" si="11"/>
        <v>14.25</v>
      </c>
      <c r="AI23" s="1">
        <f t="shared" si="12"/>
        <v>13.083333333333334</v>
      </c>
      <c r="AJ23" s="1">
        <f t="shared" si="13"/>
        <v>11.916666666666666</v>
      </c>
      <c r="AK23" s="1">
        <f t="shared" si="14"/>
        <v>10.75</v>
      </c>
      <c r="AL23" s="1">
        <f t="shared" si="15"/>
        <v>9.5833333333333339</v>
      </c>
      <c r="AM23" s="1">
        <f t="shared" si="16"/>
        <v>8.4166666666666661</v>
      </c>
      <c r="AN23" s="1">
        <f t="shared" si="17"/>
        <v>8.3333333333333339</v>
      </c>
      <c r="AO23" s="1">
        <f t="shared" si="18"/>
        <v>8.25</v>
      </c>
      <c r="AP23" s="1">
        <f t="shared" si="19"/>
        <v>8.1666666666666661</v>
      </c>
      <c r="AQ23" s="1">
        <f t="shared" si="20"/>
        <v>8.0833333333333339</v>
      </c>
      <c r="AR23" s="1">
        <f t="shared" si="21"/>
        <v>8</v>
      </c>
      <c r="AS23" s="1">
        <f t="shared" si="22"/>
        <v>9</v>
      </c>
      <c r="AT23" s="1">
        <f t="shared" si="23"/>
        <v>10</v>
      </c>
      <c r="AU23" s="1">
        <f t="shared" si="24"/>
        <v>11</v>
      </c>
      <c r="AV23" s="1">
        <f t="shared" si="25"/>
        <v>12</v>
      </c>
      <c r="AW23" s="1">
        <f t="shared" si="26"/>
        <v>13</v>
      </c>
      <c r="AX23" s="1">
        <f t="shared" si="27"/>
        <v>14</v>
      </c>
      <c r="AY23" s="1">
        <f t="shared" si="28"/>
        <v>15</v>
      </c>
      <c r="AZ23" s="1">
        <f t="shared" si="29"/>
        <v>16</v>
      </c>
      <c r="BA23" s="1">
        <f t="shared" si="30"/>
        <v>17</v>
      </c>
      <c r="BB23" s="1">
        <f t="shared" si="31"/>
        <v>16.916666666666668</v>
      </c>
    </row>
    <row r="24" spans="1:54">
      <c r="A24">
        <f t="shared" si="32"/>
        <v>23</v>
      </c>
      <c r="B24">
        <f t="shared" si="4"/>
        <v>6</v>
      </c>
      <c r="C24">
        <f t="shared" si="5"/>
        <v>17</v>
      </c>
      <c r="D24">
        <f t="shared" si="5"/>
        <v>18</v>
      </c>
      <c r="E24">
        <f t="shared" si="5"/>
        <v>19</v>
      </c>
      <c r="F24">
        <f t="shared" si="5"/>
        <v>20</v>
      </c>
      <c r="G24">
        <f t="shared" si="5"/>
        <v>21</v>
      </c>
      <c r="H24">
        <f t="shared" si="5"/>
        <v>22</v>
      </c>
      <c r="I24">
        <f t="shared" si="5"/>
        <v>23</v>
      </c>
      <c r="J24">
        <f t="shared" si="5"/>
        <v>24</v>
      </c>
      <c r="K24">
        <f t="shared" si="5"/>
        <v>25</v>
      </c>
      <c r="L24">
        <f t="shared" si="5"/>
        <v>0</v>
      </c>
      <c r="M24">
        <f t="shared" si="5"/>
        <v>1</v>
      </c>
      <c r="N24">
        <f t="shared" si="5"/>
        <v>2</v>
      </c>
      <c r="O24">
        <f t="shared" si="5"/>
        <v>3</v>
      </c>
      <c r="P24">
        <f t="shared" si="5"/>
        <v>4</v>
      </c>
      <c r="Q24">
        <f t="shared" si="5"/>
        <v>5</v>
      </c>
      <c r="R24">
        <f t="shared" si="5"/>
        <v>6</v>
      </c>
      <c r="S24">
        <f t="shared" si="33"/>
        <v>7</v>
      </c>
      <c r="T24">
        <f t="shared" si="33"/>
        <v>8</v>
      </c>
      <c r="U24">
        <f t="shared" si="33"/>
        <v>9</v>
      </c>
      <c r="V24">
        <f t="shared" si="33"/>
        <v>10</v>
      </c>
      <c r="W24">
        <f t="shared" si="33"/>
        <v>11</v>
      </c>
      <c r="X24">
        <f t="shared" si="33"/>
        <v>12</v>
      </c>
      <c r="Y24">
        <f t="shared" si="34"/>
        <v>13</v>
      </c>
      <c r="Z24">
        <f t="shared" si="34"/>
        <v>14</v>
      </c>
      <c r="AA24">
        <f t="shared" si="34"/>
        <v>15</v>
      </c>
      <c r="AB24">
        <f t="shared" si="34"/>
        <v>16</v>
      </c>
      <c r="AC24" s="1">
        <f t="shared" si="6"/>
        <v>17.125</v>
      </c>
      <c r="AD24" s="1">
        <f t="shared" si="7"/>
        <v>17.041666666666668</v>
      </c>
      <c r="AE24" s="1">
        <f t="shared" si="8"/>
        <v>16.958333333333332</v>
      </c>
      <c r="AF24" s="1">
        <f t="shared" si="9"/>
        <v>15.791666666666666</v>
      </c>
      <c r="AG24" s="1">
        <f t="shared" si="10"/>
        <v>14.625</v>
      </c>
      <c r="AH24" s="1">
        <f t="shared" si="11"/>
        <v>13.458333333333334</v>
      </c>
      <c r="AI24" s="1">
        <f t="shared" si="12"/>
        <v>12.291666666666666</v>
      </c>
      <c r="AJ24" s="1">
        <f t="shared" si="13"/>
        <v>11.125</v>
      </c>
      <c r="AK24" s="1">
        <f t="shared" si="14"/>
        <v>9.9583333333333339</v>
      </c>
      <c r="AL24" s="1">
        <f t="shared" si="15"/>
        <v>8.7916666666666661</v>
      </c>
      <c r="AM24" s="1">
        <f t="shared" si="16"/>
        <v>8.7083333333333339</v>
      </c>
      <c r="AN24" s="1">
        <f t="shared" si="17"/>
        <v>8.625</v>
      </c>
      <c r="AO24" s="1">
        <f t="shared" si="18"/>
        <v>8.5416666666666661</v>
      </c>
      <c r="AP24" s="1">
        <f t="shared" si="19"/>
        <v>8.4583333333333339</v>
      </c>
      <c r="AQ24" s="1">
        <f t="shared" si="20"/>
        <v>8.375</v>
      </c>
      <c r="AR24" s="1">
        <f t="shared" si="21"/>
        <v>8.2916666666666661</v>
      </c>
      <c r="AS24" s="1">
        <f t="shared" si="22"/>
        <v>9.2916666666666661</v>
      </c>
      <c r="AT24" s="1">
        <f t="shared" si="23"/>
        <v>10.291666666666666</v>
      </c>
      <c r="AU24" s="1">
        <f t="shared" si="24"/>
        <v>11.291666666666666</v>
      </c>
      <c r="AV24" s="1">
        <f t="shared" si="25"/>
        <v>12.291666666666666</v>
      </c>
      <c r="AW24" s="1">
        <f t="shared" si="26"/>
        <v>13.291666666666666</v>
      </c>
      <c r="AX24" s="1">
        <f t="shared" si="27"/>
        <v>14.291666666666666</v>
      </c>
      <c r="AY24" s="1">
        <f t="shared" si="28"/>
        <v>15.291666666666666</v>
      </c>
      <c r="AZ24" s="1">
        <f t="shared" si="29"/>
        <v>16.291666666666668</v>
      </c>
      <c r="BA24" s="1">
        <f t="shared" si="30"/>
        <v>17.291666666666668</v>
      </c>
      <c r="BB24" s="1">
        <f t="shared" si="31"/>
        <v>17.208333333333332</v>
      </c>
    </row>
    <row r="25" spans="1:54">
      <c r="A25">
        <f t="shared" si="32"/>
        <v>24</v>
      </c>
      <c r="B25">
        <f t="shared" si="4"/>
        <v>7</v>
      </c>
      <c r="C25">
        <f t="shared" si="5"/>
        <v>18</v>
      </c>
      <c r="D25">
        <f t="shared" si="5"/>
        <v>19</v>
      </c>
      <c r="E25">
        <f t="shared" si="5"/>
        <v>20</v>
      </c>
      <c r="F25">
        <f t="shared" si="5"/>
        <v>21</v>
      </c>
      <c r="G25">
        <f t="shared" si="5"/>
        <v>22</v>
      </c>
      <c r="H25">
        <f t="shared" si="5"/>
        <v>23</v>
      </c>
      <c r="I25">
        <f t="shared" si="5"/>
        <v>24</v>
      </c>
      <c r="J25">
        <f t="shared" si="5"/>
        <v>25</v>
      </c>
      <c r="K25">
        <f t="shared" si="5"/>
        <v>0</v>
      </c>
      <c r="L25">
        <f t="shared" si="5"/>
        <v>1</v>
      </c>
      <c r="M25">
        <f t="shared" si="5"/>
        <v>2</v>
      </c>
      <c r="N25">
        <f t="shared" si="5"/>
        <v>3</v>
      </c>
      <c r="O25">
        <f t="shared" si="5"/>
        <v>4</v>
      </c>
      <c r="P25">
        <f t="shared" si="5"/>
        <v>5</v>
      </c>
      <c r="Q25">
        <f t="shared" si="5"/>
        <v>6</v>
      </c>
      <c r="R25">
        <f t="shared" si="5"/>
        <v>7</v>
      </c>
      <c r="S25">
        <f t="shared" si="33"/>
        <v>8</v>
      </c>
      <c r="T25">
        <f t="shared" si="33"/>
        <v>9</v>
      </c>
      <c r="U25">
        <f t="shared" si="33"/>
        <v>10</v>
      </c>
      <c r="V25">
        <f t="shared" si="33"/>
        <v>11</v>
      </c>
      <c r="W25">
        <f t="shared" si="33"/>
        <v>12</v>
      </c>
      <c r="X25">
        <f t="shared" si="33"/>
        <v>13</v>
      </c>
      <c r="Y25">
        <f t="shared" si="34"/>
        <v>14</v>
      </c>
      <c r="Z25">
        <f t="shared" si="34"/>
        <v>15</v>
      </c>
      <c r="AA25">
        <f t="shared" si="34"/>
        <v>16</v>
      </c>
      <c r="AB25">
        <f t="shared" si="34"/>
        <v>17</v>
      </c>
      <c r="AC25" s="1">
        <f t="shared" si="6"/>
        <v>17.416666666666668</v>
      </c>
      <c r="AD25" s="1">
        <f t="shared" si="7"/>
        <v>17.333333333333332</v>
      </c>
      <c r="AE25" s="1">
        <f t="shared" si="8"/>
        <v>16.166666666666668</v>
      </c>
      <c r="AF25" s="1">
        <f t="shared" si="9"/>
        <v>15</v>
      </c>
      <c r="AG25" s="1">
        <f t="shared" si="10"/>
        <v>13.833333333333334</v>
      </c>
      <c r="AH25" s="1">
        <f t="shared" si="11"/>
        <v>12.666666666666666</v>
      </c>
      <c r="AI25" s="1">
        <f t="shared" si="12"/>
        <v>11.5</v>
      </c>
      <c r="AJ25" s="1">
        <f t="shared" si="13"/>
        <v>10.333333333333334</v>
      </c>
      <c r="AK25" s="1">
        <f t="shared" si="14"/>
        <v>9.1666666666666661</v>
      </c>
      <c r="AL25" s="1">
        <f t="shared" si="15"/>
        <v>9.0833333333333339</v>
      </c>
      <c r="AM25" s="1">
        <f t="shared" si="16"/>
        <v>9</v>
      </c>
      <c r="AN25" s="1">
        <f t="shared" si="17"/>
        <v>8.9166666666666661</v>
      </c>
      <c r="AO25" s="1">
        <f t="shared" si="18"/>
        <v>8.8333333333333339</v>
      </c>
      <c r="AP25" s="1">
        <f t="shared" si="19"/>
        <v>8.75</v>
      </c>
      <c r="AQ25" s="1">
        <f t="shared" si="20"/>
        <v>8.6666666666666661</v>
      </c>
      <c r="AR25" s="1">
        <f t="shared" si="21"/>
        <v>8.5833333333333339</v>
      </c>
      <c r="AS25" s="1">
        <f t="shared" si="22"/>
        <v>9.5833333333333339</v>
      </c>
      <c r="AT25" s="1">
        <f t="shared" si="23"/>
        <v>10.583333333333334</v>
      </c>
      <c r="AU25" s="1">
        <f t="shared" si="24"/>
        <v>11.583333333333334</v>
      </c>
      <c r="AV25" s="1">
        <f t="shared" si="25"/>
        <v>12.583333333333334</v>
      </c>
      <c r="AW25" s="1">
        <f t="shared" si="26"/>
        <v>13.583333333333334</v>
      </c>
      <c r="AX25" s="1">
        <f t="shared" si="27"/>
        <v>14.583333333333334</v>
      </c>
      <c r="AY25" s="1">
        <f t="shared" si="28"/>
        <v>15.583333333333334</v>
      </c>
      <c r="AZ25" s="1">
        <f t="shared" si="29"/>
        <v>16.583333333333332</v>
      </c>
      <c r="BA25" s="1">
        <f t="shared" si="30"/>
        <v>17.583333333333332</v>
      </c>
      <c r="BB25" s="1">
        <f t="shared" si="31"/>
        <v>17.5</v>
      </c>
    </row>
    <row r="26" spans="1:54">
      <c r="A26">
        <f t="shared" si="32"/>
        <v>25</v>
      </c>
      <c r="B26">
        <f t="shared" si="4"/>
        <v>8</v>
      </c>
      <c r="C26">
        <f t="shared" si="5"/>
        <v>19</v>
      </c>
      <c r="D26">
        <f t="shared" si="5"/>
        <v>20</v>
      </c>
      <c r="E26">
        <f t="shared" si="5"/>
        <v>21</v>
      </c>
      <c r="F26">
        <f t="shared" si="5"/>
        <v>22</v>
      </c>
      <c r="G26">
        <f t="shared" si="5"/>
        <v>23</v>
      </c>
      <c r="H26">
        <f t="shared" si="5"/>
        <v>24</v>
      </c>
      <c r="I26">
        <f t="shared" si="5"/>
        <v>25</v>
      </c>
      <c r="J26">
        <f t="shared" si="5"/>
        <v>0</v>
      </c>
      <c r="K26">
        <f t="shared" si="5"/>
        <v>1</v>
      </c>
      <c r="L26">
        <f t="shared" si="5"/>
        <v>2</v>
      </c>
      <c r="M26">
        <f t="shared" si="5"/>
        <v>3</v>
      </c>
      <c r="N26">
        <f t="shared" si="5"/>
        <v>4</v>
      </c>
      <c r="O26">
        <f t="shared" si="5"/>
        <v>5</v>
      </c>
      <c r="P26">
        <f t="shared" si="5"/>
        <v>6</v>
      </c>
      <c r="Q26">
        <f t="shared" si="5"/>
        <v>7</v>
      </c>
      <c r="R26">
        <f t="shared" si="5"/>
        <v>8</v>
      </c>
      <c r="S26">
        <f t="shared" si="33"/>
        <v>9</v>
      </c>
      <c r="T26">
        <f t="shared" si="33"/>
        <v>10</v>
      </c>
      <c r="U26">
        <f t="shared" si="33"/>
        <v>11</v>
      </c>
      <c r="V26">
        <f t="shared" si="33"/>
        <v>12</v>
      </c>
      <c r="W26">
        <f t="shared" si="33"/>
        <v>13</v>
      </c>
      <c r="X26">
        <f t="shared" si="33"/>
        <v>14</v>
      </c>
      <c r="Y26">
        <f t="shared" si="34"/>
        <v>15</v>
      </c>
      <c r="Z26">
        <f t="shared" si="34"/>
        <v>16</v>
      </c>
      <c r="AA26">
        <f t="shared" si="34"/>
        <v>17</v>
      </c>
      <c r="AB26">
        <f t="shared" si="34"/>
        <v>18</v>
      </c>
      <c r="AC26" s="1">
        <f t="shared" si="6"/>
        <v>17.708333333333332</v>
      </c>
      <c r="AD26" s="1">
        <f t="shared" si="7"/>
        <v>16.541666666666668</v>
      </c>
      <c r="AE26" s="1">
        <f t="shared" si="8"/>
        <v>15.375</v>
      </c>
      <c r="AF26" s="1">
        <f t="shared" si="9"/>
        <v>14.208333333333334</v>
      </c>
      <c r="AG26" s="1">
        <f t="shared" si="10"/>
        <v>13.041666666666666</v>
      </c>
      <c r="AH26" s="1">
        <f t="shared" si="11"/>
        <v>11.875</v>
      </c>
      <c r="AI26" s="1">
        <f t="shared" si="12"/>
        <v>10.708333333333334</v>
      </c>
      <c r="AJ26" s="1">
        <f t="shared" si="13"/>
        <v>9.5416666666666661</v>
      </c>
      <c r="AK26" s="1">
        <f t="shared" si="14"/>
        <v>9.4583333333333339</v>
      </c>
      <c r="AL26" s="1">
        <f t="shared" si="15"/>
        <v>9.375</v>
      </c>
      <c r="AM26" s="1">
        <f t="shared" si="16"/>
        <v>9.2916666666666661</v>
      </c>
      <c r="AN26" s="1">
        <f t="shared" si="17"/>
        <v>9.2083333333333339</v>
      </c>
      <c r="AO26" s="1">
        <f t="shared" si="18"/>
        <v>9.125</v>
      </c>
      <c r="AP26" s="1">
        <f t="shared" si="19"/>
        <v>9.0416666666666661</v>
      </c>
      <c r="AQ26" s="1">
        <f t="shared" si="20"/>
        <v>8.9583333333333339</v>
      </c>
      <c r="AR26" s="1">
        <f t="shared" si="21"/>
        <v>8.875</v>
      </c>
      <c r="AS26" s="1">
        <f t="shared" si="22"/>
        <v>9.875</v>
      </c>
      <c r="AT26" s="1">
        <f t="shared" si="23"/>
        <v>10.875</v>
      </c>
      <c r="AU26" s="1">
        <f t="shared" si="24"/>
        <v>11.875</v>
      </c>
      <c r="AV26" s="1">
        <f t="shared" si="25"/>
        <v>12.875</v>
      </c>
      <c r="AW26" s="1">
        <f t="shared" si="26"/>
        <v>13.875</v>
      </c>
      <c r="AX26" s="1">
        <f t="shared" si="27"/>
        <v>14.875</v>
      </c>
      <c r="AY26" s="1">
        <f t="shared" si="28"/>
        <v>15.875</v>
      </c>
      <c r="AZ26" s="1">
        <f t="shared" si="29"/>
        <v>16.875</v>
      </c>
      <c r="BA26" s="1">
        <f t="shared" si="30"/>
        <v>17.875</v>
      </c>
      <c r="BB26" s="1">
        <f t="shared" si="31"/>
        <v>17.791666666666668</v>
      </c>
    </row>
    <row r="27" spans="1:54">
      <c r="A27">
        <f t="shared" si="32"/>
        <v>26</v>
      </c>
      <c r="B27">
        <f t="shared" si="4"/>
        <v>9</v>
      </c>
      <c r="C27">
        <f t="shared" si="5"/>
        <v>20</v>
      </c>
      <c r="D27">
        <f t="shared" si="5"/>
        <v>21</v>
      </c>
      <c r="E27">
        <f t="shared" si="5"/>
        <v>22</v>
      </c>
      <c r="F27">
        <f t="shared" si="5"/>
        <v>23</v>
      </c>
      <c r="G27">
        <f t="shared" si="5"/>
        <v>24</v>
      </c>
      <c r="H27">
        <f t="shared" si="5"/>
        <v>25</v>
      </c>
      <c r="I27">
        <f t="shared" si="5"/>
        <v>0</v>
      </c>
      <c r="J27">
        <f t="shared" si="5"/>
        <v>1</v>
      </c>
      <c r="K27">
        <f t="shared" si="5"/>
        <v>2</v>
      </c>
      <c r="L27">
        <f t="shared" si="5"/>
        <v>3</v>
      </c>
      <c r="M27">
        <f t="shared" si="5"/>
        <v>4</v>
      </c>
      <c r="N27">
        <f t="shared" si="5"/>
        <v>5</v>
      </c>
      <c r="O27">
        <f t="shared" si="5"/>
        <v>6</v>
      </c>
      <c r="P27">
        <f t="shared" si="5"/>
        <v>7</v>
      </c>
      <c r="Q27">
        <f t="shared" si="5"/>
        <v>8</v>
      </c>
      <c r="R27">
        <f t="shared" si="5"/>
        <v>9</v>
      </c>
      <c r="S27">
        <f t="shared" si="33"/>
        <v>10</v>
      </c>
      <c r="T27">
        <f t="shared" si="33"/>
        <v>11</v>
      </c>
      <c r="U27">
        <f t="shared" si="33"/>
        <v>12</v>
      </c>
      <c r="V27">
        <f t="shared" si="33"/>
        <v>13</v>
      </c>
      <c r="W27">
        <f t="shared" si="33"/>
        <v>14</v>
      </c>
      <c r="X27">
        <f t="shared" si="33"/>
        <v>15</v>
      </c>
      <c r="Y27">
        <f t="shared" si="34"/>
        <v>16</v>
      </c>
      <c r="Z27">
        <f t="shared" si="34"/>
        <v>17</v>
      </c>
      <c r="AA27">
        <f t="shared" si="34"/>
        <v>18</v>
      </c>
      <c r="AB27">
        <f t="shared" si="34"/>
        <v>19</v>
      </c>
      <c r="AC27" s="1">
        <f t="shared" si="6"/>
        <v>16.916666666666668</v>
      </c>
      <c r="AD27" s="1">
        <f t="shared" si="7"/>
        <v>15.75</v>
      </c>
      <c r="AE27" s="1">
        <f t="shared" si="8"/>
        <v>14.583333333333334</v>
      </c>
      <c r="AF27" s="1">
        <f t="shared" si="9"/>
        <v>13.416666666666666</v>
      </c>
      <c r="AG27" s="1">
        <f t="shared" si="10"/>
        <v>12.25</v>
      </c>
      <c r="AH27" s="1">
        <f t="shared" si="11"/>
        <v>11.083333333333334</v>
      </c>
      <c r="AI27" s="1">
        <f t="shared" si="12"/>
        <v>9.9166666666666661</v>
      </c>
      <c r="AJ27" s="1">
        <f t="shared" si="13"/>
        <v>9.8333333333333339</v>
      </c>
      <c r="AK27" s="1">
        <f t="shared" si="14"/>
        <v>9.75</v>
      </c>
      <c r="AL27" s="1">
        <f t="shared" si="15"/>
        <v>9.6666666666666661</v>
      </c>
      <c r="AM27" s="1">
        <f t="shared" si="16"/>
        <v>9.5833333333333339</v>
      </c>
      <c r="AN27" s="1">
        <f t="shared" si="17"/>
        <v>9.5</v>
      </c>
      <c r="AO27" s="1">
        <f t="shared" si="18"/>
        <v>9.4166666666666661</v>
      </c>
      <c r="AP27" s="1">
        <f t="shared" si="19"/>
        <v>9.3333333333333339</v>
      </c>
      <c r="AQ27" s="1">
        <f t="shared" si="20"/>
        <v>9.25</v>
      </c>
      <c r="AR27" s="1">
        <f t="shared" si="21"/>
        <v>9.1666666666666661</v>
      </c>
      <c r="AS27" s="1">
        <f t="shared" si="22"/>
        <v>10.166666666666666</v>
      </c>
      <c r="AT27" s="1">
        <f t="shared" si="23"/>
        <v>11.166666666666666</v>
      </c>
      <c r="AU27" s="1">
        <f t="shared" si="24"/>
        <v>12.166666666666666</v>
      </c>
      <c r="AV27" s="1">
        <f t="shared" si="25"/>
        <v>13.166666666666666</v>
      </c>
      <c r="AW27" s="1">
        <f t="shared" si="26"/>
        <v>14.166666666666666</v>
      </c>
      <c r="AX27" s="1">
        <f t="shared" si="27"/>
        <v>15.166666666666666</v>
      </c>
      <c r="AY27" s="1">
        <f t="shared" si="28"/>
        <v>16.166666666666668</v>
      </c>
      <c r="AZ27" s="1">
        <f t="shared" si="29"/>
        <v>17.166666666666668</v>
      </c>
      <c r="BA27" s="1">
        <f t="shared" si="30"/>
        <v>18.166666666666668</v>
      </c>
      <c r="BB27" s="1">
        <f t="shared" si="31"/>
        <v>18.083333333333332</v>
      </c>
    </row>
    <row r="28" spans="1:54">
      <c r="A28">
        <f t="shared" si="32"/>
        <v>27</v>
      </c>
      <c r="B28">
        <f t="shared" si="4"/>
        <v>10</v>
      </c>
      <c r="C28">
        <f t="shared" si="5"/>
        <v>21</v>
      </c>
      <c r="D28">
        <f t="shared" si="5"/>
        <v>22</v>
      </c>
      <c r="E28">
        <f t="shared" si="5"/>
        <v>23</v>
      </c>
      <c r="F28">
        <f t="shared" si="5"/>
        <v>24</v>
      </c>
      <c r="G28">
        <f t="shared" si="5"/>
        <v>25</v>
      </c>
      <c r="H28">
        <f t="shared" ref="H28:W43" si="35">MOD($B28+11+H$1,26)</f>
        <v>0</v>
      </c>
      <c r="I28">
        <f t="shared" si="35"/>
        <v>1</v>
      </c>
      <c r="J28">
        <f t="shared" si="35"/>
        <v>2</v>
      </c>
      <c r="K28">
        <f t="shared" si="35"/>
        <v>3</v>
      </c>
      <c r="L28">
        <f t="shared" si="35"/>
        <v>4</v>
      </c>
      <c r="M28">
        <f t="shared" si="35"/>
        <v>5</v>
      </c>
      <c r="N28">
        <f t="shared" si="35"/>
        <v>6</v>
      </c>
      <c r="O28">
        <f t="shared" si="35"/>
        <v>7</v>
      </c>
      <c r="P28">
        <f t="shared" si="35"/>
        <v>8</v>
      </c>
      <c r="Q28">
        <f t="shared" si="35"/>
        <v>9</v>
      </c>
      <c r="R28">
        <f t="shared" si="35"/>
        <v>10</v>
      </c>
      <c r="S28">
        <f t="shared" si="35"/>
        <v>11</v>
      </c>
      <c r="T28">
        <f t="shared" si="35"/>
        <v>12</v>
      </c>
      <c r="U28">
        <f t="shared" si="35"/>
        <v>13</v>
      </c>
      <c r="V28">
        <f t="shared" si="35"/>
        <v>14</v>
      </c>
      <c r="W28">
        <f t="shared" si="35"/>
        <v>15</v>
      </c>
      <c r="X28">
        <f t="shared" si="33"/>
        <v>16</v>
      </c>
      <c r="Y28">
        <f t="shared" si="34"/>
        <v>17</v>
      </c>
      <c r="Z28">
        <f t="shared" si="34"/>
        <v>18</v>
      </c>
      <c r="AA28">
        <f t="shared" si="34"/>
        <v>19</v>
      </c>
      <c r="AB28">
        <f t="shared" si="34"/>
        <v>20</v>
      </c>
      <c r="AC28" s="1">
        <f t="shared" si="6"/>
        <v>16.125</v>
      </c>
      <c r="AD28" s="1">
        <f t="shared" si="7"/>
        <v>14.958333333333334</v>
      </c>
      <c r="AE28" s="1">
        <f t="shared" si="8"/>
        <v>13.791666666666666</v>
      </c>
      <c r="AF28" s="1">
        <f t="shared" si="9"/>
        <v>12.625</v>
      </c>
      <c r="AG28" s="1">
        <f t="shared" si="10"/>
        <v>11.458333333333334</v>
      </c>
      <c r="AH28" s="1">
        <f t="shared" si="11"/>
        <v>10.291666666666666</v>
      </c>
      <c r="AI28" s="1">
        <f t="shared" si="12"/>
        <v>10.208333333333334</v>
      </c>
      <c r="AJ28" s="1">
        <f t="shared" si="13"/>
        <v>10.125</v>
      </c>
      <c r="AK28" s="1">
        <f t="shared" si="14"/>
        <v>10.041666666666666</v>
      </c>
      <c r="AL28" s="1">
        <f t="shared" si="15"/>
        <v>9.9583333333333339</v>
      </c>
      <c r="AM28" s="1">
        <f t="shared" si="16"/>
        <v>9.875</v>
      </c>
      <c r="AN28" s="1">
        <f t="shared" si="17"/>
        <v>9.7916666666666661</v>
      </c>
      <c r="AO28" s="1">
        <f t="shared" si="18"/>
        <v>9.7083333333333339</v>
      </c>
      <c r="AP28" s="1">
        <f t="shared" si="19"/>
        <v>9.625</v>
      </c>
      <c r="AQ28" s="1">
        <f t="shared" si="20"/>
        <v>9.5416666666666661</v>
      </c>
      <c r="AR28" s="1">
        <f t="shared" si="21"/>
        <v>9.4583333333333339</v>
      </c>
      <c r="AS28" s="1">
        <f t="shared" si="22"/>
        <v>10.458333333333334</v>
      </c>
      <c r="AT28" s="1">
        <f t="shared" si="23"/>
        <v>11.458333333333334</v>
      </c>
      <c r="AU28" s="1">
        <f t="shared" si="24"/>
        <v>12.458333333333334</v>
      </c>
      <c r="AV28" s="1">
        <f t="shared" si="25"/>
        <v>13.458333333333334</v>
      </c>
      <c r="AW28" s="1">
        <f t="shared" si="26"/>
        <v>14.458333333333334</v>
      </c>
      <c r="AX28" s="1">
        <f t="shared" si="27"/>
        <v>15.458333333333334</v>
      </c>
      <c r="AY28" s="1">
        <f t="shared" si="28"/>
        <v>16.458333333333332</v>
      </c>
      <c r="AZ28" s="1">
        <f t="shared" si="29"/>
        <v>17.458333333333332</v>
      </c>
      <c r="BA28" s="1">
        <f t="shared" si="30"/>
        <v>18.458333333333332</v>
      </c>
      <c r="BB28" s="1">
        <f t="shared" si="31"/>
        <v>17.291666666666668</v>
      </c>
    </row>
    <row r="29" spans="1:54">
      <c r="A29">
        <f t="shared" si="32"/>
        <v>28</v>
      </c>
      <c r="B29">
        <f t="shared" si="4"/>
        <v>11</v>
      </c>
      <c r="C29">
        <f t="shared" ref="C29:R44" si="36">MOD($B29+11+C$1,26)</f>
        <v>22</v>
      </c>
      <c r="D29">
        <f t="shared" si="36"/>
        <v>23</v>
      </c>
      <c r="E29">
        <f t="shared" si="36"/>
        <v>24</v>
      </c>
      <c r="F29">
        <f t="shared" si="36"/>
        <v>25</v>
      </c>
      <c r="G29">
        <f t="shared" si="36"/>
        <v>0</v>
      </c>
      <c r="H29">
        <f t="shared" si="36"/>
        <v>1</v>
      </c>
      <c r="I29">
        <f t="shared" si="36"/>
        <v>2</v>
      </c>
      <c r="J29">
        <f t="shared" si="36"/>
        <v>3</v>
      </c>
      <c r="K29">
        <f t="shared" si="36"/>
        <v>4</v>
      </c>
      <c r="L29">
        <f t="shared" si="36"/>
        <v>5</v>
      </c>
      <c r="M29">
        <f t="shared" si="36"/>
        <v>6</v>
      </c>
      <c r="N29">
        <f t="shared" si="36"/>
        <v>7</v>
      </c>
      <c r="O29">
        <f t="shared" si="36"/>
        <v>8</v>
      </c>
      <c r="P29">
        <f t="shared" si="36"/>
        <v>9</v>
      </c>
      <c r="Q29">
        <f t="shared" si="36"/>
        <v>10</v>
      </c>
      <c r="R29">
        <f t="shared" si="36"/>
        <v>11</v>
      </c>
      <c r="S29">
        <f t="shared" si="35"/>
        <v>12</v>
      </c>
      <c r="T29">
        <f t="shared" si="35"/>
        <v>13</v>
      </c>
      <c r="U29">
        <f t="shared" si="35"/>
        <v>14</v>
      </c>
      <c r="V29">
        <f t="shared" si="35"/>
        <v>15</v>
      </c>
      <c r="W29">
        <f t="shared" si="35"/>
        <v>16</v>
      </c>
      <c r="X29">
        <f t="shared" si="33"/>
        <v>17</v>
      </c>
      <c r="Y29">
        <f t="shared" si="34"/>
        <v>18</v>
      </c>
      <c r="Z29">
        <f t="shared" si="34"/>
        <v>19</v>
      </c>
      <c r="AA29">
        <f t="shared" si="34"/>
        <v>20</v>
      </c>
      <c r="AB29">
        <f t="shared" si="34"/>
        <v>21</v>
      </c>
      <c r="AC29" s="1">
        <f t="shared" si="6"/>
        <v>15.708333333333334</v>
      </c>
      <c r="AD29" s="1">
        <f t="shared" si="7"/>
        <v>14.541666666666666</v>
      </c>
      <c r="AE29" s="1">
        <f t="shared" si="8"/>
        <v>13.375</v>
      </c>
      <c r="AF29" s="1">
        <f t="shared" si="9"/>
        <v>12.208333333333334</v>
      </c>
      <c r="AG29" s="1">
        <f t="shared" si="10"/>
        <v>11.041666666666666</v>
      </c>
      <c r="AH29" s="1">
        <f t="shared" si="11"/>
        <v>10.958333333333334</v>
      </c>
      <c r="AI29" s="1">
        <f t="shared" si="12"/>
        <v>10.875</v>
      </c>
      <c r="AJ29" s="1">
        <f t="shared" si="13"/>
        <v>10.791666666666666</v>
      </c>
      <c r="AK29" s="1">
        <f t="shared" si="14"/>
        <v>10.708333333333334</v>
      </c>
      <c r="AL29" s="1">
        <f t="shared" si="15"/>
        <v>10.625</v>
      </c>
      <c r="AM29" s="1">
        <f t="shared" si="16"/>
        <v>10.541666666666666</v>
      </c>
      <c r="AN29" s="1">
        <f t="shared" si="17"/>
        <v>10.458333333333334</v>
      </c>
      <c r="AO29" s="1">
        <f t="shared" si="18"/>
        <v>10.375</v>
      </c>
      <c r="AP29" s="1">
        <f t="shared" si="19"/>
        <v>10.291666666666666</v>
      </c>
      <c r="AQ29" s="1">
        <f t="shared" si="20"/>
        <v>10.208333333333334</v>
      </c>
      <c r="AR29" s="1">
        <f t="shared" si="21"/>
        <v>9.0416666666666661</v>
      </c>
      <c r="AS29" s="1">
        <f t="shared" si="22"/>
        <v>10.041666666666666</v>
      </c>
      <c r="AT29" s="1">
        <f t="shared" si="23"/>
        <v>11.041666666666666</v>
      </c>
      <c r="AU29" s="1">
        <f t="shared" si="24"/>
        <v>12.041666666666666</v>
      </c>
      <c r="AV29" s="1">
        <f t="shared" si="25"/>
        <v>13.041666666666666</v>
      </c>
      <c r="AW29" s="1">
        <f t="shared" si="26"/>
        <v>14.041666666666666</v>
      </c>
      <c r="AX29" s="1">
        <f t="shared" si="27"/>
        <v>15.041666666666666</v>
      </c>
      <c r="AY29" s="1">
        <f t="shared" si="28"/>
        <v>16.041666666666668</v>
      </c>
      <c r="AZ29" s="1">
        <f t="shared" si="29"/>
        <v>17.041666666666668</v>
      </c>
      <c r="BA29" s="1">
        <f t="shared" si="30"/>
        <v>18.041666666666668</v>
      </c>
      <c r="BB29" s="1">
        <f t="shared" si="31"/>
        <v>16.875</v>
      </c>
    </row>
    <row r="30" spans="1:54">
      <c r="A30">
        <f t="shared" si="32"/>
        <v>29</v>
      </c>
      <c r="B30">
        <f t="shared" si="4"/>
        <v>12</v>
      </c>
      <c r="C30">
        <f t="shared" si="36"/>
        <v>23</v>
      </c>
      <c r="D30">
        <f t="shared" si="36"/>
        <v>24</v>
      </c>
      <c r="E30">
        <f t="shared" si="36"/>
        <v>25</v>
      </c>
      <c r="F30">
        <f t="shared" si="36"/>
        <v>0</v>
      </c>
      <c r="G30">
        <f t="shared" si="36"/>
        <v>1</v>
      </c>
      <c r="H30">
        <f t="shared" si="36"/>
        <v>2</v>
      </c>
      <c r="I30">
        <f t="shared" si="36"/>
        <v>3</v>
      </c>
      <c r="J30">
        <f t="shared" si="36"/>
        <v>4</v>
      </c>
      <c r="K30">
        <f t="shared" si="36"/>
        <v>5</v>
      </c>
      <c r="L30">
        <f t="shared" si="36"/>
        <v>6</v>
      </c>
      <c r="M30">
        <f t="shared" si="36"/>
        <v>7</v>
      </c>
      <c r="N30">
        <f t="shared" si="36"/>
        <v>8</v>
      </c>
      <c r="O30">
        <f t="shared" si="36"/>
        <v>9</v>
      </c>
      <c r="P30">
        <f t="shared" si="36"/>
        <v>10</v>
      </c>
      <c r="Q30">
        <f t="shared" si="36"/>
        <v>11</v>
      </c>
      <c r="R30">
        <f t="shared" si="36"/>
        <v>12</v>
      </c>
      <c r="S30">
        <f t="shared" si="35"/>
        <v>13</v>
      </c>
      <c r="T30">
        <f t="shared" si="35"/>
        <v>14</v>
      </c>
      <c r="U30">
        <f t="shared" si="35"/>
        <v>15</v>
      </c>
      <c r="V30">
        <f t="shared" si="35"/>
        <v>16</v>
      </c>
      <c r="W30">
        <f t="shared" si="35"/>
        <v>17</v>
      </c>
      <c r="X30">
        <f t="shared" si="33"/>
        <v>18</v>
      </c>
      <c r="Y30">
        <f t="shared" si="34"/>
        <v>19</v>
      </c>
      <c r="Z30">
        <f t="shared" si="34"/>
        <v>20</v>
      </c>
      <c r="AA30">
        <f t="shared" si="34"/>
        <v>21</v>
      </c>
      <c r="AB30">
        <f t="shared" si="34"/>
        <v>22</v>
      </c>
      <c r="AC30" s="1">
        <f t="shared" si="6"/>
        <v>15.291666666666666</v>
      </c>
      <c r="AD30" s="1">
        <f t="shared" si="7"/>
        <v>14.125</v>
      </c>
      <c r="AE30" s="1">
        <f t="shared" si="8"/>
        <v>12.958333333333334</v>
      </c>
      <c r="AF30" s="1">
        <f t="shared" si="9"/>
        <v>11.791666666666666</v>
      </c>
      <c r="AG30" s="1">
        <f t="shared" si="10"/>
        <v>11.708333333333334</v>
      </c>
      <c r="AH30" s="1">
        <f t="shared" si="11"/>
        <v>11.625</v>
      </c>
      <c r="AI30" s="1">
        <f t="shared" si="12"/>
        <v>11.541666666666666</v>
      </c>
      <c r="AJ30" s="1">
        <f t="shared" si="13"/>
        <v>11.458333333333334</v>
      </c>
      <c r="AK30" s="1">
        <f t="shared" si="14"/>
        <v>11.375</v>
      </c>
      <c r="AL30" s="1">
        <f t="shared" si="15"/>
        <v>11.291666666666666</v>
      </c>
      <c r="AM30" s="1">
        <f t="shared" si="16"/>
        <v>11.208333333333334</v>
      </c>
      <c r="AN30" s="1">
        <f t="shared" si="17"/>
        <v>11.125</v>
      </c>
      <c r="AO30" s="1">
        <f t="shared" si="18"/>
        <v>11.041666666666666</v>
      </c>
      <c r="AP30" s="1">
        <f t="shared" si="19"/>
        <v>10.958333333333334</v>
      </c>
      <c r="AQ30" s="1">
        <f t="shared" si="20"/>
        <v>9.7916666666666661</v>
      </c>
      <c r="AR30" s="1">
        <f t="shared" si="21"/>
        <v>8.625</v>
      </c>
      <c r="AS30" s="1">
        <f t="shared" si="22"/>
        <v>9.625</v>
      </c>
      <c r="AT30" s="1">
        <f t="shared" si="23"/>
        <v>10.625</v>
      </c>
      <c r="AU30" s="1">
        <f t="shared" si="24"/>
        <v>11.625</v>
      </c>
      <c r="AV30" s="1">
        <f t="shared" si="25"/>
        <v>12.625</v>
      </c>
      <c r="AW30" s="1">
        <f t="shared" si="26"/>
        <v>13.625</v>
      </c>
      <c r="AX30" s="1">
        <f t="shared" si="27"/>
        <v>14.625</v>
      </c>
      <c r="AY30" s="1">
        <f t="shared" si="28"/>
        <v>15.625</v>
      </c>
      <c r="AZ30" s="1">
        <f t="shared" si="29"/>
        <v>16.625</v>
      </c>
      <c r="BA30" s="1">
        <f t="shared" si="30"/>
        <v>17.625</v>
      </c>
      <c r="BB30" s="1">
        <f t="shared" si="31"/>
        <v>16.458333333333332</v>
      </c>
    </row>
    <row r="31" spans="1:54">
      <c r="A31">
        <f t="shared" si="32"/>
        <v>30</v>
      </c>
      <c r="B31">
        <f t="shared" si="4"/>
        <v>13</v>
      </c>
      <c r="C31">
        <f t="shared" si="36"/>
        <v>24</v>
      </c>
      <c r="D31">
        <f t="shared" si="36"/>
        <v>25</v>
      </c>
      <c r="E31">
        <f t="shared" si="36"/>
        <v>0</v>
      </c>
      <c r="F31">
        <f t="shared" si="36"/>
        <v>1</v>
      </c>
      <c r="G31">
        <f t="shared" si="36"/>
        <v>2</v>
      </c>
      <c r="H31">
        <f t="shared" si="36"/>
        <v>3</v>
      </c>
      <c r="I31">
        <f t="shared" si="36"/>
        <v>4</v>
      </c>
      <c r="J31">
        <f t="shared" si="36"/>
        <v>5</v>
      </c>
      <c r="K31">
        <f t="shared" si="36"/>
        <v>6</v>
      </c>
      <c r="L31">
        <f t="shared" si="36"/>
        <v>7</v>
      </c>
      <c r="M31">
        <f t="shared" si="36"/>
        <v>8</v>
      </c>
      <c r="N31">
        <f t="shared" si="36"/>
        <v>9</v>
      </c>
      <c r="O31">
        <f t="shared" si="36"/>
        <v>10</v>
      </c>
      <c r="P31">
        <f t="shared" si="36"/>
        <v>11</v>
      </c>
      <c r="Q31">
        <f t="shared" si="36"/>
        <v>12</v>
      </c>
      <c r="R31">
        <f t="shared" si="36"/>
        <v>13</v>
      </c>
      <c r="S31">
        <f t="shared" si="35"/>
        <v>14</v>
      </c>
      <c r="T31">
        <f t="shared" si="35"/>
        <v>15</v>
      </c>
      <c r="U31">
        <f t="shared" si="35"/>
        <v>16</v>
      </c>
      <c r="V31">
        <f t="shared" si="35"/>
        <v>17</v>
      </c>
      <c r="W31">
        <f t="shared" si="35"/>
        <v>18</v>
      </c>
      <c r="X31">
        <f t="shared" si="33"/>
        <v>19</v>
      </c>
      <c r="Y31">
        <f t="shared" si="34"/>
        <v>20</v>
      </c>
      <c r="Z31">
        <f t="shared" si="34"/>
        <v>21</v>
      </c>
      <c r="AA31">
        <f t="shared" si="34"/>
        <v>22</v>
      </c>
      <c r="AB31">
        <f t="shared" si="34"/>
        <v>23</v>
      </c>
      <c r="AC31" s="1">
        <f t="shared" si="6"/>
        <v>14.875</v>
      </c>
      <c r="AD31" s="1">
        <f t="shared" si="7"/>
        <v>13.708333333333334</v>
      </c>
      <c r="AE31" s="1">
        <f t="shared" si="8"/>
        <v>12.541666666666666</v>
      </c>
      <c r="AF31" s="1">
        <f t="shared" si="9"/>
        <v>12.458333333333334</v>
      </c>
      <c r="AG31" s="1">
        <f t="shared" si="10"/>
        <v>12.375</v>
      </c>
      <c r="AH31" s="1">
        <f t="shared" si="11"/>
        <v>12.291666666666666</v>
      </c>
      <c r="AI31" s="1">
        <f t="shared" si="12"/>
        <v>12.208333333333334</v>
      </c>
      <c r="AJ31" s="1">
        <f t="shared" si="13"/>
        <v>12.125</v>
      </c>
      <c r="AK31" s="1">
        <f t="shared" si="14"/>
        <v>12.041666666666666</v>
      </c>
      <c r="AL31" s="1">
        <f t="shared" si="15"/>
        <v>11.958333333333334</v>
      </c>
      <c r="AM31" s="1">
        <f t="shared" si="16"/>
        <v>11.875</v>
      </c>
      <c r="AN31" s="1">
        <f t="shared" si="17"/>
        <v>11.791666666666666</v>
      </c>
      <c r="AO31" s="1">
        <f t="shared" si="18"/>
        <v>11.708333333333334</v>
      </c>
      <c r="AP31" s="1">
        <f t="shared" si="19"/>
        <v>10.541666666666666</v>
      </c>
      <c r="AQ31" s="1">
        <f t="shared" si="20"/>
        <v>9.375</v>
      </c>
      <c r="AR31" s="1">
        <f t="shared" si="21"/>
        <v>8.2083333333333339</v>
      </c>
      <c r="AS31" s="1">
        <f t="shared" si="22"/>
        <v>9.2083333333333339</v>
      </c>
      <c r="AT31" s="1">
        <f t="shared" si="23"/>
        <v>10.208333333333334</v>
      </c>
      <c r="AU31" s="1">
        <f t="shared" si="24"/>
        <v>11.208333333333334</v>
      </c>
      <c r="AV31" s="1">
        <f t="shared" si="25"/>
        <v>12.208333333333334</v>
      </c>
      <c r="AW31" s="1">
        <f t="shared" si="26"/>
        <v>13.208333333333334</v>
      </c>
      <c r="AX31" s="1">
        <f t="shared" si="27"/>
        <v>14.208333333333334</v>
      </c>
      <c r="AY31" s="1">
        <f t="shared" si="28"/>
        <v>15.208333333333334</v>
      </c>
      <c r="AZ31" s="1">
        <f t="shared" si="29"/>
        <v>16.208333333333332</v>
      </c>
      <c r="BA31" s="1">
        <f t="shared" si="30"/>
        <v>17.208333333333332</v>
      </c>
      <c r="BB31" s="1">
        <f t="shared" si="31"/>
        <v>16.041666666666668</v>
      </c>
    </row>
    <row r="32" spans="1:54">
      <c r="A32">
        <f t="shared" si="32"/>
        <v>31</v>
      </c>
      <c r="B32">
        <f t="shared" si="4"/>
        <v>14</v>
      </c>
      <c r="C32">
        <f t="shared" si="36"/>
        <v>25</v>
      </c>
      <c r="D32">
        <f t="shared" si="36"/>
        <v>0</v>
      </c>
      <c r="E32">
        <f t="shared" si="36"/>
        <v>1</v>
      </c>
      <c r="F32">
        <f t="shared" si="36"/>
        <v>2</v>
      </c>
      <c r="G32">
        <f t="shared" si="36"/>
        <v>3</v>
      </c>
      <c r="H32">
        <f t="shared" si="36"/>
        <v>4</v>
      </c>
      <c r="I32">
        <f t="shared" si="36"/>
        <v>5</v>
      </c>
      <c r="J32">
        <f t="shared" si="36"/>
        <v>6</v>
      </c>
      <c r="K32">
        <f t="shared" si="36"/>
        <v>7</v>
      </c>
      <c r="L32">
        <f t="shared" si="36"/>
        <v>8</v>
      </c>
      <c r="M32">
        <f t="shared" si="36"/>
        <v>9</v>
      </c>
      <c r="N32">
        <f t="shared" si="36"/>
        <v>10</v>
      </c>
      <c r="O32">
        <f t="shared" si="36"/>
        <v>11</v>
      </c>
      <c r="P32">
        <f t="shared" si="36"/>
        <v>12</v>
      </c>
      <c r="Q32">
        <f t="shared" si="36"/>
        <v>13</v>
      </c>
      <c r="R32">
        <f t="shared" si="36"/>
        <v>14</v>
      </c>
      <c r="S32">
        <f t="shared" si="35"/>
        <v>15</v>
      </c>
      <c r="T32">
        <f t="shared" si="35"/>
        <v>16</v>
      </c>
      <c r="U32">
        <f t="shared" si="35"/>
        <v>17</v>
      </c>
      <c r="V32">
        <f t="shared" si="35"/>
        <v>18</v>
      </c>
      <c r="W32">
        <f t="shared" si="35"/>
        <v>19</v>
      </c>
      <c r="X32">
        <f t="shared" si="33"/>
        <v>20</v>
      </c>
      <c r="Y32">
        <f t="shared" si="34"/>
        <v>21</v>
      </c>
      <c r="Z32">
        <f t="shared" si="34"/>
        <v>22</v>
      </c>
      <c r="AA32">
        <f t="shared" si="34"/>
        <v>23</v>
      </c>
      <c r="AB32">
        <f t="shared" si="34"/>
        <v>24</v>
      </c>
      <c r="AC32" s="1">
        <f t="shared" si="6"/>
        <v>14.458333333333334</v>
      </c>
      <c r="AD32" s="1">
        <f t="shared" si="7"/>
        <v>13.291666666666666</v>
      </c>
      <c r="AE32" s="1">
        <f t="shared" si="8"/>
        <v>13.208333333333334</v>
      </c>
      <c r="AF32" s="1">
        <f t="shared" si="9"/>
        <v>13.125</v>
      </c>
      <c r="AG32" s="1">
        <f t="shared" si="10"/>
        <v>13.041666666666666</v>
      </c>
      <c r="AH32" s="1">
        <f t="shared" si="11"/>
        <v>12.958333333333334</v>
      </c>
      <c r="AI32" s="1">
        <f t="shared" si="12"/>
        <v>12.875</v>
      </c>
      <c r="AJ32" s="1">
        <f t="shared" si="13"/>
        <v>12.791666666666666</v>
      </c>
      <c r="AK32" s="1">
        <f t="shared" si="14"/>
        <v>12.708333333333334</v>
      </c>
      <c r="AL32" s="1">
        <f t="shared" si="15"/>
        <v>12.625</v>
      </c>
      <c r="AM32" s="1">
        <f t="shared" si="16"/>
        <v>12.541666666666666</v>
      </c>
      <c r="AN32" s="1">
        <f t="shared" si="17"/>
        <v>12.458333333333334</v>
      </c>
      <c r="AO32" s="1">
        <f t="shared" si="18"/>
        <v>11.291666666666666</v>
      </c>
      <c r="AP32" s="1">
        <f t="shared" si="19"/>
        <v>10.125</v>
      </c>
      <c r="AQ32" s="1">
        <f t="shared" si="20"/>
        <v>8.9583333333333339</v>
      </c>
      <c r="AR32" s="1">
        <f t="shared" si="21"/>
        <v>7.791666666666667</v>
      </c>
      <c r="AS32" s="1">
        <f t="shared" si="22"/>
        <v>8.7916666666666661</v>
      </c>
      <c r="AT32" s="1">
        <f t="shared" si="23"/>
        <v>9.7916666666666661</v>
      </c>
      <c r="AU32" s="1">
        <f t="shared" si="24"/>
        <v>10.791666666666666</v>
      </c>
      <c r="AV32" s="1">
        <f t="shared" si="25"/>
        <v>11.791666666666666</v>
      </c>
      <c r="AW32" s="1">
        <f t="shared" si="26"/>
        <v>12.791666666666666</v>
      </c>
      <c r="AX32" s="1">
        <f t="shared" si="27"/>
        <v>13.791666666666666</v>
      </c>
      <c r="AY32" s="1">
        <f t="shared" si="28"/>
        <v>14.791666666666666</v>
      </c>
      <c r="AZ32" s="1">
        <f t="shared" si="29"/>
        <v>15.791666666666666</v>
      </c>
      <c r="BA32" s="1">
        <f t="shared" si="30"/>
        <v>16.791666666666668</v>
      </c>
      <c r="BB32" s="1">
        <f t="shared" si="31"/>
        <v>15.625</v>
      </c>
    </row>
    <row r="33" spans="1:54">
      <c r="A33">
        <f t="shared" si="32"/>
        <v>32</v>
      </c>
      <c r="B33">
        <f t="shared" si="4"/>
        <v>15</v>
      </c>
      <c r="C33">
        <f t="shared" si="36"/>
        <v>0</v>
      </c>
      <c r="D33">
        <f t="shared" si="36"/>
        <v>1</v>
      </c>
      <c r="E33">
        <f t="shared" si="36"/>
        <v>2</v>
      </c>
      <c r="F33">
        <f t="shared" si="36"/>
        <v>3</v>
      </c>
      <c r="G33">
        <f t="shared" si="36"/>
        <v>4</v>
      </c>
      <c r="H33">
        <f t="shared" si="36"/>
        <v>5</v>
      </c>
      <c r="I33">
        <f t="shared" si="36"/>
        <v>6</v>
      </c>
      <c r="J33">
        <f t="shared" si="36"/>
        <v>7</v>
      </c>
      <c r="K33">
        <f t="shared" si="36"/>
        <v>8</v>
      </c>
      <c r="L33">
        <f t="shared" si="36"/>
        <v>9</v>
      </c>
      <c r="M33">
        <f t="shared" si="36"/>
        <v>10</v>
      </c>
      <c r="N33">
        <f t="shared" si="36"/>
        <v>11</v>
      </c>
      <c r="O33">
        <f t="shared" si="36"/>
        <v>12</v>
      </c>
      <c r="P33">
        <f t="shared" si="36"/>
        <v>13</v>
      </c>
      <c r="Q33">
        <f t="shared" si="36"/>
        <v>14</v>
      </c>
      <c r="R33">
        <f t="shared" si="36"/>
        <v>15</v>
      </c>
      <c r="S33">
        <f t="shared" si="35"/>
        <v>16</v>
      </c>
      <c r="T33">
        <f t="shared" si="35"/>
        <v>17</v>
      </c>
      <c r="U33">
        <f t="shared" si="35"/>
        <v>18</v>
      </c>
      <c r="V33">
        <f t="shared" si="35"/>
        <v>19</v>
      </c>
      <c r="W33">
        <f t="shared" si="35"/>
        <v>20</v>
      </c>
      <c r="X33">
        <f t="shared" si="33"/>
        <v>21</v>
      </c>
      <c r="Y33">
        <f t="shared" si="34"/>
        <v>22</v>
      </c>
      <c r="Z33">
        <f t="shared" si="34"/>
        <v>23</v>
      </c>
      <c r="AA33">
        <f t="shared" si="34"/>
        <v>24</v>
      </c>
      <c r="AB33">
        <f t="shared" si="34"/>
        <v>25</v>
      </c>
      <c r="AC33" s="1">
        <f t="shared" si="6"/>
        <v>14.041666666666666</v>
      </c>
      <c r="AD33" s="1">
        <f t="shared" si="7"/>
        <v>13.958333333333334</v>
      </c>
      <c r="AE33" s="1">
        <f t="shared" si="8"/>
        <v>13.875</v>
      </c>
      <c r="AF33" s="1">
        <f t="shared" si="9"/>
        <v>13.791666666666666</v>
      </c>
      <c r="AG33" s="1">
        <f t="shared" si="10"/>
        <v>13.708333333333334</v>
      </c>
      <c r="AH33" s="1">
        <f t="shared" si="11"/>
        <v>13.625</v>
      </c>
      <c r="AI33" s="1">
        <f t="shared" si="12"/>
        <v>13.541666666666666</v>
      </c>
      <c r="AJ33" s="1">
        <f t="shared" si="13"/>
        <v>13.458333333333334</v>
      </c>
      <c r="AK33" s="1">
        <f t="shared" si="14"/>
        <v>13.375</v>
      </c>
      <c r="AL33" s="1">
        <f t="shared" si="15"/>
        <v>13.291666666666666</v>
      </c>
      <c r="AM33" s="1">
        <f t="shared" si="16"/>
        <v>13.208333333333334</v>
      </c>
      <c r="AN33" s="1">
        <f t="shared" si="17"/>
        <v>12.041666666666666</v>
      </c>
      <c r="AO33" s="1">
        <f t="shared" si="18"/>
        <v>10.875</v>
      </c>
      <c r="AP33" s="1">
        <f t="shared" si="19"/>
        <v>9.7083333333333339</v>
      </c>
      <c r="AQ33" s="1">
        <f t="shared" si="20"/>
        <v>8.5416666666666661</v>
      </c>
      <c r="AR33" s="1">
        <f t="shared" si="21"/>
        <v>7.375</v>
      </c>
      <c r="AS33" s="1">
        <f t="shared" si="22"/>
        <v>8.375</v>
      </c>
      <c r="AT33" s="1">
        <f t="shared" si="23"/>
        <v>9.375</v>
      </c>
      <c r="AU33" s="1">
        <f t="shared" si="24"/>
        <v>10.375</v>
      </c>
      <c r="AV33" s="1">
        <f t="shared" si="25"/>
        <v>11.375</v>
      </c>
      <c r="AW33" s="1">
        <f t="shared" si="26"/>
        <v>12.375</v>
      </c>
      <c r="AX33" s="1">
        <f t="shared" si="27"/>
        <v>13.375</v>
      </c>
      <c r="AY33" s="1">
        <f t="shared" si="28"/>
        <v>14.375</v>
      </c>
      <c r="AZ33" s="1">
        <f t="shared" si="29"/>
        <v>15.375</v>
      </c>
      <c r="BA33" s="1">
        <f t="shared" si="30"/>
        <v>16.375</v>
      </c>
      <c r="BB33" s="1">
        <f t="shared" si="31"/>
        <v>15.208333333333334</v>
      </c>
    </row>
    <row r="34" spans="1:54">
      <c r="A34">
        <f t="shared" si="32"/>
        <v>33</v>
      </c>
      <c r="B34">
        <f t="shared" si="4"/>
        <v>16</v>
      </c>
      <c r="C34">
        <f t="shared" si="36"/>
        <v>1</v>
      </c>
      <c r="D34">
        <f t="shared" si="36"/>
        <v>2</v>
      </c>
      <c r="E34">
        <f t="shared" si="36"/>
        <v>3</v>
      </c>
      <c r="F34">
        <f t="shared" si="36"/>
        <v>4</v>
      </c>
      <c r="G34">
        <f t="shared" si="36"/>
        <v>5</v>
      </c>
      <c r="H34">
        <f t="shared" si="36"/>
        <v>6</v>
      </c>
      <c r="I34">
        <f t="shared" si="36"/>
        <v>7</v>
      </c>
      <c r="J34">
        <f t="shared" si="36"/>
        <v>8</v>
      </c>
      <c r="K34">
        <f t="shared" si="36"/>
        <v>9</v>
      </c>
      <c r="L34">
        <f t="shared" si="36"/>
        <v>10</v>
      </c>
      <c r="M34">
        <f t="shared" si="36"/>
        <v>11</v>
      </c>
      <c r="N34">
        <f t="shared" si="36"/>
        <v>12</v>
      </c>
      <c r="O34">
        <f t="shared" si="36"/>
        <v>13</v>
      </c>
      <c r="P34">
        <f t="shared" si="36"/>
        <v>14</v>
      </c>
      <c r="Q34">
        <f t="shared" si="36"/>
        <v>15</v>
      </c>
      <c r="R34">
        <f t="shared" si="36"/>
        <v>16</v>
      </c>
      <c r="S34">
        <f t="shared" si="35"/>
        <v>17</v>
      </c>
      <c r="T34">
        <f t="shared" si="35"/>
        <v>18</v>
      </c>
      <c r="U34">
        <f t="shared" si="35"/>
        <v>19</v>
      </c>
      <c r="V34">
        <f t="shared" si="35"/>
        <v>20</v>
      </c>
      <c r="W34">
        <f t="shared" si="35"/>
        <v>21</v>
      </c>
      <c r="X34">
        <f t="shared" si="33"/>
        <v>22</v>
      </c>
      <c r="Y34">
        <f t="shared" si="34"/>
        <v>23</v>
      </c>
      <c r="Z34">
        <f t="shared" si="34"/>
        <v>24</v>
      </c>
      <c r="AA34">
        <f t="shared" si="34"/>
        <v>25</v>
      </c>
      <c r="AB34">
        <f t="shared" si="34"/>
        <v>0</v>
      </c>
      <c r="AC34" s="1">
        <f t="shared" si="6"/>
        <v>14.708333333333334</v>
      </c>
      <c r="AD34" s="1">
        <f t="shared" si="7"/>
        <v>14.625</v>
      </c>
      <c r="AE34" s="1">
        <f t="shared" si="8"/>
        <v>14.541666666666666</v>
      </c>
      <c r="AF34" s="1">
        <f t="shared" si="9"/>
        <v>14.458333333333334</v>
      </c>
      <c r="AG34" s="1">
        <f t="shared" si="10"/>
        <v>14.375</v>
      </c>
      <c r="AH34" s="1">
        <f t="shared" si="11"/>
        <v>14.291666666666666</v>
      </c>
      <c r="AI34" s="1">
        <f t="shared" si="12"/>
        <v>14.208333333333334</v>
      </c>
      <c r="AJ34" s="1">
        <f t="shared" si="13"/>
        <v>14.125</v>
      </c>
      <c r="AK34" s="1">
        <f t="shared" si="14"/>
        <v>14.041666666666666</v>
      </c>
      <c r="AL34" s="1">
        <f t="shared" si="15"/>
        <v>13.958333333333334</v>
      </c>
      <c r="AM34" s="1">
        <f t="shared" si="16"/>
        <v>12.791666666666666</v>
      </c>
      <c r="AN34" s="1">
        <f t="shared" si="17"/>
        <v>11.625</v>
      </c>
      <c r="AO34" s="1">
        <f t="shared" si="18"/>
        <v>10.458333333333334</v>
      </c>
      <c r="AP34" s="1">
        <f t="shared" si="19"/>
        <v>9.2916666666666661</v>
      </c>
      <c r="AQ34" s="1">
        <f t="shared" si="20"/>
        <v>8.125</v>
      </c>
      <c r="AR34" s="1">
        <f t="shared" si="21"/>
        <v>6.958333333333333</v>
      </c>
      <c r="AS34" s="1">
        <f t="shared" si="22"/>
        <v>7.958333333333333</v>
      </c>
      <c r="AT34" s="1">
        <f t="shared" si="23"/>
        <v>8.9583333333333339</v>
      </c>
      <c r="AU34" s="1">
        <f t="shared" si="24"/>
        <v>9.9583333333333339</v>
      </c>
      <c r="AV34" s="1">
        <f t="shared" si="25"/>
        <v>10.958333333333334</v>
      </c>
      <c r="AW34" s="1">
        <f t="shared" si="26"/>
        <v>11.958333333333334</v>
      </c>
      <c r="AX34" s="1">
        <f t="shared" si="27"/>
        <v>12.958333333333334</v>
      </c>
      <c r="AY34" s="1">
        <f t="shared" si="28"/>
        <v>13.958333333333334</v>
      </c>
      <c r="AZ34" s="1">
        <f t="shared" si="29"/>
        <v>14.958333333333334</v>
      </c>
      <c r="BA34" s="1">
        <f t="shared" si="30"/>
        <v>15.958333333333334</v>
      </c>
      <c r="BB34" s="1">
        <f t="shared" si="31"/>
        <v>14.791666666666666</v>
      </c>
    </row>
    <row r="35" spans="1:54">
      <c r="A35">
        <f t="shared" si="32"/>
        <v>34</v>
      </c>
      <c r="B35">
        <f t="shared" si="4"/>
        <v>0</v>
      </c>
      <c r="C35">
        <f t="shared" si="36"/>
        <v>11</v>
      </c>
      <c r="D35">
        <f t="shared" si="36"/>
        <v>12</v>
      </c>
      <c r="E35">
        <f t="shared" si="36"/>
        <v>13</v>
      </c>
      <c r="F35">
        <f t="shared" si="36"/>
        <v>14</v>
      </c>
      <c r="G35">
        <f t="shared" si="36"/>
        <v>15</v>
      </c>
      <c r="H35">
        <f t="shared" si="36"/>
        <v>16</v>
      </c>
      <c r="I35">
        <f t="shared" si="36"/>
        <v>17</v>
      </c>
      <c r="J35">
        <f t="shared" si="36"/>
        <v>18</v>
      </c>
      <c r="K35">
        <f t="shared" si="36"/>
        <v>19</v>
      </c>
      <c r="L35">
        <f t="shared" si="36"/>
        <v>20</v>
      </c>
      <c r="M35">
        <f t="shared" si="36"/>
        <v>21</v>
      </c>
      <c r="N35">
        <f t="shared" si="36"/>
        <v>22</v>
      </c>
      <c r="O35">
        <f t="shared" si="36"/>
        <v>23</v>
      </c>
      <c r="P35">
        <f t="shared" si="36"/>
        <v>24</v>
      </c>
      <c r="Q35">
        <f t="shared" si="36"/>
        <v>25</v>
      </c>
      <c r="R35">
        <f t="shared" si="36"/>
        <v>0</v>
      </c>
      <c r="S35">
        <f t="shared" si="35"/>
        <v>1</v>
      </c>
      <c r="T35">
        <f t="shared" si="35"/>
        <v>2</v>
      </c>
      <c r="U35">
        <f t="shared" si="35"/>
        <v>3</v>
      </c>
      <c r="V35">
        <f t="shared" si="35"/>
        <v>4</v>
      </c>
      <c r="W35">
        <f t="shared" si="35"/>
        <v>5</v>
      </c>
      <c r="X35">
        <f t="shared" si="33"/>
        <v>6</v>
      </c>
      <c r="Y35">
        <f t="shared" si="34"/>
        <v>7</v>
      </c>
      <c r="Z35">
        <f t="shared" si="34"/>
        <v>8</v>
      </c>
      <c r="AA35">
        <f t="shared" si="34"/>
        <v>9</v>
      </c>
      <c r="AB35">
        <f t="shared" si="34"/>
        <v>10</v>
      </c>
      <c r="AC35" s="1">
        <f t="shared" si="6"/>
        <v>15.375</v>
      </c>
      <c r="AD35" s="1">
        <f t="shared" si="7"/>
        <v>15.291666666666666</v>
      </c>
      <c r="AE35" s="1">
        <f t="shared" si="8"/>
        <v>15.208333333333334</v>
      </c>
      <c r="AF35" s="1">
        <f t="shared" si="9"/>
        <v>15.125</v>
      </c>
      <c r="AG35" s="1">
        <f t="shared" si="10"/>
        <v>15.041666666666666</v>
      </c>
      <c r="AH35" s="1">
        <f t="shared" si="11"/>
        <v>14.958333333333334</v>
      </c>
      <c r="AI35" s="1">
        <f t="shared" si="12"/>
        <v>14.875</v>
      </c>
      <c r="AJ35" s="1">
        <f t="shared" si="13"/>
        <v>14.791666666666666</v>
      </c>
      <c r="AK35" s="1">
        <f t="shared" si="14"/>
        <v>14.708333333333334</v>
      </c>
      <c r="AL35" s="1">
        <f t="shared" si="15"/>
        <v>13.541666666666666</v>
      </c>
      <c r="AM35" s="1">
        <f t="shared" si="16"/>
        <v>12.375</v>
      </c>
      <c r="AN35" s="1">
        <f t="shared" si="17"/>
        <v>11.208333333333334</v>
      </c>
      <c r="AO35" s="1">
        <f t="shared" si="18"/>
        <v>10.041666666666666</v>
      </c>
      <c r="AP35" s="1">
        <f t="shared" si="19"/>
        <v>8.875</v>
      </c>
      <c r="AQ35" s="1">
        <f t="shared" si="20"/>
        <v>7.708333333333333</v>
      </c>
      <c r="AR35" s="1">
        <f t="shared" si="21"/>
        <v>6.541666666666667</v>
      </c>
      <c r="AS35" s="1">
        <f t="shared" si="22"/>
        <v>7.541666666666667</v>
      </c>
      <c r="AT35" s="1">
        <f t="shared" si="23"/>
        <v>8.5416666666666661</v>
      </c>
      <c r="AU35" s="1">
        <f t="shared" si="24"/>
        <v>9.5416666666666661</v>
      </c>
      <c r="AV35" s="1">
        <f t="shared" si="25"/>
        <v>10.541666666666666</v>
      </c>
      <c r="AW35" s="1">
        <f t="shared" si="26"/>
        <v>11.541666666666666</v>
      </c>
      <c r="AX35" s="1">
        <f t="shared" si="27"/>
        <v>12.541666666666666</v>
      </c>
      <c r="AY35" s="1">
        <f t="shared" si="28"/>
        <v>13.541666666666666</v>
      </c>
      <c r="AZ35" s="1">
        <f t="shared" si="29"/>
        <v>14.541666666666666</v>
      </c>
      <c r="BA35" s="1">
        <f t="shared" si="30"/>
        <v>15.541666666666666</v>
      </c>
      <c r="BB35" s="1">
        <f t="shared" si="31"/>
        <v>15.458333333333334</v>
      </c>
    </row>
    <row r="36" spans="1:54">
      <c r="A36">
        <f t="shared" si="32"/>
        <v>35</v>
      </c>
      <c r="B36">
        <f t="shared" si="4"/>
        <v>1</v>
      </c>
      <c r="C36">
        <f t="shared" si="36"/>
        <v>12</v>
      </c>
      <c r="D36">
        <f t="shared" si="36"/>
        <v>13</v>
      </c>
      <c r="E36">
        <f t="shared" si="36"/>
        <v>14</v>
      </c>
      <c r="F36">
        <f t="shared" si="36"/>
        <v>15</v>
      </c>
      <c r="G36">
        <f t="shared" si="36"/>
        <v>16</v>
      </c>
      <c r="H36">
        <f t="shared" si="36"/>
        <v>17</v>
      </c>
      <c r="I36">
        <f t="shared" si="36"/>
        <v>18</v>
      </c>
      <c r="J36">
        <f t="shared" si="36"/>
        <v>19</v>
      </c>
      <c r="K36">
        <f t="shared" si="36"/>
        <v>20</v>
      </c>
      <c r="L36">
        <f t="shared" si="36"/>
        <v>21</v>
      </c>
      <c r="M36">
        <f t="shared" si="36"/>
        <v>22</v>
      </c>
      <c r="N36">
        <f t="shared" si="36"/>
        <v>23</v>
      </c>
      <c r="O36">
        <f t="shared" si="36"/>
        <v>24</v>
      </c>
      <c r="P36">
        <f t="shared" si="36"/>
        <v>25</v>
      </c>
      <c r="Q36">
        <f t="shared" si="36"/>
        <v>0</v>
      </c>
      <c r="R36">
        <f t="shared" si="36"/>
        <v>1</v>
      </c>
      <c r="S36">
        <f t="shared" si="35"/>
        <v>2</v>
      </c>
      <c r="T36">
        <f t="shared" si="35"/>
        <v>3</v>
      </c>
      <c r="U36">
        <f t="shared" si="35"/>
        <v>4</v>
      </c>
      <c r="V36">
        <f t="shared" si="35"/>
        <v>5</v>
      </c>
      <c r="W36">
        <f t="shared" si="35"/>
        <v>6</v>
      </c>
      <c r="X36">
        <f t="shared" si="33"/>
        <v>7</v>
      </c>
      <c r="Y36">
        <f t="shared" si="34"/>
        <v>8</v>
      </c>
      <c r="Z36">
        <f t="shared" si="34"/>
        <v>9</v>
      </c>
      <c r="AA36">
        <f t="shared" si="34"/>
        <v>10</v>
      </c>
      <c r="AB36">
        <f t="shared" si="34"/>
        <v>11</v>
      </c>
      <c r="AC36" s="1">
        <f t="shared" si="6"/>
        <v>15.666666666666666</v>
      </c>
      <c r="AD36" s="1">
        <f t="shared" si="7"/>
        <v>15.583333333333334</v>
      </c>
      <c r="AE36" s="1">
        <f t="shared" si="8"/>
        <v>15.5</v>
      </c>
      <c r="AF36" s="1">
        <f t="shared" si="9"/>
        <v>15.416666666666666</v>
      </c>
      <c r="AG36" s="1">
        <f t="shared" si="10"/>
        <v>15.333333333333334</v>
      </c>
      <c r="AH36" s="1">
        <f t="shared" si="11"/>
        <v>15.25</v>
      </c>
      <c r="AI36" s="1">
        <f t="shared" si="12"/>
        <v>15.166666666666666</v>
      </c>
      <c r="AJ36" s="1">
        <f t="shared" si="13"/>
        <v>15.083333333333334</v>
      </c>
      <c r="AK36" s="1">
        <f t="shared" si="14"/>
        <v>13.916666666666666</v>
      </c>
      <c r="AL36" s="1">
        <f t="shared" si="15"/>
        <v>12.75</v>
      </c>
      <c r="AM36" s="1">
        <f t="shared" si="16"/>
        <v>11.583333333333334</v>
      </c>
      <c r="AN36" s="1">
        <f t="shared" si="17"/>
        <v>10.416666666666666</v>
      </c>
      <c r="AO36" s="1">
        <f t="shared" si="18"/>
        <v>9.25</v>
      </c>
      <c r="AP36" s="1">
        <f t="shared" si="19"/>
        <v>8.0833333333333339</v>
      </c>
      <c r="AQ36" s="1">
        <f t="shared" si="20"/>
        <v>6.916666666666667</v>
      </c>
      <c r="AR36" s="1">
        <f t="shared" si="21"/>
        <v>6.833333333333333</v>
      </c>
      <c r="AS36" s="1">
        <f t="shared" si="22"/>
        <v>7.833333333333333</v>
      </c>
      <c r="AT36" s="1">
        <f t="shared" si="23"/>
        <v>8.8333333333333339</v>
      </c>
      <c r="AU36" s="1">
        <f t="shared" si="24"/>
        <v>9.8333333333333339</v>
      </c>
      <c r="AV36" s="1">
        <f t="shared" si="25"/>
        <v>10.833333333333334</v>
      </c>
      <c r="AW36" s="1">
        <f t="shared" si="26"/>
        <v>11.833333333333334</v>
      </c>
      <c r="AX36" s="1">
        <f t="shared" si="27"/>
        <v>12.833333333333334</v>
      </c>
      <c r="AY36" s="1">
        <f t="shared" si="28"/>
        <v>13.833333333333334</v>
      </c>
      <c r="AZ36" s="1">
        <f t="shared" si="29"/>
        <v>14.833333333333334</v>
      </c>
      <c r="BA36" s="1">
        <f t="shared" si="30"/>
        <v>15.833333333333334</v>
      </c>
      <c r="BB36" s="1">
        <f t="shared" si="31"/>
        <v>15.75</v>
      </c>
    </row>
    <row r="37" spans="1:54">
      <c r="A37">
        <f t="shared" si="32"/>
        <v>36</v>
      </c>
      <c r="B37">
        <f t="shared" si="4"/>
        <v>2</v>
      </c>
      <c r="C37">
        <f t="shared" si="36"/>
        <v>13</v>
      </c>
      <c r="D37">
        <f t="shared" si="36"/>
        <v>14</v>
      </c>
      <c r="E37">
        <f t="shared" si="36"/>
        <v>15</v>
      </c>
      <c r="F37">
        <f t="shared" si="36"/>
        <v>16</v>
      </c>
      <c r="G37">
        <f t="shared" si="36"/>
        <v>17</v>
      </c>
      <c r="H37">
        <f t="shared" si="36"/>
        <v>18</v>
      </c>
      <c r="I37">
        <f t="shared" si="36"/>
        <v>19</v>
      </c>
      <c r="J37">
        <f t="shared" si="36"/>
        <v>20</v>
      </c>
      <c r="K37">
        <f t="shared" si="36"/>
        <v>21</v>
      </c>
      <c r="L37">
        <f t="shared" si="36"/>
        <v>22</v>
      </c>
      <c r="M37">
        <f t="shared" si="36"/>
        <v>23</v>
      </c>
      <c r="N37">
        <f t="shared" si="36"/>
        <v>24</v>
      </c>
      <c r="O37">
        <f t="shared" si="36"/>
        <v>25</v>
      </c>
      <c r="P37">
        <f t="shared" si="36"/>
        <v>0</v>
      </c>
      <c r="Q37">
        <f t="shared" si="36"/>
        <v>1</v>
      </c>
      <c r="R37">
        <f t="shared" si="36"/>
        <v>2</v>
      </c>
      <c r="S37">
        <f t="shared" si="35"/>
        <v>3</v>
      </c>
      <c r="T37">
        <f t="shared" si="35"/>
        <v>4</v>
      </c>
      <c r="U37">
        <f t="shared" si="35"/>
        <v>5</v>
      </c>
      <c r="V37">
        <f t="shared" si="35"/>
        <v>6</v>
      </c>
      <c r="W37">
        <f t="shared" si="35"/>
        <v>7</v>
      </c>
      <c r="X37">
        <f t="shared" si="33"/>
        <v>8</v>
      </c>
      <c r="Y37">
        <f t="shared" si="34"/>
        <v>9</v>
      </c>
      <c r="Z37">
        <f t="shared" si="34"/>
        <v>10</v>
      </c>
      <c r="AA37">
        <f t="shared" si="34"/>
        <v>11</v>
      </c>
      <c r="AB37">
        <f t="shared" si="34"/>
        <v>12</v>
      </c>
      <c r="AC37" s="1">
        <f t="shared" si="6"/>
        <v>15.958333333333334</v>
      </c>
      <c r="AD37" s="1">
        <f t="shared" si="7"/>
        <v>15.875</v>
      </c>
      <c r="AE37" s="1">
        <f t="shared" si="8"/>
        <v>15.791666666666666</v>
      </c>
      <c r="AF37" s="1">
        <f t="shared" si="9"/>
        <v>15.708333333333334</v>
      </c>
      <c r="AG37" s="1">
        <f t="shared" si="10"/>
        <v>15.625</v>
      </c>
      <c r="AH37" s="1">
        <f t="shared" si="11"/>
        <v>15.541666666666666</v>
      </c>
      <c r="AI37" s="1">
        <f t="shared" si="12"/>
        <v>15.458333333333334</v>
      </c>
      <c r="AJ37" s="1">
        <f t="shared" si="13"/>
        <v>14.291666666666666</v>
      </c>
      <c r="AK37" s="1">
        <f t="shared" si="14"/>
        <v>13.125</v>
      </c>
      <c r="AL37" s="1">
        <f t="shared" si="15"/>
        <v>11.958333333333334</v>
      </c>
      <c r="AM37" s="1">
        <f t="shared" si="16"/>
        <v>10.791666666666666</v>
      </c>
      <c r="AN37" s="1">
        <f t="shared" si="17"/>
        <v>9.625</v>
      </c>
      <c r="AO37" s="1">
        <f t="shared" si="18"/>
        <v>8.4583333333333339</v>
      </c>
      <c r="AP37" s="1">
        <f t="shared" si="19"/>
        <v>7.291666666666667</v>
      </c>
      <c r="AQ37" s="1">
        <f t="shared" si="20"/>
        <v>7.208333333333333</v>
      </c>
      <c r="AR37" s="1">
        <f t="shared" si="21"/>
        <v>7.125</v>
      </c>
      <c r="AS37" s="1">
        <f t="shared" si="22"/>
        <v>8.125</v>
      </c>
      <c r="AT37" s="1">
        <f t="shared" si="23"/>
        <v>9.125</v>
      </c>
      <c r="AU37" s="1">
        <f t="shared" si="24"/>
        <v>10.125</v>
      </c>
      <c r="AV37" s="1">
        <f t="shared" si="25"/>
        <v>11.125</v>
      </c>
      <c r="AW37" s="1">
        <f t="shared" si="26"/>
        <v>12.125</v>
      </c>
      <c r="AX37" s="1">
        <f t="shared" si="27"/>
        <v>13.125</v>
      </c>
      <c r="AY37" s="1">
        <f t="shared" si="28"/>
        <v>14.125</v>
      </c>
      <c r="AZ37" s="1">
        <f t="shared" si="29"/>
        <v>15.125</v>
      </c>
      <c r="BA37" s="1">
        <f t="shared" si="30"/>
        <v>16.125</v>
      </c>
      <c r="BB37" s="1">
        <f t="shared" si="31"/>
        <v>16.041666666666668</v>
      </c>
    </row>
    <row r="38" spans="1:54">
      <c r="A38">
        <f t="shared" si="32"/>
        <v>37</v>
      </c>
      <c r="B38">
        <f t="shared" si="4"/>
        <v>3</v>
      </c>
      <c r="C38">
        <f t="shared" si="36"/>
        <v>14</v>
      </c>
      <c r="D38">
        <f t="shared" si="36"/>
        <v>15</v>
      </c>
      <c r="E38">
        <f t="shared" si="36"/>
        <v>16</v>
      </c>
      <c r="F38">
        <f t="shared" si="36"/>
        <v>17</v>
      </c>
      <c r="G38">
        <f t="shared" si="36"/>
        <v>18</v>
      </c>
      <c r="H38">
        <f t="shared" si="36"/>
        <v>19</v>
      </c>
      <c r="I38">
        <f t="shared" si="36"/>
        <v>20</v>
      </c>
      <c r="J38">
        <f t="shared" si="36"/>
        <v>21</v>
      </c>
      <c r="K38">
        <f t="shared" si="36"/>
        <v>22</v>
      </c>
      <c r="L38">
        <f t="shared" si="36"/>
        <v>23</v>
      </c>
      <c r="M38">
        <f t="shared" si="36"/>
        <v>24</v>
      </c>
      <c r="N38">
        <f t="shared" si="36"/>
        <v>25</v>
      </c>
      <c r="O38">
        <f t="shared" si="36"/>
        <v>0</v>
      </c>
      <c r="P38">
        <f t="shared" si="36"/>
        <v>1</v>
      </c>
      <c r="Q38">
        <f t="shared" si="36"/>
        <v>2</v>
      </c>
      <c r="R38">
        <f t="shared" si="36"/>
        <v>3</v>
      </c>
      <c r="S38">
        <f t="shared" si="35"/>
        <v>4</v>
      </c>
      <c r="T38">
        <f t="shared" si="35"/>
        <v>5</v>
      </c>
      <c r="U38">
        <f t="shared" si="35"/>
        <v>6</v>
      </c>
      <c r="V38">
        <f t="shared" si="35"/>
        <v>7</v>
      </c>
      <c r="W38">
        <f t="shared" si="35"/>
        <v>8</v>
      </c>
      <c r="X38">
        <f t="shared" si="33"/>
        <v>9</v>
      </c>
      <c r="Y38">
        <f t="shared" si="34"/>
        <v>10</v>
      </c>
      <c r="Z38">
        <f t="shared" si="34"/>
        <v>11</v>
      </c>
      <c r="AA38">
        <f t="shared" si="34"/>
        <v>12</v>
      </c>
      <c r="AB38">
        <f t="shared" si="34"/>
        <v>13</v>
      </c>
      <c r="AC38" s="1">
        <f t="shared" si="6"/>
        <v>16.25</v>
      </c>
      <c r="AD38" s="1">
        <f t="shared" si="7"/>
        <v>16.166666666666668</v>
      </c>
      <c r="AE38" s="1">
        <f t="shared" si="8"/>
        <v>16.083333333333332</v>
      </c>
      <c r="AF38" s="1">
        <f t="shared" si="9"/>
        <v>16</v>
      </c>
      <c r="AG38" s="1">
        <f t="shared" si="10"/>
        <v>15.916666666666666</v>
      </c>
      <c r="AH38" s="1">
        <f t="shared" si="11"/>
        <v>15.833333333333334</v>
      </c>
      <c r="AI38" s="1">
        <f t="shared" si="12"/>
        <v>14.666666666666666</v>
      </c>
      <c r="AJ38" s="1">
        <f t="shared" si="13"/>
        <v>13.5</v>
      </c>
      <c r="AK38" s="1">
        <f t="shared" si="14"/>
        <v>12.333333333333334</v>
      </c>
      <c r="AL38" s="1">
        <f t="shared" si="15"/>
        <v>11.166666666666666</v>
      </c>
      <c r="AM38" s="1">
        <f t="shared" si="16"/>
        <v>10</v>
      </c>
      <c r="AN38" s="1">
        <f t="shared" si="17"/>
        <v>8.8333333333333339</v>
      </c>
      <c r="AO38" s="1">
        <f t="shared" si="18"/>
        <v>7.666666666666667</v>
      </c>
      <c r="AP38" s="1">
        <f t="shared" si="19"/>
        <v>7.583333333333333</v>
      </c>
      <c r="AQ38" s="1">
        <f t="shared" si="20"/>
        <v>7.5</v>
      </c>
      <c r="AR38" s="1">
        <f t="shared" si="21"/>
        <v>7.416666666666667</v>
      </c>
      <c r="AS38" s="1">
        <f t="shared" si="22"/>
        <v>8.4166666666666661</v>
      </c>
      <c r="AT38" s="1">
        <f t="shared" si="23"/>
        <v>9.4166666666666661</v>
      </c>
      <c r="AU38" s="1">
        <f t="shared" si="24"/>
        <v>10.416666666666666</v>
      </c>
      <c r="AV38" s="1">
        <f t="shared" si="25"/>
        <v>11.416666666666666</v>
      </c>
      <c r="AW38" s="1">
        <f t="shared" si="26"/>
        <v>12.416666666666666</v>
      </c>
      <c r="AX38" s="1">
        <f t="shared" si="27"/>
        <v>13.416666666666666</v>
      </c>
      <c r="AY38" s="1">
        <f t="shared" si="28"/>
        <v>14.416666666666666</v>
      </c>
      <c r="AZ38" s="1">
        <f t="shared" si="29"/>
        <v>15.416666666666666</v>
      </c>
      <c r="BA38" s="1">
        <f t="shared" si="30"/>
        <v>16.416666666666668</v>
      </c>
      <c r="BB38" s="1">
        <f t="shared" si="31"/>
        <v>16.333333333333332</v>
      </c>
    </row>
    <row r="39" spans="1:54">
      <c r="A39">
        <f t="shared" si="32"/>
        <v>38</v>
      </c>
      <c r="B39">
        <f t="shared" si="4"/>
        <v>4</v>
      </c>
      <c r="C39">
        <f t="shared" si="36"/>
        <v>15</v>
      </c>
      <c r="D39">
        <f t="shared" si="36"/>
        <v>16</v>
      </c>
      <c r="E39">
        <f t="shared" si="36"/>
        <v>17</v>
      </c>
      <c r="F39">
        <f t="shared" si="36"/>
        <v>18</v>
      </c>
      <c r="G39">
        <f t="shared" si="36"/>
        <v>19</v>
      </c>
      <c r="H39">
        <f t="shared" si="36"/>
        <v>20</v>
      </c>
      <c r="I39">
        <f t="shared" si="36"/>
        <v>21</v>
      </c>
      <c r="J39">
        <f t="shared" si="36"/>
        <v>22</v>
      </c>
      <c r="K39">
        <f t="shared" si="36"/>
        <v>23</v>
      </c>
      <c r="L39">
        <f t="shared" si="36"/>
        <v>24</v>
      </c>
      <c r="M39">
        <f t="shared" si="36"/>
        <v>25</v>
      </c>
      <c r="N39">
        <f t="shared" si="36"/>
        <v>0</v>
      </c>
      <c r="O39">
        <f t="shared" si="36"/>
        <v>1</v>
      </c>
      <c r="P39">
        <f t="shared" si="36"/>
        <v>2</v>
      </c>
      <c r="Q39">
        <f t="shared" si="36"/>
        <v>3</v>
      </c>
      <c r="R39">
        <f t="shared" si="36"/>
        <v>4</v>
      </c>
      <c r="S39">
        <f t="shared" si="35"/>
        <v>5</v>
      </c>
      <c r="T39">
        <f t="shared" si="35"/>
        <v>6</v>
      </c>
      <c r="U39">
        <f t="shared" si="35"/>
        <v>7</v>
      </c>
      <c r="V39">
        <f t="shared" si="35"/>
        <v>8</v>
      </c>
      <c r="W39">
        <f t="shared" si="35"/>
        <v>9</v>
      </c>
      <c r="X39">
        <f t="shared" si="33"/>
        <v>10</v>
      </c>
      <c r="Y39">
        <f t="shared" si="34"/>
        <v>11</v>
      </c>
      <c r="Z39">
        <f t="shared" si="34"/>
        <v>12</v>
      </c>
      <c r="AA39">
        <f t="shared" si="34"/>
        <v>13</v>
      </c>
      <c r="AB39">
        <f t="shared" si="34"/>
        <v>14</v>
      </c>
      <c r="AC39" s="1">
        <f t="shared" si="6"/>
        <v>16.541666666666668</v>
      </c>
      <c r="AD39" s="1">
        <f t="shared" si="7"/>
        <v>16.458333333333332</v>
      </c>
      <c r="AE39" s="1">
        <f t="shared" si="8"/>
        <v>16.375</v>
      </c>
      <c r="AF39" s="1">
        <f t="shared" si="9"/>
        <v>16.291666666666668</v>
      </c>
      <c r="AG39" s="1">
        <f t="shared" si="10"/>
        <v>16.208333333333332</v>
      </c>
      <c r="AH39" s="1">
        <f t="shared" si="11"/>
        <v>15.041666666666666</v>
      </c>
      <c r="AI39" s="1">
        <f t="shared" si="12"/>
        <v>13.875</v>
      </c>
      <c r="AJ39" s="1">
        <f t="shared" si="13"/>
        <v>12.708333333333334</v>
      </c>
      <c r="AK39" s="1">
        <f t="shared" si="14"/>
        <v>11.541666666666666</v>
      </c>
      <c r="AL39" s="1">
        <f t="shared" si="15"/>
        <v>10.375</v>
      </c>
      <c r="AM39" s="1">
        <f t="shared" si="16"/>
        <v>9.2083333333333339</v>
      </c>
      <c r="AN39" s="1">
        <f t="shared" si="17"/>
        <v>8.0416666666666661</v>
      </c>
      <c r="AO39" s="1">
        <f t="shared" si="18"/>
        <v>7.958333333333333</v>
      </c>
      <c r="AP39" s="1">
        <f t="shared" si="19"/>
        <v>7.875</v>
      </c>
      <c r="AQ39" s="1">
        <f t="shared" si="20"/>
        <v>7.791666666666667</v>
      </c>
      <c r="AR39" s="1">
        <f t="shared" si="21"/>
        <v>7.708333333333333</v>
      </c>
      <c r="AS39" s="1">
        <f t="shared" si="22"/>
        <v>8.7083333333333339</v>
      </c>
      <c r="AT39" s="1">
        <f t="shared" si="23"/>
        <v>9.7083333333333339</v>
      </c>
      <c r="AU39" s="1">
        <f t="shared" si="24"/>
        <v>10.708333333333334</v>
      </c>
      <c r="AV39" s="1">
        <f t="shared" si="25"/>
        <v>11.708333333333334</v>
      </c>
      <c r="AW39" s="1">
        <f t="shared" si="26"/>
        <v>12.708333333333334</v>
      </c>
      <c r="AX39" s="1">
        <f t="shared" si="27"/>
        <v>13.708333333333334</v>
      </c>
      <c r="AY39" s="1">
        <f t="shared" si="28"/>
        <v>14.708333333333334</v>
      </c>
      <c r="AZ39" s="1">
        <f t="shared" si="29"/>
        <v>15.708333333333334</v>
      </c>
      <c r="BA39" s="1">
        <f t="shared" si="30"/>
        <v>16.708333333333332</v>
      </c>
      <c r="BB39" s="1">
        <f t="shared" si="31"/>
        <v>16.625</v>
      </c>
    </row>
    <row r="40" spans="1:54">
      <c r="A40">
        <f t="shared" si="32"/>
        <v>39</v>
      </c>
      <c r="B40">
        <f t="shared" si="4"/>
        <v>5</v>
      </c>
      <c r="C40">
        <f t="shared" si="36"/>
        <v>16</v>
      </c>
      <c r="D40">
        <f t="shared" si="36"/>
        <v>17</v>
      </c>
      <c r="E40">
        <f t="shared" si="36"/>
        <v>18</v>
      </c>
      <c r="F40">
        <f t="shared" si="36"/>
        <v>19</v>
      </c>
      <c r="G40">
        <f t="shared" si="36"/>
        <v>20</v>
      </c>
      <c r="H40">
        <f t="shared" si="36"/>
        <v>21</v>
      </c>
      <c r="I40">
        <f t="shared" si="36"/>
        <v>22</v>
      </c>
      <c r="J40">
        <f t="shared" si="36"/>
        <v>23</v>
      </c>
      <c r="K40">
        <f t="shared" si="36"/>
        <v>24</v>
      </c>
      <c r="L40">
        <f t="shared" si="36"/>
        <v>25</v>
      </c>
      <c r="M40">
        <f t="shared" si="36"/>
        <v>0</v>
      </c>
      <c r="N40">
        <f t="shared" si="36"/>
        <v>1</v>
      </c>
      <c r="O40">
        <f t="shared" si="36"/>
        <v>2</v>
      </c>
      <c r="P40">
        <f t="shared" si="36"/>
        <v>3</v>
      </c>
      <c r="Q40">
        <f t="shared" si="36"/>
        <v>4</v>
      </c>
      <c r="R40">
        <f t="shared" si="36"/>
        <v>5</v>
      </c>
      <c r="S40">
        <f t="shared" si="35"/>
        <v>6</v>
      </c>
      <c r="T40">
        <f t="shared" si="35"/>
        <v>7</v>
      </c>
      <c r="U40">
        <f t="shared" si="35"/>
        <v>8</v>
      </c>
      <c r="V40">
        <f t="shared" si="35"/>
        <v>9</v>
      </c>
      <c r="W40">
        <f t="shared" si="35"/>
        <v>10</v>
      </c>
      <c r="X40">
        <f t="shared" si="33"/>
        <v>11</v>
      </c>
      <c r="Y40">
        <f t="shared" si="34"/>
        <v>12</v>
      </c>
      <c r="Z40">
        <f t="shared" si="34"/>
        <v>13</v>
      </c>
      <c r="AA40">
        <f t="shared" si="34"/>
        <v>14</v>
      </c>
      <c r="AB40">
        <f t="shared" si="34"/>
        <v>15</v>
      </c>
      <c r="AC40" s="1">
        <f t="shared" si="6"/>
        <v>16.833333333333332</v>
      </c>
      <c r="AD40" s="1">
        <f t="shared" si="7"/>
        <v>16.75</v>
      </c>
      <c r="AE40" s="1">
        <f t="shared" si="8"/>
        <v>16.666666666666668</v>
      </c>
      <c r="AF40" s="1">
        <f t="shared" si="9"/>
        <v>16.583333333333332</v>
      </c>
      <c r="AG40" s="1">
        <f t="shared" si="10"/>
        <v>15.416666666666666</v>
      </c>
      <c r="AH40" s="1">
        <f t="shared" si="11"/>
        <v>14.25</v>
      </c>
      <c r="AI40" s="1">
        <f t="shared" si="12"/>
        <v>13.083333333333334</v>
      </c>
      <c r="AJ40" s="1">
        <f t="shared" si="13"/>
        <v>11.916666666666666</v>
      </c>
      <c r="AK40" s="1">
        <f t="shared" si="14"/>
        <v>10.75</v>
      </c>
      <c r="AL40" s="1">
        <f t="shared" si="15"/>
        <v>9.5833333333333339</v>
      </c>
      <c r="AM40" s="1">
        <f t="shared" si="16"/>
        <v>8.4166666666666661</v>
      </c>
      <c r="AN40" s="1">
        <f t="shared" si="17"/>
        <v>8.3333333333333339</v>
      </c>
      <c r="AO40" s="1">
        <f t="shared" si="18"/>
        <v>8.25</v>
      </c>
      <c r="AP40" s="1">
        <f t="shared" si="19"/>
        <v>8.1666666666666661</v>
      </c>
      <c r="AQ40" s="1">
        <f t="shared" si="20"/>
        <v>8.0833333333333339</v>
      </c>
      <c r="AR40" s="1">
        <f t="shared" si="21"/>
        <v>8</v>
      </c>
      <c r="AS40" s="1">
        <f t="shared" si="22"/>
        <v>9</v>
      </c>
      <c r="AT40" s="1">
        <f t="shared" si="23"/>
        <v>10</v>
      </c>
      <c r="AU40" s="1">
        <f t="shared" si="24"/>
        <v>11</v>
      </c>
      <c r="AV40" s="1">
        <f t="shared" si="25"/>
        <v>12</v>
      </c>
      <c r="AW40" s="1">
        <f t="shared" si="26"/>
        <v>13</v>
      </c>
      <c r="AX40" s="1">
        <f t="shared" si="27"/>
        <v>14</v>
      </c>
      <c r="AY40" s="1">
        <f t="shared" si="28"/>
        <v>15</v>
      </c>
      <c r="AZ40" s="1">
        <f t="shared" si="29"/>
        <v>16</v>
      </c>
      <c r="BA40" s="1">
        <f t="shared" si="30"/>
        <v>17</v>
      </c>
      <c r="BB40" s="1">
        <f t="shared" si="31"/>
        <v>16.916666666666668</v>
      </c>
    </row>
    <row r="41" spans="1:54">
      <c r="A41">
        <f t="shared" si="32"/>
        <v>40</v>
      </c>
      <c r="B41">
        <f t="shared" si="4"/>
        <v>6</v>
      </c>
      <c r="C41">
        <f t="shared" si="36"/>
        <v>17</v>
      </c>
      <c r="D41">
        <f t="shared" si="36"/>
        <v>18</v>
      </c>
      <c r="E41">
        <f t="shared" si="36"/>
        <v>19</v>
      </c>
      <c r="F41">
        <f t="shared" si="36"/>
        <v>20</v>
      </c>
      <c r="G41">
        <f t="shared" si="36"/>
        <v>21</v>
      </c>
      <c r="H41">
        <f t="shared" si="36"/>
        <v>22</v>
      </c>
      <c r="I41">
        <f t="shared" si="36"/>
        <v>23</v>
      </c>
      <c r="J41">
        <f t="shared" si="36"/>
        <v>24</v>
      </c>
      <c r="K41">
        <f t="shared" si="36"/>
        <v>25</v>
      </c>
      <c r="L41">
        <f t="shared" si="36"/>
        <v>0</v>
      </c>
      <c r="M41">
        <f t="shared" si="36"/>
        <v>1</v>
      </c>
      <c r="N41">
        <f t="shared" si="36"/>
        <v>2</v>
      </c>
      <c r="O41">
        <f t="shared" si="36"/>
        <v>3</v>
      </c>
      <c r="P41">
        <f t="shared" si="36"/>
        <v>4</v>
      </c>
      <c r="Q41">
        <f t="shared" si="36"/>
        <v>5</v>
      </c>
      <c r="R41">
        <f t="shared" si="36"/>
        <v>6</v>
      </c>
      <c r="S41">
        <f t="shared" si="35"/>
        <v>7</v>
      </c>
      <c r="T41">
        <f t="shared" si="35"/>
        <v>8</v>
      </c>
      <c r="U41">
        <f t="shared" si="35"/>
        <v>9</v>
      </c>
      <c r="V41">
        <f t="shared" si="35"/>
        <v>10</v>
      </c>
      <c r="W41">
        <f t="shared" si="35"/>
        <v>11</v>
      </c>
      <c r="X41">
        <f t="shared" si="33"/>
        <v>12</v>
      </c>
      <c r="Y41">
        <f t="shared" si="34"/>
        <v>13</v>
      </c>
      <c r="Z41">
        <f t="shared" si="34"/>
        <v>14</v>
      </c>
      <c r="AA41">
        <f t="shared" si="34"/>
        <v>15</v>
      </c>
      <c r="AB41">
        <f t="shared" si="34"/>
        <v>16</v>
      </c>
      <c r="AC41" s="1">
        <f t="shared" si="6"/>
        <v>17.125</v>
      </c>
      <c r="AD41" s="1">
        <f t="shared" si="7"/>
        <v>17.041666666666668</v>
      </c>
      <c r="AE41" s="1">
        <f t="shared" si="8"/>
        <v>16.958333333333332</v>
      </c>
      <c r="AF41" s="1">
        <f t="shared" si="9"/>
        <v>15.791666666666666</v>
      </c>
      <c r="AG41" s="1">
        <f t="shared" si="10"/>
        <v>14.625</v>
      </c>
      <c r="AH41" s="1">
        <f t="shared" si="11"/>
        <v>13.458333333333334</v>
      </c>
      <c r="AI41" s="1">
        <f t="shared" si="12"/>
        <v>12.291666666666666</v>
      </c>
      <c r="AJ41" s="1">
        <f t="shared" si="13"/>
        <v>11.125</v>
      </c>
      <c r="AK41" s="1">
        <f t="shared" si="14"/>
        <v>9.9583333333333339</v>
      </c>
      <c r="AL41" s="1">
        <f t="shared" si="15"/>
        <v>8.7916666666666661</v>
      </c>
      <c r="AM41" s="1">
        <f t="shared" si="16"/>
        <v>8.7083333333333339</v>
      </c>
      <c r="AN41" s="1">
        <f t="shared" si="17"/>
        <v>8.625</v>
      </c>
      <c r="AO41" s="1">
        <f t="shared" si="18"/>
        <v>8.5416666666666661</v>
      </c>
      <c r="AP41" s="1">
        <f t="shared" si="19"/>
        <v>8.4583333333333339</v>
      </c>
      <c r="AQ41" s="1">
        <f t="shared" si="20"/>
        <v>8.375</v>
      </c>
      <c r="AR41" s="1">
        <f t="shared" si="21"/>
        <v>8.2916666666666661</v>
      </c>
      <c r="AS41" s="1">
        <f t="shared" si="22"/>
        <v>9.2916666666666661</v>
      </c>
      <c r="AT41" s="1">
        <f t="shared" si="23"/>
        <v>10.291666666666666</v>
      </c>
      <c r="AU41" s="1">
        <f t="shared" si="24"/>
        <v>11.291666666666666</v>
      </c>
      <c r="AV41" s="1">
        <f t="shared" si="25"/>
        <v>12.291666666666666</v>
      </c>
      <c r="AW41" s="1">
        <f t="shared" si="26"/>
        <v>13.291666666666666</v>
      </c>
      <c r="AX41" s="1">
        <f t="shared" si="27"/>
        <v>14.291666666666666</v>
      </c>
      <c r="AY41" s="1">
        <f t="shared" si="28"/>
        <v>15.291666666666666</v>
      </c>
      <c r="AZ41" s="1">
        <f t="shared" si="29"/>
        <v>16.291666666666668</v>
      </c>
      <c r="BA41" s="1">
        <f t="shared" si="30"/>
        <v>17.291666666666668</v>
      </c>
      <c r="BB41" s="1">
        <f t="shared" si="31"/>
        <v>17.208333333333332</v>
      </c>
    </row>
    <row r="42" spans="1:54">
      <c r="A42">
        <f t="shared" si="32"/>
        <v>41</v>
      </c>
      <c r="B42">
        <f t="shared" si="4"/>
        <v>7</v>
      </c>
      <c r="C42">
        <f t="shared" si="36"/>
        <v>18</v>
      </c>
      <c r="D42">
        <f t="shared" si="36"/>
        <v>19</v>
      </c>
      <c r="E42">
        <f t="shared" si="36"/>
        <v>20</v>
      </c>
      <c r="F42">
        <f t="shared" si="36"/>
        <v>21</v>
      </c>
      <c r="G42">
        <f t="shared" si="36"/>
        <v>22</v>
      </c>
      <c r="H42">
        <f t="shared" si="36"/>
        <v>23</v>
      </c>
      <c r="I42">
        <f t="shared" si="36"/>
        <v>24</v>
      </c>
      <c r="J42">
        <f t="shared" si="36"/>
        <v>25</v>
      </c>
      <c r="K42">
        <f t="shared" si="36"/>
        <v>0</v>
      </c>
      <c r="L42">
        <f t="shared" si="36"/>
        <v>1</v>
      </c>
      <c r="M42">
        <f t="shared" si="36"/>
        <v>2</v>
      </c>
      <c r="N42">
        <f t="shared" si="36"/>
        <v>3</v>
      </c>
      <c r="O42">
        <f t="shared" si="36"/>
        <v>4</v>
      </c>
      <c r="P42">
        <f t="shared" si="36"/>
        <v>5</v>
      </c>
      <c r="Q42">
        <f t="shared" si="36"/>
        <v>6</v>
      </c>
      <c r="R42">
        <f t="shared" si="36"/>
        <v>7</v>
      </c>
      <c r="S42">
        <f t="shared" si="35"/>
        <v>8</v>
      </c>
      <c r="T42">
        <f t="shared" si="35"/>
        <v>9</v>
      </c>
      <c r="U42">
        <f t="shared" si="35"/>
        <v>10</v>
      </c>
      <c r="V42">
        <f t="shared" si="35"/>
        <v>11</v>
      </c>
      <c r="W42">
        <f t="shared" si="35"/>
        <v>12</v>
      </c>
      <c r="X42">
        <f t="shared" si="33"/>
        <v>13</v>
      </c>
      <c r="Y42">
        <f t="shared" si="34"/>
        <v>14</v>
      </c>
      <c r="Z42">
        <f t="shared" si="34"/>
        <v>15</v>
      </c>
      <c r="AA42">
        <f t="shared" si="34"/>
        <v>16</v>
      </c>
      <c r="AB42">
        <f t="shared" si="34"/>
        <v>17</v>
      </c>
      <c r="AC42" s="1">
        <f t="shared" si="6"/>
        <v>17.416666666666668</v>
      </c>
      <c r="AD42" s="1">
        <f t="shared" si="7"/>
        <v>17.333333333333332</v>
      </c>
      <c r="AE42" s="1">
        <f t="shared" si="8"/>
        <v>16.166666666666668</v>
      </c>
      <c r="AF42" s="1">
        <f t="shared" si="9"/>
        <v>15</v>
      </c>
      <c r="AG42" s="1">
        <f t="shared" si="10"/>
        <v>13.833333333333334</v>
      </c>
      <c r="AH42" s="1">
        <f t="shared" si="11"/>
        <v>12.666666666666666</v>
      </c>
      <c r="AI42" s="1">
        <f t="shared" si="12"/>
        <v>11.5</v>
      </c>
      <c r="AJ42" s="1">
        <f t="shared" si="13"/>
        <v>10.333333333333334</v>
      </c>
      <c r="AK42" s="1">
        <f t="shared" si="14"/>
        <v>9.1666666666666661</v>
      </c>
      <c r="AL42" s="1">
        <f t="shared" si="15"/>
        <v>9.0833333333333339</v>
      </c>
      <c r="AM42" s="1">
        <f t="shared" si="16"/>
        <v>9</v>
      </c>
      <c r="AN42" s="1">
        <f t="shared" si="17"/>
        <v>8.9166666666666661</v>
      </c>
      <c r="AO42" s="1">
        <f t="shared" si="18"/>
        <v>8.8333333333333339</v>
      </c>
      <c r="AP42" s="1">
        <f t="shared" si="19"/>
        <v>8.75</v>
      </c>
      <c r="AQ42" s="1">
        <f t="shared" si="20"/>
        <v>8.6666666666666661</v>
      </c>
      <c r="AR42" s="1">
        <f t="shared" si="21"/>
        <v>8.5833333333333339</v>
      </c>
      <c r="AS42" s="1">
        <f t="shared" si="22"/>
        <v>9.5833333333333339</v>
      </c>
      <c r="AT42" s="1">
        <f t="shared" si="23"/>
        <v>10.583333333333334</v>
      </c>
      <c r="AU42" s="1">
        <f t="shared" si="24"/>
        <v>11.583333333333334</v>
      </c>
      <c r="AV42" s="1">
        <f t="shared" si="25"/>
        <v>12.583333333333334</v>
      </c>
      <c r="AW42" s="1">
        <f t="shared" si="26"/>
        <v>13.583333333333334</v>
      </c>
      <c r="AX42" s="1">
        <f t="shared" si="27"/>
        <v>14.583333333333334</v>
      </c>
      <c r="AY42" s="1">
        <f t="shared" si="28"/>
        <v>15.583333333333334</v>
      </c>
      <c r="AZ42" s="1">
        <f t="shared" si="29"/>
        <v>16.583333333333332</v>
      </c>
      <c r="BA42" s="1">
        <f t="shared" si="30"/>
        <v>17.583333333333332</v>
      </c>
      <c r="BB42" s="1">
        <f t="shared" si="31"/>
        <v>17.5</v>
      </c>
    </row>
    <row r="43" spans="1:54">
      <c r="A43">
        <f t="shared" si="32"/>
        <v>42</v>
      </c>
      <c r="B43">
        <f t="shared" si="4"/>
        <v>8</v>
      </c>
      <c r="C43">
        <f t="shared" si="36"/>
        <v>19</v>
      </c>
      <c r="D43">
        <f t="shared" si="36"/>
        <v>20</v>
      </c>
      <c r="E43">
        <f t="shared" si="36"/>
        <v>21</v>
      </c>
      <c r="F43">
        <f t="shared" si="36"/>
        <v>22</v>
      </c>
      <c r="G43">
        <f t="shared" si="36"/>
        <v>23</v>
      </c>
      <c r="H43">
        <f t="shared" si="36"/>
        <v>24</v>
      </c>
      <c r="I43">
        <f t="shared" si="36"/>
        <v>25</v>
      </c>
      <c r="J43">
        <f t="shared" si="36"/>
        <v>0</v>
      </c>
      <c r="K43">
        <f t="shared" si="36"/>
        <v>1</v>
      </c>
      <c r="L43">
        <f t="shared" si="36"/>
        <v>2</v>
      </c>
      <c r="M43">
        <f t="shared" si="36"/>
        <v>3</v>
      </c>
      <c r="N43">
        <f t="shared" si="36"/>
        <v>4</v>
      </c>
      <c r="O43">
        <f t="shared" si="36"/>
        <v>5</v>
      </c>
      <c r="P43">
        <f t="shared" si="36"/>
        <v>6</v>
      </c>
      <c r="Q43">
        <f t="shared" si="36"/>
        <v>7</v>
      </c>
      <c r="R43">
        <f t="shared" si="36"/>
        <v>8</v>
      </c>
      <c r="S43">
        <f t="shared" si="35"/>
        <v>9</v>
      </c>
      <c r="T43">
        <f t="shared" si="35"/>
        <v>10</v>
      </c>
      <c r="U43">
        <f t="shared" si="35"/>
        <v>11</v>
      </c>
      <c r="V43">
        <f t="shared" si="35"/>
        <v>12</v>
      </c>
      <c r="W43">
        <f t="shared" si="35"/>
        <v>13</v>
      </c>
      <c r="X43">
        <f t="shared" si="33"/>
        <v>14</v>
      </c>
      <c r="Y43">
        <f t="shared" si="34"/>
        <v>15</v>
      </c>
      <c r="Z43">
        <f t="shared" si="34"/>
        <v>16</v>
      </c>
      <c r="AA43">
        <f t="shared" si="34"/>
        <v>17</v>
      </c>
      <c r="AB43">
        <f t="shared" si="34"/>
        <v>18</v>
      </c>
      <c r="AC43" s="1">
        <f t="shared" si="6"/>
        <v>17.708333333333332</v>
      </c>
      <c r="AD43" s="1">
        <f t="shared" si="7"/>
        <v>16.541666666666668</v>
      </c>
      <c r="AE43" s="1">
        <f t="shared" si="8"/>
        <v>15.375</v>
      </c>
      <c r="AF43" s="1">
        <f t="shared" si="9"/>
        <v>14.208333333333334</v>
      </c>
      <c r="AG43" s="1">
        <f t="shared" si="10"/>
        <v>13.041666666666666</v>
      </c>
      <c r="AH43" s="1">
        <f t="shared" si="11"/>
        <v>11.875</v>
      </c>
      <c r="AI43" s="1">
        <f t="shared" si="12"/>
        <v>10.708333333333334</v>
      </c>
      <c r="AJ43" s="1">
        <f t="shared" si="13"/>
        <v>9.5416666666666661</v>
      </c>
      <c r="AK43" s="1">
        <f t="shared" si="14"/>
        <v>9.4583333333333339</v>
      </c>
      <c r="AL43" s="1">
        <f t="shared" si="15"/>
        <v>9.375</v>
      </c>
      <c r="AM43" s="1">
        <f t="shared" si="16"/>
        <v>9.2916666666666661</v>
      </c>
      <c r="AN43" s="1">
        <f t="shared" si="17"/>
        <v>9.2083333333333339</v>
      </c>
      <c r="AO43" s="1">
        <f t="shared" si="18"/>
        <v>9.125</v>
      </c>
      <c r="AP43" s="1">
        <f t="shared" si="19"/>
        <v>9.0416666666666661</v>
      </c>
      <c r="AQ43" s="1">
        <f t="shared" si="20"/>
        <v>8.9583333333333339</v>
      </c>
      <c r="AR43" s="1">
        <f t="shared" si="21"/>
        <v>8.875</v>
      </c>
      <c r="AS43" s="1">
        <f t="shared" si="22"/>
        <v>9.875</v>
      </c>
      <c r="AT43" s="1">
        <f t="shared" si="23"/>
        <v>10.875</v>
      </c>
      <c r="AU43" s="1">
        <f t="shared" si="24"/>
        <v>11.875</v>
      </c>
      <c r="AV43" s="1">
        <f t="shared" si="25"/>
        <v>12.875</v>
      </c>
      <c r="AW43" s="1">
        <f t="shared" si="26"/>
        <v>13.875</v>
      </c>
      <c r="AX43" s="1">
        <f t="shared" si="27"/>
        <v>14.875</v>
      </c>
      <c r="AY43" s="1">
        <f t="shared" si="28"/>
        <v>15.875</v>
      </c>
      <c r="AZ43" s="1">
        <f t="shared" si="29"/>
        <v>16.875</v>
      </c>
      <c r="BA43" s="1">
        <f t="shared" si="30"/>
        <v>17.875</v>
      </c>
      <c r="BB43" s="1">
        <f t="shared" si="31"/>
        <v>17.791666666666668</v>
      </c>
    </row>
    <row r="44" spans="1:54">
      <c r="A44">
        <f t="shared" si="32"/>
        <v>43</v>
      </c>
      <c r="B44">
        <f t="shared" si="4"/>
        <v>9</v>
      </c>
      <c r="C44">
        <f t="shared" si="36"/>
        <v>20</v>
      </c>
      <c r="D44">
        <f t="shared" si="36"/>
        <v>21</v>
      </c>
      <c r="E44">
        <f t="shared" si="36"/>
        <v>22</v>
      </c>
      <c r="F44">
        <f t="shared" si="36"/>
        <v>23</v>
      </c>
      <c r="G44">
        <f t="shared" si="36"/>
        <v>24</v>
      </c>
      <c r="H44">
        <f t="shared" si="36"/>
        <v>25</v>
      </c>
      <c r="I44">
        <f t="shared" si="36"/>
        <v>0</v>
      </c>
      <c r="J44">
        <f t="shared" si="36"/>
        <v>1</v>
      </c>
      <c r="K44">
        <f t="shared" si="36"/>
        <v>2</v>
      </c>
      <c r="L44">
        <f t="shared" si="36"/>
        <v>3</v>
      </c>
      <c r="M44">
        <f t="shared" si="36"/>
        <v>4</v>
      </c>
      <c r="N44">
        <f t="shared" si="36"/>
        <v>5</v>
      </c>
      <c r="O44">
        <f t="shared" si="36"/>
        <v>6</v>
      </c>
      <c r="P44">
        <f t="shared" si="36"/>
        <v>7</v>
      </c>
      <c r="Q44">
        <f t="shared" si="36"/>
        <v>8</v>
      </c>
      <c r="R44">
        <f t="shared" ref="R44:AB59" si="37">MOD($B44+11+R$1,26)</f>
        <v>9</v>
      </c>
      <c r="S44">
        <f t="shared" si="37"/>
        <v>10</v>
      </c>
      <c r="T44">
        <f t="shared" si="37"/>
        <v>11</v>
      </c>
      <c r="U44">
        <f t="shared" si="37"/>
        <v>12</v>
      </c>
      <c r="V44">
        <f t="shared" si="37"/>
        <v>13</v>
      </c>
      <c r="W44">
        <f t="shared" si="37"/>
        <v>14</v>
      </c>
      <c r="X44">
        <f t="shared" si="37"/>
        <v>15</v>
      </c>
      <c r="Y44">
        <f t="shared" si="37"/>
        <v>16</v>
      </c>
      <c r="Z44">
        <f t="shared" si="37"/>
        <v>17</v>
      </c>
      <c r="AA44">
        <f t="shared" si="37"/>
        <v>18</v>
      </c>
      <c r="AB44">
        <f t="shared" si="37"/>
        <v>19</v>
      </c>
      <c r="AC44" s="1">
        <f t="shared" si="6"/>
        <v>16.916666666666668</v>
      </c>
      <c r="AD44" s="1">
        <f t="shared" si="7"/>
        <v>15.75</v>
      </c>
      <c r="AE44" s="1">
        <f t="shared" si="8"/>
        <v>14.583333333333334</v>
      </c>
      <c r="AF44" s="1">
        <f t="shared" si="9"/>
        <v>13.416666666666666</v>
      </c>
      <c r="AG44" s="1">
        <f t="shared" si="10"/>
        <v>12.25</v>
      </c>
      <c r="AH44" s="1">
        <f t="shared" si="11"/>
        <v>11.083333333333334</v>
      </c>
      <c r="AI44" s="1">
        <f t="shared" si="12"/>
        <v>9.9166666666666661</v>
      </c>
      <c r="AJ44" s="1">
        <f t="shared" si="13"/>
        <v>9.8333333333333339</v>
      </c>
      <c r="AK44" s="1">
        <f t="shared" si="14"/>
        <v>9.75</v>
      </c>
      <c r="AL44" s="1">
        <f t="shared" si="15"/>
        <v>9.6666666666666661</v>
      </c>
      <c r="AM44" s="1">
        <f t="shared" si="16"/>
        <v>9.5833333333333339</v>
      </c>
      <c r="AN44" s="1">
        <f t="shared" si="17"/>
        <v>9.5</v>
      </c>
      <c r="AO44" s="1">
        <f t="shared" si="18"/>
        <v>9.4166666666666661</v>
      </c>
      <c r="AP44" s="1">
        <f t="shared" si="19"/>
        <v>9.3333333333333339</v>
      </c>
      <c r="AQ44" s="1">
        <f t="shared" si="20"/>
        <v>9.25</v>
      </c>
      <c r="AR44" s="1">
        <f t="shared" si="21"/>
        <v>9.1666666666666661</v>
      </c>
      <c r="AS44" s="1">
        <f t="shared" si="22"/>
        <v>10.166666666666666</v>
      </c>
      <c r="AT44" s="1">
        <f t="shared" si="23"/>
        <v>11.166666666666666</v>
      </c>
      <c r="AU44" s="1">
        <f t="shared" si="24"/>
        <v>12.166666666666666</v>
      </c>
      <c r="AV44" s="1">
        <f t="shared" si="25"/>
        <v>13.166666666666666</v>
      </c>
      <c r="AW44" s="1">
        <f t="shared" si="26"/>
        <v>14.166666666666666</v>
      </c>
      <c r="AX44" s="1">
        <f t="shared" si="27"/>
        <v>15.166666666666666</v>
      </c>
      <c r="AY44" s="1">
        <f t="shared" si="28"/>
        <v>16.166666666666668</v>
      </c>
      <c r="AZ44" s="1">
        <f t="shared" si="29"/>
        <v>17.166666666666668</v>
      </c>
      <c r="BA44" s="1">
        <f t="shared" si="30"/>
        <v>18.166666666666668</v>
      </c>
      <c r="BB44" s="1">
        <f t="shared" si="31"/>
        <v>18.083333333333332</v>
      </c>
    </row>
    <row r="45" spans="1:54">
      <c r="A45">
        <f t="shared" si="32"/>
        <v>44</v>
      </c>
      <c r="B45">
        <f t="shared" si="4"/>
        <v>10</v>
      </c>
      <c r="C45">
        <f t="shared" ref="C45:R60" si="38">MOD($B45+11+C$1,26)</f>
        <v>21</v>
      </c>
      <c r="D45">
        <f t="shared" si="38"/>
        <v>22</v>
      </c>
      <c r="E45">
        <f t="shared" si="38"/>
        <v>23</v>
      </c>
      <c r="F45">
        <f t="shared" si="38"/>
        <v>24</v>
      </c>
      <c r="G45">
        <f t="shared" si="38"/>
        <v>25</v>
      </c>
      <c r="H45">
        <f t="shared" si="38"/>
        <v>0</v>
      </c>
      <c r="I45">
        <f t="shared" si="38"/>
        <v>1</v>
      </c>
      <c r="J45">
        <f t="shared" si="38"/>
        <v>2</v>
      </c>
      <c r="K45">
        <f t="shared" si="38"/>
        <v>3</v>
      </c>
      <c r="L45">
        <f t="shared" si="38"/>
        <v>4</v>
      </c>
      <c r="M45">
        <f t="shared" si="38"/>
        <v>5</v>
      </c>
      <c r="N45">
        <f t="shared" si="38"/>
        <v>6</v>
      </c>
      <c r="O45">
        <f t="shared" si="38"/>
        <v>7</v>
      </c>
      <c r="P45">
        <f t="shared" si="38"/>
        <v>8</v>
      </c>
      <c r="Q45">
        <f t="shared" si="38"/>
        <v>9</v>
      </c>
      <c r="R45">
        <f t="shared" si="38"/>
        <v>10</v>
      </c>
      <c r="S45">
        <f t="shared" si="37"/>
        <v>11</v>
      </c>
      <c r="T45">
        <f t="shared" si="37"/>
        <v>12</v>
      </c>
      <c r="U45">
        <f t="shared" si="37"/>
        <v>13</v>
      </c>
      <c r="V45">
        <f t="shared" si="37"/>
        <v>14</v>
      </c>
      <c r="W45">
        <f t="shared" si="37"/>
        <v>15</v>
      </c>
      <c r="X45">
        <f t="shared" si="37"/>
        <v>16</v>
      </c>
      <c r="Y45">
        <f t="shared" si="37"/>
        <v>17</v>
      </c>
      <c r="Z45">
        <f t="shared" si="37"/>
        <v>18</v>
      </c>
      <c r="AA45">
        <f t="shared" si="37"/>
        <v>19</v>
      </c>
      <c r="AB45">
        <f t="shared" si="37"/>
        <v>20</v>
      </c>
      <c r="AC45" s="1">
        <f t="shared" si="6"/>
        <v>16.125</v>
      </c>
      <c r="AD45" s="1">
        <f t="shared" si="7"/>
        <v>14.958333333333334</v>
      </c>
      <c r="AE45" s="1">
        <f t="shared" si="8"/>
        <v>13.791666666666666</v>
      </c>
      <c r="AF45" s="1">
        <f t="shared" si="9"/>
        <v>12.625</v>
      </c>
      <c r="AG45" s="1">
        <f t="shared" si="10"/>
        <v>11.458333333333334</v>
      </c>
      <c r="AH45" s="1">
        <f t="shared" si="11"/>
        <v>10.291666666666666</v>
      </c>
      <c r="AI45" s="1">
        <f t="shared" si="12"/>
        <v>10.208333333333334</v>
      </c>
      <c r="AJ45" s="1">
        <f t="shared" si="13"/>
        <v>10.125</v>
      </c>
      <c r="AK45" s="1">
        <f t="shared" si="14"/>
        <v>10.041666666666666</v>
      </c>
      <c r="AL45" s="1">
        <f t="shared" si="15"/>
        <v>9.9583333333333339</v>
      </c>
      <c r="AM45" s="1">
        <f t="shared" si="16"/>
        <v>9.875</v>
      </c>
      <c r="AN45" s="1">
        <f t="shared" si="17"/>
        <v>9.7916666666666661</v>
      </c>
      <c r="AO45" s="1">
        <f t="shared" si="18"/>
        <v>9.7083333333333339</v>
      </c>
      <c r="AP45" s="1">
        <f t="shared" si="19"/>
        <v>9.625</v>
      </c>
      <c r="AQ45" s="1">
        <f t="shared" si="20"/>
        <v>9.5416666666666661</v>
      </c>
      <c r="AR45" s="1">
        <f t="shared" si="21"/>
        <v>9.4583333333333339</v>
      </c>
      <c r="AS45" s="1">
        <f t="shared" si="22"/>
        <v>10.458333333333334</v>
      </c>
      <c r="AT45" s="1">
        <f t="shared" si="23"/>
        <v>11.458333333333334</v>
      </c>
      <c r="AU45" s="1">
        <f t="shared" si="24"/>
        <v>12.458333333333334</v>
      </c>
      <c r="AV45" s="1">
        <f t="shared" si="25"/>
        <v>13.458333333333334</v>
      </c>
      <c r="AW45" s="1">
        <f t="shared" si="26"/>
        <v>14.458333333333334</v>
      </c>
      <c r="AX45" s="1">
        <f t="shared" si="27"/>
        <v>15.458333333333334</v>
      </c>
      <c r="AY45" s="1">
        <f t="shared" si="28"/>
        <v>16.458333333333332</v>
      </c>
      <c r="AZ45" s="1">
        <f t="shared" si="29"/>
        <v>17.458333333333332</v>
      </c>
      <c r="BA45" s="1">
        <f t="shared" si="30"/>
        <v>18.458333333333332</v>
      </c>
      <c r="BB45" s="1">
        <f t="shared" si="31"/>
        <v>17.291666666666668</v>
      </c>
    </row>
    <row r="46" spans="1:54">
      <c r="A46">
        <f t="shared" si="32"/>
        <v>45</v>
      </c>
      <c r="B46">
        <f t="shared" si="4"/>
        <v>11</v>
      </c>
      <c r="C46">
        <f t="shared" si="38"/>
        <v>22</v>
      </c>
      <c r="D46">
        <f t="shared" si="38"/>
        <v>23</v>
      </c>
      <c r="E46">
        <f t="shared" si="38"/>
        <v>24</v>
      </c>
      <c r="F46">
        <f t="shared" si="38"/>
        <v>25</v>
      </c>
      <c r="G46">
        <f t="shared" si="38"/>
        <v>0</v>
      </c>
      <c r="H46">
        <f t="shared" si="38"/>
        <v>1</v>
      </c>
      <c r="I46">
        <f t="shared" si="38"/>
        <v>2</v>
      </c>
      <c r="J46">
        <f t="shared" si="38"/>
        <v>3</v>
      </c>
      <c r="K46">
        <f t="shared" si="38"/>
        <v>4</v>
      </c>
      <c r="L46">
        <f t="shared" si="38"/>
        <v>5</v>
      </c>
      <c r="M46">
        <f t="shared" si="38"/>
        <v>6</v>
      </c>
      <c r="N46">
        <f t="shared" si="38"/>
        <v>7</v>
      </c>
      <c r="O46">
        <f t="shared" si="38"/>
        <v>8</v>
      </c>
      <c r="P46">
        <f t="shared" si="38"/>
        <v>9</v>
      </c>
      <c r="Q46">
        <f t="shared" si="38"/>
        <v>10</v>
      </c>
      <c r="R46">
        <f t="shared" si="38"/>
        <v>11</v>
      </c>
      <c r="S46">
        <f t="shared" si="37"/>
        <v>12</v>
      </c>
      <c r="T46">
        <f t="shared" si="37"/>
        <v>13</v>
      </c>
      <c r="U46">
        <f t="shared" si="37"/>
        <v>14</v>
      </c>
      <c r="V46">
        <f t="shared" si="37"/>
        <v>15</v>
      </c>
      <c r="W46">
        <f t="shared" si="37"/>
        <v>16</v>
      </c>
      <c r="X46">
        <f t="shared" si="37"/>
        <v>17</v>
      </c>
      <c r="Y46">
        <f t="shared" si="37"/>
        <v>18</v>
      </c>
      <c r="Z46">
        <f t="shared" si="37"/>
        <v>19</v>
      </c>
      <c r="AA46">
        <f t="shared" si="37"/>
        <v>20</v>
      </c>
      <c r="AB46">
        <f t="shared" si="37"/>
        <v>21</v>
      </c>
      <c r="AC46" s="1">
        <f t="shared" si="6"/>
        <v>15.708333333333334</v>
      </c>
      <c r="AD46" s="1">
        <f t="shared" si="7"/>
        <v>14.541666666666666</v>
      </c>
      <c r="AE46" s="1">
        <f t="shared" si="8"/>
        <v>13.375</v>
      </c>
      <c r="AF46" s="1">
        <f t="shared" si="9"/>
        <v>12.208333333333334</v>
      </c>
      <c r="AG46" s="1">
        <f t="shared" si="10"/>
        <v>11.041666666666666</v>
      </c>
      <c r="AH46" s="1">
        <f t="shared" si="11"/>
        <v>10.958333333333334</v>
      </c>
      <c r="AI46" s="1">
        <f t="shared" si="12"/>
        <v>10.875</v>
      </c>
      <c r="AJ46" s="1">
        <f t="shared" si="13"/>
        <v>10.791666666666666</v>
      </c>
      <c r="AK46" s="1">
        <f t="shared" si="14"/>
        <v>10.708333333333334</v>
      </c>
      <c r="AL46" s="1">
        <f t="shared" si="15"/>
        <v>10.625</v>
      </c>
      <c r="AM46" s="1">
        <f t="shared" si="16"/>
        <v>10.541666666666666</v>
      </c>
      <c r="AN46" s="1">
        <f t="shared" si="17"/>
        <v>10.458333333333334</v>
      </c>
      <c r="AO46" s="1">
        <f t="shared" si="18"/>
        <v>10.375</v>
      </c>
      <c r="AP46" s="1">
        <f t="shared" si="19"/>
        <v>10.291666666666666</v>
      </c>
      <c r="AQ46" s="1">
        <f t="shared" si="20"/>
        <v>10.208333333333334</v>
      </c>
      <c r="AR46" s="1">
        <f t="shared" si="21"/>
        <v>9.0416666666666661</v>
      </c>
      <c r="AS46" s="1">
        <f t="shared" si="22"/>
        <v>10.041666666666666</v>
      </c>
      <c r="AT46" s="1">
        <f t="shared" si="23"/>
        <v>11.041666666666666</v>
      </c>
      <c r="AU46" s="1">
        <f t="shared" si="24"/>
        <v>12.041666666666666</v>
      </c>
      <c r="AV46" s="1">
        <f t="shared" si="25"/>
        <v>13.041666666666666</v>
      </c>
      <c r="AW46" s="1">
        <f t="shared" si="26"/>
        <v>14.041666666666666</v>
      </c>
      <c r="AX46" s="1">
        <f t="shared" si="27"/>
        <v>15.041666666666666</v>
      </c>
      <c r="AY46" s="1">
        <f t="shared" si="28"/>
        <v>16.041666666666668</v>
      </c>
      <c r="AZ46" s="1">
        <f t="shared" si="29"/>
        <v>17.041666666666668</v>
      </c>
      <c r="BA46" s="1">
        <f t="shared" si="30"/>
        <v>18.041666666666668</v>
      </c>
      <c r="BB46" s="1">
        <f t="shared" si="31"/>
        <v>16.875</v>
      </c>
    </row>
    <row r="47" spans="1:54">
      <c r="A47">
        <f t="shared" si="32"/>
        <v>46</v>
      </c>
      <c r="B47">
        <f t="shared" si="4"/>
        <v>12</v>
      </c>
      <c r="C47">
        <f t="shared" si="38"/>
        <v>23</v>
      </c>
      <c r="D47">
        <f t="shared" si="38"/>
        <v>24</v>
      </c>
      <c r="E47">
        <f t="shared" si="38"/>
        <v>25</v>
      </c>
      <c r="F47">
        <f t="shared" si="38"/>
        <v>0</v>
      </c>
      <c r="G47">
        <f t="shared" si="38"/>
        <v>1</v>
      </c>
      <c r="H47">
        <f t="shared" si="38"/>
        <v>2</v>
      </c>
      <c r="I47">
        <f t="shared" si="38"/>
        <v>3</v>
      </c>
      <c r="J47">
        <f t="shared" si="38"/>
        <v>4</v>
      </c>
      <c r="K47">
        <f t="shared" si="38"/>
        <v>5</v>
      </c>
      <c r="L47">
        <f t="shared" si="38"/>
        <v>6</v>
      </c>
      <c r="M47">
        <f t="shared" si="38"/>
        <v>7</v>
      </c>
      <c r="N47">
        <f t="shared" si="38"/>
        <v>8</v>
      </c>
      <c r="O47">
        <f t="shared" si="38"/>
        <v>9</v>
      </c>
      <c r="P47">
        <f t="shared" si="38"/>
        <v>10</v>
      </c>
      <c r="Q47">
        <f t="shared" si="38"/>
        <v>11</v>
      </c>
      <c r="R47">
        <f t="shared" si="38"/>
        <v>12</v>
      </c>
      <c r="S47">
        <f t="shared" si="37"/>
        <v>13</v>
      </c>
      <c r="T47">
        <f t="shared" si="37"/>
        <v>14</v>
      </c>
      <c r="U47">
        <f t="shared" si="37"/>
        <v>15</v>
      </c>
      <c r="V47">
        <f t="shared" si="37"/>
        <v>16</v>
      </c>
      <c r="W47">
        <f t="shared" si="37"/>
        <v>17</v>
      </c>
      <c r="X47">
        <f t="shared" si="37"/>
        <v>18</v>
      </c>
      <c r="Y47">
        <f t="shared" si="37"/>
        <v>19</v>
      </c>
      <c r="Z47">
        <f t="shared" si="37"/>
        <v>20</v>
      </c>
      <c r="AA47">
        <f t="shared" si="37"/>
        <v>21</v>
      </c>
      <c r="AB47">
        <f t="shared" si="37"/>
        <v>22</v>
      </c>
      <c r="AC47" s="1">
        <f t="shared" si="6"/>
        <v>15.291666666666666</v>
      </c>
      <c r="AD47" s="1">
        <f t="shared" si="7"/>
        <v>14.125</v>
      </c>
      <c r="AE47" s="1">
        <f t="shared" si="8"/>
        <v>12.958333333333334</v>
      </c>
      <c r="AF47" s="1">
        <f t="shared" si="9"/>
        <v>11.791666666666666</v>
      </c>
      <c r="AG47" s="1">
        <f t="shared" si="10"/>
        <v>11.708333333333334</v>
      </c>
      <c r="AH47" s="1">
        <f t="shared" si="11"/>
        <v>11.625</v>
      </c>
      <c r="AI47" s="1">
        <f t="shared" si="12"/>
        <v>11.541666666666666</v>
      </c>
      <c r="AJ47" s="1">
        <f t="shared" si="13"/>
        <v>11.458333333333334</v>
      </c>
      <c r="AK47" s="1">
        <f t="shared" si="14"/>
        <v>11.375</v>
      </c>
      <c r="AL47" s="1">
        <f t="shared" si="15"/>
        <v>11.291666666666666</v>
      </c>
      <c r="AM47" s="1">
        <f t="shared" si="16"/>
        <v>11.208333333333334</v>
      </c>
      <c r="AN47" s="1">
        <f t="shared" si="17"/>
        <v>11.125</v>
      </c>
      <c r="AO47" s="1">
        <f t="shared" si="18"/>
        <v>11.041666666666666</v>
      </c>
      <c r="AP47" s="1">
        <f t="shared" si="19"/>
        <v>10.958333333333334</v>
      </c>
      <c r="AQ47" s="1">
        <f t="shared" si="20"/>
        <v>9.7916666666666661</v>
      </c>
      <c r="AR47" s="1">
        <f t="shared" si="21"/>
        <v>8.625</v>
      </c>
      <c r="AS47" s="1">
        <f t="shared" si="22"/>
        <v>9.625</v>
      </c>
      <c r="AT47" s="1">
        <f t="shared" si="23"/>
        <v>10.625</v>
      </c>
      <c r="AU47" s="1">
        <f t="shared" si="24"/>
        <v>11.625</v>
      </c>
      <c r="AV47" s="1">
        <f t="shared" si="25"/>
        <v>12.625</v>
      </c>
      <c r="AW47" s="1">
        <f t="shared" si="26"/>
        <v>13.625</v>
      </c>
      <c r="AX47" s="1">
        <f t="shared" si="27"/>
        <v>14.625</v>
      </c>
      <c r="AY47" s="1">
        <f t="shared" si="28"/>
        <v>15.625</v>
      </c>
      <c r="AZ47" s="1">
        <f t="shared" si="29"/>
        <v>16.625</v>
      </c>
      <c r="BA47" s="1">
        <f t="shared" si="30"/>
        <v>17.625</v>
      </c>
      <c r="BB47" s="1">
        <f t="shared" si="31"/>
        <v>16.458333333333332</v>
      </c>
    </row>
    <row r="48" spans="1:54">
      <c r="A48">
        <f t="shared" si="32"/>
        <v>47</v>
      </c>
      <c r="B48">
        <f t="shared" si="4"/>
        <v>13</v>
      </c>
      <c r="C48">
        <f t="shared" si="38"/>
        <v>24</v>
      </c>
      <c r="D48">
        <f t="shared" si="38"/>
        <v>25</v>
      </c>
      <c r="E48">
        <f t="shared" si="38"/>
        <v>0</v>
      </c>
      <c r="F48">
        <f t="shared" si="38"/>
        <v>1</v>
      </c>
      <c r="G48">
        <f t="shared" si="38"/>
        <v>2</v>
      </c>
      <c r="H48">
        <f t="shared" si="38"/>
        <v>3</v>
      </c>
      <c r="I48">
        <f t="shared" si="38"/>
        <v>4</v>
      </c>
      <c r="J48">
        <f t="shared" si="38"/>
        <v>5</v>
      </c>
      <c r="K48">
        <f t="shared" si="38"/>
        <v>6</v>
      </c>
      <c r="L48">
        <f t="shared" si="38"/>
        <v>7</v>
      </c>
      <c r="M48">
        <f t="shared" si="38"/>
        <v>8</v>
      </c>
      <c r="N48">
        <f t="shared" si="38"/>
        <v>9</v>
      </c>
      <c r="O48">
        <f t="shared" si="38"/>
        <v>10</v>
      </c>
      <c r="P48">
        <f t="shared" si="38"/>
        <v>11</v>
      </c>
      <c r="Q48">
        <f t="shared" si="38"/>
        <v>12</v>
      </c>
      <c r="R48">
        <f t="shared" si="38"/>
        <v>13</v>
      </c>
      <c r="S48">
        <f t="shared" si="37"/>
        <v>14</v>
      </c>
      <c r="T48">
        <f t="shared" si="37"/>
        <v>15</v>
      </c>
      <c r="U48">
        <f t="shared" si="37"/>
        <v>16</v>
      </c>
      <c r="V48">
        <f t="shared" si="37"/>
        <v>17</v>
      </c>
      <c r="W48">
        <f t="shared" si="37"/>
        <v>18</v>
      </c>
      <c r="X48">
        <f t="shared" si="37"/>
        <v>19</v>
      </c>
      <c r="Y48">
        <f t="shared" si="37"/>
        <v>20</v>
      </c>
      <c r="Z48">
        <f t="shared" si="37"/>
        <v>21</v>
      </c>
      <c r="AA48">
        <f t="shared" si="37"/>
        <v>22</v>
      </c>
      <c r="AB48">
        <f t="shared" si="37"/>
        <v>23</v>
      </c>
      <c r="AC48" s="1">
        <f t="shared" si="6"/>
        <v>14.875</v>
      </c>
      <c r="AD48" s="1">
        <f t="shared" si="7"/>
        <v>13.708333333333334</v>
      </c>
      <c r="AE48" s="1">
        <f t="shared" si="8"/>
        <v>12.541666666666666</v>
      </c>
      <c r="AF48" s="1">
        <f t="shared" si="9"/>
        <v>12.458333333333334</v>
      </c>
      <c r="AG48" s="1">
        <f t="shared" si="10"/>
        <v>12.375</v>
      </c>
      <c r="AH48" s="1">
        <f t="shared" si="11"/>
        <v>12.291666666666666</v>
      </c>
      <c r="AI48" s="1">
        <f t="shared" si="12"/>
        <v>12.208333333333334</v>
      </c>
      <c r="AJ48" s="1">
        <f t="shared" si="13"/>
        <v>12.125</v>
      </c>
      <c r="AK48" s="1">
        <f t="shared" si="14"/>
        <v>12.041666666666666</v>
      </c>
      <c r="AL48" s="1">
        <f t="shared" si="15"/>
        <v>11.958333333333334</v>
      </c>
      <c r="AM48" s="1">
        <f t="shared" si="16"/>
        <v>11.875</v>
      </c>
      <c r="AN48" s="1">
        <f t="shared" si="17"/>
        <v>11.791666666666666</v>
      </c>
      <c r="AO48" s="1">
        <f t="shared" si="18"/>
        <v>11.708333333333334</v>
      </c>
      <c r="AP48" s="1">
        <f t="shared" si="19"/>
        <v>10.541666666666666</v>
      </c>
      <c r="AQ48" s="1">
        <f t="shared" si="20"/>
        <v>9.375</v>
      </c>
      <c r="AR48" s="1">
        <f t="shared" si="21"/>
        <v>8.2083333333333339</v>
      </c>
      <c r="AS48" s="1">
        <f t="shared" si="22"/>
        <v>9.2083333333333339</v>
      </c>
      <c r="AT48" s="1">
        <f t="shared" si="23"/>
        <v>10.208333333333334</v>
      </c>
      <c r="AU48" s="1">
        <f t="shared" si="24"/>
        <v>11.208333333333334</v>
      </c>
      <c r="AV48" s="1">
        <f t="shared" si="25"/>
        <v>12.208333333333334</v>
      </c>
      <c r="AW48" s="1">
        <f t="shared" si="26"/>
        <v>13.208333333333334</v>
      </c>
      <c r="AX48" s="1">
        <f t="shared" si="27"/>
        <v>14.208333333333334</v>
      </c>
      <c r="AY48" s="1">
        <f t="shared" si="28"/>
        <v>15.208333333333334</v>
      </c>
      <c r="AZ48" s="1">
        <f t="shared" si="29"/>
        <v>16.208333333333332</v>
      </c>
      <c r="BA48" s="1">
        <f t="shared" si="30"/>
        <v>17.208333333333332</v>
      </c>
      <c r="BB48" s="1">
        <f t="shared" si="31"/>
        <v>16.041666666666668</v>
      </c>
    </row>
    <row r="49" spans="1:54">
      <c r="A49">
        <f t="shared" si="32"/>
        <v>48</v>
      </c>
      <c r="B49">
        <f t="shared" si="4"/>
        <v>14</v>
      </c>
      <c r="C49">
        <f t="shared" si="38"/>
        <v>25</v>
      </c>
      <c r="D49">
        <f t="shared" si="38"/>
        <v>0</v>
      </c>
      <c r="E49">
        <f t="shared" si="38"/>
        <v>1</v>
      </c>
      <c r="F49">
        <f t="shared" si="38"/>
        <v>2</v>
      </c>
      <c r="G49">
        <f t="shared" si="38"/>
        <v>3</v>
      </c>
      <c r="H49">
        <f t="shared" si="38"/>
        <v>4</v>
      </c>
      <c r="I49">
        <f t="shared" si="38"/>
        <v>5</v>
      </c>
      <c r="J49">
        <f t="shared" si="38"/>
        <v>6</v>
      </c>
      <c r="K49">
        <f t="shared" si="38"/>
        <v>7</v>
      </c>
      <c r="L49">
        <f t="shared" si="38"/>
        <v>8</v>
      </c>
      <c r="M49">
        <f t="shared" si="38"/>
        <v>9</v>
      </c>
      <c r="N49">
        <f t="shared" si="38"/>
        <v>10</v>
      </c>
      <c r="O49">
        <f t="shared" si="38"/>
        <v>11</v>
      </c>
      <c r="P49">
        <f t="shared" si="38"/>
        <v>12</v>
      </c>
      <c r="Q49">
        <f t="shared" si="38"/>
        <v>13</v>
      </c>
      <c r="R49">
        <f t="shared" si="38"/>
        <v>14</v>
      </c>
      <c r="S49">
        <f t="shared" si="37"/>
        <v>15</v>
      </c>
      <c r="T49">
        <f t="shared" si="37"/>
        <v>16</v>
      </c>
      <c r="U49">
        <f t="shared" si="37"/>
        <v>17</v>
      </c>
      <c r="V49">
        <f t="shared" si="37"/>
        <v>18</v>
      </c>
      <c r="W49">
        <f t="shared" si="37"/>
        <v>19</v>
      </c>
      <c r="X49">
        <f t="shared" si="37"/>
        <v>20</v>
      </c>
      <c r="Y49">
        <f t="shared" si="37"/>
        <v>21</v>
      </c>
      <c r="Z49">
        <f t="shared" si="37"/>
        <v>22</v>
      </c>
      <c r="AA49">
        <f t="shared" si="37"/>
        <v>23</v>
      </c>
      <c r="AB49">
        <f t="shared" si="37"/>
        <v>24</v>
      </c>
      <c r="AC49" s="1">
        <f t="shared" si="6"/>
        <v>14.458333333333334</v>
      </c>
      <c r="AD49" s="1">
        <f t="shared" si="7"/>
        <v>13.291666666666666</v>
      </c>
      <c r="AE49" s="1">
        <f t="shared" si="8"/>
        <v>13.208333333333334</v>
      </c>
      <c r="AF49" s="1">
        <f t="shared" si="9"/>
        <v>13.125</v>
      </c>
      <c r="AG49" s="1">
        <f t="shared" si="10"/>
        <v>13.041666666666666</v>
      </c>
      <c r="AH49" s="1">
        <f t="shared" si="11"/>
        <v>12.958333333333334</v>
      </c>
      <c r="AI49" s="1">
        <f t="shared" si="12"/>
        <v>12.875</v>
      </c>
      <c r="AJ49" s="1">
        <f t="shared" si="13"/>
        <v>12.791666666666666</v>
      </c>
      <c r="AK49" s="1">
        <f t="shared" si="14"/>
        <v>12.708333333333334</v>
      </c>
      <c r="AL49" s="1">
        <f t="shared" si="15"/>
        <v>12.625</v>
      </c>
      <c r="AM49" s="1">
        <f t="shared" si="16"/>
        <v>12.541666666666666</v>
      </c>
      <c r="AN49" s="1">
        <f t="shared" si="17"/>
        <v>12.458333333333334</v>
      </c>
      <c r="AO49" s="1">
        <f t="shared" si="18"/>
        <v>11.291666666666666</v>
      </c>
      <c r="AP49" s="1">
        <f t="shared" si="19"/>
        <v>10.125</v>
      </c>
      <c r="AQ49" s="1">
        <f t="shared" si="20"/>
        <v>8.9583333333333339</v>
      </c>
      <c r="AR49" s="1">
        <f t="shared" si="21"/>
        <v>7.791666666666667</v>
      </c>
      <c r="AS49" s="1">
        <f t="shared" si="22"/>
        <v>8.7916666666666661</v>
      </c>
      <c r="AT49" s="1">
        <f t="shared" si="23"/>
        <v>9.7916666666666661</v>
      </c>
      <c r="AU49" s="1">
        <f t="shared" si="24"/>
        <v>10.791666666666666</v>
      </c>
      <c r="AV49" s="1">
        <f t="shared" si="25"/>
        <v>11.791666666666666</v>
      </c>
      <c r="AW49" s="1">
        <f t="shared" si="26"/>
        <v>12.791666666666666</v>
      </c>
      <c r="AX49" s="1">
        <f t="shared" si="27"/>
        <v>13.791666666666666</v>
      </c>
      <c r="AY49" s="1">
        <f t="shared" si="28"/>
        <v>14.791666666666666</v>
      </c>
      <c r="AZ49" s="1">
        <f t="shared" si="29"/>
        <v>15.791666666666666</v>
      </c>
      <c r="BA49" s="1">
        <f t="shared" si="30"/>
        <v>16.791666666666668</v>
      </c>
      <c r="BB49" s="1">
        <f t="shared" si="31"/>
        <v>15.625</v>
      </c>
    </row>
    <row r="50" spans="1:54">
      <c r="A50">
        <f t="shared" si="32"/>
        <v>49</v>
      </c>
      <c r="B50">
        <f t="shared" si="4"/>
        <v>15</v>
      </c>
      <c r="C50">
        <f t="shared" si="38"/>
        <v>0</v>
      </c>
      <c r="D50">
        <f t="shared" si="38"/>
        <v>1</v>
      </c>
      <c r="E50">
        <f t="shared" si="38"/>
        <v>2</v>
      </c>
      <c r="F50">
        <f t="shared" si="38"/>
        <v>3</v>
      </c>
      <c r="G50">
        <f t="shared" si="38"/>
        <v>4</v>
      </c>
      <c r="H50">
        <f t="shared" si="38"/>
        <v>5</v>
      </c>
      <c r="I50">
        <f t="shared" si="38"/>
        <v>6</v>
      </c>
      <c r="J50">
        <f t="shared" si="38"/>
        <v>7</v>
      </c>
      <c r="K50">
        <f t="shared" si="38"/>
        <v>8</v>
      </c>
      <c r="L50">
        <f t="shared" si="38"/>
        <v>9</v>
      </c>
      <c r="M50">
        <f t="shared" si="38"/>
        <v>10</v>
      </c>
      <c r="N50">
        <f t="shared" si="38"/>
        <v>11</v>
      </c>
      <c r="O50">
        <f t="shared" si="38"/>
        <v>12</v>
      </c>
      <c r="P50">
        <f t="shared" si="38"/>
        <v>13</v>
      </c>
      <c r="Q50">
        <f t="shared" si="38"/>
        <v>14</v>
      </c>
      <c r="R50">
        <f t="shared" si="38"/>
        <v>15</v>
      </c>
      <c r="S50">
        <f t="shared" si="37"/>
        <v>16</v>
      </c>
      <c r="T50">
        <f t="shared" si="37"/>
        <v>17</v>
      </c>
      <c r="U50">
        <f t="shared" si="37"/>
        <v>18</v>
      </c>
      <c r="V50">
        <f t="shared" si="37"/>
        <v>19</v>
      </c>
      <c r="W50">
        <f t="shared" si="37"/>
        <v>20</v>
      </c>
      <c r="X50">
        <f t="shared" si="37"/>
        <v>21</v>
      </c>
      <c r="Y50">
        <f t="shared" si="37"/>
        <v>22</v>
      </c>
      <c r="Z50">
        <f t="shared" si="37"/>
        <v>23</v>
      </c>
      <c r="AA50">
        <f t="shared" si="37"/>
        <v>24</v>
      </c>
      <c r="AB50">
        <f t="shared" si="37"/>
        <v>25</v>
      </c>
      <c r="AC50" s="1">
        <f t="shared" si="6"/>
        <v>14.041666666666666</v>
      </c>
      <c r="AD50" s="1">
        <f t="shared" si="7"/>
        <v>13.958333333333334</v>
      </c>
      <c r="AE50" s="1">
        <f t="shared" si="8"/>
        <v>13.875</v>
      </c>
      <c r="AF50" s="1">
        <f t="shared" si="9"/>
        <v>13.791666666666666</v>
      </c>
      <c r="AG50" s="1">
        <f t="shared" si="10"/>
        <v>13.708333333333334</v>
      </c>
      <c r="AH50" s="1">
        <f t="shared" si="11"/>
        <v>13.625</v>
      </c>
      <c r="AI50" s="1">
        <f t="shared" si="12"/>
        <v>13.541666666666666</v>
      </c>
      <c r="AJ50" s="1">
        <f t="shared" si="13"/>
        <v>13.458333333333334</v>
      </c>
      <c r="AK50" s="1">
        <f t="shared" si="14"/>
        <v>13.375</v>
      </c>
      <c r="AL50" s="1">
        <f t="shared" si="15"/>
        <v>13.291666666666666</v>
      </c>
      <c r="AM50" s="1">
        <f t="shared" si="16"/>
        <v>13.208333333333334</v>
      </c>
      <c r="AN50" s="1">
        <f t="shared" si="17"/>
        <v>12.041666666666666</v>
      </c>
      <c r="AO50" s="1">
        <f t="shared" si="18"/>
        <v>10.875</v>
      </c>
      <c r="AP50" s="1">
        <f t="shared" si="19"/>
        <v>9.7083333333333339</v>
      </c>
      <c r="AQ50" s="1">
        <f t="shared" si="20"/>
        <v>8.5416666666666661</v>
      </c>
      <c r="AR50" s="1">
        <f t="shared" si="21"/>
        <v>7.375</v>
      </c>
      <c r="AS50" s="1">
        <f t="shared" si="22"/>
        <v>8.375</v>
      </c>
      <c r="AT50" s="1">
        <f t="shared" si="23"/>
        <v>9.375</v>
      </c>
      <c r="AU50" s="1">
        <f t="shared" si="24"/>
        <v>10.375</v>
      </c>
      <c r="AV50" s="1">
        <f t="shared" si="25"/>
        <v>11.375</v>
      </c>
      <c r="AW50" s="1">
        <f t="shared" si="26"/>
        <v>12.375</v>
      </c>
      <c r="AX50" s="1">
        <f t="shared" si="27"/>
        <v>13.375</v>
      </c>
      <c r="AY50" s="1">
        <f t="shared" si="28"/>
        <v>14.375</v>
      </c>
      <c r="AZ50" s="1">
        <f t="shared" si="29"/>
        <v>15.375</v>
      </c>
      <c r="BA50" s="1">
        <f t="shared" si="30"/>
        <v>16.375</v>
      </c>
      <c r="BB50" s="1">
        <f t="shared" si="31"/>
        <v>15.208333333333334</v>
      </c>
    </row>
    <row r="51" spans="1:54">
      <c r="A51">
        <f t="shared" si="32"/>
        <v>50</v>
      </c>
      <c r="B51">
        <f t="shared" si="4"/>
        <v>16</v>
      </c>
      <c r="C51">
        <f t="shared" si="38"/>
        <v>1</v>
      </c>
      <c r="D51">
        <f t="shared" si="38"/>
        <v>2</v>
      </c>
      <c r="E51">
        <f t="shared" si="38"/>
        <v>3</v>
      </c>
      <c r="F51">
        <f t="shared" si="38"/>
        <v>4</v>
      </c>
      <c r="G51">
        <f t="shared" si="38"/>
        <v>5</v>
      </c>
      <c r="H51">
        <f t="shared" si="38"/>
        <v>6</v>
      </c>
      <c r="I51">
        <f t="shared" si="38"/>
        <v>7</v>
      </c>
      <c r="J51">
        <f t="shared" si="38"/>
        <v>8</v>
      </c>
      <c r="K51">
        <f t="shared" si="38"/>
        <v>9</v>
      </c>
      <c r="L51">
        <f t="shared" si="38"/>
        <v>10</v>
      </c>
      <c r="M51">
        <f t="shared" si="38"/>
        <v>11</v>
      </c>
      <c r="N51">
        <f t="shared" si="38"/>
        <v>12</v>
      </c>
      <c r="O51">
        <f t="shared" si="38"/>
        <v>13</v>
      </c>
      <c r="P51">
        <f t="shared" si="38"/>
        <v>14</v>
      </c>
      <c r="Q51">
        <f t="shared" si="38"/>
        <v>15</v>
      </c>
      <c r="R51">
        <f t="shared" si="38"/>
        <v>16</v>
      </c>
      <c r="S51">
        <f t="shared" si="37"/>
        <v>17</v>
      </c>
      <c r="T51">
        <f t="shared" si="37"/>
        <v>18</v>
      </c>
      <c r="U51">
        <f t="shared" si="37"/>
        <v>19</v>
      </c>
      <c r="V51">
        <f t="shared" si="37"/>
        <v>20</v>
      </c>
      <c r="W51">
        <f t="shared" si="37"/>
        <v>21</v>
      </c>
      <c r="X51">
        <f t="shared" si="37"/>
        <v>22</v>
      </c>
      <c r="Y51">
        <f t="shared" si="37"/>
        <v>23</v>
      </c>
      <c r="Z51">
        <f t="shared" si="37"/>
        <v>24</v>
      </c>
      <c r="AA51">
        <f t="shared" si="37"/>
        <v>25</v>
      </c>
      <c r="AB51">
        <f t="shared" si="37"/>
        <v>0</v>
      </c>
      <c r="AC51" s="1">
        <f t="shared" si="6"/>
        <v>14.708333333333334</v>
      </c>
      <c r="AD51" s="1">
        <f t="shared" si="7"/>
        <v>14.625</v>
      </c>
      <c r="AE51" s="1">
        <f t="shared" si="8"/>
        <v>14.541666666666666</v>
      </c>
      <c r="AF51" s="1">
        <f t="shared" si="9"/>
        <v>14.458333333333334</v>
      </c>
      <c r="AG51" s="1">
        <f t="shared" si="10"/>
        <v>14.375</v>
      </c>
      <c r="AH51" s="1">
        <f t="shared" si="11"/>
        <v>14.291666666666666</v>
      </c>
      <c r="AI51" s="1">
        <f t="shared" si="12"/>
        <v>14.208333333333334</v>
      </c>
      <c r="AJ51" s="1">
        <f t="shared" si="13"/>
        <v>14.125</v>
      </c>
      <c r="AK51" s="1">
        <f t="shared" si="14"/>
        <v>14.041666666666666</v>
      </c>
      <c r="AL51" s="1">
        <f t="shared" si="15"/>
        <v>13.958333333333334</v>
      </c>
      <c r="AM51" s="1">
        <f t="shared" si="16"/>
        <v>12.791666666666666</v>
      </c>
      <c r="AN51" s="1">
        <f t="shared" si="17"/>
        <v>11.625</v>
      </c>
      <c r="AO51" s="1">
        <f t="shared" si="18"/>
        <v>10.458333333333334</v>
      </c>
      <c r="AP51" s="1">
        <f t="shared" si="19"/>
        <v>9.2916666666666661</v>
      </c>
      <c r="AQ51" s="1">
        <f t="shared" si="20"/>
        <v>8.125</v>
      </c>
      <c r="AR51" s="1">
        <f t="shared" si="21"/>
        <v>6.958333333333333</v>
      </c>
      <c r="AS51" s="1">
        <f t="shared" si="22"/>
        <v>7.958333333333333</v>
      </c>
      <c r="AT51" s="1">
        <f t="shared" si="23"/>
        <v>8.9583333333333339</v>
      </c>
      <c r="AU51" s="1">
        <f t="shared" si="24"/>
        <v>9.9583333333333339</v>
      </c>
      <c r="AV51" s="1">
        <f t="shared" si="25"/>
        <v>10.958333333333334</v>
      </c>
      <c r="AW51" s="1">
        <f t="shared" si="26"/>
        <v>11.958333333333334</v>
      </c>
      <c r="AX51" s="1">
        <f t="shared" si="27"/>
        <v>12.958333333333334</v>
      </c>
      <c r="AY51" s="1">
        <f t="shared" si="28"/>
        <v>13.958333333333334</v>
      </c>
      <c r="AZ51" s="1">
        <f t="shared" si="29"/>
        <v>14.958333333333334</v>
      </c>
      <c r="BA51" s="1">
        <f t="shared" si="30"/>
        <v>15.958333333333334</v>
      </c>
      <c r="BB51" s="1">
        <f t="shared" si="31"/>
        <v>14.791666666666666</v>
      </c>
    </row>
    <row r="52" spans="1:54">
      <c r="A52">
        <f t="shared" si="32"/>
        <v>51</v>
      </c>
      <c r="B52">
        <f t="shared" si="4"/>
        <v>0</v>
      </c>
      <c r="C52">
        <f t="shared" si="38"/>
        <v>11</v>
      </c>
      <c r="D52">
        <f t="shared" si="38"/>
        <v>12</v>
      </c>
      <c r="E52">
        <f t="shared" si="38"/>
        <v>13</v>
      </c>
      <c r="F52">
        <f t="shared" si="38"/>
        <v>14</v>
      </c>
      <c r="G52">
        <f t="shared" si="38"/>
        <v>15</v>
      </c>
      <c r="H52">
        <f t="shared" si="38"/>
        <v>16</v>
      </c>
      <c r="I52">
        <f t="shared" si="38"/>
        <v>17</v>
      </c>
      <c r="J52">
        <f t="shared" si="38"/>
        <v>18</v>
      </c>
      <c r="K52">
        <f t="shared" si="38"/>
        <v>19</v>
      </c>
      <c r="L52">
        <f t="shared" si="38"/>
        <v>20</v>
      </c>
      <c r="M52">
        <f t="shared" si="38"/>
        <v>21</v>
      </c>
      <c r="N52">
        <f t="shared" si="38"/>
        <v>22</v>
      </c>
      <c r="O52">
        <f t="shared" si="38"/>
        <v>23</v>
      </c>
      <c r="P52">
        <f t="shared" si="38"/>
        <v>24</v>
      </c>
      <c r="Q52">
        <f t="shared" si="38"/>
        <v>25</v>
      </c>
      <c r="R52">
        <f t="shared" si="38"/>
        <v>0</v>
      </c>
      <c r="S52">
        <f t="shared" si="37"/>
        <v>1</v>
      </c>
      <c r="T52">
        <f t="shared" si="37"/>
        <v>2</v>
      </c>
      <c r="U52">
        <f t="shared" si="37"/>
        <v>3</v>
      </c>
      <c r="V52">
        <f t="shared" si="37"/>
        <v>4</v>
      </c>
      <c r="W52">
        <f t="shared" si="37"/>
        <v>5</v>
      </c>
      <c r="X52">
        <f t="shared" si="37"/>
        <v>6</v>
      </c>
      <c r="Y52">
        <f t="shared" si="37"/>
        <v>7</v>
      </c>
      <c r="Z52">
        <f t="shared" si="37"/>
        <v>8</v>
      </c>
      <c r="AA52">
        <f t="shared" si="37"/>
        <v>9</v>
      </c>
      <c r="AB52">
        <f t="shared" si="37"/>
        <v>10</v>
      </c>
      <c r="AC52" s="1">
        <f t="shared" si="6"/>
        <v>15.375</v>
      </c>
      <c r="AD52" s="1">
        <f t="shared" si="7"/>
        <v>15.291666666666666</v>
      </c>
      <c r="AE52" s="1">
        <f t="shared" si="8"/>
        <v>15.208333333333334</v>
      </c>
      <c r="AF52" s="1">
        <f t="shared" si="9"/>
        <v>15.125</v>
      </c>
      <c r="AG52" s="1">
        <f t="shared" si="10"/>
        <v>15.041666666666666</v>
      </c>
      <c r="AH52" s="1">
        <f t="shared" si="11"/>
        <v>14.958333333333334</v>
      </c>
      <c r="AI52" s="1">
        <f t="shared" si="12"/>
        <v>14.875</v>
      </c>
      <c r="AJ52" s="1">
        <f t="shared" si="13"/>
        <v>14.791666666666666</v>
      </c>
      <c r="AK52" s="1">
        <f t="shared" si="14"/>
        <v>14.708333333333334</v>
      </c>
      <c r="AL52" s="1">
        <f t="shared" si="15"/>
        <v>13.541666666666666</v>
      </c>
      <c r="AM52" s="1">
        <f t="shared" si="16"/>
        <v>12.375</v>
      </c>
      <c r="AN52" s="1">
        <f t="shared" si="17"/>
        <v>11.208333333333334</v>
      </c>
      <c r="AO52" s="1">
        <f t="shared" si="18"/>
        <v>10.041666666666666</v>
      </c>
      <c r="AP52" s="1">
        <f t="shared" si="19"/>
        <v>8.875</v>
      </c>
      <c r="AQ52" s="1">
        <f t="shared" si="20"/>
        <v>7.708333333333333</v>
      </c>
      <c r="AR52" s="1">
        <f t="shared" si="21"/>
        <v>6.541666666666667</v>
      </c>
      <c r="AS52" s="1">
        <f t="shared" si="22"/>
        <v>7.541666666666667</v>
      </c>
      <c r="AT52" s="1">
        <f t="shared" si="23"/>
        <v>8.5416666666666661</v>
      </c>
      <c r="AU52" s="1">
        <f t="shared" si="24"/>
        <v>9.5416666666666661</v>
      </c>
      <c r="AV52" s="1">
        <f t="shared" si="25"/>
        <v>10.541666666666666</v>
      </c>
      <c r="AW52" s="1">
        <f t="shared" si="26"/>
        <v>11.541666666666666</v>
      </c>
      <c r="AX52" s="1">
        <f t="shared" si="27"/>
        <v>12.541666666666666</v>
      </c>
      <c r="AY52" s="1">
        <f t="shared" si="28"/>
        <v>13.541666666666666</v>
      </c>
      <c r="AZ52" s="1">
        <f t="shared" si="29"/>
        <v>14.541666666666666</v>
      </c>
      <c r="BA52" s="1">
        <f t="shared" si="30"/>
        <v>15.541666666666666</v>
      </c>
      <c r="BB52" s="1">
        <f t="shared" si="31"/>
        <v>15.458333333333334</v>
      </c>
    </row>
    <row r="53" spans="1:54">
      <c r="A53">
        <f t="shared" si="32"/>
        <v>52</v>
      </c>
      <c r="B53">
        <f t="shared" si="4"/>
        <v>1</v>
      </c>
      <c r="C53">
        <f t="shared" si="38"/>
        <v>12</v>
      </c>
      <c r="D53">
        <f t="shared" si="38"/>
        <v>13</v>
      </c>
      <c r="E53">
        <f t="shared" si="38"/>
        <v>14</v>
      </c>
      <c r="F53">
        <f t="shared" si="38"/>
        <v>15</v>
      </c>
      <c r="G53">
        <f t="shared" si="38"/>
        <v>16</v>
      </c>
      <c r="H53">
        <f t="shared" si="38"/>
        <v>17</v>
      </c>
      <c r="I53">
        <f t="shared" si="38"/>
        <v>18</v>
      </c>
      <c r="J53">
        <f t="shared" si="38"/>
        <v>19</v>
      </c>
      <c r="K53">
        <f t="shared" si="38"/>
        <v>20</v>
      </c>
      <c r="L53">
        <f t="shared" si="38"/>
        <v>21</v>
      </c>
      <c r="M53">
        <f t="shared" si="38"/>
        <v>22</v>
      </c>
      <c r="N53">
        <f t="shared" si="38"/>
        <v>23</v>
      </c>
      <c r="O53">
        <f t="shared" si="38"/>
        <v>24</v>
      </c>
      <c r="P53">
        <f t="shared" si="38"/>
        <v>25</v>
      </c>
      <c r="Q53">
        <f t="shared" si="38"/>
        <v>0</v>
      </c>
      <c r="R53">
        <f t="shared" si="38"/>
        <v>1</v>
      </c>
      <c r="S53">
        <f t="shared" si="37"/>
        <v>2</v>
      </c>
      <c r="T53">
        <f t="shared" si="37"/>
        <v>3</v>
      </c>
      <c r="U53">
        <f t="shared" si="37"/>
        <v>4</v>
      </c>
      <c r="V53">
        <f t="shared" si="37"/>
        <v>5</v>
      </c>
      <c r="W53">
        <f t="shared" si="37"/>
        <v>6</v>
      </c>
      <c r="X53">
        <f t="shared" si="37"/>
        <v>7</v>
      </c>
      <c r="Y53">
        <f t="shared" si="37"/>
        <v>8</v>
      </c>
      <c r="Z53">
        <f t="shared" si="37"/>
        <v>9</v>
      </c>
      <c r="AA53">
        <f t="shared" si="37"/>
        <v>10</v>
      </c>
      <c r="AB53">
        <f t="shared" si="37"/>
        <v>11</v>
      </c>
      <c r="AC53" s="1">
        <f t="shared" si="6"/>
        <v>15.666666666666666</v>
      </c>
      <c r="AD53" s="1">
        <f t="shared" si="7"/>
        <v>15.583333333333334</v>
      </c>
      <c r="AE53" s="1">
        <f t="shared" si="8"/>
        <v>15.5</v>
      </c>
      <c r="AF53" s="1">
        <f t="shared" si="9"/>
        <v>15.416666666666666</v>
      </c>
      <c r="AG53" s="1">
        <f t="shared" si="10"/>
        <v>15.333333333333334</v>
      </c>
      <c r="AH53" s="1">
        <f t="shared" si="11"/>
        <v>15.25</v>
      </c>
      <c r="AI53" s="1">
        <f t="shared" si="12"/>
        <v>15.166666666666666</v>
      </c>
      <c r="AJ53" s="1">
        <f t="shared" si="13"/>
        <v>15.083333333333334</v>
      </c>
      <c r="AK53" s="1">
        <f t="shared" si="14"/>
        <v>13.916666666666666</v>
      </c>
      <c r="AL53" s="1">
        <f t="shared" si="15"/>
        <v>12.75</v>
      </c>
      <c r="AM53" s="1">
        <f t="shared" si="16"/>
        <v>11.583333333333334</v>
      </c>
      <c r="AN53" s="1">
        <f t="shared" si="17"/>
        <v>10.416666666666666</v>
      </c>
      <c r="AO53" s="1">
        <f t="shared" si="18"/>
        <v>9.25</v>
      </c>
      <c r="AP53" s="1">
        <f t="shared" si="19"/>
        <v>8.0833333333333339</v>
      </c>
      <c r="AQ53" s="1">
        <f t="shared" si="20"/>
        <v>6.916666666666667</v>
      </c>
      <c r="AR53" s="1">
        <f t="shared" si="21"/>
        <v>6.833333333333333</v>
      </c>
      <c r="AS53" s="1">
        <f t="shared" si="22"/>
        <v>7.833333333333333</v>
      </c>
      <c r="AT53" s="1">
        <f t="shared" si="23"/>
        <v>8.8333333333333339</v>
      </c>
      <c r="AU53" s="1">
        <f t="shared" si="24"/>
        <v>9.8333333333333339</v>
      </c>
      <c r="AV53" s="1">
        <f t="shared" si="25"/>
        <v>10.833333333333334</v>
      </c>
      <c r="AW53" s="1">
        <f t="shared" si="26"/>
        <v>11.833333333333334</v>
      </c>
      <c r="AX53" s="1">
        <f t="shared" si="27"/>
        <v>12.833333333333334</v>
      </c>
      <c r="AY53" s="1">
        <f t="shared" si="28"/>
        <v>13.833333333333334</v>
      </c>
      <c r="AZ53" s="1">
        <f t="shared" si="29"/>
        <v>14.833333333333334</v>
      </c>
      <c r="BA53" s="1">
        <f t="shared" si="30"/>
        <v>15.833333333333334</v>
      </c>
      <c r="BB53" s="1">
        <f t="shared" si="31"/>
        <v>15.75</v>
      </c>
    </row>
    <row r="54" spans="1:54">
      <c r="A54">
        <f t="shared" si="32"/>
        <v>53</v>
      </c>
      <c r="B54">
        <f t="shared" si="4"/>
        <v>2</v>
      </c>
      <c r="C54">
        <f t="shared" si="38"/>
        <v>13</v>
      </c>
      <c r="D54">
        <f t="shared" si="38"/>
        <v>14</v>
      </c>
      <c r="E54">
        <f t="shared" si="38"/>
        <v>15</v>
      </c>
      <c r="F54">
        <f t="shared" si="38"/>
        <v>16</v>
      </c>
      <c r="G54">
        <f t="shared" si="38"/>
        <v>17</v>
      </c>
      <c r="H54">
        <f t="shared" si="38"/>
        <v>18</v>
      </c>
      <c r="I54">
        <f t="shared" si="38"/>
        <v>19</v>
      </c>
      <c r="J54">
        <f t="shared" si="38"/>
        <v>20</v>
      </c>
      <c r="K54">
        <f t="shared" si="38"/>
        <v>21</v>
      </c>
      <c r="L54">
        <f t="shared" si="38"/>
        <v>22</v>
      </c>
      <c r="M54">
        <f t="shared" si="38"/>
        <v>23</v>
      </c>
      <c r="N54">
        <f t="shared" si="38"/>
        <v>24</v>
      </c>
      <c r="O54">
        <f t="shared" si="38"/>
        <v>25</v>
      </c>
      <c r="P54">
        <f t="shared" si="38"/>
        <v>0</v>
      </c>
      <c r="Q54">
        <f t="shared" si="38"/>
        <v>1</v>
      </c>
      <c r="R54">
        <f t="shared" si="38"/>
        <v>2</v>
      </c>
      <c r="S54">
        <f t="shared" si="37"/>
        <v>3</v>
      </c>
      <c r="T54">
        <f t="shared" si="37"/>
        <v>4</v>
      </c>
      <c r="U54">
        <f t="shared" si="37"/>
        <v>5</v>
      </c>
      <c r="V54">
        <f t="shared" si="37"/>
        <v>6</v>
      </c>
      <c r="W54">
        <f t="shared" si="37"/>
        <v>7</v>
      </c>
      <c r="X54">
        <f t="shared" si="37"/>
        <v>8</v>
      </c>
      <c r="Y54">
        <f t="shared" si="37"/>
        <v>9</v>
      </c>
      <c r="Z54">
        <f t="shared" si="37"/>
        <v>10</v>
      </c>
      <c r="AA54">
        <f t="shared" si="37"/>
        <v>11</v>
      </c>
      <c r="AB54">
        <f t="shared" si="37"/>
        <v>12</v>
      </c>
      <c r="AC54" s="1">
        <f t="shared" si="6"/>
        <v>15.958333333333334</v>
      </c>
      <c r="AD54" s="1">
        <f t="shared" si="7"/>
        <v>15.875</v>
      </c>
      <c r="AE54" s="1">
        <f t="shared" si="8"/>
        <v>15.791666666666666</v>
      </c>
      <c r="AF54" s="1">
        <f t="shared" si="9"/>
        <v>15.708333333333334</v>
      </c>
      <c r="AG54" s="1">
        <f t="shared" si="10"/>
        <v>15.625</v>
      </c>
      <c r="AH54" s="1">
        <f t="shared" si="11"/>
        <v>15.541666666666666</v>
      </c>
      <c r="AI54" s="1">
        <f t="shared" si="12"/>
        <v>15.458333333333334</v>
      </c>
      <c r="AJ54" s="1">
        <f t="shared" si="13"/>
        <v>14.291666666666666</v>
      </c>
      <c r="AK54" s="1">
        <f t="shared" si="14"/>
        <v>13.125</v>
      </c>
      <c r="AL54" s="1">
        <f t="shared" si="15"/>
        <v>11.958333333333334</v>
      </c>
      <c r="AM54" s="1">
        <f t="shared" si="16"/>
        <v>10.791666666666666</v>
      </c>
      <c r="AN54" s="1">
        <f t="shared" si="17"/>
        <v>9.625</v>
      </c>
      <c r="AO54" s="1">
        <f t="shared" si="18"/>
        <v>8.4583333333333339</v>
      </c>
      <c r="AP54" s="1">
        <f t="shared" si="19"/>
        <v>7.291666666666667</v>
      </c>
      <c r="AQ54" s="1">
        <f t="shared" si="20"/>
        <v>7.208333333333333</v>
      </c>
      <c r="AR54" s="1">
        <f t="shared" si="21"/>
        <v>7.125</v>
      </c>
      <c r="AS54" s="1">
        <f t="shared" si="22"/>
        <v>8.125</v>
      </c>
      <c r="AT54" s="1">
        <f t="shared" si="23"/>
        <v>9.125</v>
      </c>
      <c r="AU54" s="1">
        <f t="shared" si="24"/>
        <v>10.125</v>
      </c>
      <c r="AV54" s="1">
        <f t="shared" si="25"/>
        <v>11.125</v>
      </c>
      <c r="AW54" s="1">
        <f t="shared" si="26"/>
        <v>12.125</v>
      </c>
      <c r="AX54" s="1">
        <f t="shared" si="27"/>
        <v>13.125</v>
      </c>
      <c r="AY54" s="1">
        <f t="shared" si="28"/>
        <v>14.125</v>
      </c>
      <c r="AZ54" s="1">
        <f t="shared" si="29"/>
        <v>15.125</v>
      </c>
      <c r="BA54" s="1">
        <f t="shared" si="30"/>
        <v>16.125</v>
      </c>
      <c r="BB54" s="1">
        <f t="shared" si="31"/>
        <v>16.041666666666668</v>
      </c>
    </row>
    <row r="55" spans="1:54">
      <c r="A55">
        <f t="shared" si="32"/>
        <v>54</v>
      </c>
      <c r="B55">
        <f t="shared" si="4"/>
        <v>3</v>
      </c>
      <c r="C55">
        <f t="shared" si="38"/>
        <v>14</v>
      </c>
      <c r="D55">
        <f t="shared" si="38"/>
        <v>15</v>
      </c>
      <c r="E55">
        <f t="shared" si="38"/>
        <v>16</v>
      </c>
      <c r="F55">
        <f t="shared" si="38"/>
        <v>17</v>
      </c>
      <c r="G55">
        <f t="shared" si="38"/>
        <v>18</v>
      </c>
      <c r="H55">
        <f t="shared" si="38"/>
        <v>19</v>
      </c>
      <c r="I55">
        <f t="shared" si="38"/>
        <v>20</v>
      </c>
      <c r="J55">
        <f t="shared" si="38"/>
        <v>21</v>
      </c>
      <c r="K55">
        <f t="shared" si="38"/>
        <v>22</v>
      </c>
      <c r="L55">
        <f t="shared" si="38"/>
        <v>23</v>
      </c>
      <c r="M55">
        <f t="shared" si="38"/>
        <v>24</v>
      </c>
      <c r="N55">
        <f t="shared" si="38"/>
        <v>25</v>
      </c>
      <c r="O55">
        <f t="shared" si="38"/>
        <v>0</v>
      </c>
      <c r="P55">
        <f t="shared" si="38"/>
        <v>1</v>
      </c>
      <c r="Q55">
        <f t="shared" si="38"/>
        <v>2</v>
      </c>
      <c r="R55">
        <f t="shared" si="38"/>
        <v>3</v>
      </c>
      <c r="S55">
        <f t="shared" si="37"/>
        <v>4</v>
      </c>
      <c r="T55">
        <f t="shared" si="37"/>
        <v>5</v>
      </c>
      <c r="U55">
        <f t="shared" si="37"/>
        <v>6</v>
      </c>
      <c r="V55">
        <f t="shared" si="37"/>
        <v>7</v>
      </c>
      <c r="W55">
        <f t="shared" si="37"/>
        <v>8</v>
      </c>
      <c r="X55">
        <f t="shared" si="37"/>
        <v>9</v>
      </c>
      <c r="Y55">
        <f t="shared" si="37"/>
        <v>10</v>
      </c>
      <c r="Z55">
        <f t="shared" si="37"/>
        <v>11</v>
      </c>
      <c r="AA55">
        <f t="shared" si="37"/>
        <v>12</v>
      </c>
      <c r="AB55">
        <f t="shared" si="37"/>
        <v>13</v>
      </c>
      <c r="AC55" s="1">
        <f t="shared" si="6"/>
        <v>16.25</v>
      </c>
      <c r="AD55" s="1">
        <f t="shared" si="7"/>
        <v>16.166666666666668</v>
      </c>
      <c r="AE55" s="1">
        <f t="shared" si="8"/>
        <v>16.083333333333332</v>
      </c>
      <c r="AF55" s="1">
        <f t="shared" si="9"/>
        <v>16</v>
      </c>
      <c r="AG55" s="1">
        <f t="shared" si="10"/>
        <v>15.916666666666666</v>
      </c>
      <c r="AH55" s="1">
        <f t="shared" si="11"/>
        <v>15.833333333333334</v>
      </c>
      <c r="AI55" s="1">
        <f t="shared" si="12"/>
        <v>14.666666666666666</v>
      </c>
      <c r="AJ55" s="1">
        <f t="shared" si="13"/>
        <v>13.5</v>
      </c>
      <c r="AK55" s="1">
        <f t="shared" si="14"/>
        <v>12.333333333333334</v>
      </c>
      <c r="AL55" s="1">
        <f t="shared" si="15"/>
        <v>11.166666666666666</v>
      </c>
      <c r="AM55" s="1">
        <f t="shared" si="16"/>
        <v>10</v>
      </c>
      <c r="AN55" s="1">
        <f t="shared" si="17"/>
        <v>8.8333333333333339</v>
      </c>
      <c r="AO55" s="1">
        <f t="shared" si="18"/>
        <v>7.666666666666667</v>
      </c>
      <c r="AP55" s="1">
        <f t="shared" si="19"/>
        <v>7.583333333333333</v>
      </c>
      <c r="AQ55" s="1">
        <f t="shared" si="20"/>
        <v>7.5</v>
      </c>
      <c r="AR55" s="1">
        <f t="shared" si="21"/>
        <v>7.416666666666667</v>
      </c>
      <c r="AS55" s="1">
        <f t="shared" si="22"/>
        <v>8.4166666666666661</v>
      </c>
      <c r="AT55" s="1">
        <f t="shared" si="23"/>
        <v>9.4166666666666661</v>
      </c>
      <c r="AU55" s="1">
        <f t="shared" si="24"/>
        <v>10.416666666666666</v>
      </c>
      <c r="AV55" s="1">
        <f t="shared" si="25"/>
        <v>11.416666666666666</v>
      </c>
      <c r="AW55" s="1">
        <f t="shared" si="26"/>
        <v>12.416666666666666</v>
      </c>
      <c r="AX55" s="1">
        <f t="shared" si="27"/>
        <v>13.416666666666666</v>
      </c>
      <c r="AY55" s="1">
        <f t="shared" si="28"/>
        <v>14.416666666666666</v>
      </c>
      <c r="AZ55" s="1">
        <f t="shared" si="29"/>
        <v>15.416666666666666</v>
      </c>
      <c r="BA55" s="1">
        <f t="shared" si="30"/>
        <v>16.416666666666668</v>
      </c>
      <c r="BB55" s="1">
        <f t="shared" si="31"/>
        <v>16.333333333333332</v>
      </c>
    </row>
    <row r="56" spans="1:54">
      <c r="A56">
        <f t="shared" si="32"/>
        <v>55</v>
      </c>
      <c r="B56">
        <f t="shared" si="4"/>
        <v>4</v>
      </c>
      <c r="C56">
        <f t="shared" si="38"/>
        <v>15</v>
      </c>
      <c r="D56">
        <f t="shared" si="38"/>
        <v>16</v>
      </c>
      <c r="E56">
        <f t="shared" si="38"/>
        <v>17</v>
      </c>
      <c r="F56">
        <f t="shared" si="38"/>
        <v>18</v>
      </c>
      <c r="G56">
        <f t="shared" si="38"/>
        <v>19</v>
      </c>
      <c r="H56">
        <f t="shared" si="38"/>
        <v>20</v>
      </c>
      <c r="I56">
        <f t="shared" si="38"/>
        <v>21</v>
      </c>
      <c r="J56">
        <f t="shared" si="38"/>
        <v>22</v>
      </c>
      <c r="K56">
        <f t="shared" si="38"/>
        <v>23</v>
      </c>
      <c r="L56">
        <f t="shared" si="38"/>
        <v>24</v>
      </c>
      <c r="M56">
        <f t="shared" si="38"/>
        <v>25</v>
      </c>
      <c r="N56">
        <f t="shared" si="38"/>
        <v>0</v>
      </c>
      <c r="O56">
        <f t="shared" si="38"/>
        <v>1</v>
      </c>
      <c r="P56">
        <f t="shared" si="38"/>
        <v>2</v>
      </c>
      <c r="Q56">
        <f t="shared" si="38"/>
        <v>3</v>
      </c>
      <c r="R56">
        <f t="shared" si="38"/>
        <v>4</v>
      </c>
      <c r="S56">
        <f t="shared" si="37"/>
        <v>5</v>
      </c>
      <c r="T56">
        <f t="shared" si="37"/>
        <v>6</v>
      </c>
      <c r="U56">
        <f t="shared" si="37"/>
        <v>7</v>
      </c>
      <c r="V56">
        <f t="shared" si="37"/>
        <v>8</v>
      </c>
      <c r="W56">
        <f t="shared" si="37"/>
        <v>9</v>
      </c>
      <c r="X56">
        <f t="shared" si="37"/>
        <v>10</v>
      </c>
      <c r="Y56">
        <f t="shared" si="37"/>
        <v>11</v>
      </c>
      <c r="Z56">
        <f t="shared" si="37"/>
        <v>12</v>
      </c>
      <c r="AA56">
        <f t="shared" si="37"/>
        <v>13</v>
      </c>
      <c r="AB56">
        <f t="shared" si="37"/>
        <v>14</v>
      </c>
      <c r="AC56" s="1">
        <f t="shared" si="6"/>
        <v>16.541666666666668</v>
      </c>
      <c r="AD56" s="1">
        <f t="shared" si="7"/>
        <v>16.458333333333332</v>
      </c>
      <c r="AE56" s="1">
        <f t="shared" si="8"/>
        <v>16.375</v>
      </c>
      <c r="AF56" s="1">
        <f t="shared" si="9"/>
        <v>16.291666666666668</v>
      </c>
      <c r="AG56" s="1">
        <f t="shared" si="10"/>
        <v>16.208333333333332</v>
      </c>
      <c r="AH56" s="1">
        <f t="shared" si="11"/>
        <v>15.041666666666666</v>
      </c>
      <c r="AI56" s="1">
        <f t="shared" si="12"/>
        <v>13.875</v>
      </c>
      <c r="AJ56" s="1">
        <f t="shared" si="13"/>
        <v>12.708333333333334</v>
      </c>
      <c r="AK56" s="1">
        <f t="shared" si="14"/>
        <v>11.541666666666666</v>
      </c>
      <c r="AL56" s="1">
        <f t="shared" si="15"/>
        <v>10.375</v>
      </c>
      <c r="AM56" s="1">
        <f t="shared" si="16"/>
        <v>9.2083333333333339</v>
      </c>
      <c r="AN56" s="1">
        <f t="shared" si="17"/>
        <v>8.0416666666666661</v>
      </c>
      <c r="AO56" s="1">
        <f t="shared" si="18"/>
        <v>7.958333333333333</v>
      </c>
      <c r="AP56" s="1">
        <f t="shared" si="19"/>
        <v>7.875</v>
      </c>
      <c r="AQ56" s="1">
        <f t="shared" si="20"/>
        <v>7.791666666666667</v>
      </c>
      <c r="AR56" s="1">
        <f t="shared" si="21"/>
        <v>7.708333333333333</v>
      </c>
      <c r="AS56" s="1">
        <f t="shared" si="22"/>
        <v>8.7083333333333339</v>
      </c>
      <c r="AT56" s="1">
        <f t="shared" si="23"/>
        <v>9.7083333333333339</v>
      </c>
      <c r="AU56" s="1">
        <f t="shared" si="24"/>
        <v>10.708333333333334</v>
      </c>
      <c r="AV56" s="1">
        <f t="shared" si="25"/>
        <v>11.708333333333334</v>
      </c>
      <c r="AW56" s="1">
        <f t="shared" si="26"/>
        <v>12.708333333333334</v>
      </c>
      <c r="AX56" s="1">
        <f t="shared" si="27"/>
        <v>13.708333333333334</v>
      </c>
      <c r="AY56" s="1">
        <f t="shared" si="28"/>
        <v>14.708333333333334</v>
      </c>
      <c r="AZ56" s="1">
        <f t="shared" si="29"/>
        <v>15.708333333333334</v>
      </c>
      <c r="BA56" s="1">
        <f t="shared" si="30"/>
        <v>16.708333333333332</v>
      </c>
      <c r="BB56" s="1">
        <f t="shared" si="31"/>
        <v>16.625</v>
      </c>
    </row>
    <row r="57" spans="1:54">
      <c r="A57">
        <f t="shared" si="32"/>
        <v>56</v>
      </c>
      <c r="B57">
        <f t="shared" si="4"/>
        <v>5</v>
      </c>
      <c r="C57">
        <f t="shared" si="38"/>
        <v>16</v>
      </c>
      <c r="D57">
        <f t="shared" si="38"/>
        <v>17</v>
      </c>
      <c r="E57">
        <f t="shared" si="38"/>
        <v>18</v>
      </c>
      <c r="F57">
        <f t="shared" si="38"/>
        <v>19</v>
      </c>
      <c r="G57">
        <f t="shared" si="38"/>
        <v>20</v>
      </c>
      <c r="H57">
        <f t="shared" si="38"/>
        <v>21</v>
      </c>
      <c r="I57">
        <f t="shared" si="38"/>
        <v>22</v>
      </c>
      <c r="J57">
        <f t="shared" si="38"/>
        <v>23</v>
      </c>
      <c r="K57">
        <f t="shared" si="38"/>
        <v>24</v>
      </c>
      <c r="L57">
        <f t="shared" si="38"/>
        <v>25</v>
      </c>
      <c r="M57">
        <f t="shared" si="38"/>
        <v>0</v>
      </c>
      <c r="N57">
        <f t="shared" si="38"/>
        <v>1</v>
      </c>
      <c r="O57">
        <f t="shared" si="38"/>
        <v>2</v>
      </c>
      <c r="P57">
        <f t="shared" si="38"/>
        <v>3</v>
      </c>
      <c r="Q57">
        <f t="shared" si="38"/>
        <v>4</v>
      </c>
      <c r="R57">
        <f t="shared" si="38"/>
        <v>5</v>
      </c>
      <c r="S57">
        <f t="shared" si="37"/>
        <v>6</v>
      </c>
      <c r="T57">
        <f t="shared" si="37"/>
        <v>7</v>
      </c>
      <c r="U57">
        <f t="shared" si="37"/>
        <v>8</v>
      </c>
      <c r="V57">
        <f t="shared" si="37"/>
        <v>9</v>
      </c>
      <c r="W57">
        <f t="shared" si="37"/>
        <v>10</v>
      </c>
      <c r="X57">
        <f t="shared" si="37"/>
        <v>11</v>
      </c>
      <c r="Y57">
        <f t="shared" si="37"/>
        <v>12</v>
      </c>
      <c r="Z57">
        <f t="shared" si="37"/>
        <v>13</v>
      </c>
      <c r="AA57">
        <f t="shared" si="37"/>
        <v>14</v>
      </c>
      <c r="AB57">
        <f t="shared" si="37"/>
        <v>15</v>
      </c>
      <c r="AC57" s="1">
        <f t="shared" si="6"/>
        <v>16.833333333333332</v>
      </c>
      <c r="AD57" s="1">
        <f t="shared" si="7"/>
        <v>16.75</v>
      </c>
      <c r="AE57" s="1">
        <f t="shared" si="8"/>
        <v>16.666666666666668</v>
      </c>
      <c r="AF57" s="1">
        <f t="shared" si="9"/>
        <v>16.583333333333332</v>
      </c>
      <c r="AG57" s="1">
        <f t="shared" si="10"/>
        <v>15.416666666666666</v>
      </c>
      <c r="AH57" s="1">
        <f t="shared" si="11"/>
        <v>14.25</v>
      </c>
      <c r="AI57" s="1">
        <f t="shared" si="12"/>
        <v>13.083333333333334</v>
      </c>
      <c r="AJ57" s="1">
        <f t="shared" si="13"/>
        <v>11.916666666666666</v>
      </c>
      <c r="AK57" s="1">
        <f t="shared" si="14"/>
        <v>10.75</v>
      </c>
      <c r="AL57" s="1">
        <f t="shared" si="15"/>
        <v>9.5833333333333339</v>
      </c>
      <c r="AM57" s="1">
        <f t="shared" si="16"/>
        <v>8.4166666666666661</v>
      </c>
      <c r="AN57" s="1">
        <f t="shared" si="17"/>
        <v>8.3333333333333339</v>
      </c>
      <c r="AO57" s="1">
        <f t="shared" si="18"/>
        <v>8.25</v>
      </c>
      <c r="AP57" s="1">
        <f t="shared" si="19"/>
        <v>8.1666666666666661</v>
      </c>
      <c r="AQ57" s="1">
        <f t="shared" si="20"/>
        <v>8.0833333333333339</v>
      </c>
      <c r="AR57" s="1">
        <f t="shared" si="21"/>
        <v>8</v>
      </c>
      <c r="AS57" s="1">
        <f t="shared" si="22"/>
        <v>9</v>
      </c>
      <c r="AT57" s="1">
        <f t="shared" si="23"/>
        <v>10</v>
      </c>
      <c r="AU57" s="1">
        <f t="shared" si="24"/>
        <v>11</v>
      </c>
      <c r="AV57" s="1">
        <f t="shared" si="25"/>
        <v>12</v>
      </c>
      <c r="AW57" s="1">
        <f t="shared" si="26"/>
        <v>13</v>
      </c>
      <c r="AX57" s="1">
        <f t="shared" si="27"/>
        <v>14</v>
      </c>
      <c r="AY57" s="1">
        <f t="shared" si="28"/>
        <v>15</v>
      </c>
      <c r="AZ57" s="1">
        <f t="shared" si="29"/>
        <v>16</v>
      </c>
      <c r="BA57" s="1">
        <f t="shared" si="30"/>
        <v>17</v>
      </c>
      <c r="BB57" s="1">
        <f t="shared" si="31"/>
        <v>16.916666666666668</v>
      </c>
    </row>
    <row r="58" spans="1:54">
      <c r="A58">
        <f t="shared" si="32"/>
        <v>57</v>
      </c>
      <c r="B58">
        <f t="shared" si="4"/>
        <v>6</v>
      </c>
      <c r="C58">
        <f t="shared" si="38"/>
        <v>17</v>
      </c>
      <c r="D58">
        <f t="shared" si="38"/>
        <v>18</v>
      </c>
      <c r="E58">
        <f t="shared" si="38"/>
        <v>19</v>
      </c>
      <c r="F58">
        <f t="shared" si="38"/>
        <v>20</v>
      </c>
      <c r="G58">
        <f t="shared" si="38"/>
        <v>21</v>
      </c>
      <c r="H58">
        <f t="shared" si="38"/>
        <v>22</v>
      </c>
      <c r="I58">
        <f t="shared" si="38"/>
        <v>23</v>
      </c>
      <c r="J58">
        <f t="shared" si="38"/>
        <v>24</v>
      </c>
      <c r="K58">
        <f t="shared" si="38"/>
        <v>25</v>
      </c>
      <c r="L58">
        <f t="shared" si="38"/>
        <v>0</v>
      </c>
      <c r="M58">
        <f t="shared" si="38"/>
        <v>1</v>
      </c>
      <c r="N58">
        <f t="shared" si="38"/>
        <v>2</v>
      </c>
      <c r="O58">
        <f t="shared" si="38"/>
        <v>3</v>
      </c>
      <c r="P58">
        <f t="shared" si="38"/>
        <v>4</v>
      </c>
      <c r="Q58">
        <f t="shared" si="38"/>
        <v>5</v>
      </c>
      <c r="R58">
        <f t="shared" si="38"/>
        <v>6</v>
      </c>
      <c r="S58">
        <f t="shared" si="37"/>
        <v>7</v>
      </c>
      <c r="T58">
        <f t="shared" si="37"/>
        <v>8</v>
      </c>
      <c r="U58">
        <f t="shared" si="37"/>
        <v>9</v>
      </c>
      <c r="V58">
        <f t="shared" si="37"/>
        <v>10</v>
      </c>
      <c r="W58">
        <f t="shared" si="37"/>
        <v>11</v>
      </c>
      <c r="X58">
        <f t="shared" si="37"/>
        <v>12</v>
      </c>
      <c r="Y58">
        <f t="shared" si="37"/>
        <v>13</v>
      </c>
      <c r="Z58">
        <f t="shared" si="37"/>
        <v>14</v>
      </c>
      <c r="AA58">
        <f t="shared" si="37"/>
        <v>15</v>
      </c>
      <c r="AB58">
        <f t="shared" si="37"/>
        <v>16</v>
      </c>
      <c r="AC58" s="1">
        <f t="shared" si="6"/>
        <v>17.125</v>
      </c>
      <c r="AD58" s="1">
        <f t="shared" si="7"/>
        <v>17.041666666666668</v>
      </c>
      <c r="AE58" s="1">
        <f t="shared" si="8"/>
        <v>16.958333333333332</v>
      </c>
      <c r="AF58" s="1">
        <f t="shared" si="9"/>
        <v>15.791666666666666</v>
      </c>
      <c r="AG58" s="1">
        <f t="shared" si="10"/>
        <v>14.625</v>
      </c>
      <c r="AH58" s="1">
        <f t="shared" si="11"/>
        <v>13.458333333333334</v>
      </c>
      <c r="AI58" s="1">
        <f t="shared" si="12"/>
        <v>12.291666666666666</v>
      </c>
      <c r="AJ58" s="1">
        <f t="shared" si="13"/>
        <v>11.125</v>
      </c>
      <c r="AK58" s="1">
        <f t="shared" si="14"/>
        <v>9.9583333333333339</v>
      </c>
      <c r="AL58" s="1">
        <f t="shared" si="15"/>
        <v>8.7916666666666661</v>
      </c>
      <c r="AM58" s="1">
        <f t="shared" si="16"/>
        <v>8.7083333333333339</v>
      </c>
      <c r="AN58" s="1">
        <f t="shared" si="17"/>
        <v>8.625</v>
      </c>
      <c r="AO58" s="1">
        <f t="shared" si="18"/>
        <v>8.5416666666666661</v>
      </c>
      <c r="AP58" s="1">
        <f t="shared" si="19"/>
        <v>8.4583333333333339</v>
      </c>
      <c r="AQ58" s="1">
        <f t="shared" si="20"/>
        <v>8.375</v>
      </c>
      <c r="AR58" s="1">
        <f t="shared" si="21"/>
        <v>8.2916666666666661</v>
      </c>
      <c r="AS58" s="1">
        <f t="shared" si="22"/>
        <v>9.2916666666666661</v>
      </c>
      <c r="AT58" s="1">
        <f t="shared" si="23"/>
        <v>10.291666666666666</v>
      </c>
      <c r="AU58" s="1">
        <f t="shared" si="24"/>
        <v>11.291666666666666</v>
      </c>
      <c r="AV58" s="1">
        <f t="shared" si="25"/>
        <v>12.291666666666666</v>
      </c>
      <c r="AW58" s="1">
        <f t="shared" si="26"/>
        <v>13.291666666666666</v>
      </c>
      <c r="AX58" s="1">
        <f t="shared" si="27"/>
        <v>14.291666666666666</v>
      </c>
      <c r="AY58" s="1">
        <f t="shared" si="28"/>
        <v>15.291666666666666</v>
      </c>
      <c r="AZ58" s="1">
        <f t="shared" si="29"/>
        <v>16.291666666666668</v>
      </c>
      <c r="BA58" s="1">
        <f t="shared" si="30"/>
        <v>17.291666666666668</v>
      </c>
      <c r="BB58" s="1">
        <f t="shared" si="31"/>
        <v>17.208333333333332</v>
      </c>
    </row>
    <row r="59" spans="1:54">
      <c r="A59">
        <f t="shared" si="32"/>
        <v>58</v>
      </c>
      <c r="B59">
        <f t="shared" si="4"/>
        <v>7</v>
      </c>
      <c r="C59">
        <f t="shared" si="38"/>
        <v>18</v>
      </c>
      <c r="D59">
        <f t="shared" si="38"/>
        <v>19</v>
      </c>
      <c r="E59">
        <f t="shared" si="38"/>
        <v>20</v>
      </c>
      <c r="F59">
        <f t="shared" si="38"/>
        <v>21</v>
      </c>
      <c r="G59">
        <f t="shared" si="38"/>
        <v>22</v>
      </c>
      <c r="H59">
        <f t="shared" si="38"/>
        <v>23</v>
      </c>
      <c r="I59">
        <f t="shared" si="38"/>
        <v>24</v>
      </c>
      <c r="J59">
        <f t="shared" si="38"/>
        <v>25</v>
      </c>
      <c r="K59">
        <f t="shared" si="38"/>
        <v>0</v>
      </c>
      <c r="L59">
        <f t="shared" si="38"/>
        <v>1</v>
      </c>
      <c r="M59">
        <f t="shared" si="38"/>
        <v>2</v>
      </c>
      <c r="N59">
        <f t="shared" si="38"/>
        <v>3</v>
      </c>
      <c r="O59">
        <f t="shared" si="38"/>
        <v>4</v>
      </c>
      <c r="P59">
        <f t="shared" si="38"/>
        <v>5</v>
      </c>
      <c r="Q59">
        <f t="shared" si="38"/>
        <v>6</v>
      </c>
      <c r="R59">
        <f t="shared" si="38"/>
        <v>7</v>
      </c>
      <c r="S59">
        <f t="shared" si="37"/>
        <v>8</v>
      </c>
      <c r="T59">
        <f t="shared" si="37"/>
        <v>9</v>
      </c>
      <c r="U59">
        <f t="shared" si="37"/>
        <v>10</v>
      </c>
      <c r="V59">
        <f t="shared" si="37"/>
        <v>11</v>
      </c>
      <c r="W59">
        <f t="shared" si="37"/>
        <v>12</v>
      </c>
      <c r="X59">
        <f t="shared" si="37"/>
        <v>13</v>
      </c>
      <c r="Y59">
        <f t="shared" si="37"/>
        <v>14</v>
      </c>
      <c r="Z59">
        <f t="shared" si="37"/>
        <v>15</v>
      </c>
      <c r="AA59">
        <f t="shared" si="37"/>
        <v>16</v>
      </c>
      <c r="AB59">
        <f t="shared" si="37"/>
        <v>17</v>
      </c>
      <c r="AC59" s="1">
        <f t="shared" si="6"/>
        <v>17.416666666666668</v>
      </c>
      <c r="AD59" s="1">
        <f t="shared" si="7"/>
        <v>17.333333333333332</v>
      </c>
      <c r="AE59" s="1">
        <f t="shared" si="8"/>
        <v>16.166666666666668</v>
      </c>
      <c r="AF59" s="1">
        <f t="shared" si="9"/>
        <v>15</v>
      </c>
      <c r="AG59" s="1">
        <f t="shared" si="10"/>
        <v>13.833333333333334</v>
      </c>
      <c r="AH59" s="1">
        <f t="shared" si="11"/>
        <v>12.666666666666666</v>
      </c>
      <c r="AI59" s="1">
        <f t="shared" si="12"/>
        <v>11.5</v>
      </c>
      <c r="AJ59" s="1">
        <f t="shared" si="13"/>
        <v>10.333333333333334</v>
      </c>
      <c r="AK59" s="1">
        <f t="shared" si="14"/>
        <v>9.1666666666666661</v>
      </c>
      <c r="AL59" s="1">
        <f t="shared" si="15"/>
        <v>9.0833333333333339</v>
      </c>
      <c r="AM59" s="1">
        <f t="shared" si="16"/>
        <v>9</v>
      </c>
      <c r="AN59" s="1">
        <f t="shared" si="17"/>
        <v>8.9166666666666661</v>
      </c>
      <c r="AO59" s="1">
        <f t="shared" si="18"/>
        <v>8.8333333333333339</v>
      </c>
      <c r="AP59" s="1">
        <f t="shared" si="19"/>
        <v>8.75</v>
      </c>
      <c r="AQ59" s="1">
        <f t="shared" si="20"/>
        <v>8.6666666666666661</v>
      </c>
      <c r="AR59" s="1">
        <f t="shared" si="21"/>
        <v>8.5833333333333339</v>
      </c>
      <c r="AS59" s="1">
        <f t="shared" si="22"/>
        <v>9.5833333333333339</v>
      </c>
      <c r="AT59" s="1">
        <f t="shared" si="23"/>
        <v>10.583333333333334</v>
      </c>
      <c r="AU59" s="1">
        <f t="shared" si="24"/>
        <v>11.583333333333334</v>
      </c>
      <c r="AV59" s="1">
        <f t="shared" si="25"/>
        <v>12.583333333333334</v>
      </c>
      <c r="AW59" s="1">
        <f t="shared" si="26"/>
        <v>13.583333333333334</v>
      </c>
      <c r="AX59" s="1">
        <f t="shared" si="27"/>
        <v>14.583333333333334</v>
      </c>
      <c r="AY59" s="1">
        <f t="shared" si="28"/>
        <v>15.583333333333334</v>
      </c>
      <c r="AZ59" s="1">
        <f t="shared" si="29"/>
        <v>16.583333333333332</v>
      </c>
      <c r="BA59" s="1">
        <f t="shared" si="30"/>
        <v>17.583333333333332</v>
      </c>
      <c r="BB59" s="1">
        <f t="shared" si="31"/>
        <v>17.5</v>
      </c>
    </row>
    <row r="60" spans="1:54">
      <c r="A60">
        <f t="shared" si="32"/>
        <v>59</v>
      </c>
      <c r="B60">
        <f t="shared" si="4"/>
        <v>8</v>
      </c>
      <c r="C60">
        <f t="shared" si="38"/>
        <v>19</v>
      </c>
      <c r="D60">
        <f t="shared" si="38"/>
        <v>20</v>
      </c>
      <c r="E60">
        <f t="shared" si="38"/>
        <v>21</v>
      </c>
      <c r="F60">
        <f t="shared" si="38"/>
        <v>22</v>
      </c>
      <c r="G60">
        <f t="shared" si="38"/>
        <v>23</v>
      </c>
      <c r="H60">
        <f t="shared" si="38"/>
        <v>24</v>
      </c>
      <c r="I60">
        <f t="shared" si="38"/>
        <v>25</v>
      </c>
      <c r="J60">
        <f t="shared" si="38"/>
        <v>0</v>
      </c>
      <c r="K60">
        <f t="shared" si="38"/>
        <v>1</v>
      </c>
      <c r="L60">
        <f t="shared" si="38"/>
        <v>2</v>
      </c>
      <c r="M60">
        <f t="shared" si="38"/>
        <v>3</v>
      </c>
      <c r="N60">
        <f t="shared" si="38"/>
        <v>4</v>
      </c>
      <c r="O60">
        <f t="shared" si="38"/>
        <v>5</v>
      </c>
      <c r="P60">
        <f t="shared" si="38"/>
        <v>6</v>
      </c>
      <c r="Q60">
        <f t="shared" si="38"/>
        <v>7</v>
      </c>
      <c r="R60">
        <f t="shared" ref="R60:AB75" si="39">MOD($B60+11+R$1,26)</f>
        <v>8</v>
      </c>
      <c r="S60">
        <f t="shared" si="39"/>
        <v>9</v>
      </c>
      <c r="T60">
        <f t="shared" si="39"/>
        <v>10</v>
      </c>
      <c r="U60">
        <f t="shared" si="39"/>
        <v>11</v>
      </c>
      <c r="V60">
        <f t="shared" si="39"/>
        <v>12</v>
      </c>
      <c r="W60">
        <f t="shared" si="39"/>
        <v>13</v>
      </c>
      <c r="X60">
        <f t="shared" si="39"/>
        <v>14</v>
      </c>
      <c r="Y60">
        <f t="shared" si="39"/>
        <v>15</v>
      </c>
      <c r="Z60">
        <f t="shared" si="39"/>
        <v>16</v>
      </c>
      <c r="AA60">
        <f t="shared" si="39"/>
        <v>17</v>
      </c>
      <c r="AB60">
        <f t="shared" si="39"/>
        <v>18</v>
      </c>
      <c r="AC60" s="1">
        <f t="shared" si="6"/>
        <v>17.708333333333332</v>
      </c>
      <c r="AD60" s="1">
        <f t="shared" si="7"/>
        <v>16.541666666666668</v>
      </c>
      <c r="AE60" s="1">
        <f t="shared" si="8"/>
        <v>15.375</v>
      </c>
      <c r="AF60" s="1">
        <f t="shared" si="9"/>
        <v>14.208333333333334</v>
      </c>
      <c r="AG60" s="1">
        <f t="shared" si="10"/>
        <v>13.041666666666666</v>
      </c>
      <c r="AH60" s="1">
        <f t="shared" si="11"/>
        <v>11.875</v>
      </c>
      <c r="AI60" s="1">
        <f t="shared" si="12"/>
        <v>10.708333333333334</v>
      </c>
      <c r="AJ60" s="1">
        <f t="shared" si="13"/>
        <v>9.5416666666666661</v>
      </c>
      <c r="AK60" s="1">
        <f t="shared" si="14"/>
        <v>9.4583333333333339</v>
      </c>
      <c r="AL60" s="1">
        <f t="shared" si="15"/>
        <v>9.375</v>
      </c>
      <c r="AM60" s="1">
        <f t="shared" si="16"/>
        <v>9.2916666666666661</v>
      </c>
      <c r="AN60" s="1">
        <f t="shared" si="17"/>
        <v>9.2083333333333339</v>
      </c>
      <c r="AO60" s="1">
        <f t="shared" si="18"/>
        <v>9.125</v>
      </c>
      <c r="AP60" s="1">
        <f t="shared" si="19"/>
        <v>9.0416666666666661</v>
      </c>
      <c r="AQ60" s="1">
        <f t="shared" si="20"/>
        <v>8.9583333333333339</v>
      </c>
      <c r="AR60" s="1">
        <f t="shared" si="21"/>
        <v>8.875</v>
      </c>
      <c r="AS60" s="1">
        <f t="shared" si="22"/>
        <v>9.875</v>
      </c>
      <c r="AT60" s="1">
        <f t="shared" si="23"/>
        <v>10.875</v>
      </c>
      <c r="AU60" s="1">
        <f t="shared" si="24"/>
        <v>11.875</v>
      </c>
      <c r="AV60" s="1">
        <f t="shared" si="25"/>
        <v>12.875</v>
      </c>
      <c r="AW60" s="1">
        <f t="shared" si="26"/>
        <v>13.875</v>
      </c>
      <c r="AX60" s="1">
        <f t="shared" si="27"/>
        <v>14.875</v>
      </c>
      <c r="AY60" s="1">
        <f t="shared" si="28"/>
        <v>15.875</v>
      </c>
      <c r="AZ60" s="1">
        <f t="shared" si="29"/>
        <v>16.875</v>
      </c>
      <c r="BA60" s="1">
        <f t="shared" si="30"/>
        <v>17.875</v>
      </c>
      <c r="BB60" s="1">
        <f t="shared" si="31"/>
        <v>17.791666666666668</v>
      </c>
    </row>
    <row r="61" spans="1:54">
      <c r="A61">
        <f t="shared" si="32"/>
        <v>60</v>
      </c>
      <c r="B61">
        <f t="shared" si="4"/>
        <v>9</v>
      </c>
      <c r="C61">
        <f t="shared" ref="C61:R76" si="40">MOD($B61+11+C$1,26)</f>
        <v>20</v>
      </c>
      <c r="D61">
        <f t="shared" si="40"/>
        <v>21</v>
      </c>
      <c r="E61">
        <f t="shared" si="40"/>
        <v>22</v>
      </c>
      <c r="F61">
        <f t="shared" si="40"/>
        <v>23</v>
      </c>
      <c r="G61">
        <f t="shared" si="40"/>
        <v>24</v>
      </c>
      <c r="H61">
        <f t="shared" si="40"/>
        <v>25</v>
      </c>
      <c r="I61">
        <f t="shared" si="40"/>
        <v>0</v>
      </c>
      <c r="J61">
        <f t="shared" si="40"/>
        <v>1</v>
      </c>
      <c r="K61">
        <f t="shared" si="40"/>
        <v>2</v>
      </c>
      <c r="L61">
        <f t="shared" si="40"/>
        <v>3</v>
      </c>
      <c r="M61">
        <f t="shared" si="40"/>
        <v>4</v>
      </c>
      <c r="N61">
        <f t="shared" si="40"/>
        <v>5</v>
      </c>
      <c r="O61">
        <f t="shared" si="40"/>
        <v>6</v>
      </c>
      <c r="P61">
        <f t="shared" si="40"/>
        <v>7</v>
      </c>
      <c r="Q61">
        <f t="shared" si="40"/>
        <v>8</v>
      </c>
      <c r="R61">
        <f t="shared" si="40"/>
        <v>9</v>
      </c>
      <c r="S61">
        <f t="shared" si="39"/>
        <v>10</v>
      </c>
      <c r="T61">
        <f t="shared" si="39"/>
        <v>11</v>
      </c>
      <c r="U61">
        <f t="shared" si="39"/>
        <v>12</v>
      </c>
      <c r="V61">
        <f t="shared" si="39"/>
        <v>13</v>
      </c>
      <c r="W61">
        <f t="shared" si="39"/>
        <v>14</v>
      </c>
      <c r="X61">
        <f t="shared" si="39"/>
        <v>15</v>
      </c>
      <c r="Y61">
        <f t="shared" si="39"/>
        <v>16</v>
      </c>
      <c r="Z61">
        <f t="shared" si="39"/>
        <v>17</v>
      </c>
      <c r="AA61">
        <f t="shared" si="39"/>
        <v>18</v>
      </c>
      <c r="AB61">
        <f t="shared" si="39"/>
        <v>19</v>
      </c>
      <c r="AC61" s="1">
        <f t="shared" si="6"/>
        <v>16.916666666666668</v>
      </c>
      <c r="AD61" s="1">
        <f t="shared" si="7"/>
        <v>15.75</v>
      </c>
      <c r="AE61" s="1">
        <f t="shared" si="8"/>
        <v>14.583333333333334</v>
      </c>
      <c r="AF61" s="1">
        <f t="shared" si="9"/>
        <v>13.416666666666666</v>
      </c>
      <c r="AG61" s="1">
        <f t="shared" si="10"/>
        <v>12.25</v>
      </c>
      <c r="AH61" s="1">
        <f t="shared" si="11"/>
        <v>11.083333333333334</v>
      </c>
      <c r="AI61" s="1">
        <f t="shared" si="12"/>
        <v>9.9166666666666661</v>
      </c>
      <c r="AJ61" s="1">
        <f t="shared" si="13"/>
        <v>9.8333333333333339</v>
      </c>
      <c r="AK61" s="1">
        <f t="shared" si="14"/>
        <v>9.75</v>
      </c>
      <c r="AL61" s="1">
        <f t="shared" si="15"/>
        <v>9.6666666666666661</v>
      </c>
      <c r="AM61" s="1">
        <f t="shared" si="16"/>
        <v>9.5833333333333339</v>
      </c>
      <c r="AN61" s="1">
        <f t="shared" si="17"/>
        <v>9.5</v>
      </c>
      <c r="AO61" s="1">
        <f t="shared" si="18"/>
        <v>9.4166666666666661</v>
      </c>
      <c r="AP61" s="1">
        <f t="shared" si="19"/>
        <v>9.3333333333333339</v>
      </c>
      <c r="AQ61" s="1">
        <f t="shared" si="20"/>
        <v>9.25</v>
      </c>
      <c r="AR61" s="1">
        <f t="shared" si="21"/>
        <v>9.1666666666666661</v>
      </c>
      <c r="AS61" s="1">
        <f t="shared" si="22"/>
        <v>10.166666666666666</v>
      </c>
      <c r="AT61" s="1">
        <f t="shared" si="23"/>
        <v>11.166666666666666</v>
      </c>
      <c r="AU61" s="1">
        <f t="shared" si="24"/>
        <v>12.166666666666666</v>
      </c>
      <c r="AV61" s="1">
        <f t="shared" si="25"/>
        <v>13.166666666666666</v>
      </c>
      <c r="AW61" s="1">
        <f t="shared" si="26"/>
        <v>14.166666666666666</v>
      </c>
      <c r="AX61" s="1">
        <f t="shared" si="27"/>
        <v>15.166666666666666</v>
      </c>
      <c r="AY61" s="1">
        <f t="shared" si="28"/>
        <v>16.166666666666668</v>
      </c>
      <c r="AZ61" s="1">
        <f t="shared" si="29"/>
        <v>17.166666666666668</v>
      </c>
      <c r="BA61" s="1">
        <f t="shared" si="30"/>
        <v>18.166666666666668</v>
      </c>
      <c r="BB61" s="1">
        <f t="shared" si="31"/>
        <v>18.083333333333332</v>
      </c>
    </row>
    <row r="62" spans="1:54">
      <c r="A62">
        <f t="shared" si="32"/>
        <v>61</v>
      </c>
      <c r="B62">
        <f t="shared" si="4"/>
        <v>10</v>
      </c>
      <c r="C62">
        <f t="shared" si="40"/>
        <v>21</v>
      </c>
      <c r="D62">
        <f t="shared" si="40"/>
        <v>22</v>
      </c>
      <c r="E62">
        <f t="shared" si="40"/>
        <v>23</v>
      </c>
      <c r="F62">
        <f t="shared" si="40"/>
        <v>24</v>
      </c>
      <c r="G62">
        <f t="shared" si="40"/>
        <v>25</v>
      </c>
      <c r="H62">
        <f t="shared" si="40"/>
        <v>0</v>
      </c>
      <c r="I62">
        <f t="shared" si="40"/>
        <v>1</v>
      </c>
      <c r="J62">
        <f t="shared" si="40"/>
        <v>2</v>
      </c>
      <c r="K62">
        <f t="shared" si="40"/>
        <v>3</v>
      </c>
      <c r="L62">
        <f t="shared" si="40"/>
        <v>4</v>
      </c>
      <c r="M62">
        <f t="shared" si="40"/>
        <v>5</v>
      </c>
      <c r="N62">
        <f t="shared" si="40"/>
        <v>6</v>
      </c>
      <c r="O62">
        <f t="shared" si="40"/>
        <v>7</v>
      </c>
      <c r="P62">
        <f t="shared" si="40"/>
        <v>8</v>
      </c>
      <c r="Q62">
        <f t="shared" si="40"/>
        <v>9</v>
      </c>
      <c r="R62">
        <f t="shared" si="40"/>
        <v>10</v>
      </c>
      <c r="S62">
        <f t="shared" si="39"/>
        <v>11</v>
      </c>
      <c r="T62">
        <f t="shared" si="39"/>
        <v>12</v>
      </c>
      <c r="U62">
        <f t="shared" si="39"/>
        <v>13</v>
      </c>
      <c r="V62">
        <f t="shared" si="39"/>
        <v>14</v>
      </c>
      <c r="W62">
        <f t="shared" si="39"/>
        <v>15</v>
      </c>
      <c r="X62">
        <f t="shared" si="39"/>
        <v>16</v>
      </c>
      <c r="Y62">
        <f t="shared" si="39"/>
        <v>17</v>
      </c>
      <c r="Z62">
        <f t="shared" si="39"/>
        <v>18</v>
      </c>
      <c r="AA62">
        <f t="shared" si="39"/>
        <v>19</v>
      </c>
      <c r="AB62">
        <f t="shared" si="39"/>
        <v>20</v>
      </c>
      <c r="AC62" s="1">
        <f t="shared" si="6"/>
        <v>16.125</v>
      </c>
      <c r="AD62" s="1">
        <f t="shared" si="7"/>
        <v>14.958333333333334</v>
      </c>
      <c r="AE62" s="1">
        <f t="shared" si="8"/>
        <v>13.791666666666666</v>
      </c>
      <c r="AF62" s="1">
        <f t="shared" si="9"/>
        <v>12.625</v>
      </c>
      <c r="AG62" s="1">
        <f t="shared" si="10"/>
        <v>11.458333333333334</v>
      </c>
      <c r="AH62" s="1">
        <f t="shared" si="11"/>
        <v>10.291666666666666</v>
      </c>
      <c r="AI62" s="1">
        <f t="shared" si="12"/>
        <v>10.208333333333334</v>
      </c>
      <c r="AJ62" s="1">
        <f t="shared" si="13"/>
        <v>10.125</v>
      </c>
      <c r="AK62" s="1">
        <f t="shared" si="14"/>
        <v>10.041666666666666</v>
      </c>
      <c r="AL62" s="1">
        <f t="shared" si="15"/>
        <v>9.9583333333333339</v>
      </c>
      <c r="AM62" s="1">
        <f t="shared" si="16"/>
        <v>9.875</v>
      </c>
      <c r="AN62" s="1">
        <f t="shared" si="17"/>
        <v>9.7916666666666661</v>
      </c>
      <c r="AO62" s="1">
        <f t="shared" si="18"/>
        <v>9.7083333333333339</v>
      </c>
      <c r="AP62" s="1">
        <f t="shared" si="19"/>
        <v>9.625</v>
      </c>
      <c r="AQ62" s="1">
        <f t="shared" si="20"/>
        <v>9.5416666666666661</v>
      </c>
      <c r="AR62" s="1">
        <f t="shared" si="21"/>
        <v>9.4583333333333339</v>
      </c>
      <c r="AS62" s="1">
        <f t="shared" si="22"/>
        <v>10.458333333333334</v>
      </c>
      <c r="AT62" s="1">
        <f t="shared" si="23"/>
        <v>11.458333333333334</v>
      </c>
      <c r="AU62" s="1">
        <f t="shared" si="24"/>
        <v>12.458333333333334</v>
      </c>
      <c r="AV62" s="1">
        <f t="shared" si="25"/>
        <v>13.458333333333334</v>
      </c>
      <c r="AW62" s="1">
        <f t="shared" si="26"/>
        <v>14.458333333333334</v>
      </c>
      <c r="AX62" s="1">
        <f t="shared" si="27"/>
        <v>15.458333333333334</v>
      </c>
      <c r="AY62" s="1">
        <f t="shared" si="28"/>
        <v>16.458333333333332</v>
      </c>
      <c r="AZ62" s="1">
        <f t="shared" si="29"/>
        <v>17.458333333333332</v>
      </c>
      <c r="BA62" s="1">
        <f t="shared" si="30"/>
        <v>18.458333333333332</v>
      </c>
      <c r="BB62" s="1">
        <f t="shared" si="31"/>
        <v>17.291666666666668</v>
      </c>
    </row>
    <row r="63" spans="1:54">
      <c r="A63">
        <f t="shared" si="32"/>
        <v>62</v>
      </c>
      <c r="B63">
        <f t="shared" si="4"/>
        <v>11</v>
      </c>
      <c r="C63">
        <f t="shared" si="40"/>
        <v>22</v>
      </c>
      <c r="D63">
        <f t="shared" si="40"/>
        <v>23</v>
      </c>
      <c r="E63">
        <f t="shared" si="40"/>
        <v>24</v>
      </c>
      <c r="F63">
        <f t="shared" si="40"/>
        <v>25</v>
      </c>
      <c r="G63">
        <f t="shared" si="40"/>
        <v>0</v>
      </c>
      <c r="H63">
        <f t="shared" si="40"/>
        <v>1</v>
      </c>
      <c r="I63">
        <f t="shared" si="40"/>
        <v>2</v>
      </c>
      <c r="J63">
        <f t="shared" si="40"/>
        <v>3</v>
      </c>
      <c r="K63">
        <f t="shared" si="40"/>
        <v>4</v>
      </c>
      <c r="L63">
        <f t="shared" si="40"/>
        <v>5</v>
      </c>
      <c r="M63">
        <f t="shared" si="40"/>
        <v>6</v>
      </c>
      <c r="N63">
        <f t="shared" si="40"/>
        <v>7</v>
      </c>
      <c r="O63">
        <f t="shared" si="40"/>
        <v>8</v>
      </c>
      <c r="P63">
        <f t="shared" si="40"/>
        <v>9</v>
      </c>
      <c r="Q63">
        <f t="shared" si="40"/>
        <v>10</v>
      </c>
      <c r="R63">
        <f t="shared" si="40"/>
        <v>11</v>
      </c>
      <c r="S63">
        <f t="shared" si="39"/>
        <v>12</v>
      </c>
      <c r="T63">
        <f t="shared" si="39"/>
        <v>13</v>
      </c>
      <c r="U63">
        <f t="shared" si="39"/>
        <v>14</v>
      </c>
      <c r="V63">
        <f t="shared" si="39"/>
        <v>15</v>
      </c>
      <c r="W63">
        <f t="shared" si="39"/>
        <v>16</v>
      </c>
      <c r="X63">
        <f t="shared" si="39"/>
        <v>17</v>
      </c>
      <c r="Y63">
        <f t="shared" si="39"/>
        <v>18</v>
      </c>
      <c r="Z63">
        <f t="shared" si="39"/>
        <v>19</v>
      </c>
      <c r="AA63">
        <f t="shared" si="39"/>
        <v>20</v>
      </c>
      <c r="AB63">
        <f t="shared" si="39"/>
        <v>21</v>
      </c>
      <c r="AC63" s="1">
        <f t="shared" si="6"/>
        <v>15.708333333333334</v>
      </c>
      <c r="AD63" s="1">
        <f t="shared" si="7"/>
        <v>14.541666666666666</v>
      </c>
      <c r="AE63" s="1">
        <f t="shared" si="8"/>
        <v>13.375</v>
      </c>
      <c r="AF63" s="1">
        <f t="shared" si="9"/>
        <v>12.208333333333334</v>
      </c>
      <c r="AG63" s="1">
        <f t="shared" si="10"/>
        <v>11.041666666666666</v>
      </c>
      <c r="AH63" s="1">
        <f t="shared" si="11"/>
        <v>10.958333333333334</v>
      </c>
      <c r="AI63" s="1">
        <f t="shared" si="12"/>
        <v>10.875</v>
      </c>
      <c r="AJ63" s="1">
        <f t="shared" si="13"/>
        <v>10.791666666666666</v>
      </c>
      <c r="AK63" s="1">
        <f t="shared" si="14"/>
        <v>10.708333333333334</v>
      </c>
      <c r="AL63" s="1">
        <f t="shared" si="15"/>
        <v>10.625</v>
      </c>
      <c r="AM63" s="1">
        <f t="shared" si="16"/>
        <v>10.541666666666666</v>
      </c>
      <c r="AN63" s="1">
        <f t="shared" si="17"/>
        <v>10.458333333333334</v>
      </c>
      <c r="AO63" s="1">
        <f t="shared" si="18"/>
        <v>10.375</v>
      </c>
      <c r="AP63" s="1">
        <f t="shared" si="19"/>
        <v>10.291666666666666</v>
      </c>
      <c r="AQ63" s="1">
        <f t="shared" si="20"/>
        <v>10.208333333333334</v>
      </c>
      <c r="AR63" s="1">
        <f t="shared" si="21"/>
        <v>9.0416666666666661</v>
      </c>
      <c r="AS63" s="1">
        <f t="shared" si="22"/>
        <v>10.041666666666666</v>
      </c>
      <c r="AT63" s="1">
        <f t="shared" si="23"/>
        <v>11.041666666666666</v>
      </c>
      <c r="AU63" s="1">
        <f t="shared" si="24"/>
        <v>12.041666666666666</v>
      </c>
      <c r="AV63" s="1">
        <f t="shared" si="25"/>
        <v>13.041666666666666</v>
      </c>
      <c r="AW63" s="1">
        <f t="shared" si="26"/>
        <v>14.041666666666666</v>
      </c>
      <c r="AX63" s="1">
        <f t="shared" si="27"/>
        <v>15.041666666666666</v>
      </c>
      <c r="AY63" s="1">
        <f t="shared" si="28"/>
        <v>16.041666666666668</v>
      </c>
      <c r="AZ63" s="1">
        <f t="shared" si="29"/>
        <v>17.041666666666668</v>
      </c>
      <c r="BA63" s="1">
        <f t="shared" si="30"/>
        <v>18.041666666666668</v>
      </c>
      <c r="BB63" s="1">
        <f t="shared" si="31"/>
        <v>16.875</v>
      </c>
    </row>
    <row r="64" spans="1:54">
      <c r="A64">
        <f t="shared" si="32"/>
        <v>63</v>
      </c>
      <c r="B64">
        <f t="shared" si="4"/>
        <v>12</v>
      </c>
      <c r="C64">
        <f t="shared" si="40"/>
        <v>23</v>
      </c>
      <c r="D64">
        <f t="shared" si="40"/>
        <v>24</v>
      </c>
      <c r="E64">
        <f t="shared" si="40"/>
        <v>25</v>
      </c>
      <c r="F64">
        <f t="shared" si="40"/>
        <v>0</v>
      </c>
      <c r="G64">
        <f t="shared" si="40"/>
        <v>1</v>
      </c>
      <c r="H64">
        <f t="shared" si="40"/>
        <v>2</v>
      </c>
      <c r="I64">
        <f t="shared" si="40"/>
        <v>3</v>
      </c>
      <c r="J64">
        <f t="shared" si="40"/>
        <v>4</v>
      </c>
      <c r="K64">
        <f t="shared" si="40"/>
        <v>5</v>
      </c>
      <c r="L64">
        <f t="shared" si="40"/>
        <v>6</v>
      </c>
      <c r="M64">
        <f t="shared" si="40"/>
        <v>7</v>
      </c>
      <c r="N64">
        <f t="shared" si="40"/>
        <v>8</v>
      </c>
      <c r="O64">
        <f t="shared" si="40"/>
        <v>9</v>
      </c>
      <c r="P64">
        <f t="shared" si="40"/>
        <v>10</v>
      </c>
      <c r="Q64">
        <f t="shared" si="40"/>
        <v>11</v>
      </c>
      <c r="R64">
        <f t="shared" si="40"/>
        <v>12</v>
      </c>
      <c r="S64">
        <f t="shared" si="39"/>
        <v>13</v>
      </c>
      <c r="T64">
        <f t="shared" si="39"/>
        <v>14</v>
      </c>
      <c r="U64">
        <f t="shared" si="39"/>
        <v>15</v>
      </c>
      <c r="V64">
        <f t="shared" si="39"/>
        <v>16</v>
      </c>
      <c r="W64">
        <f t="shared" si="39"/>
        <v>17</v>
      </c>
      <c r="X64">
        <f t="shared" si="39"/>
        <v>18</v>
      </c>
      <c r="Y64">
        <f t="shared" si="39"/>
        <v>19</v>
      </c>
      <c r="Z64">
        <f t="shared" si="39"/>
        <v>20</v>
      </c>
      <c r="AA64">
        <f t="shared" si="39"/>
        <v>21</v>
      </c>
      <c r="AB64">
        <f t="shared" si="39"/>
        <v>22</v>
      </c>
      <c r="AC64" s="1">
        <f t="shared" si="6"/>
        <v>15.291666666666666</v>
      </c>
      <c r="AD64" s="1">
        <f t="shared" si="7"/>
        <v>14.125</v>
      </c>
      <c r="AE64" s="1">
        <f t="shared" si="8"/>
        <v>12.958333333333334</v>
      </c>
      <c r="AF64" s="1">
        <f t="shared" si="9"/>
        <v>11.791666666666666</v>
      </c>
      <c r="AG64" s="1">
        <f t="shared" si="10"/>
        <v>11.708333333333334</v>
      </c>
      <c r="AH64" s="1">
        <f t="shared" si="11"/>
        <v>11.625</v>
      </c>
      <c r="AI64" s="1">
        <f t="shared" si="12"/>
        <v>11.541666666666666</v>
      </c>
      <c r="AJ64" s="1">
        <f t="shared" si="13"/>
        <v>11.458333333333334</v>
      </c>
      <c r="AK64" s="1">
        <f t="shared" si="14"/>
        <v>11.375</v>
      </c>
      <c r="AL64" s="1">
        <f t="shared" si="15"/>
        <v>11.291666666666666</v>
      </c>
      <c r="AM64" s="1">
        <f t="shared" si="16"/>
        <v>11.208333333333334</v>
      </c>
      <c r="AN64" s="1">
        <f t="shared" si="17"/>
        <v>11.125</v>
      </c>
      <c r="AO64" s="1">
        <f t="shared" si="18"/>
        <v>11.041666666666666</v>
      </c>
      <c r="AP64" s="1">
        <f t="shared" si="19"/>
        <v>10.958333333333334</v>
      </c>
      <c r="AQ64" s="1">
        <f t="shared" si="20"/>
        <v>9.7916666666666661</v>
      </c>
      <c r="AR64" s="1">
        <f t="shared" si="21"/>
        <v>8.625</v>
      </c>
      <c r="AS64" s="1">
        <f t="shared" si="22"/>
        <v>9.625</v>
      </c>
      <c r="AT64" s="1">
        <f t="shared" si="23"/>
        <v>10.625</v>
      </c>
      <c r="AU64" s="1">
        <f t="shared" si="24"/>
        <v>11.625</v>
      </c>
      <c r="AV64" s="1">
        <f t="shared" si="25"/>
        <v>12.625</v>
      </c>
      <c r="AW64" s="1">
        <f t="shared" si="26"/>
        <v>13.625</v>
      </c>
      <c r="AX64" s="1">
        <f t="shared" si="27"/>
        <v>14.625</v>
      </c>
      <c r="AY64" s="1">
        <f t="shared" si="28"/>
        <v>15.625</v>
      </c>
      <c r="AZ64" s="1">
        <f t="shared" si="29"/>
        <v>16.625</v>
      </c>
      <c r="BA64" s="1">
        <f t="shared" si="30"/>
        <v>17.625</v>
      </c>
      <c r="BB64" s="1">
        <f t="shared" si="31"/>
        <v>16.458333333333332</v>
      </c>
    </row>
    <row r="65" spans="1:54">
      <c r="A65">
        <f t="shared" si="32"/>
        <v>64</v>
      </c>
      <c r="B65">
        <f t="shared" si="4"/>
        <v>13</v>
      </c>
      <c r="C65">
        <f t="shared" si="40"/>
        <v>24</v>
      </c>
      <c r="D65">
        <f t="shared" si="40"/>
        <v>25</v>
      </c>
      <c r="E65">
        <f t="shared" si="40"/>
        <v>0</v>
      </c>
      <c r="F65">
        <f t="shared" si="40"/>
        <v>1</v>
      </c>
      <c r="G65">
        <f t="shared" si="40"/>
        <v>2</v>
      </c>
      <c r="H65">
        <f t="shared" si="40"/>
        <v>3</v>
      </c>
      <c r="I65">
        <f t="shared" si="40"/>
        <v>4</v>
      </c>
      <c r="J65">
        <f t="shared" si="40"/>
        <v>5</v>
      </c>
      <c r="K65">
        <f t="shared" si="40"/>
        <v>6</v>
      </c>
      <c r="L65">
        <f t="shared" si="40"/>
        <v>7</v>
      </c>
      <c r="M65">
        <f t="shared" si="40"/>
        <v>8</v>
      </c>
      <c r="N65">
        <f t="shared" si="40"/>
        <v>9</v>
      </c>
      <c r="O65">
        <f t="shared" si="40"/>
        <v>10</v>
      </c>
      <c r="P65">
        <f t="shared" si="40"/>
        <v>11</v>
      </c>
      <c r="Q65">
        <f t="shared" si="40"/>
        <v>12</v>
      </c>
      <c r="R65">
        <f t="shared" si="40"/>
        <v>13</v>
      </c>
      <c r="S65">
        <f t="shared" si="39"/>
        <v>14</v>
      </c>
      <c r="T65">
        <f t="shared" si="39"/>
        <v>15</v>
      </c>
      <c r="U65">
        <f t="shared" si="39"/>
        <v>16</v>
      </c>
      <c r="V65">
        <f t="shared" si="39"/>
        <v>17</v>
      </c>
      <c r="W65">
        <f t="shared" si="39"/>
        <v>18</v>
      </c>
      <c r="X65">
        <f t="shared" si="39"/>
        <v>19</v>
      </c>
      <c r="Y65">
        <f t="shared" si="39"/>
        <v>20</v>
      </c>
      <c r="Z65">
        <f t="shared" si="39"/>
        <v>21</v>
      </c>
      <c r="AA65">
        <f t="shared" si="39"/>
        <v>22</v>
      </c>
      <c r="AB65">
        <f t="shared" si="39"/>
        <v>23</v>
      </c>
      <c r="AC65" s="1">
        <f t="shared" si="6"/>
        <v>14.875</v>
      </c>
      <c r="AD65" s="1">
        <f t="shared" si="7"/>
        <v>13.708333333333334</v>
      </c>
      <c r="AE65" s="1">
        <f t="shared" si="8"/>
        <v>12.541666666666666</v>
      </c>
      <c r="AF65" s="1">
        <f t="shared" si="9"/>
        <v>12.458333333333334</v>
      </c>
      <c r="AG65" s="1">
        <f t="shared" si="10"/>
        <v>12.375</v>
      </c>
      <c r="AH65" s="1">
        <f t="shared" si="11"/>
        <v>12.291666666666666</v>
      </c>
      <c r="AI65" s="1">
        <f t="shared" si="12"/>
        <v>12.208333333333334</v>
      </c>
      <c r="AJ65" s="1">
        <f t="shared" si="13"/>
        <v>12.125</v>
      </c>
      <c r="AK65" s="1">
        <f t="shared" si="14"/>
        <v>12.041666666666666</v>
      </c>
      <c r="AL65" s="1">
        <f t="shared" si="15"/>
        <v>11.958333333333334</v>
      </c>
      <c r="AM65" s="1">
        <f t="shared" si="16"/>
        <v>11.875</v>
      </c>
      <c r="AN65" s="1">
        <f t="shared" si="17"/>
        <v>11.791666666666666</v>
      </c>
      <c r="AO65" s="1">
        <f t="shared" si="18"/>
        <v>11.708333333333334</v>
      </c>
      <c r="AP65" s="1">
        <f t="shared" si="19"/>
        <v>10.541666666666666</v>
      </c>
      <c r="AQ65" s="1">
        <f t="shared" si="20"/>
        <v>9.375</v>
      </c>
      <c r="AR65" s="1">
        <f t="shared" si="21"/>
        <v>8.2083333333333339</v>
      </c>
      <c r="AS65" s="1">
        <f t="shared" si="22"/>
        <v>9.2083333333333339</v>
      </c>
      <c r="AT65" s="1">
        <f t="shared" si="23"/>
        <v>10.208333333333334</v>
      </c>
      <c r="AU65" s="1">
        <f t="shared" si="24"/>
        <v>11.208333333333334</v>
      </c>
      <c r="AV65" s="1">
        <f t="shared" si="25"/>
        <v>12.208333333333334</v>
      </c>
      <c r="AW65" s="1">
        <f t="shared" si="26"/>
        <v>13.208333333333334</v>
      </c>
      <c r="AX65" s="1">
        <f t="shared" si="27"/>
        <v>14.208333333333334</v>
      </c>
      <c r="AY65" s="1">
        <f t="shared" si="28"/>
        <v>15.208333333333334</v>
      </c>
      <c r="AZ65" s="1">
        <f t="shared" si="29"/>
        <v>16.208333333333332</v>
      </c>
      <c r="BA65" s="1">
        <f t="shared" si="30"/>
        <v>17.208333333333332</v>
      </c>
      <c r="BB65" s="1">
        <f t="shared" si="31"/>
        <v>16.041666666666668</v>
      </c>
    </row>
    <row r="66" spans="1:54">
      <c r="A66">
        <f t="shared" si="32"/>
        <v>65</v>
      </c>
      <c r="B66">
        <f t="shared" si="4"/>
        <v>14</v>
      </c>
      <c r="C66">
        <f t="shared" si="40"/>
        <v>25</v>
      </c>
      <c r="D66">
        <f t="shared" si="40"/>
        <v>0</v>
      </c>
      <c r="E66">
        <f t="shared" si="40"/>
        <v>1</v>
      </c>
      <c r="F66">
        <f t="shared" si="40"/>
        <v>2</v>
      </c>
      <c r="G66">
        <f t="shared" si="40"/>
        <v>3</v>
      </c>
      <c r="H66">
        <f t="shared" si="40"/>
        <v>4</v>
      </c>
      <c r="I66">
        <f t="shared" si="40"/>
        <v>5</v>
      </c>
      <c r="J66">
        <f t="shared" si="40"/>
        <v>6</v>
      </c>
      <c r="K66">
        <f t="shared" si="40"/>
        <v>7</v>
      </c>
      <c r="L66">
        <f t="shared" si="40"/>
        <v>8</v>
      </c>
      <c r="M66">
        <f t="shared" si="40"/>
        <v>9</v>
      </c>
      <c r="N66">
        <f t="shared" si="40"/>
        <v>10</v>
      </c>
      <c r="O66">
        <f t="shared" si="40"/>
        <v>11</v>
      </c>
      <c r="P66">
        <f t="shared" si="40"/>
        <v>12</v>
      </c>
      <c r="Q66">
        <f t="shared" si="40"/>
        <v>13</v>
      </c>
      <c r="R66">
        <f t="shared" si="40"/>
        <v>14</v>
      </c>
      <c r="S66">
        <f t="shared" si="39"/>
        <v>15</v>
      </c>
      <c r="T66">
        <f t="shared" si="39"/>
        <v>16</v>
      </c>
      <c r="U66">
        <f t="shared" si="39"/>
        <v>17</v>
      </c>
      <c r="V66">
        <f t="shared" si="39"/>
        <v>18</v>
      </c>
      <c r="W66">
        <f t="shared" si="39"/>
        <v>19</v>
      </c>
      <c r="X66">
        <f t="shared" si="39"/>
        <v>20</v>
      </c>
      <c r="Y66">
        <f t="shared" si="39"/>
        <v>21</v>
      </c>
      <c r="Z66">
        <f t="shared" si="39"/>
        <v>22</v>
      </c>
      <c r="AA66">
        <f t="shared" si="39"/>
        <v>23</v>
      </c>
      <c r="AB66">
        <f t="shared" si="39"/>
        <v>24</v>
      </c>
      <c r="AC66" s="1">
        <f t="shared" si="6"/>
        <v>14.458333333333334</v>
      </c>
      <c r="AD66" s="1">
        <f t="shared" si="7"/>
        <v>13.291666666666666</v>
      </c>
      <c r="AE66" s="1">
        <f t="shared" si="8"/>
        <v>13.208333333333334</v>
      </c>
      <c r="AF66" s="1">
        <f t="shared" si="9"/>
        <v>13.125</v>
      </c>
      <c r="AG66" s="1">
        <f t="shared" si="10"/>
        <v>13.041666666666666</v>
      </c>
      <c r="AH66" s="1">
        <f t="shared" si="11"/>
        <v>12.958333333333334</v>
      </c>
      <c r="AI66" s="1">
        <f t="shared" si="12"/>
        <v>12.875</v>
      </c>
      <c r="AJ66" s="1">
        <f t="shared" si="13"/>
        <v>12.791666666666666</v>
      </c>
      <c r="AK66" s="1">
        <f t="shared" si="14"/>
        <v>12.708333333333334</v>
      </c>
      <c r="AL66" s="1">
        <f t="shared" si="15"/>
        <v>12.625</v>
      </c>
      <c r="AM66" s="1">
        <f t="shared" si="16"/>
        <v>12.541666666666666</v>
      </c>
      <c r="AN66" s="1">
        <f t="shared" si="17"/>
        <v>12.458333333333334</v>
      </c>
      <c r="AO66" s="1">
        <f t="shared" si="18"/>
        <v>11.291666666666666</v>
      </c>
      <c r="AP66" s="1">
        <f t="shared" si="19"/>
        <v>10.125</v>
      </c>
      <c r="AQ66" s="1">
        <f t="shared" si="20"/>
        <v>8.9583333333333339</v>
      </c>
      <c r="AR66" s="1">
        <f t="shared" si="21"/>
        <v>7.791666666666667</v>
      </c>
      <c r="AS66" s="1">
        <f t="shared" si="22"/>
        <v>8.7916666666666661</v>
      </c>
      <c r="AT66" s="1">
        <f t="shared" si="23"/>
        <v>9.7916666666666661</v>
      </c>
      <c r="AU66" s="1">
        <f t="shared" si="24"/>
        <v>10.791666666666666</v>
      </c>
      <c r="AV66" s="1">
        <f t="shared" si="25"/>
        <v>11.791666666666666</v>
      </c>
      <c r="AW66" s="1">
        <f t="shared" si="26"/>
        <v>12.791666666666666</v>
      </c>
      <c r="AX66" s="1">
        <f t="shared" si="27"/>
        <v>13.791666666666666</v>
      </c>
      <c r="AY66" s="1">
        <f t="shared" si="28"/>
        <v>14.791666666666666</v>
      </c>
      <c r="AZ66" s="1">
        <f t="shared" si="29"/>
        <v>15.791666666666666</v>
      </c>
      <c r="BA66" s="1">
        <f t="shared" si="30"/>
        <v>16.791666666666668</v>
      </c>
      <c r="BB66" s="1">
        <f t="shared" si="31"/>
        <v>15.625</v>
      </c>
    </row>
    <row r="67" spans="1:54">
      <c r="A67">
        <f t="shared" si="32"/>
        <v>66</v>
      </c>
      <c r="B67">
        <f t="shared" ref="B67:B100" si="41">MOD(A67,$B$1)</f>
        <v>15</v>
      </c>
      <c r="C67">
        <f t="shared" si="40"/>
        <v>0</v>
      </c>
      <c r="D67">
        <f t="shared" si="40"/>
        <v>1</v>
      </c>
      <c r="E67">
        <f t="shared" si="40"/>
        <v>2</v>
      </c>
      <c r="F67">
        <f t="shared" si="40"/>
        <v>3</v>
      </c>
      <c r="G67">
        <f t="shared" si="40"/>
        <v>4</v>
      </c>
      <c r="H67">
        <f t="shared" si="40"/>
        <v>5</v>
      </c>
      <c r="I67">
        <f t="shared" si="40"/>
        <v>6</v>
      </c>
      <c r="J67">
        <f t="shared" si="40"/>
        <v>7</v>
      </c>
      <c r="K67">
        <f t="shared" si="40"/>
        <v>8</v>
      </c>
      <c r="L67">
        <f t="shared" si="40"/>
        <v>9</v>
      </c>
      <c r="M67">
        <f t="shared" si="40"/>
        <v>10</v>
      </c>
      <c r="N67">
        <f t="shared" si="40"/>
        <v>11</v>
      </c>
      <c r="O67">
        <f t="shared" si="40"/>
        <v>12</v>
      </c>
      <c r="P67">
        <f t="shared" si="40"/>
        <v>13</v>
      </c>
      <c r="Q67">
        <f t="shared" si="40"/>
        <v>14</v>
      </c>
      <c r="R67">
        <f t="shared" si="40"/>
        <v>15</v>
      </c>
      <c r="S67">
        <f t="shared" si="39"/>
        <v>16</v>
      </c>
      <c r="T67">
        <f t="shared" si="39"/>
        <v>17</v>
      </c>
      <c r="U67">
        <f t="shared" si="39"/>
        <v>18</v>
      </c>
      <c r="V67">
        <f t="shared" si="39"/>
        <v>19</v>
      </c>
      <c r="W67">
        <f t="shared" si="39"/>
        <v>20</v>
      </c>
      <c r="X67">
        <f t="shared" si="39"/>
        <v>21</v>
      </c>
      <c r="Y67">
        <f t="shared" si="39"/>
        <v>22</v>
      </c>
      <c r="Z67">
        <f t="shared" si="39"/>
        <v>23</v>
      </c>
      <c r="AA67">
        <f t="shared" si="39"/>
        <v>24</v>
      </c>
      <c r="AB67">
        <f t="shared" si="39"/>
        <v>25</v>
      </c>
      <c r="AC67" s="1">
        <f t="shared" ref="AC67:AC77" si="42">AVERAGE(C67:C90)</f>
        <v>14.041666666666666</v>
      </c>
      <c r="AD67" s="1">
        <f t="shared" ref="AD67:AD77" si="43">AVERAGE(D67:D90)</f>
        <v>13.958333333333334</v>
      </c>
      <c r="AE67" s="1">
        <f t="shared" ref="AE67:AE77" si="44">AVERAGE(E67:E90)</f>
        <v>13.875</v>
      </c>
      <c r="AF67" s="1">
        <f t="shared" ref="AF67:AF77" si="45">AVERAGE(F67:F90)</f>
        <v>13.791666666666666</v>
      </c>
      <c r="AG67" s="1">
        <f t="shared" ref="AG67:AG77" si="46">AVERAGE(G67:G90)</f>
        <v>13.708333333333334</v>
      </c>
      <c r="AH67" s="1">
        <f t="shared" ref="AH67:AH77" si="47">AVERAGE(H67:H90)</f>
        <v>13.625</v>
      </c>
      <c r="AI67" s="1">
        <f t="shared" ref="AI67:AI77" si="48">AVERAGE(I67:I90)</f>
        <v>13.541666666666666</v>
      </c>
      <c r="AJ67" s="1">
        <f t="shared" ref="AJ67:AJ77" si="49">AVERAGE(J67:J90)</f>
        <v>13.458333333333334</v>
      </c>
      <c r="AK67" s="1">
        <f t="shared" ref="AK67:AK77" si="50">AVERAGE(K67:K90)</f>
        <v>13.375</v>
      </c>
      <c r="AL67" s="1">
        <f t="shared" ref="AL67:AL77" si="51">AVERAGE(L67:L90)</f>
        <v>13.291666666666666</v>
      </c>
      <c r="AM67" s="1">
        <f t="shared" ref="AM67:AM77" si="52">AVERAGE(M67:M90)</f>
        <v>13.208333333333334</v>
      </c>
      <c r="AN67" s="1">
        <f t="shared" ref="AN67:AN77" si="53">AVERAGE(N67:N90)</f>
        <v>12.041666666666666</v>
      </c>
      <c r="AO67" s="1">
        <f t="shared" ref="AO67:AO77" si="54">AVERAGE(O67:O90)</f>
        <v>10.875</v>
      </c>
      <c r="AP67" s="1">
        <f t="shared" ref="AP67:AP77" si="55">AVERAGE(P67:P90)</f>
        <v>9.7083333333333339</v>
      </c>
      <c r="AQ67" s="1">
        <f t="shared" ref="AQ67:AQ77" si="56">AVERAGE(Q67:Q90)</f>
        <v>8.5416666666666661</v>
      </c>
      <c r="AR67" s="1">
        <f t="shared" ref="AR67:AR77" si="57">AVERAGE(R67:R90)</f>
        <v>7.375</v>
      </c>
      <c r="AS67" s="1">
        <f t="shared" ref="AS67:AS77" si="58">AVERAGE(S67:S90)</f>
        <v>8.375</v>
      </c>
      <c r="AT67" s="1">
        <f t="shared" ref="AT67:AT77" si="59">AVERAGE(T67:T90)</f>
        <v>9.375</v>
      </c>
      <c r="AU67" s="1">
        <f t="shared" ref="AU67:AU77" si="60">AVERAGE(U67:U90)</f>
        <v>10.375</v>
      </c>
      <c r="AV67" s="1">
        <f t="shared" ref="AV67:AV77" si="61">AVERAGE(V67:V90)</f>
        <v>11.375</v>
      </c>
      <c r="AW67" s="1">
        <f t="shared" ref="AW67:AW77" si="62">AVERAGE(W67:W90)</f>
        <v>12.375</v>
      </c>
      <c r="AX67" s="1">
        <f t="shared" ref="AX67:AX77" si="63">AVERAGE(X67:X90)</f>
        <v>13.375</v>
      </c>
      <c r="AY67" s="1">
        <f t="shared" ref="AY67:AY77" si="64">AVERAGE(Y67:Y90)</f>
        <v>14.375</v>
      </c>
      <c r="AZ67" s="1">
        <f t="shared" ref="AZ67:AZ77" si="65">AVERAGE(Z67:Z90)</f>
        <v>15.375</v>
      </c>
      <c r="BA67" s="1">
        <f t="shared" ref="BA67:BA77" si="66">AVERAGE(AA67:AA90)</f>
        <v>16.375</v>
      </c>
      <c r="BB67" s="1">
        <f t="shared" ref="BB67:BB77" si="67">AVERAGE(AB67:AB90)</f>
        <v>15.208333333333334</v>
      </c>
    </row>
    <row r="68" spans="1:54">
      <c r="A68">
        <f t="shared" ref="A68:A100" si="68">1+A67</f>
        <v>67</v>
      </c>
      <c r="B68">
        <f t="shared" si="41"/>
        <v>16</v>
      </c>
      <c r="C68">
        <f t="shared" si="40"/>
        <v>1</v>
      </c>
      <c r="D68">
        <f t="shared" si="40"/>
        <v>2</v>
      </c>
      <c r="E68">
        <f t="shared" si="40"/>
        <v>3</v>
      </c>
      <c r="F68">
        <f t="shared" si="40"/>
        <v>4</v>
      </c>
      <c r="G68">
        <f t="shared" si="40"/>
        <v>5</v>
      </c>
      <c r="H68">
        <f t="shared" si="40"/>
        <v>6</v>
      </c>
      <c r="I68">
        <f t="shared" si="40"/>
        <v>7</v>
      </c>
      <c r="J68">
        <f t="shared" si="40"/>
        <v>8</v>
      </c>
      <c r="K68">
        <f t="shared" si="40"/>
        <v>9</v>
      </c>
      <c r="L68">
        <f t="shared" si="40"/>
        <v>10</v>
      </c>
      <c r="M68">
        <f t="shared" si="40"/>
        <v>11</v>
      </c>
      <c r="N68">
        <f t="shared" si="40"/>
        <v>12</v>
      </c>
      <c r="O68">
        <f t="shared" si="40"/>
        <v>13</v>
      </c>
      <c r="P68">
        <f t="shared" si="40"/>
        <v>14</v>
      </c>
      <c r="Q68">
        <f t="shared" si="40"/>
        <v>15</v>
      </c>
      <c r="R68">
        <f t="shared" si="40"/>
        <v>16</v>
      </c>
      <c r="S68">
        <f t="shared" si="39"/>
        <v>17</v>
      </c>
      <c r="T68">
        <f t="shared" si="39"/>
        <v>18</v>
      </c>
      <c r="U68">
        <f t="shared" si="39"/>
        <v>19</v>
      </c>
      <c r="V68">
        <f t="shared" si="39"/>
        <v>20</v>
      </c>
      <c r="W68">
        <f t="shared" si="39"/>
        <v>21</v>
      </c>
      <c r="X68">
        <f t="shared" si="39"/>
        <v>22</v>
      </c>
      <c r="Y68">
        <f t="shared" si="39"/>
        <v>23</v>
      </c>
      <c r="Z68">
        <f t="shared" si="39"/>
        <v>24</v>
      </c>
      <c r="AA68">
        <f t="shared" si="39"/>
        <v>25</v>
      </c>
      <c r="AB68">
        <f t="shared" si="39"/>
        <v>0</v>
      </c>
      <c r="AC68" s="1">
        <f t="shared" si="42"/>
        <v>14.708333333333334</v>
      </c>
      <c r="AD68" s="1">
        <f t="shared" si="43"/>
        <v>14.625</v>
      </c>
      <c r="AE68" s="1">
        <f t="shared" si="44"/>
        <v>14.541666666666666</v>
      </c>
      <c r="AF68" s="1">
        <f t="shared" si="45"/>
        <v>14.458333333333334</v>
      </c>
      <c r="AG68" s="1">
        <f t="shared" si="46"/>
        <v>14.375</v>
      </c>
      <c r="AH68" s="1">
        <f t="shared" si="47"/>
        <v>14.291666666666666</v>
      </c>
      <c r="AI68" s="1">
        <f t="shared" si="48"/>
        <v>14.208333333333334</v>
      </c>
      <c r="AJ68" s="1">
        <f t="shared" si="49"/>
        <v>14.125</v>
      </c>
      <c r="AK68" s="1">
        <f t="shared" si="50"/>
        <v>14.041666666666666</v>
      </c>
      <c r="AL68" s="1">
        <f t="shared" si="51"/>
        <v>13.958333333333334</v>
      </c>
      <c r="AM68" s="1">
        <f t="shared" si="52"/>
        <v>12.791666666666666</v>
      </c>
      <c r="AN68" s="1">
        <f t="shared" si="53"/>
        <v>11.625</v>
      </c>
      <c r="AO68" s="1">
        <f t="shared" si="54"/>
        <v>10.458333333333334</v>
      </c>
      <c r="AP68" s="1">
        <f t="shared" si="55"/>
        <v>9.2916666666666661</v>
      </c>
      <c r="AQ68" s="1">
        <f t="shared" si="56"/>
        <v>8.125</v>
      </c>
      <c r="AR68" s="1">
        <f t="shared" si="57"/>
        <v>6.958333333333333</v>
      </c>
      <c r="AS68" s="1">
        <f t="shared" si="58"/>
        <v>7.958333333333333</v>
      </c>
      <c r="AT68" s="1">
        <f t="shared" si="59"/>
        <v>8.9583333333333339</v>
      </c>
      <c r="AU68" s="1">
        <f t="shared" si="60"/>
        <v>9.9583333333333339</v>
      </c>
      <c r="AV68" s="1">
        <f t="shared" si="61"/>
        <v>10.958333333333334</v>
      </c>
      <c r="AW68" s="1">
        <f t="shared" si="62"/>
        <v>11.958333333333334</v>
      </c>
      <c r="AX68" s="1">
        <f t="shared" si="63"/>
        <v>12.958333333333334</v>
      </c>
      <c r="AY68" s="1">
        <f t="shared" si="64"/>
        <v>13.958333333333334</v>
      </c>
      <c r="AZ68" s="1">
        <f t="shared" si="65"/>
        <v>14.958333333333334</v>
      </c>
      <c r="BA68" s="1">
        <f t="shared" si="66"/>
        <v>15.958333333333334</v>
      </c>
      <c r="BB68" s="1">
        <f t="shared" si="67"/>
        <v>14.791666666666666</v>
      </c>
    </row>
    <row r="69" spans="1:54">
      <c r="A69">
        <f t="shared" si="68"/>
        <v>68</v>
      </c>
      <c r="B69">
        <f t="shared" si="41"/>
        <v>0</v>
      </c>
      <c r="C69">
        <f t="shared" si="40"/>
        <v>11</v>
      </c>
      <c r="D69">
        <f t="shared" si="40"/>
        <v>12</v>
      </c>
      <c r="E69">
        <f t="shared" si="40"/>
        <v>13</v>
      </c>
      <c r="F69">
        <f t="shared" si="40"/>
        <v>14</v>
      </c>
      <c r="G69">
        <f t="shared" si="40"/>
        <v>15</v>
      </c>
      <c r="H69">
        <f t="shared" si="40"/>
        <v>16</v>
      </c>
      <c r="I69">
        <f t="shared" si="40"/>
        <v>17</v>
      </c>
      <c r="J69">
        <f t="shared" si="40"/>
        <v>18</v>
      </c>
      <c r="K69">
        <f t="shared" si="40"/>
        <v>19</v>
      </c>
      <c r="L69">
        <f t="shared" si="40"/>
        <v>20</v>
      </c>
      <c r="M69">
        <f t="shared" si="40"/>
        <v>21</v>
      </c>
      <c r="N69">
        <f t="shared" si="40"/>
        <v>22</v>
      </c>
      <c r="O69">
        <f t="shared" si="40"/>
        <v>23</v>
      </c>
      <c r="P69">
        <f t="shared" si="40"/>
        <v>24</v>
      </c>
      <c r="Q69">
        <f t="shared" si="40"/>
        <v>25</v>
      </c>
      <c r="R69">
        <f t="shared" si="40"/>
        <v>0</v>
      </c>
      <c r="S69">
        <f t="shared" si="39"/>
        <v>1</v>
      </c>
      <c r="T69">
        <f t="shared" si="39"/>
        <v>2</v>
      </c>
      <c r="U69">
        <f t="shared" si="39"/>
        <v>3</v>
      </c>
      <c r="V69">
        <f t="shared" si="39"/>
        <v>4</v>
      </c>
      <c r="W69">
        <f t="shared" si="39"/>
        <v>5</v>
      </c>
      <c r="X69">
        <f t="shared" si="39"/>
        <v>6</v>
      </c>
      <c r="Y69">
        <f t="shared" si="39"/>
        <v>7</v>
      </c>
      <c r="Z69">
        <f t="shared" si="39"/>
        <v>8</v>
      </c>
      <c r="AA69">
        <f t="shared" si="39"/>
        <v>9</v>
      </c>
      <c r="AB69">
        <f t="shared" si="39"/>
        <v>10</v>
      </c>
      <c r="AC69" s="1">
        <f t="shared" si="42"/>
        <v>15.375</v>
      </c>
      <c r="AD69" s="1">
        <f t="shared" si="43"/>
        <v>15.291666666666666</v>
      </c>
      <c r="AE69" s="1">
        <f t="shared" si="44"/>
        <v>15.208333333333334</v>
      </c>
      <c r="AF69" s="1">
        <f t="shared" si="45"/>
        <v>15.125</v>
      </c>
      <c r="AG69" s="1">
        <f t="shared" si="46"/>
        <v>15.041666666666666</v>
      </c>
      <c r="AH69" s="1">
        <f t="shared" si="47"/>
        <v>14.958333333333334</v>
      </c>
      <c r="AI69" s="1">
        <f t="shared" si="48"/>
        <v>14.875</v>
      </c>
      <c r="AJ69" s="1">
        <f t="shared" si="49"/>
        <v>14.791666666666666</v>
      </c>
      <c r="AK69" s="1">
        <f t="shared" si="50"/>
        <v>14.708333333333334</v>
      </c>
      <c r="AL69" s="1">
        <f t="shared" si="51"/>
        <v>13.541666666666666</v>
      </c>
      <c r="AM69" s="1">
        <f t="shared" si="52"/>
        <v>12.375</v>
      </c>
      <c r="AN69" s="1">
        <f t="shared" si="53"/>
        <v>11.208333333333334</v>
      </c>
      <c r="AO69" s="1">
        <f t="shared" si="54"/>
        <v>10.041666666666666</v>
      </c>
      <c r="AP69" s="1">
        <f t="shared" si="55"/>
        <v>8.875</v>
      </c>
      <c r="AQ69" s="1">
        <f t="shared" si="56"/>
        <v>7.708333333333333</v>
      </c>
      <c r="AR69" s="1">
        <f t="shared" si="57"/>
        <v>6.541666666666667</v>
      </c>
      <c r="AS69" s="1">
        <f t="shared" si="58"/>
        <v>7.541666666666667</v>
      </c>
      <c r="AT69" s="1">
        <f t="shared" si="59"/>
        <v>8.5416666666666661</v>
      </c>
      <c r="AU69" s="1">
        <f t="shared" si="60"/>
        <v>9.5416666666666661</v>
      </c>
      <c r="AV69" s="1">
        <f t="shared" si="61"/>
        <v>10.541666666666666</v>
      </c>
      <c r="AW69" s="1">
        <f t="shared" si="62"/>
        <v>11.541666666666666</v>
      </c>
      <c r="AX69" s="1">
        <f t="shared" si="63"/>
        <v>12.541666666666666</v>
      </c>
      <c r="AY69" s="1">
        <f t="shared" si="64"/>
        <v>13.541666666666666</v>
      </c>
      <c r="AZ69" s="1">
        <f t="shared" si="65"/>
        <v>14.541666666666666</v>
      </c>
      <c r="BA69" s="1">
        <f t="shared" si="66"/>
        <v>15.541666666666666</v>
      </c>
      <c r="BB69" s="1">
        <f t="shared" si="67"/>
        <v>15.458333333333334</v>
      </c>
    </row>
    <row r="70" spans="1:54">
      <c r="A70">
        <f t="shared" si="68"/>
        <v>69</v>
      </c>
      <c r="B70">
        <f t="shared" si="41"/>
        <v>1</v>
      </c>
      <c r="C70">
        <f t="shared" si="40"/>
        <v>12</v>
      </c>
      <c r="D70">
        <f t="shared" si="40"/>
        <v>13</v>
      </c>
      <c r="E70">
        <f t="shared" si="40"/>
        <v>14</v>
      </c>
      <c r="F70">
        <f t="shared" si="40"/>
        <v>15</v>
      </c>
      <c r="G70">
        <f t="shared" si="40"/>
        <v>16</v>
      </c>
      <c r="H70">
        <f t="shared" si="40"/>
        <v>17</v>
      </c>
      <c r="I70">
        <f t="shared" si="40"/>
        <v>18</v>
      </c>
      <c r="J70">
        <f t="shared" si="40"/>
        <v>19</v>
      </c>
      <c r="K70">
        <f t="shared" si="40"/>
        <v>20</v>
      </c>
      <c r="L70">
        <f t="shared" si="40"/>
        <v>21</v>
      </c>
      <c r="M70">
        <f t="shared" si="40"/>
        <v>22</v>
      </c>
      <c r="N70">
        <f t="shared" si="40"/>
        <v>23</v>
      </c>
      <c r="O70">
        <f t="shared" si="40"/>
        <v>24</v>
      </c>
      <c r="P70">
        <f t="shared" si="40"/>
        <v>25</v>
      </c>
      <c r="Q70">
        <f t="shared" si="40"/>
        <v>0</v>
      </c>
      <c r="R70">
        <f t="shared" si="40"/>
        <v>1</v>
      </c>
      <c r="S70">
        <f t="shared" si="39"/>
        <v>2</v>
      </c>
      <c r="T70">
        <f t="shared" si="39"/>
        <v>3</v>
      </c>
      <c r="U70">
        <f t="shared" si="39"/>
        <v>4</v>
      </c>
      <c r="V70">
        <f t="shared" si="39"/>
        <v>5</v>
      </c>
      <c r="W70">
        <f t="shared" si="39"/>
        <v>6</v>
      </c>
      <c r="X70">
        <f t="shared" si="39"/>
        <v>7</v>
      </c>
      <c r="Y70">
        <f t="shared" si="39"/>
        <v>8</v>
      </c>
      <c r="Z70">
        <f t="shared" si="39"/>
        <v>9</v>
      </c>
      <c r="AA70">
        <f t="shared" si="39"/>
        <v>10</v>
      </c>
      <c r="AB70">
        <f t="shared" si="39"/>
        <v>11</v>
      </c>
      <c r="AC70" s="1">
        <f t="shared" si="42"/>
        <v>15.666666666666666</v>
      </c>
      <c r="AD70" s="1">
        <f t="shared" si="43"/>
        <v>15.583333333333334</v>
      </c>
      <c r="AE70" s="1">
        <f t="shared" si="44"/>
        <v>15.5</v>
      </c>
      <c r="AF70" s="1">
        <f t="shared" si="45"/>
        <v>15.416666666666666</v>
      </c>
      <c r="AG70" s="1">
        <f t="shared" si="46"/>
        <v>15.333333333333334</v>
      </c>
      <c r="AH70" s="1">
        <f t="shared" si="47"/>
        <v>15.25</v>
      </c>
      <c r="AI70" s="1">
        <f t="shared" si="48"/>
        <v>15.166666666666666</v>
      </c>
      <c r="AJ70" s="1">
        <f t="shared" si="49"/>
        <v>15.083333333333334</v>
      </c>
      <c r="AK70" s="1">
        <f t="shared" si="50"/>
        <v>13.916666666666666</v>
      </c>
      <c r="AL70" s="1">
        <f t="shared" si="51"/>
        <v>12.75</v>
      </c>
      <c r="AM70" s="1">
        <f t="shared" si="52"/>
        <v>11.583333333333334</v>
      </c>
      <c r="AN70" s="1">
        <f t="shared" si="53"/>
        <v>10.416666666666666</v>
      </c>
      <c r="AO70" s="1">
        <f t="shared" si="54"/>
        <v>9.25</v>
      </c>
      <c r="AP70" s="1">
        <f t="shared" si="55"/>
        <v>8.0833333333333339</v>
      </c>
      <c r="AQ70" s="1">
        <f t="shared" si="56"/>
        <v>6.916666666666667</v>
      </c>
      <c r="AR70" s="1">
        <f t="shared" si="57"/>
        <v>6.833333333333333</v>
      </c>
      <c r="AS70" s="1">
        <f t="shared" si="58"/>
        <v>7.833333333333333</v>
      </c>
      <c r="AT70" s="1">
        <f t="shared" si="59"/>
        <v>8.8333333333333339</v>
      </c>
      <c r="AU70" s="1">
        <f t="shared" si="60"/>
        <v>9.8333333333333339</v>
      </c>
      <c r="AV70" s="1">
        <f t="shared" si="61"/>
        <v>10.833333333333334</v>
      </c>
      <c r="AW70" s="1">
        <f t="shared" si="62"/>
        <v>11.833333333333334</v>
      </c>
      <c r="AX70" s="1">
        <f t="shared" si="63"/>
        <v>12.833333333333334</v>
      </c>
      <c r="AY70" s="1">
        <f t="shared" si="64"/>
        <v>13.833333333333334</v>
      </c>
      <c r="AZ70" s="1">
        <f t="shared" si="65"/>
        <v>14.833333333333334</v>
      </c>
      <c r="BA70" s="1">
        <f t="shared" si="66"/>
        <v>15.833333333333334</v>
      </c>
      <c r="BB70" s="1">
        <f t="shared" si="67"/>
        <v>15.75</v>
      </c>
    </row>
    <row r="71" spans="1:54">
      <c r="A71">
        <f t="shared" si="68"/>
        <v>70</v>
      </c>
      <c r="B71">
        <f t="shared" si="41"/>
        <v>2</v>
      </c>
      <c r="C71">
        <f t="shared" si="40"/>
        <v>13</v>
      </c>
      <c r="D71">
        <f t="shared" si="40"/>
        <v>14</v>
      </c>
      <c r="E71">
        <f t="shared" si="40"/>
        <v>15</v>
      </c>
      <c r="F71">
        <f t="shared" si="40"/>
        <v>16</v>
      </c>
      <c r="G71">
        <f t="shared" si="40"/>
        <v>17</v>
      </c>
      <c r="H71">
        <f t="shared" si="40"/>
        <v>18</v>
      </c>
      <c r="I71">
        <f t="shared" si="40"/>
        <v>19</v>
      </c>
      <c r="J71">
        <f t="shared" si="40"/>
        <v>20</v>
      </c>
      <c r="K71">
        <f t="shared" si="40"/>
        <v>21</v>
      </c>
      <c r="L71">
        <f t="shared" si="40"/>
        <v>22</v>
      </c>
      <c r="M71">
        <f t="shared" si="40"/>
        <v>23</v>
      </c>
      <c r="N71">
        <f t="shared" si="40"/>
        <v>24</v>
      </c>
      <c r="O71">
        <f t="shared" si="40"/>
        <v>25</v>
      </c>
      <c r="P71">
        <f t="shared" si="40"/>
        <v>0</v>
      </c>
      <c r="Q71">
        <f t="shared" si="40"/>
        <v>1</v>
      </c>
      <c r="R71">
        <f t="shared" si="40"/>
        <v>2</v>
      </c>
      <c r="S71">
        <f t="shared" si="39"/>
        <v>3</v>
      </c>
      <c r="T71">
        <f t="shared" si="39"/>
        <v>4</v>
      </c>
      <c r="U71">
        <f t="shared" si="39"/>
        <v>5</v>
      </c>
      <c r="V71">
        <f t="shared" si="39"/>
        <v>6</v>
      </c>
      <c r="W71">
        <f t="shared" si="39"/>
        <v>7</v>
      </c>
      <c r="X71">
        <f t="shared" si="39"/>
        <v>8</v>
      </c>
      <c r="Y71">
        <f t="shared" si="39"/>
        <v>9</v>
      </c>
      <c r="Z71">
        <f t="shared" si="39"/>
        <v>10</v>
      </c>
      <c r="AA71">
        <f t="shared" si="39"/>
        <v>11</v>
      </c>
      <c r="AB71">
        <f t="shared" si="39"/>
        <v>12</v>
      </c>
      <c r="AC71" s="1">
        <f t="shared" si="42"/>
        <v>15.958333333333334</v>
      </c>
      <c r="AD71" s="1">
        <f t="shared" si="43"/>
        <v>15.875</v>
      </c>
      <c r="AE71" s="1">
        <f t="shared" si="44"/>
        <v>15.791666666666666</v>
      </c>
      <c r="AF71" s="1">
        <f t="shared" si="45"/>
        <v>15.708333333333334</v>
      </c>
      <c r="AG71" s="1">
        <f t="shared" si="46"/>
        <v>15.625</v>
      </c>
      <c r="AH71" s="1">
        <f t="shared" si="47"/>
        <v>15.541666666666666</v>
      </c>
      <c r="AI71" s="1">
        <f t="shared" si="48"/>
        <v>15.458333333333334</v>
      </c>
      <c r="AJ71" s="1">
        <f t="shared" si="49"/>
        <v>14.291666666666666</v>
      </c>
      <c r="AK71" s="1">
        <f t="shared" si="50"/>
        <v>13.125</v>
      </c>
      <c r="AL71" s="1">
        <f t="shared" si="51"/>
        <v>11.958333333333334</v>
      </c>
      <c r="AM71" s="1">
        <f t="shared" si="52"/>
        <v>10.791666666666666</v>
      </c>
      <c r="AN71" s="1">
        <f t="shared" si="53"/>
        <v>9.625</v>
      </c>
      <c r="AO71" s="1">
        <f t="shared" si="54"/>
        <v>8.4583333333333339</v>
      </c>
      <c r="AP71" s="1">
        <f t="shared" si="55"/>
        <v>7.291666666666667</v>
      </c>
      <c r="AQ71" s="1">
        <f t="shared" si="56"/>
        <v>7.208333333333333</v>
      </c>
      <c r="AR71" s="1">
        <f t="shared" si="57"/>
        <v>7.125</v>
      </c>
      <c r="AS71" s="1">
        <f t="shared" si="58"/>
        <v>8.125</v>
      </c>
      <c r="AT71" s="1">
        <f t="shared" si="59"/>
        <v>9.125</v>
      </c>
      <c r="AU71" s="1">
        <f t="shared" si="60"/>
        <v>10.125</v>
      </c>
      <c r="AV71" s="1">
        <f t="shared" si="61"/>
        <v>11.125</v>
      </c>
      <c r="AW71" s="1">
        <f t="shared" si="62"/>
        <v>12.125</v>
      </c>
      <c r="AX71" s="1">
        <f t="shared" si="63"/>
        <v>13.125</v>
      </c>
      <c r="AY71" s="1">
        <f t="shared" si="64"/>
        <v>14.125</v>
      </c>
      <c r="AZ71" s="1">
        <f t="shared" si="65"/>
        <v>15.125</v>
      </c>
      <c r="BA71" s="1">
        <f t="shared" si="66"/>
        <v>16.125</v>
      </c>
      <c r="BB71" s="1">
        <f t="shared" si="67"/>
        <v>16.041666666666668</v>
      </c>
    </row>
    <row r="72" spans="1:54">
      <c r="A72">
        <f t="shared" si="68"/>
        <v>71</v>
      </c>
      <c r="B72">
        <f t="shared" si="41"/>
        <v>3</v>
      </c>
      <c r="C72">
        <f t="shared" si="40"/>
        <v>14</v>
      </c>
      <c r="D72">
        <f t="shared" si="40"/>
        <v>15</v>
      </c>
      <c r="E72">
        <f t="shared" si="40"/>
        <v>16</v>
      </c>
      <c r="F72">
        <f t="shared" si="40"/>
        <v>17</v>
      </c>
      <c r="G72">
        <f t="shared" si="40"/>
        <v>18</v>
      </c>
      <c r="H72">
        <f t="shared" si="40"/>
        <v>19</v>
      </c>
      <c r="I72">
        <f t="shared" si="40"/>
        <v>20</v>
      </c>
      <c r="J72">
        <f t="shared" si="40"/>
        <v>21</v>
      </c>
      <c r="K72">
        <f t="shared" si="40"/>
        <v>22</v>
      </c>
      <c r="L72">
        <f t="shared" si="40"/>
        <v>23</v>
      </c>
      <c r="M72">
        <f t="shared" si="40"/>
        <v>24</v>
      </c>
      <c r="N72">
        <f t="shared" si="40"/>
        <v>25</v>
      </c>
      <c r="O72">
        <f t="shared" si="40"/>
        <v>0</v>
      </c>
      <c r="P72">
        <f t="shared" si="40"/>
        <v>1</v>
      </c>
      <c r="Q72">
        <f t="shared" si="40"/>
        <v>2</v>
      </c>
      <c r="R72">
        <f t="shared" si="40"/>
        <v>3</v>
      </c>
      <c r="S72">
        <f t="shared" si="39"/>
        <v>4</v>
      </c>
      <c r="T72">
        <f t="shared" si="39"/>
        <v>5</v>
      </c>
      <c r="U72">
        <f t="shared" si="39"/>
        <v>6</v>
      </c>
      <c r="V72">
        <f t="shared" si="39"/>
        <v>7</v>
      </c>
      <c r="W72">
        <f t="shared" si="39"/>
        <v>8</v>
      </c>
      <c r="X72">
        <f t="shared" si="39"/>
        <v>9</v>
      </c>
      <c r="Y72">
        <f t="shared" si="39"/>
        <v>10</v>
      </c>
      <c r="Z72">
        <f t="shared" si="39"/>
        <v>11</v>
      </c>
      <c r="AA72">
        <f t="shared" si="39"/>
        <v>12</v>
      </c>
      <c r="AB72">
        <f t="shared" si="39"/>
        <v>13</v>
      </c>
      <c r="AC72" s="1">
        <f t="shared" si="42"/>
        <v>16.25</v>
      </c>
      <c r="AD72" s="1">
        <f t="shared" si="43"/>
        <v>16.166666666666668</v>
      </c>
      <c r="AE72" s="1">
        <f t="shared" si="44"/>
        <v>16.083333333333332</v>
      </c>
      <c r="AF72" s="1">
        <f t="shared" si="45"/>
        <v>16</v>
      </c>
      <c r="AG72" s="1">
        <f t="shared" si="46"/>
        <v>15.916666666666666</v>
      </c>
      <c r="AH72" s="1">
        <f t="shared" si="47"/>
        <v>15.833333333333334</v>
      </c>
      <c r="AI72" s="1">
        <f t="shared" si="48"/>
        <v>14.666666666666666</v>
      </c>
      <c r="AJ72" s="1">
        <f t="shared" si="49"/>
        <v>13.5</v>
      </c>
      <c r="AK72" s="1">
        <f t="shared" si="50"/>
        <v>12.333333333333334</v>
      </c>
      <c r="AL72" s="1">
        <f t="shared" si="51"/>
        <v>11.166666666666666</v>
      </c>
      <c r="AM72" s="1">
        <f t="shared" si="52"/>
        <v>10</v>
      </c>
      <c r="AN72" s="1">
        <f t="shared" si="53"/>
        <v>8.8333333333333339</v>
      </c>
      <c r="AO72" s="1">
        <f t="shared" si="54"/>
        <v>7.666666666666667</v>
      </c>
      <c r="AP72" s="1">
        <f t="shared" si="55"/>
        <v>7.583333333333333</v>
      </c>
      <c r="AQ72" s="1">
        <f t="shared" si="56"/>
        <v>7.5</v>
      </c>
      <c r="AR72" s="1">
        <f t="shared" si="57"/>
        <v>7.416666666666667</v>
      </c>
      <c r="AS72" s="1">
        <f t="shared" si="58"/>
        <v>8.4166666666666661</v>
      </c>
      <c r="AT72" s="1">
        <f t="shared" si="59"/>
        <v>9.4166666666666661</v>
      </c>
      <c r="AU72" s="1">
        <f t="shared" si="60"/>
        <v>10.416666666666666</v>
      </c>
      <c r="AV72" s="1">
        <f t="shared" si="61"/>
        <v>11.416666666666666</v>
      </c>
      <c r="AW72" s="1">
        <f t="shared" si="62"/>
        <v>12.416666666666666</v>
      </c>
      <c r="AX72" s="1">
        <f t="shared" si="63"/>
        <v>13.416666666666666</v>
      </c>
      <c r="AY72" s="1">
        <f t="shared" si="64"/>
        <v>14.416666666666666</v>
      </c>
      <c r="AZ72" s="1">
        <f t="shared" si="65"/>
        <v>15.416666666666666</v>
      </c>
      <c r="BA72" s="1">
        <f t="shared" si="66"/>
        <v>16.416666666666668</v>
      </c>
      <c r="BB72" s="1">
        <f t="shared" si="67"/>
        <v>16.333333333333332</v>
      </c>
    </row>
    <row r="73" spans="1:54">
      <c r="A73">
        <f t="shared" si="68"/>
        <v>72</v>
      </c>
      <c r="B73">
        <f t="shared" si="41"/>
        <v>4</v>
      </c>
      <c r="C73">
        <f t="shared" si="40"/>
        <v>15</v>
      </c>
      <c r="D73">
        <f t="shared" si="40"/>
        <v>16</v>
      </c>
      <c r="E73">
        <f t="shared" si="40"/>
        <v>17</v>
      </c>
      <c r="F73">
        <f t="shared" si="40"/>
        <v>18</v>
      </c>
      <c r="G73">
        <f t="shared" si="40"/>
        <v>19</v>
      </c>
      <c r="H73">
        <f t="shared" si="40"/>
        <v>20</v>
      </c>
      <c r="I73">
        <f t="shared" si="40"/>
        <v>21</v>
      </c>
      <c r="J73">
        <f t="shared" si="40"/>
        <v>22</v>
      </c>
      <c r="K73">
        <f t="shared" si="40"/>
        <v>23</v>
      </c>
      <c r="L73">
        <f t="shared" si="40"/>
        <v>24</v>
      </c>
      <c r="M73">
        <f t="shared" si="40"/>
        <v>25</v>
      </c>
      <c r="N73">
        <f t="shared" si="40"/>
        <v>0</v>
      </c>
      <c r="O73">
        <f t="shared" si="40"/>
        <v>1</v>
      </c>
      <c r="P73">
        <f t="shared" si="40"/>
        <v>2</v>
      </c>
      <c r="Q73">
        <f t="shared" si="40"/>
        <v>3</v>
      </c>
      <c r="R73">
        <f t="shared" si="40"/>
        <v>4</v>
      </c>
      <c r="S73">
        <f t="shared" si="39"/>
        <v>5</v>
      </c>
      <c r="T73">
        <f t="shared" si="39"/>
        <v>6</v>
      </c>
      <c r="U73">
        <f t="shared" si="39"/>
        <v>7</v>
      </c>
      <c r="V73">
        <f t="shared" si="39"/>
        <v>8</v>
      </c>
      <c r="W73">
        <f t="shared" si="39"/>
        <v>9</v>
      </c>
      <c r="X73">
        <f t="shared" si="39"/>
        <v>10</v>
      </c>
      <c r="Y73">
        <f t="shared" si="39"/>
        <v>11</v>
      </c>
      <c r="Z73">
        <f t="shared" si="39"/>
        <v>12</v>
      </c>
      <c r="AA73">
        <f t="shared" si="39"/>
        <v>13</v>
      </c>
      <c r="AB73">
        <f t="shared" si="39"/>
        <v>14</v>
      </c>
      <c r="AC73" s="1">
        <f t="shared" si="42"/>
        <v>16.541666666666668</v>
      </c>
      <c r="AD73" s="1">
        <f t="shared" si="43"/>
        <v>16.458333333333332</v>
      </c>
      <c r="AE73" s="1">
        <f t="shared" si="44"/>
        <v>16.375</v>
      </c>
      <c r="AF73" s="1">
        <f t="shared" si="45"/>
        <v>16.291666666666668</v>
      </c>
      <c r="AG73" s="1">
        <f t="shared" si="46"/>
        <v>16.208333333333332</v>
      </c>
      <c r="AH73" s="1">
        <f t="shared" si="47"/>
        <v>15.041666666666666</v>
      </c>
      <c r="AI73" s="1">
        <f t="shared" si="48"/>
        <v>13.875</v>
      </c>
      <c r="AJ73" s="1">
        <f t="shared" si="49"/>
        <v>12.708333333333334</v>
      </c>
      <c r="AK73" s="1">
        <f t="shared" si="50"/>
        <v>11.541666666666666</v>
      </c>
      <c r="AL73" s="1">
        <f t="shared" si="51"/>
        <v>10.375</v>
      </c>
      <c r="AM73" s="1">
        <f t="shared" si="52"/>
        <v>9.2083333333333339</v>
      </c>
      <c r="AN73" s="1">
        <f t="shared" si="53"/>
        <v>8.0416666666666661</v>
      </c>
      <c r="AO73" s="1">
        <f t="shared" si="54"/>
        <v>7.958333333333333</v>
      </c>
      <c r="AP73" s="1">
        <f t="shared" si="55"/>
        <v>7.875</v>
      </c>
      <c r="AQ73" s="1">
        <f t="shared" si="56"/>
        <v>7.791666666666667</v>
      </c>
      <c r="AR73" s="1">
        <f t="shared" si="57"/>
        <v>7.708333333333333</v>
      </c>
      <c r="AS73" s="1">
        <f t="shared" si="58"/>
        <v>8.7083333333333339</v>
      </c>
      <c r="AT73" s="1">
        <f t="shared" si="59"/>
        <v>9.7083333333333339</v>
      </c>
      <c r="AU73" s="1">
        <f t="shared" si="60"/>
        <v>10.708333333333334</v>
      </c>
      <c r="AV73" s="1">
        <f t="shared" si="61"/>
        <v>11.708333333333334</v>
      </c>
      <c r="AW73" s="1">
        <f t="shared" si="62"/>
        <v>12.708333333333334</v>
      </c>
      <c r="AX73" s="1">
        <f t="shared" si="63"/>
        <v>13.708333333333334</v>
      </c>
      <c r="AY73" s="1">
        <f t="shared" si="64"/>
        <v>14.708333333333334</v>
      </c>
      <c r="AZ73" s="1">
        <f t="shared" si="65"/>
        <v>15.708333333333334</v>
      </c>
      <c r="BA73" s="1">
        <f t="shared" si="66"/>
        <v>16.708333333333332</v>
      </c>
      <c r="BB73" s="1">
        <f t="shared" si="67"/>
        <v>16.625</v>
      </c>
    </row>
    <row r="74" spans="1:54">
      <c r="A74">
        <f t="shared" si="68"/>
        <v>73</v>
      </c>
      <c r="B74">
        <f t="shared" si="41"/>
        <v>5</v>
      </c>
      <c r="C74">
        <f t="shared" si="40"/>
        <v>16</v>
      </c>
      <c r="D74">
        <f t="shared" si="40"/>
        <v>17</v>
      </c>
      <c r="E74">
        <f t="shared" si="40"/>
        <v>18</v>
      </c>
      <c r="F74">
        <f t="shared" si="40"/>
        <v>19</v>
      </c>
      <c r="G74">
        <f t="shared" si="40"/>
        <v>20</v>
      </c>
      <c r="H74">
        <f t="shared" si="40"/>
        <v>21</v>
      </c>
      <c r="I74">
        <f t="shared" si="40"/>
        <v>22</v>
      </c>
      <c r="J74">
        <f t="shared" si="40"/>
        <v>23</v>
      </c>
      <c r="K74">
        <f t="shared" si="40"/>
        <v>24</v>
      </c>
      <c r="L74">
        <f t="shared" si="40"/>
        <v>25</v>
      </c>
      <c r="M74">
        <f t="shared" si="40"/>
        <v>0</v>
      </c>
      <c r="N74">
        <f t="shared" si="40"/>
        <v>1</v>
      </c>
      <c r="O74">
        <f t="shared" si="40"/>
        <v>2</v>
      </c>
      <c r="P74">
        <f t="shared" si="40"/>
        <v>3</v>
      </c>
      <c r="Q74">
        <f t="shared" si="40"/>
        <v>4</v>
      </c>
      <c r="R74">
        <f t="shared" si="40"/>
        <v>5</v>
      </c>
      <c r="S74">
        <f t="shared" si="39"/>
        <v>6</v>
      </c>
      <c r="T74">
        <f t="shared" si="39"/>
        <v>7</v>
      </c>
      <c r="U74">
        <f t="shared" si="39"/>
        <v>8</v>
      </c>
      <c r="V74">
        <f t="shared" si="39"/>
        <v>9</v>
      </c>
      <c r="W74">
        <f t="shared" si="39"/>
        <v>10</v>
      </c>
      <c r="X74">
        <f t="shared" si="39"/>
        <v>11</v>
      </c>
      <c r="Y74">
        <f t="shared" si="39"/>
        <v>12</v>
      </c>
      <c r="Z74">
        <f t="shared" si="39"/>
        <v>13</v>
      </c>
      <c r="AA74">
        <f t="shared" si="39"/>
        <v>14</v>
      </c>
      <c r="AB74">
        <f t="shared" si="39"/>
        <v>15</v>
      </c>
      <c r="AC74" s="1">
        <f t="shared" si="42"/>
        <v>16.833333333333332</v>
      </c>
      <c r="AD74" s="1">
        <f t="shared" si="43"/>
        <v>16.75</v>
      </c>
      <c r="AE74" s="1">
        <f t="shared" si="44"/>
        <v>16.666666666666668</v>
      </c>
      <c r="AF74" s="1">
        <f t="shared" si="45"/>
        <v>16.583333333333332</v>
      </c>
      <c r="AG74" s="1">
        <f t="shared" si="46"/>
        <v>15.416666666666666</v>
      </c>
      <c r="AH74" s="1">
        <f t="shared" si="47"/>
        <v>14.25</v>
      </c>
      <c r="AI74" s="1">
        <f t="shared" si="48"/>
        <v>13.083333333333334</v>
      </c>
      <c r="AJ74" s="1">
        <f t="shared" si="49"/>
        <v>11.916666666666666</v>
      </c>
      <c r="AK74" s="1">
        <f t="shared" si="50"/>
        <v>10.75</v>
      </c>
      <c r="AL74" s="1">
        <f t="shared" si="51"/>
        <v>9.5833333333333339</v>
      </c>
      <c r="AM74" s="1">
        <f t="shared" si="52"/>
        <v>8.4166666666666661</v>
      </c>
      <c r="AN74" s="1">
        <f t="shared" si="53"/>
        <v>8.3333333333333339</v>
      </c>
      <c r="AO74" s="1">
        <f t="shared" si="54"/>
        <v>8.25</v>
      </c>
      <c r="AP74" s="1">
        <f t="shared" si="55"/>
        <v>8.1666666666666661</v>
      </c>
      <c r="AQ74" s="1">
        <f t="shared" si="56"/>
        <v>8.0833333333333339</v>
      </c>
      <c r="AR74" s="1">
        <f t="shared" si="57"/>
        <v>8</v>
      </c>
      <c r="AS74" s="1">
        <f t="shared" si="58"/>
        <v>9</v>
      </c>
      <c r="AT74" s="1">
        <f t="shared" si="59"/>
        <v>10</v>
      </c>
      <c r="AU74" s="1">
        <f t="shared" si="60"/>
        <v>11</v>
      </c>
      <c r="AV74" s="1">
        <f t="shared" si="61"/>
        <v>12</v>
      </c>
      <c r="AW74" s="1">
        <f t="shared" si="62"/>
        <v>13</v>
      </c>
      <c r="AX74" s="1">
        <f t="shared" si="63"/>
        <v>14</v>
      </c>
      <c r="AY74" s="1">
        <f t="shared" si="64"/>
        <v>15</v>
      </c>
      <c r="AZ74" s="1">
        <f t="shared" si="65"/>
        <v>16</v>
      </c>
      <c r="BA74" s="1">
        <f t="shared" si="66"/>
        <v>17</v>
      </c>
      <c r="BB74" s="1">
        <f t="shared" si="67"/>
        <v>16.916666666666668</v>
      </c>
    </row>
    <row r="75" spans="1:54">
      <c r="A75">
        <f t="shared" si="68"/>
        <v>74</v>
      </c>
      <c r="B75">
        <f t="shared" si="41"/>
        <v>6</v>
      </c>
      <c r="C75">
        <f t="shared" si="40"/>
        <v>17</v>
      </c>
      <c r="D75">
        <f t="shared" si="40"/>
        <v>18</v>
      </c>
      <c r="E75">
        <f t="shared" si="40"/>
        <v>19</v>
      </c>
      <c r="F75">
        <f t="shared" si="40"/>
        <v>20</v>
      </c>
      <c r="G75">
        <f t="shared" si="40"/>
        <v>21</v>
      </c>
      <c r="H75">
        <f t="shared" si="40"/>
        <v>22</v>
      </c>
      <c r="I75">
        <f t="shared" si="40"/>
        <v>23</v>
      </c>
      <c r="J75">
        <f t="shared" si="40"/>
        <v>24</v>
      </c>
      <c r="K75">
        <f t="shared" si="40"/>
        <v>25</v>
      </c>
      <c r="L75">
        <f t="shared" si="40"/>
        <v>0</v>
      </c>
      <c r="M75">
        <f t="shared" si="40"/>
        <v>1</v>
      </c>
      <c r="N75">
        <f t="shared" si="40"/>
        <v>2</v>
      </c>
      <c r="O75">
        <f t="shared" si="40"/>
        <v>3</v>
      </c>
      <c r="P75">
        <f t="shared" si="40"/>
        <v>4</v>
      </c>
      <c r="Q75">
        <f t="shared" si="40"/>
        <v>5</v>
      </c>
      <c r="R75">
        <f t="shared" si="40"/>
        <v>6</v>
      </c>
      <c r="S75">
        <f t="shared" si="39"/>
        <v>7</v>
      </c>
      <c r="T75">
        <f t="shared" si="39"/>
        <v>8</v>
      </c>
      <c r="U75">
        <f t="shared" si="39"/>
        <v>9</v>
      </c>
      <c r="V75">
        <f t="shared" si="39"/>
        <v>10</v>
      </c>
      <c r="W75">
        <f t="shared" si="39"/>
        <v>11</v>
      </c>
      <c r="X75">
        <f t="shared" si="39"/>
        <v>12</v>
      </c>
      <c r="Y75">
        <f t="shared" si="39"/>
        <v>13</v>
      </c>
      <c r="Z75">
        <f t="shared" si="39"/>
        <v>14</v>
      </c>
      <c r="AA75">
        <f t="shared" si="39"/>
        <v>15</v>
      </c>
      <c r="AB75">
        <f t="shared" si="39"/>
        <v>16</v>
      </c>
      <c r="AC75" s="1">
        <f t="shared" si="42"/>
        <v>17.125</v>
      </c>
      <c r="AD75" s="1">
        <f t="shared" si="43"/>
        <v>17.041666666666668</v>
      </c>
      <c r="AE75" s="1">
        <f t="shared" si="44"/>
        <v>16.958333333333332</v>
      </c>
      <c r="AF75" s="1">
        <f t="shared" si="45"/>
        <v>15.791666666666666</v>
      </c>
      <c r="AG75" s="1">
        <f t="shared" si="46"/>
        <v>14.625</v>
      </c>
      <c r="AH75" s="1">
        <f t="shared" si="47"/>
        <v>13.458333333333334</v>
      </c>
      <c r="AI75" s="1">
        <f t="shared" si="48"/>
        <v>12.291666666666666</v>
      </c>
      <c r="AJ75" s="1">
        <f t="shared" si="49"/>
        <v>11.125</v>
      </c>
      <c r="AK75" s="1">
        <f t="shared" si="50"/>
        <v>9.9583333333333339</v>
      </c>
      <c r="AL75" s="1">
        <f t="shared" si="51"/>
        <v>8.7916666666666661</v>
      </c>
      <c r="AM75" s="1">
        <f t="shared" si="52"/>
        <v>8.7083333333333339</v>
      </c>
      <c r="AN75" s="1">
        <f t="shared" si="53"/>
        <v>8.625</v>
      </c>
      <c r="AO75" s="1">
        <f t="shared" si="54"/>
        <v>8.5416666666666661</v>
      </c>
      <c r="AP75" s="1">
        <f t="shared" si="55"/>
        <v>8.4583333333333339</v>
      </c>
      <c r="AQ75" s="1">
        <f t="shared" si="56"/>
        <v>8.375</v>
      </c>
      <c r="AR75" s="1">
        <f t="shared" si="57"/>
        <v>8.2916666666666661</v>
      </c>
      <c r="AS75" s="1">
        <f t="shared" si="58"/>
        <v>9.2916666666666661</v>
      </c>
      <c r="AT75" s="1">
        <f t="shared" si="59"/>
        <v>10.291666666666666</v>
      </c>
      <c r="AU75" s="1">
        <f t="shared" si="60"/>
        <v>11.291666666666666</v>
      </c>
      <c r="AV75" s="1">
        <f t="shared" si="61"/>
        <v>12.291666666666666</v>
      </c>
      <c r="AW75" s="1">
        <f t="shared" si="62"/>
        <v>13.291666666666666</v>
      </c>
      <c r="AX75" s="1">
        <f t="shared" si="63"/>
        <v>14.291666666666666</v>
      </c>
      <c r="AY75" s="1">
        <f t="shared" si="64"/>
        <v>15.291666666666666</v>
      </c>
      <c r="AZ75" s="1">
        <f t="shared" si="65"/>
        <v>16.291666666666668</v>
      </c>
      <c r="BA75" s="1">
        <f t="shared" si="66"/>
        <v>17.291666666666668</v>
      </c>
      <c r="BB75" s="1">
        <f t="shared" si="67"/>
        <v>17.208333333333332</v>
      </c>
    </row>
    <row r="76" spans="1:54">
      <c r="A76">
        <f t="shared" si="68"/>
        <v>75</v>
      </c>
      <c r="B76">
        <f t="shared" si="41"/>
        <v>7</v>
      </c>
      <c r="C76">
        <f t="shared" si="40"/>
        <v>18</v>
      </c>
      <c r="D76">
        <f t="shared" si="40"/>
        <v>19</v>
      </c>
      <c r="E76">
        <f t="shared" si="40"/>
        <v>20</v>
      </c>
      <c r="F76">
        <f t="shared" si="40"/>
        <v>21</v>
      </c>
      <c r="G76">
        <f t="shared" si="40"/>
        <v>22</v>
      </c>
      <c r="H76">
        <f t="shared" si="40"/>
        <v>23</v>
      </c>
      <c r="I76">
        <f t="shared" si="40"/>
        <v>24</v>
      </c>
      <c r="J76">
        <f t="shared" si="40"/>
        <v>25</v>
      </c>
      <c r="K76">
        <f t="shared" si="40"/>
        <v>0</v>
      </c>
      <c r="L76">
        <f t="shared" si="40"/>
        <v>1</v>
      </c>
      <c r="M76">
        <f t="shared" si="40"/>
        <v>2</v>
      </c>
      <c r="N76">
        <f t="shared" si="40"/>
        <v>3</v>
      </c>
      <c r="O76">
        <f t="shared" si="40"/>
        <v>4</v>
      </c>
      <c r="P76">
        <f t="shared" si="40"/>
        <v>5</v>
      </c>
      <c r="Q76">
        <f t="shared" si="40"/>
        <v>6</v>
      </c>
      <c r="R76">
        <f t="shared" ref="R76:AB91" si="69">MOD($B76+11+R$1,26)</f>
        <v>7</v>
      </c>
      <c r="S76">
        <f t="shared" si="69"/>
        <v>8</v>
      </c>
      <c r="T76">
        <f t="shared" si="69"/>
        <v>9</v>
      </c>
      <c r="U76">
        <f t="shared" si="69"/>
        <v>10</v>
      </c>
      <c r="V76">
        <f t="shared" si="69"/>
        <v>11</v>
      </c>
      <c r="W76">
        <f t="shared" si="69"/>
        <v>12</v>
      </c>
      <c r="X76">
        <f t="shared" si="69"/>
        <v>13</v>
      </c>
      <c r="Y76">
        <f t="shared" si="69"/>
        <v>14</v>
      </c>
      <c r="Z76">
        <f t="shared" si="69"/>
        <v>15</v>
      </c>
      <c r="AA76">
        <f t="shared" si="69"/>
        <v>16</v>
      </c>
      <c r="AB76">
        <f t="shared" si="69"/>
        <v>17</v>
      </c>
      <c r="AC76" s="1">
        <f t="shared" si="42"/>
        <v>17.416666666666668</v>
      </c>
      <c r="AD76" s="1">
        <f t="shared" si="43"/>
        <v>17.333333333333332</v>
      </c>
      <c r="AE76" s="1">
        <f t="shared" si="44"/>
        <v>16.166666666666668</v>
      </c>
      <c r="AF76" s="1">
        <f t="shared" si="45"/>
        <v>15</v>
      </c>
      <c r="AG76" s="1">
        <f t="shared" si="46"/>
        <v>13.833333333333334</v>
      </c>
      <c r="AH76" s="1">
        <f t="shared" si="47"/>
        <v>12.666666666666666</v>
      </c>
      <c r="AI76" s="1">
        <f t="shared" si="48"/>
        <v>11.5</v>
      </c>
      <c r="AJ76" s="1">
        <f t="shared" si="49"/>
        <v>10.333333333333334</v>
      </c>
      <c r="AK76" s="1">
        <f t="shared" si="50"/>
        <v>9.1666666666666661</v>
      </c>
      <c r="AL76" s="1">
        <f t="shared" si="51"/>
        <v>9.0833333333333339</v>
      </c>
      <c r="AM76" s="1">
        <f t="shared" si="52"/>
        <v>9</v>
      </c>
      <c r="AN76" s="1">
        <f t="shared" si="53"/>
        <v>8.9166666666666661</v>
      </c>
      <c r="AO76" s="1">
        <f t="shared" si="54"/>
        <v>8.8333333333333339</v>
      </c>
      <c r="AP76" s="1">
        <f t="shared" si="55"/>
        <v>8.75</v>
      </c>
      <c r="AQ76" s="1">
        <f t="shared" si="56"/>
        <v>8.6666666666666661</v>
      </c>
      <c r="AR76" s="1">
        <f t="shared" si="57"/>
        <v>8.5833333333333339</v>
      </c>
      <c r="AS76" s="1">
        <f t="shared" si="58"/>
        <v>9.5833333333333339</v>
      </c>
      <c r="AT76" s="1">
        <f t="shared" si="59"/>
        <v>10.583333333333334</v>
      </c>
      <c r="AU76" s="1">
        <f t="shared" si="60"/>
        <v>11.583333333333334</v>
      </c>
      <c r="AV76" s="1">
        <f t="shared" si="61"/>
        <v>12.583333333333334</v>
      </c>
      <c r="AW76" s="1">
        <f t="shared" si="62"/>
        <v>13.583333333333334</v>
      </c>
      <c r="AX76" s="1">
        <f t="shared" si="63"/>
        <v>14.583333333333334</v>
      </c>
      <c r="AY76" s="1">
        <f t="shared" si="64"/>
        <v>15.583333333333334</v>
      </c>
      <c r="AZ76" s="1">
        <f t="shared" si="65"/>
        <v>16.583333333333332</v>
      </c>
      <c r="BA76" s="1">
        <f t="shared" si="66"/>
        <v>17.583333333333332</v>
      </c>
      <c r="BB76" s="1">
        <f t="shared" si="67"/>
        <v>17.5</v>
      </c>
    </row>
    <row r="77" spans="1:54">
      <c r="A77">
        <f t="shared" si="68"/>
        <v>76</v>
      </c>
      <c r="B77">
        <f t="shared" si="41"/>
        <v>8</v>
      </c>
      <c r="C77">
        <f t="shared" ref="C77:R92" si="70">MOD($B77+11+C$1,26)</f>
        <v>19</v>
      </c>
      <c r="D77">
        <f t="shared" si="70"/>
        <v>20</v>
      </c>
      <c r="E77">
        <f t="shared" si="70"/>
        <v>21</v>
      </c>
      <c r="F77">
        <f t="shared" si="70"/>
        <v>22</v>
      </c>
      <c r="G77">
        <f t="shared" si="70"/>
        <v>23</v>
      </c>
      <c r="H77">
        <f t="shared" si="70"/>
        <v>24</v>
      </c>
      <c r="I77">
        <f t="shared" si="70"/>
        <v>25</v>
      </c>
      <c r="J77">
        <f t="shared" si="70"/>
        <v>0</v>
      </c>
      <c r="K77">
        <f t="shared" si="70"/>
        <v>1</v>
      </c>
      <c r="L77">
        <f t="shared" si="70"/>
        <v>2</v>
      </c>
      <c r="M77">
        <f t="shared" si="70"/>
        <v>3</v>
      </c>
      <c r="N77">
        <f t="shared" si="70"/>
        <v>4</v>
      </c>
      <c r="O77">
        <f t="shared" si="70"/>
        <v>5</v>
      </c>
      <c r="P77">
        <f t="shared" si="70"/>
        <v>6</v>
      </c>
      <c r="Q77">
        <f t="shared" si="70"/>
        <v>7</v>
      </c>
      <c r="R77">
        <f t="shared" si="70"/>
        <v>8</v>
      </c>
      <c r="S77">
        <f t="shared" si="69"/>
        <v>9</v>
      </c>
      <c r="T77">
        <f t="shared" si="69"/>
        <v>10</v>
      </c>
      <c r="U77">
        <f t="shared" si="69"/>
        <v>11</v>
      </c>
      <c r="V77">
        <f t="shared" si="69"/>
        <v>12</v>
      </c>
      <c r="W77">
        <f t="shared" si="69"/>
        <v>13</v>
      </c>
      <c r="X77">
        <f t="shared" si="69"/>
        <v>14</v>
      </c>
      <c r="Y77">
        <f t="shared" si="69"/>
        <v>15</v>
      </c>
      <c r="Z77">
        <f t="shared" si="69"/>
        <v>16</v>
      </c>
      <c r="AA77">
        <f t="shared" si="69"/>
        <v>17</v>
      </c>
      <c r="AB77">
        <f t="shared" si="69"/>
        <v>18</v>
      </c>
      <c r="AC77" s="1">
        <f t="shared" si="42"/>
        <v>17.708333333333332</v>
      </c>
      <c r="AD77" s="1">
        <f t="shared" si="43"/>
        <v>16.541666666666668</v>
      </c>
      <c r="AE77" s="1">
        <f t="shared" si="44"/>
        <v>15.375</v>
      </c>
      <c r="AF77" s="1">
        <f t="shared" si="45"/>
        <v>14.208333333333334</v>
      </c>
      <c r="AG77" s="1">
        <f t="shared" si="46"/>
        <v>13.041666666666666</v>
      </c>
      <c r="AH77" s="1">
        <f t="shared" si="47"/>
        <v>11.875</v>
      </c>
      <c r="AI77" s="1">
        <f t="shared" si="48"/>
        <v>10.708333333333334</v>
      </c>
      <c r="AJ77" s="1">
        <f t="shared" si="49"/>
        <v>9.5416666666666661</v>
      </c>
      <c r="AK77" s="1">
        <f t="shared" si="50"/>
        <v>9.4583333333333339</v>
      </c>
      <c r="AL77" s="1">
        <f t="shared" si="51"/>
        <v>9.375</v>
      </c>
      <c r="AM77" s="1">
        <f t="shared" si="52"/>
        <v>9.2916666666666661</v>
      </c>
      <c r="AN77" s="1">
        <f t="shared" si="53"/>
        <v>9.2083333333333339</v>
      </c>
      <c r="AO77" s="1">
        <f t="shared" si="54"/>
        <v>9.125</v>
      </c>
      <c r="AP77" s="1">
        <f t="shared" si="55"/>
        <v>9.0416666666666661</v>
      </c>
      <c r="AQ77" s="1">
        <f t="shared" si="56"/>
        <v>8.9583333333333339</v>
      </c>
      <c r="AR77" s="1">
        <f t="shared" si="57"/>
        <v>8.875</v>
      </c>
      <c r="AS77" s="1">
        <f t="shared" si="58"/>
        <v>9.875</v>
      </c>
      <c r="AT77" s="1">
        <f t="shared" si="59"/>
        <v>10.875</v>
      </c>
      <c r="AU77" s="1">
        <f t="shared" si="60"/>
        <v>11.875</v>
      </c>
      <c r="AV77" s="1">
        <f t="shared" si="61"/>
        <v>12.875</v>
      </c>
      <c r="AW77" s="1">
        <f t="shared" si="62"/>
        <v>13.875</v>
      </c>
      <c r="AX77" s="1">
        <f t="shared" si="63"/>
        <v>14.875</v>
      </c>
      <c r="AY77" s="1">
        <f t="shared" si="64"/>
        <v>15.875</v>
      </c>
      <c r="AZ77" s="1">
        <f t="shared" si="65"/>
        <v>16.875</v>
      </c>
      <c r="BA77" s="1">
        <f t="shared" si="66"/>
        <v>17.875</v>
      </c>
      <c r="BB77" s="1">
        <f t="shared" si="67"/>
        <v>17.791666666666668</v>
      </c>
    </row>
    <row r="78" spans="1:54">
      <c r="A78">
        <f t="shared" si="68"/>
        <v>77</v>
      </c>
      <c r="B78">
        <f t="shared" si="41"/>
        <v>9</v>
      </c>
      <c r="C78">
        <f t="shared" si="70"/>
        <v>20</v>
      </c>
      <c r="D78">
        <f t="shared" si="70"/>
        <v>21</v>
      </c>
      <c r="E78">
        <f t="shared" si="70"/>
        <v>22</v>
      </c>
      <c r="F78">
        <f t="shared" si="70"/>
        <v>23</v>
      </c>
      <c r="G78">
        <f t="shared" si="70"/>
        <v>24</v>
      </c>
      <c r="H78">
        <f t="shared" si="70"/>
        <v>25</v>
      </c>
      <c r="I78">
        <f t="shared" si="70"/>
        <v>0</v>
      </c>
      <c r="J78">
        <f t="shared" si="70"/>
        <v>1</v>
      </c>
      <c r="K78">
        <f t="shared" si="70"/>
        <v>2</v>
      </c>
      <c r="L78">
        <f t="shared" si="70"/>
        <v>3</v>
      </c>
      <c r="M78">
        <f t="shared" si="70"/>
        <v>4</v>
      </c>
      <c r="N78">
        <f t="shared" si="70"/>
        <v>5</v>
      </c>
      <c r="O78">
        <f t="shared" si="70"/>
        <v>6</v>
      </c>
      <c r="P78">
        <f t="shared" si="70"/>
        <v>7</v>
      </c>
      <c r="Q78">
        <f t="shared" si="70"/>
        <v>8</v>
      </c>
      <c r="R78">
        <f t="shared" si="70"/>
        <v>9</v>
      </c>
      <c r="S78">
        <f t="shared" si="69"/>
        <v>10</v>
      </c>
      <c r="T78">
        <f t="shared" si="69"/>
        <v>11</v>
      </c>
      <c r="U78">
        <f t="shared" si="69"/>
        <v>12</v>
      </c>
      <c r="V78">
        <f t="shared" si="69"/>
        <v>13</v>
      </c>
      <c r="W78">
        <f t="shared" si="69"/>
        <v>14</v>
      </c>
      <c r="X78">
        <f t="shared" si="69"/>
        <v>15</v>
      </c>
      <c r="Y78">
        <f t="shared" si="69"/>
        <v>16</v>
      </c>
      <c r="Z78">
        <f t="shared" si="69"/>
        <v>17</v>
      </c>
      <c r="AA78">
        <f t="shared" si="69"/>
        <v>18</v>
      </c>
      <c r="AB78">
        <f t="shared" si="69"/>
        <v>19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>
      <c r="A79">
        <f t="shared" si="68"/>
        <v>78</v>
      </c>
      <c r="B79">
        <f t="shared" si="41"/>
        <v>10</v>
      </c>
      <c r="C79">
        <f t="shared" si="70"/>
        <v>21</v>
      </c>
      <c r="D79">
        <f t="shared" si="70"/>
        <v>22</v>
      </c>
      <c r="E79">
        <f t="shared" si="70"/>
        <v>23</v>
      </c>
      <c r="F79">
        <f t="shared" si="70"/>
        <v>24</v>
      </c>
      <c r="G79">
        <f t="shared" si="70"/>
        <v>25</v>
      </c>
      <c r="H79">
        <f t="shared" si="70"/>
        <v>0</v>
      </c>
      <c r="I79">
        <f t="shared" si="70"/>
        <v>1</v>
      </c>
      <c r="J79">
        <f t="shared" si="70"/>
        <v>2</v>
      </c>
      <c r="K79">
        <f t="shared" si="70"/>
        <v>3</v>
      </c>
      <c r="L79">
        <f t="shared" si="70"/>
        <v>4</v>
      </c>
      <c r="M79">
        <f t="shared" si="70"/>
        <v>5</v>
      </c>
      <c r="N79">
        <f t="shared" si="70"/>
        <v>6</v>
      </c>
      <c r="O79">
        <f t="shared" si="70"/>
        <v>7</v>
      </c>
      <c r="P79">
        <f t="shared" si="70"/>
        <v>8</v>
      </c>
      <c r="Q79">
        <f t="shared" si="70"/>
        <v>9</v>
      </c>
      <c r="R79">
        <f t="shared" si="70"/>
        <v>10</v>
      </c>
      <c r="S79">
        <f t="shared" si="69"/>
        <v>11</v>
      </c>
      <c r="T79">
        <f t="shared" si="69"/>
        <v>12</v>
      </c>
      <c r="U79">
        <f t="shared" si="69"/>
        <v>13</v>
      </c>
      <c r="V79">
        <f t="shared" si="69"/>
        <v>14</v>
      </c>
      <c r="W79">
        <f t="shared" si="69"/>
        <v>15</v>
      </c>
      <c r="X79">
        <f t="shared" si="69"/>
        <v>16</v>
      </c>
      <c r="Y79">
        <f t="shared" si="69"/>
        <v>17</v>
      </c>
      <c r="Z79">
        <f t="shared" si="69"/>
        <v>18</v>
      </c>
      <c r="AA79">
        <f t="shared" si="69"/>
        <v>19</v>
      </c>
      <c r="AB79">
        <f t="shared" si="69"/>
        <v>20</v>
      </c>
    </row>
    <row r="80" spans="1:54">
      <c r="A80">
        <f t="shared" si="68"/>
        <v>79</v>
      </c>
      <c r="B80">
        <f t="shared" si="41"/>
        <v>11</v>
      </c>
      <c r="C80">
        <f t="shared" si="70"/>
        <v>22</v>
      </c>
      <c r="D80">
        <f t="shared" si="70"/>
        <v>23</v>
      </c>
      <c r="E80">
        <f t="shared" si="70"/>
        <v>24</v>
      </c>
      <c r="F80">
        <f t="shared" si="70"/>
        <v>25</v>
      </c>
      <c r="G80">
        <f t="shared" si="70"/>
        <v>0</v>
      </c>
      <c r="H80">
        <f t="shared" si="70"/>
        <v>1</v>
      </c>
      <c r="I80">
        <f t="shared" si="70"/>
        <v>2</v>
      </c>
      <c r="J80">
        <f t="shared" si="70"/>
        <v>3</v>
      </c>
      <c r="K80">
        <f t="shared" si="70"/>
        <v>4</v>
      </c>
      <c r="L80">
        <f t="shared" si="70"/>
        <v>5</v>
      </c>
      <c r="M80">
        <f t="shared" si="70"/>
        <v>6</v>
      </c>
      <c r="N80">
        <f t="shared" si="70"/>
        <v>7</v>
      </c>
      <c r="O80">
        <f t="shared" si="70"/>
        <v>8</v>
      </c>
      <c r="P80">
        <f t="shared" si="70"/>
        <v>9</v>
      </c>
      <c r="Q80">
        <f t="shared" si="70"/>
        <v>10</v>
      </c>
      <c r="R80">
        <f t="shared" si="70"/>
        <v>11</v>
      </c>
      <c r="S80">
        <f t="shared" si="69"/>
        <v>12</v>
      </c>
      <c r="T80">
        <f t="shared" si="69"/>
        <v>13</v>
      </c>
      <c r="U80">
        <f t="shared" si="69"/>
        <v>14</v>
      </c>
      <c r="V80">
        <f t="shared" si="69"/>
        <v>15</v>
      </c>
      <c r="W80">
        <f t="shared" si="69"/>
        <v>16</v>
      </c>
      <c r="X80">
        <f t="shared" si="69"/>
        <v>17</v>
      </c>
      <c r="Y80">
        <f t="shared" si="69"/>
        <v>18</v>
      </c>
      <c r="Z80">
        <f t="shared" si="69"/>
        <v>19</v>
      </c>
      <c r="AA80">
        <f t="shared" si="69"/>
        <v>20</v>
      </c>
      <c r="AB80">
        <f t="shared" si="69"/>
        <v>21</v>
      </c>
    </row>
    <row r="81" spans="1:30">
      <c r="A81">
        <f t="shared" si="68"/>
        <v>80</v>
      </c>
      <c r="B81">
        <f t="shared" si="41"/>
        <v>12</v>
      </c>
      <c r="C81">
        <f t="shared" si="70"/>
        <v>23</v>
      </c>
      <c r="D81">
        <f t="shared" si="70"/>
        <v>24</v>
      </c>
      <c r="E81">
        <f t="shared" si="70"/>
        <v>25</v>
      </c>
      <c r="F81">
        <f t="shared" si="70"/>
        <v>0</v>
      </c>
      <c r="G81">
        <f t="shared" si="70"/>
        <v>1</v>
      </c>
      <c r="H81">
        <f t="shared" si="70"/>
        <v>2</v>
      </c>
      <c r="I81">
        <f t="shared" si="70"/>
        <v>3</v>
      </c>
      <c r="J81">
        <f t="shared" si="70"/>
        <v>4</v>
      </c>
      <c r="K81">
        <f t="shared" si="70"/>
        <v>5</v>
      </c>
      <c r="L81">
        <f t="shared" si="70"/>
        <v>6</v>
      </c>
      <c r="M81">
        <f t="shared" si="70"/>
        <v>7</v>
      </c>
      <c r="N81">
        <f t="shared" si="70"/>
        <v>8</v>
      </c>
      <c r="O81">
        <f t="shared" si="70"/>
        <v>9</v>
      </c>
      <c r="P81">
        <f t="shared" si="70"/>
        <v>10</v>
      </c>
      <c r="Q81">
        <f t="shared" si="70"/>
        <v>11</v>
      </c>
      <c r="R81">
        <f t="shared" si="70"/>
        <v>12</v>
      </c>
      <c r="S81">
        <f t="shared" si="69"/>
        <v>13</v>
      </c>
      <c r="T81">
        <f t="shared" si="69"/>
        <v>14</v>
      </c>
      <c r="U81">
        <f t="shared" si="69"/>
        <v>15</v>
      </c>
      <c r="V81">
        <f t="shared" si="69"/>
        <v>16</v>
      </c>
      <c r="W81">
        <f t="shared" si="69"/>
        <v>17</v>
      </c>
      <c r="X81">
        <f t="shared" si="69"/>
        <v>18</v>
      </c>
      <c r="Y81">
        <f t="shared" si="69"/>
        <v>19</v>
      </c>
      <c r="Z81">
        <f t="shared" si="69"/>
        <v>20</v>
      </c>
      <c r="AA81">
        <f t="shared" si="69"/>
        <v>21</v>
      </c>
      <c r="AB81">
        <f t="shared" si="69"/>
        <v>22</v>
      </c>
    </row>
    <row r="82" spans="1:30">
      <c r="A82">
        <f t="shared" si="68"/>
        <v>81</v>
      </c>
      <c r="B82">
        <f t="shared" si="41"/>
        <v>13</v>
      </c>
      <c r="C82">
        <f t="shared" si="70"/>
        <v>24</v>
      </c>
      <c r="D82">
        <f t="shared" si="70"/>
        <v>25</v>
      </c>
      <c r="E82">
        <f t="shared" si="70"/>
        <v>0</v>
      </c>
      <c r="F82">
        <f t="shared" si="70"/>
        <v>1</v>
      </c>
      <c r="G82">
        <f t="shared" si="70"/>
        <v>2</v>
      </c>
      <c r="H82">
        <f t="shared" si="70"/>
        <v>3</v>
      </c>
      <c r="I82">
        <f t="shared" si="70"/>
        <v>4</v>
      </c>
      <c r="J82">
        <f t="shared" si="70"/>
        <v>5</v>
      </c>
      <c r="K82">
        <f t="shared" si="70"/>
        <v>6</v>
      </c>
      <c r="L82">
        <f t="shared" si="70"/>
        <v>7</v>
      </c>
      <c r="M82">
        <f t="shared" si="70"/>
        <v>8</v>
      </c>
      <c r="N82">
        <f t="shared" si="70"/>
        <v>9</v>
      </c>
      <c r="O82">
        <f t="shared" si="70"/>
        <v>10</v>
      </c>
      <c r="P82">
        <f t="shared" si="70"/>
        <v>11</v>
      </c>
      <c r="Q82">
        <f t="shared" si="70"/>
        <v>12</v>
      </c>
      <c r="R82">
        <f t="shared" si="70"/>
        <v>13</v>
      </c>
      <c r="S82">
        <f t="shared" si="69"/>
        <v>14</v>
      </c>
      <c r="T82">
        <f t="shared" si="69"/>
        <v>15</v>
      </c>
      <c r="U82">
        <f t="shared" si="69"/>
        <v>16</v>
      </c>
      <c r="V82">
        <f t="shared" si="69"/>
        <v>17</v>
      </c>
      <c r="W82">
        <f t="shared" si="69"/>
        <v>18</v>
      </c>
      <c r="X82">
        <f t="shared" si="69"/>
        <v>19</v>
      </c>
      <c r="Y82">
        <f t="shared" si="69"/>
        <v>20</v>
      </c>
      <c r="Z82">
        <f t="shared" si="69"/>
        <v>21</v>
      </c>
      <c r="AA82">
        <f t="shared" si="69"/>
        <v>22</v>
      </c>
      <c r="AB82">
        <f t="shared" si="69"/>
        <v>23</v>
      </c>
      <c r="AD82" t="str">
        <f>CHAR(65+17)</f>
        <v>R</v>
      </c>
    </row>
    <row r="83" spans="1:30">
      <c r="A83">
        <f t="shared" si="68"/>
        <v>82</v>
      </c>
      <c r="B83">
        <f t="shared" si="41"/>
        <v>14</v>
      </c>
      <c r="C83">
        <f t="shared" si="70"/>
        <v>25</v>
      </c>
      <c r="D83">
        <f t="shared" si="70"/>
        <v>0</v>
      </c>
      <c r="E83">
        <f t="shared" si="70"/>
        <v>1</v>
      </c>
      <c r="F83">
        <f t="shared" si="70"/>
        <v>2</v>
      </c>
      <c r="G83">
        <f t="shared" si="70"/>
        <v>3</v>
      </c>
      <c r="H83">
        <f t="shared" si="70"/>
        <v>4</v>
      </c>
      <c r="I83">
        <f t="shared" si="70"/>
        <v>5</v>
      </c>
      <c r="J83">
        <f t="shared" si="70"/>
        <v>6</v>
      </c>
      <c r="K83">
        <f t="shared" si="70"/>
        <v>7</v>
      </c>
      <c r="L83">
        <f t="shared" si="70"/>
        <v>8</v>
      </c>
      <c r="M83">
        <f t="shared" si="70"/>
        <v>9</v>
      </c>
      <c r="N83">
        <f t="shared" si="70"/>
        <v>10</v>
      </c>
      <c r="O83">
        <f t="shared" si="70"/>
        <v>11</v>
      </c>
      <c r="P83">
        <f t="shared" si="70"/>
        <v>12</v>
      </c>
      <c r="Q83">
        <f t="shared" si="70"/>
        <v>13</v>
      </c>
      <c r="R83">
        <f t="shared" si="70"/>
        <v>14</v>
      </c>
      <c r="S83">
        <f t="shared" si="69"/>
        <v>15</v>
      </c>
      <c r="T83">
        <f t="shared" si="69"/>
        <v>16</v>
      </c>
      <c r="U83">
        <f t="shared" si="69"/>
        <v>17</v>
      </c>
      <c r="V83">
        <f t="shared" si="69"/>
        <v>18</v>
      </c>
      <c r="W83">
        <f t="shared" si="69"/>
        <v>19</v>
      </c>
      <c r="X83">
        <f t="shared" si="69"/>
        <v>20</v>
      </c>
      <c r="Y83">
        <f t="shared" si="69"/>
        <v>21</v>
      </c>
      <c r="Z83">
        <f t="shared" si="69"/>
        <v>22</v>
      </c>
      <c r="AA83">
        <f t="shared" si="69"/>
        <v>23</v>
      </c>
      <c r="AB83">
        <f t="shared" si="69"/>
        <v>24</v>
      </c>
    </row>
    <row r="84" spans="1:30">
      <c r="A84">
        <f t="shared" si="68"/>
        <v>83</v>
      </c>
      <c r="B84">
        <f t="shared" si="41"/>
        <v>15</v>
      </c>
      <c r="C84">
        <f t="shared" si="70"/>
        <v>0</v>
      </c>
      <c r="D84">
        <f t="shared" si="70"/>
        <v>1</v>
      </c>
      <c r="E84">
        <f t="shared" si="70"/>
        <v>2</v>
      </c>
      <c r="F84">
        <f t="shared" si="70"/>
        <v>3</v>
      </c>
      <c r="G84">
        <f t="shared" si="70"/>
        <v>4</v>
      </c>
      <c r="H84">
        <f t="shared" si="70"/>
        <v>5</v>
      </c>
      <c r="I84">
        <f t="shared" si="70"/>
        <v>6</v>
      </c>
      <c r="J84">
        <f t="shared" si="70"/>
        <v>7</v>
      </c>
      <c r="K84">
        <f t="shared" si="70"/>
        <v>8</v>
      </c>
      <c r="L84">
        <f t="shared" si="70"/>
        <v>9</v>
      </c>
      <c r="M84">
        <f t="shared" si="70"/>
        <v>10</v>
      </c>
      <c r="N84">
        <f t="shared" si="70"/>
        <v>11</v>
      </c>
      <c r="O84">
        <f t="shared" si="70"/>
        <v>12</v>
      </c>
      <c r="P84">
        <f t="shared" si="70"/>
        <v>13</v>
      </c>
      <c r="Q84">
        <f t="shared" si="70"/>
        <v>14</v>
      </c>
      <c r="R84">
        <f t="shared" si="70"/>
        <v>15</v>
      </c>
      <c r="S84">
        <f t="shared" si="69"/>
        <v>16</v>
      </c>
      <c r="T84">
        <f t="shared" si="69"/>
        <v>17</v>
      </c>
      <c r="U84">
        <f t="shared" si="69"/>
        <v>18</v>
      </c>
      <c r="V84">
        <f t="shared" si="69"/>
        <v>19</v>
      </c>
      <c r="W84">
        <f t="shared" si="69"/>
        <v>20</v>
      </c>
      <c r="X84">
        <f t="shared" si="69"/>
        <v>21</v>
      </c>
      <c r="Y84">
        <f t="shared" si="69"/>
        <v>22</v>
      </c>
      <c r="Z84">
        <f t="shared" si="69"/>
        <v>23</v>
      </c>
      <c r="AA84">
        <f t="shared" si="69"/>
        <v>24</v>
      </c>
      <c r="AB84">
        <f t="shared" si="69"/>
        <v>25</v>
      </c>
    </row>
    <row r="85" spans="1:30">
      <c r="A85">
        <f t="shared" si="68"/>
        <v>84</v>
      </c>
      <c r="B85">
        <f t="shared" si="41"/>
        <v>16</v>
      </c>
      <c r="C85">
        <f t="shared" si="70"/>
        <v>1</v>
      </c>
      <c r="D85">
        <f t="shared" si="70"/>
        <v>2</v>
      </c>
      <c r="E85">
        <f t="shared" si="70"/>
        <v>3</v>
      </c>
      <c r="F85">
        <f t="shared" si="70"/>
        <v>4</v>
      </c>
      <c r="G85">
        <f t="shared" si="70"/>
        <v>5</v>
      </c>
      <c r="H85">
        <f t="shared" si="70"/>
        <v>6</v>
      </c>
      <c r="I85">
        <f t="shared" si="70"/>
        <v>7</v>
      </c>
      <c r="J85">
        <f t="shared" si="70"/>
        <v>8</v>
      </c>
      <c r="K85">
        <f t="shared" si="70"/>
        <v>9</v>
      </c>
      <c r="L85">
        <f t="shared" si="70"/>
        <v>10</v>
      </c>
      <c r="M85">
        <f t="shared" si="70"/>
        <v>11</v>
      </c>
      <c r="N85">
        <f t="shared" si="70"/>
        <v>12</v>
      </c>
      <c r="O85">
        <f t="shared" si="70"/>
        <v>13</v>
      </c>
      <c r="P85">
        <f t="shared" si="70"/>
        <v>14</v>
      </c>
      <c r="Q85">
        <f t="shared" si="70"/>
        <v>15</v>
      </c>
      <c r="R85">
        <f t="shared" si="70"/>
        <v>16</v>
      </c>
      <c r="S85">
        <f t="shared" si="69"/>
        <v>17</v>
      </c>
      <c r="T85">
        <f t="shared" si="69"/>
        <v>18</v>
      </c>
      <c r="U85">
        <f t="shared" si="69"/>
        <v>19</v>
      </c>
      <c r="V85">
        <f t="shared" si="69"/>
        <v>20</v>
      </c>
      <c r="W85">
        <f t="shared" si="69"/>
        <v>21</v>
      </c>
      <c r="X85">
        <f t="shared" si="69"/>
        <v>22</v>
      </c>
      <c r="Y85">
        <f t="shared" si="69"/>
        <v>23</v>
      </c>
      <c r="Z85">
        <f t="shared" si="69"/>
        <v>24</v>
      </c>
      <c r="AA85">
        <f t="shared" si="69"/>
        <v>25</v>
      </c>
      <c r="AB85">
        <f t="shared" si="69"/>
        <v>0</v>
      </c>
    </row>
    <row r="86" spans="1:30">
      <c r="A86">
        <f t="shared" si="68"/>
        <v>85</v>
      </c>
      <c r="B86">
        <f t="shared" si="41"/>
        <v>0</v>
      </c>
      <c r="C86">
        <f t="shared" si="70"/>
        <v>11</v>
      </c>
      <c r="D86">
        <f t="shared" si="70"/>
        <v>12</v>
      </c>
      <c r="E86">
        <f t="shared" si="70"/>
        <v>13</v>
      </c>
      <c r="F86">
        <f t="shared" si="70"/>
        <v>14</v>
      </c>
      <c r="G86">
        <f t="shared" si="70"/>
        <v>15</v>
      </c>
      <c r="H86">
        <f t="shared" si="70"/>
        <v>16</v>
      </c>
      <c r="I86">
        <f t="shared" si="70"/>
        <v>17</v>
      </c>
      <c r="J86">
        <f t="shared" si="70"/>
        <v>18</v>
      </c>
      <c r="K86">
        <f t="shared" si="70"/>
        <v>19</v>
      </c>
      <c r="L86">
        <f t="shared" si="70"/>
        <v>20</v>
      </c>
      <c r="M86">
        <f t="shared" si="70"/>
        <v>21</v>
      </c>
      <c r="N86">
        <f t="shared" si="70"/>
        <v>22</v>
      </c>
      <c r="O86">
        <f t="shared" si="70"/>
        <v>23</v>
      </c>
      <c r="P86">
        <f t="shared" si="70"/>
        <v>24</v>
      </c>
      <c r="Q86">
        <f t="shared" si="70"/>
        <v>25</v>
      </c>
      <c r="R86">
        <f t="shared" si="70"/>
        <v>0</v>
      </c>
      <c r="S86">
        <f t="shared" si="69"/>
        <v>1</v>
      </c>
      <c r="T86">
        <f t="shared" si="69"/>
        <v>2</v>
      </c>
      <c r="U86">
        <f t="shared" si="69"/>
        <v>3</v>
      </c>
      <c r="V86">
        <f t="shared" si="69"/>
        <v>4</v>
      </c>
      <c r="W86">
        <f t="shared" si="69"/>
        <v>5</v>
      </c>
      <c r="X86">
        <f t="shared" si="69"/>
        <v>6</v>
      </c>
      <c r="Y86">
        <f t="shared" si="69"/>
        <v>7</v>
      </c>
      <c r="Z86">
        <f t="shared" si="69"/>
        <v>8</v>
      </c>
      <c r="AA86">
        <f t="shared" si="69"/>
        <v>9</v>
      </c>
      <c r="AB86">
        <f t="shared" si="69"/>
        <v>10</v>
      </c>
    </row>
    <row r="87" spans="1:30">
      <c r="A87">
        <f t="shared" si="68"/>
        <v>86</v>
      </c>
      <c r="B87">
        <f t="shared" si="41"/>
        <v>1</v>
      </c>
      <c r="C87">
        <f t="shared" si="70"/>
        <v>12</v>
      </c>
      <c r="D87">
        <f t="shared" si="70"/>
        <v>13</v>
      </c>
      <c r="E87">
        <f t="shared" si="70"/>
        <v>14</v>
      </c>
      <c r="F87">
        <f t="shared" si="70"/>
        <v>15</v>
      </c>
      <c r="G87">
        <f t="shared" si="70"/>
        <v>16</v>
      </c>
      <c r="H87">
        <f t="shared" si="70"/>
        <v>17</v>
      </c>
      <c r="I87">
        <f t="shared" si="70"/>
        <v>18</v>
      </c>
      <c r="J87">
        <f t="shared" si="70"/>
        <v>19</v>
      </c>
      <c r="K87">
        <f t="shared" si="70"/>
        <v>20</v>
      </c>
      <c r="L87">
        <f t="shared" si="70"/>
        <v>21</v>
      </c>
      <c r="M87">
        <f t="shared" si="70"/>
        <v>22</v>
      </c>
      <c r="N87">
        <f t="shared" si="70"/>
        <v>23</v>
      </c>
      <c r="O87">
        <f t="shared" si="70"/>
        <v>24</v>
      </c>
      <c r="P87">
        <f t="shared" si="70"/>
        <v>25</v>
      </c>
      <c r="Q87">
        <f t="shared" si="70"/>
        <v>0</v>
      </c>
      <c r="R87">
        <f t="shared" si="70"/>
        <v>1</v>
      </c>
      <c r="S87">
        <f t="shared" si="69"/>
        <v>2</v>
      </c>
      <c r="T87">
        <f t="shared" si="69"/>
        <v>3</v>
      </c>
      <c r="U87">
        <f t="shared" si="69"/>
        <v>4</v>
      </c>
      <c r="V87">
        <f t="shared" si="69"/>
        <v>5</v>
      </c>
      <c r="W87">
        <f t="shared" si="69"/>
        <v>6</v>
      </c>
      <c r="X87">
        <f t="shared" si="69"/>
        <v>7</v>
      </c>
      <c r="Y87">
        <f t="shared" si="69"/>
        <v>8</v>
      </c>
      <c r="Z87">
        <f t="shared" si="69"/>
        <v>9</v>
      </c>
      <c r="AA87">
        <f t="shared" si="69"/>
        <v>10</v>
      </c>
      <c r="AB87">
        <f t="shared" si="69"/>
        <v>11</v>
      </c>
    </row>
    <row r="88" spans="1:30">
      <c r="A88">
        <f t="shared" si="68"/>
        <v>87</v>
      </c>
      <c r="B88">
        <f t="shared" si="41"/>
        <v>2</v>
      </c>
      <c r="C88">
        <f t="shared" si="70"/>
        <v>13</v>
      </c>
      <c r="D88">
        <f t="shared" si="70"/>
        <v>14</v>
      </c>
      <c r="E88">
        <f t="shared" si="70"/>
        <v>15</v>
      </c>
      <c r="F88">
        <f t="shared" si="70"/>
        <v>16</v>
      </c>
      <c r="G88">
        <f t="shared" si="70"/>
        <v>17</v>
      </c>
      <c r="H88">
        <f t="shared" si="70"/>
        <v>18</v>
      </c>
      <c r="I88">
        <f t="shared" si="70"/>
        <v>19</v>
      </c>
      <c r="J88">
        <f t="shared" si="70"/>
        <v>20</v>
      </c>
      <c r="K88">
        <f t="shared" si="70"/>
        <v>21</v>
      </c>
      <c r="L88">
        <f t="shared" si="70"/>
        <v>22</v>
      </c>
      <c r="M88">
        <f t="shared" si="70"/>
        <v>23</v>
      </c>
      <c r="N88">
        <f t="shared" si="70"/>
        <v>24</v>
      </c>
      <c r="O88">
        <f t="shared" si="70"/>
        <v>25</v>
      </c>
      <c r="P88">
        <f t="shared" si="70"/>
        <v>0</v>
      </c>
      <c r="Q88">
        <f t="shared" si="70"/>
        <v>1</v>
      </c>
      <c r="R88">
        <f t="shared" si="70"/>
        <v>2</v>
      </c>
      <c r="S88">
        <f t="shared" si="69"/>
        <v>3</v>
      </c>
      <c r="T88">
        <f t="shared" si="69"/>
        <v>4</v>
      </c>
      <c r="U88">
        <f t="shared" si="69"/>
        <v>5</v>
      </c>
      <c r="V88">
        <f t="shared" si="69"/>
        <v>6</v>
      </c>
      <c r="W88">
        <f t="shared" si="69"/>
        <v>7</v>
      </c>
      <c r="X88">
        <f t="shared" si="69"/>
        <v>8</v>
      </c>
      <c r="Y88">
        <f t="shared" si="69"/>
        <v>9</v>
      </c>
      <c r="Z88">
        <f t="shared" si="69"/>
        <v>10</v>
      </c>
      <c r="AA88">
        <f t="shared" si="69"/>
        <v>11</v>
      </c>
      <c r="AB88">
        <f t="shared" si="69"/>
        <v>12</v>
      </c>
    </row>
    <row r="89" spans="1:30">
      <c r="A89">
        <f t="shared" si="68"/>
        <v>88</v>
      </c>
      <c r="B89">
        <f t="shared" si="41"/>
        <v>3</v>
      </c>
      <c r="C89">
        <f t="shared" si="70"/>
        <v>14</v>
      </c>
      <c r="D89">
        <f t="shared" si="70"/>
        <v>15</v>
      </c>
      <c r="E89">
        <f t="shared" si="70"/>
        <v>16</v>
      </c>
      <c r="F89">
        <f t="shared" si="70"/>
        <v>17</v>
      </c>
      <c r="G89">
        <f t="shared" si="70"/>
        <v>18</v>
      </c>
      <c r="H89">
        <f t="shared" si="70"/>
        <v>19</v>
      </c>
      <c r="I89">
        <f t="shared" si="70"/>
        <v>20</v>
      </c>
      <c r="J89">
        <f t="shared" si="70"/>
        <v>21</v>
      </c>
      <c r="K89">
        <f t="shared" si="70"/>
        <v>22</v>
      </c>
      <c r="L89">
        <f t="shared" si="70"/>
        <v>23</v>
      </c>
      <c r="M89">
        <f t="shared" si="70"/>
        <v>24</v>
      </c>
      <c r="N89">
        <f t="shared" si="70"/>
        <v>25</v>
      </c>
      <c r="O89">
        <f t="shared" si="70"/>
        <v>0</v>
      </c>
      <c r="P89">
        <f t="shared" si="70"/>
        <v>1</v>
      </c>
      <c r="Q89">
        <f t="shared" si="70"/>
        <v>2</v>
      </c>
      <c r="R89">
        <f t="shared" si="70"/>
        <v>3</v>
      </c>
      <c r="S89">
        <f t="shared" si="69"/>
        <v>4</v>
      </c>
      <c r="T89">
        <f t="shared" si="69"/>
        <v>5</v>
      </c>
      <c r="U89">
        <f t="shared" si="69"/>
        <v>6</v>
      </c>
      <c r="V89">
        <f t="shared" si="69"/>
        <v>7</v>
      </c>
      <c r="W89">
        <f t="shared" si="69"/>
        <v>8</v>
      </c>
      <c r="X89">
        <f t="shared" si="69"/>
        <v>9</v>
      </c>
      <c r="Y89">
        <f t="shared" si="69"/>
        <v>10</v>
      </c>
      <c r="Z89">
        <f t="shared" si="69"/>
        <v>11</v>
      </c>
      <c r="AA89">
        <f t="shared" si="69"/>
        <v>12</v>
      </c>
      <c r="AB89">
        <f t="shared" si="69"/>
        <v>13</v>
      </c>
    </row>
    <row r="90" spans="1:30">
      <c r="A90">
        <f t="shared" si="68"/>
        <v>89</v>
      </c>
      <c r="B90">
        <f t="shared" si="41"/>
        <v>4</v>
      </c>
      <c r="C90">
        <f t="shared" si="70"/>
        <v>15</v>
      </c>
      <c r="D90">
        <f t="shared" si="70"/>
        <v>16</v>
      </c>
      <c r="E90">
        <f t="shared" si="70"/>
        <v>17</v>
      </c>
      <c r="F90">
        <f t="shared" si="70"/>
        <v>18</v>
      </c>
      <c r="G90">
        <f t="shared" si="70"/>
        <v>19</v>
      </c>
      <c r="H90">
        <f t="shared" si="70"/>
        <v>20</v>
      </c>
      <c r="I90">
        <f t="shared" si="70"/>
        <v>21</v>
      </c>
      <c r="J90">
        <f t="shared" si="70"/>
        <v>22</v>
      </c>
      <c r="K90">
        <f t="shared" si="70"/>
        <v>23</v>
      </c>
      <c r="L90">
        <f t="shared" si="70"/>
        <v>24</v>
      </c>
      <c r="M90">
        <f t="shared" si="70"/>
        <v>25</v>
      </c>
      <c r="N90">
        <f t="shared" si="70"/>
        <v>0</v>
      </c>
      <c r="O90">
        <f t="shared" si="70"/>
        <v>1</v>
      </c>
      <c r="P90">
        <f t="shared" si="70"/>
        <v>2</v>
      </c>
      <c r="Q90">
        <f t="shared" si="70"/>
        <v>3</v>
      </c>
      <c r="R90">
        <f t="shared" si="70"/>
        <v>4</v>
      </c>
      <c r="S90">
        <f t="shared" si="69"/>
        <v>5</v>
      </c>
      <c r="T90">
        <f t="shared" si="69"/>
        <v>6</v>
      </c>
      <c r="U90">
        <f t="shared" si="69"/>
        <v>7</v>
      </c>
      <c r="V90">
        <f t="shared" si="69"/>
        <v>8</v>
      </c>
      <c r="W90">
        <f t="shared" si="69"/>
        <v>9</v>
      </c>
      <c r="X90">
        <f t="shared" si="69"/>
        <v>10</v>
      </c>
      <c r="Y90">
        <f t="shared" si="69"/>
        <v>11</v>
      </c>
      <c r="Z90">
        <f t="shared" si="69"/>
        <v>12</v>
      </c>
      <c r="AA90">
        <f t="shared" si="69"/>
        <v>13</v>
      </c>
      <c r="AB90">
        <f t="shared" si="69"/>
        <v>14</v>
      </c>
    </row>
    <row r="91" spans="1:30">
      <c r="A91">
        <f t="shared" si="68"/>
        <v>90</v>
      </c>
      <c r="B91">
        <f t="shared" si="41"/>
        <v>5</v>
      </c>
      <c r="C91">
        <f t="shared" si="70"/>
        <v>16</v>
      </c>
      <c r="D91">
        <f t="shared" si="70"/>
        <v>17</v>
      </c>
      <c r="E91">
        <f t="shared" si="70"/>
        <v>18</v>
      </c>
      <c r="F91">
        <f t="shared" si="70"/>
        <v>19</v>
      </c>
      <c r="G91">
        <f t="shared" si="70"/>
        <v>20</v>
      </c>
      <c r="H91">
        <f t="shared" si="70"/>
        <v>21</v>
      </c>
      <c r="I91">
        <f t="shared" si="70"/>
        <v>22</v>
      </c>
      <c r="J91">
        <f t="shared" si="70"/>
        <v>23</v>
      </c>
      <c r="K91">
        <f t="shared" si="70"/>
        <v>24</v>
      </c>
      <c r="L91">
        <f t="shared" si="70"/>
        <v>25</v>
      </c>
      <c r="M91">
        <f t="shared" si="70"/>
        <v>0</v>
      </c>
      <c r="N91">
        <f t="shared" si="70"/>
        <v>1</v>
      </c>
      <c r="O91">
        <f t="shared" si="70"/>
        <v>2</v>
      </c>
      <c r="P91">
        <f t="shared" si="70"/>
        <v>3</v>
      </c>
      <c r="Q91">
        <f t="shared" si="70"/>
        <v>4</v>
      </c>
      <c r="R91">
        <f t="shared" si="70"/>
        <v>5</v>
      </c>
      <c r="S91">
        <f t="shared" si="69"/>
        <v>6</v>
      </c>
      <c r="T91">
        <f t="shared" si="69"/>
        <v>7</v>
      </c>
      <c r="U91">
        <f t="shared" si="69"/>
        <v>8</v>
      </c>
      <c r="V91">
        <f t="shared" si="69"/>
        <v>9</v>
      </c>
      <c r="W91">
        <f t="shared" si="69"/>
        <v>10</v>
      </c>
      <c r="X91">
        <f t="shared" si="69"/>
        <v>11</v>
      </c>
      <c r="Y91">
        <f t="shared" si="69"/>
        <v>12</v>
      </c>
      <c r="Z91">
        <f t="shared" si="69"/>
        <v>13</v>
      </c>
      <c r="AA91">
        <f t="shared" si="69"/>
        <v>14</v>
      </c>
      <c r="AB91">
        <f t="shared" si="69"/>
        <v>15</v>
      </c>
    </row>
    <row r="92" spans="1:30">
      <c r="A92">
        <f t="shared" si="68"/>
        <v>91</v>
      </c>
      <c r="B92">
        <f t="shared" si="41"/>
        <v>6</v>
      </c>
      <c r="C92">
        <f t="shared" si="70"/>
        <v>17</v>
      </c>
      <c r="D92">
        <f t="shared" si="70"/>
        <v>18</v>
      </c>
      <c r="E92">
        <f t="shared" si="70"/>
        <v>19</v>
      </c>
      <c r="F92">
        <f t="shared" si="70"/>
        <v>20</v>
      </c>
      <c r="G92">
        <f t="shared" si="70"/>
        <v>21</v>
      </c>
      <c r="H92">
        <f t="shared" si="70"/>
        <v>22</v>
      </c>
      <c r="I92">
        <f t="shared" si="70"/>
        <v>23</v>
      </c>
      <c r="J92">
        <f t="shared" si="70"/>
        <v>24</v>
      </c>
      <c r="K92">
        <f t="shared" si="70"/>
        <v>25</v>
      </c>
      <c r="L92">
        <f t="shared" si="70"/>
        <v>0</v>
      </c>
      <c r="M92">
        <f t="shared" si="70"/>
        <v>1</v>
      </c>
      <c r="N92">
        <f t="shared" si="70"/>
        <v>2</v>
      </c>
      <c r="O92">
        <f t="shared" si="70"/>
        <v>3</v>
      </c>
      <c r="P92">
        <f t="shared" si="70"/>
        <v>4</v>
      </c>
      <c r="Q92">
        <f t="shared" si="70"/>
        <v>5</v>
      </c>
      <c r="R92">
        <f t="shared" ref="R92:AB100" si="71">MOD($B92+11+R$1,26)</f>
        <v>6</v>
      </c>
      <c r="S92">
        <f t="shared" si="71"/>
        <v>7</v>
      </c>
      <c r="T92">
        <f t="shared" si="71"/>
        <v>8</v>
      </c>
      <c r="U92">
        <f t="shared" si="71"/>
        <v>9</v>
      </c>
      <c r="V92">
        <f t="shared" si="71"/>
        <v>10</v>
      </c>
      <c r="W92">
        <f t="shared" si="71"/>
        <v>11</v>
      </c>
      <c r="X92">
        <f t="shared" si="71"/>
        <v>12</v>
      </c>
      <c r="Y92">
        <f t="shared" si="71"/>
        <v>13</v>
      </c>
      <c r="Z92">
        <f t="shared" si="71"/>
        <v>14</v>
      </c>
      <c r="AA92">
        <f t="shared" si="71"/>
        <v>15</v>
      </c>
      <c r="AB92">
        <f t="shared" si="71"/>
        <v>16</v>
      </c>
    </row>
    <row r="93" spans="1:30">
      <c r="A93">
        <f t="shared" si="68"/>
        <v>92</v>
      </c>
      <c r="B93">
        <f t="shared" si="41"/>
        <v>7</v>
      </c>
      <c r="C93">
        <f t="shared" ref="C93:R100" si="72">MOD($B93+11+C$1,26)</f>
        <v>18</v>
      </c>
      <c r="D93">
        <f t="shared" si="72"/>
        <v>19</v>
      </c>
      <c r="E93">
        <f t="shared" si="72"/>
        <v>20</v>
      </c>
      <c r="F93">
        <f t="shared" si="72"/>
        <v>21</v>
      </c>
      <c r="G93">
        <f t="shared" si="72"/>
        <v>22</v>
      </c>
      <c r="H93">
        <f t="shared" si="72"/>
        <v>23</v>
      </c>
      <c r="I93">
        <f t="shared" si="72"/>
        <v>24</v>
      </c>
      <c r="J93">
        <f t="shared" si="72"/>
        <v>25</v>
      </c>
      <c r="K93">
        <f t="shared" si="72"/>
        <v>0</v>
      </c>
      <c r="L93">
        <f t="shared" si="72"/>
        <v>1</v>
      </c>
      <c r="M93">
        <f t="shared" si="72"/>
        <v>2</v>
      </c>
      <c r="N93">
        <f t="shared" si="72"/>
        <v>3</v>
      </c>
      <c r="O93">
        <f t="shared" si="72"/>
        <v>4</v>
      </c>
      <c r="P93">
        <f t="shared" si="72"/>
        <v>5</v>
      </c>
      <c r="Q93">
        <f t="shared" si="72"/>
        <v>6</v>
      </c>
      <c r="R93">
        <f t="shared" si="72"/>
        <v>7</v>
      </c>
      <c r="S93">
        <f t="shared" si="71"/>
        <v>8</v>
      </c>
      <c r="T93">
        <f t="shared" si="71"/>
        <v>9</v>
      </c>
      <c r="U93">
        <f t="shared" si="71"/>
        <v>10</v>
      </c>
      <c r="V93">
        <f t="shared" si="71"/>
        <v>11</v>
      </c>
      <c r="W93">
        <f t="shared" si="71"/>
        <v>12</v>
      </c>
      <c r="X93">
        <f t="shared" si="71"/>
        <v>13</v>
      </c>
      <c r="Y93">
        <f t="shared" si="71"/>
        <v>14</v>
      </c>
      <c r="Z93">
        <f t="shared" si="71"/>
        <v>15</v>
      </c>
      <c r="AA93">
        <f t="shared" si="71"/>
        <v>16</v>
      </c>
      <c r="AB93">
        <f t="shared" si="71"/>
        <v>17</v>
      </c>
    </row>
    <row r="94" spans="1:30">
      <c r="A94">
        <f t="shared" si="68"/>
        <v>93</v>
      </c>
      <c r="B94">
        <f t="shared" si="41"/>
        <v>8</v>
      </c>
      <c r="C94">
        <f t="shared" si="72"/>
        <v>19</v>
      </c>
      <c r="D94">
        <f t="shared" si="72"/>
        <v>20</v>
      </c>
      <c r="E94">
        <f t="shared" si="72"/>
        <v>21</v>
      </c>
      <c r="F94">
        <f t="shared" si="72"/>
        <v>22</v>
      </c>
      <c r="G94">
        <f t="shared" si="72"/>
        <v>23</v>
      </c>
      <c r="H94">
        <f t="shared" si="72"/>
        <v>24</v>
      </c>
      <c r="I94">
        <f t="shared" si="72"/>
        <v>25</v>
      </c>
      <c r="J94">
        <f t="shared" si="72"/>
        <v>0</v>
      </c>
      <c r="K94">
        <f t="shared" si="72"/>
        <v>1</v>
      </c>
      <c r="L94">
        <f t="shared" si="72"/>
        <v>2</v>
      </c>
      <c r="M94">
        <f t="shared" si="72"/>
        <v>3</v>
      </c>
      <c r="N94">
        <f t="shared" si="72"/>
        <v>4</v>
      </c>
      <c r="O94">
        <f t="shared" si="72"/>
        <v>5</v>
      </c>
      <c r="P94">
        <f t="shared" si="72"/>
        <v>6</v>
      </c>
      <c r="Q94">
        <f t="shared" si="72"/>
        <v>7</v>
      </c>
      <c r="R94">
        <f t="shared" si="72"/>
        <v>8</v>
      </c>
      <c r="S94">
        <f t="shared" si="71"/>
        <v>9</v>
      </c>
      <c r="T94">
        <f t="shared" si="71"/>
        <v>10</v>
      </c>
      <c r="U94">
        <f t="shared" si="71"/>
        <v>11</v>
      </c>
      <c r="V94">
        <f t="shared" si="71"/>
        <v>12</v>
      </c>
      <c r="W94">
        <f t="shared" si="71"/>
        <v>13</v>
      </c>
      <c r="X94">
        <f t="shared" si="71"/>
        <v>14</v>
      </c>
      <c r="Y94">
        <f t="shared" si="71"/>
        <v>15</v>
      </c>
      <c r="Z94">
        <f t="shared" si="71"/>
        <v>16</v>
      </c>
      <c r="AA94">
        <f t="shared" si="71"/>
        <v>17</v>
      </c>
      <c r="AB94">
        <f t="shared" si="71"/>
        <v>18</v>
      </c>
    </row>
    <row r="95" spans="1:30">
      <c r="A95">
        <f t="shared" si="68"/>
        <v>94</v>
      </c>
      <c r="B95">
        <f t="shared" si="41"/>
        <v>9</v>
      </c>
      <c r="C95">
        <f t="shared" si="72"/>
        <v>20</v>
      </c>
      <c r="D95">
        <f t="shared" si="72"/>
        <v>21</v>
      </c>
      <c r="E95">
        <f t="shared" si="72"/>
        <v>22</v>
      </c>
      <c r="F95">
        <f t="shared" si="72"/>
        <v>23</v>
      </c>
      <c r="G95">
        <f t="shared" si="72"/>
        <v>24</v>
      </c>
      <c r="H95">
        <f t="shared" si="72"/>
        <v>25</v>
      </c>
      <c r="I95">
        <f t="shared" si="72"/>
        <v>0</v>
      </c>
      <c r="J95">
        <f t="shared" si="72"/>
        <v>1</v>
      </c>
      <c r="K95">
        <f t="shared" si="72"/>
        <v>2</v>
      </c>
      <c r="L95">
        <f t="shared" si="72"/>
        <v>3</v>
      </c>
      <c r="M95">
        <f t="shared" si="72"/>
        <v>4</v>
      </c>
      <c r="N95">
        <f t="shared" si="72"/>
        <v>5</v>
      </c>
      <c r="O95">
        <f t="shared" si="72"/>
        <v>6</v>
      </c>
      <c r="P95">
        <f t="shared" si="72"/>
        <v>7</v>
      </c>
      <c r="Q95">
        <f t="shared" si="72"/>
        <v>8</v>
      </c>
      <c r="R95">
        <f t="shared" si="72"/>
        <v>9</v>
      </c>
      <c r="S95">
        <f t="shared" si="71"/>
        <v>10</v>
      </c>
      <c r="T95">
        <f t="shared" si="71"/>
        <v>11</v>
      </c>
      <c r="U95">
        <f t="shared" si="71"/>
        <v>12</v>
      </c>
      <c r="V95">
        <f t="shared" si="71"/>
        <v>13</v>
      </c>
      <c r="W95">
        <f t="shared" si="71"/>
        <v>14</v>
      </c>
      <c r="X95">
        <f t="shared" si="71"/>
        <v>15</v>
      </c>
      <c r="Y95">
        <f t="shared" si="71"/>
        <v>16</v>
      </c>
      <c r="Z95">
        <f t="shared" si="71"/>
        <v>17</v>
      </c>
      <c r="AA95">
        <f t="shared" si="71"/>
        <v>18</v>
      </c>
      <c r="AB95">
        <f t="shared" si="71"/>
        <v>19</v>
      </c>
    </row>
    <row r="96" spans="1:30">
      <c r="A96">
        <f t="shared" si="68"/>
        <v>95</v>
      </c>
      <c r="B96">
        <f t="shared" si="41"/>
        <v>10</v>
      </c>
      <c r="C96">
        <f t="shared" si="72"/>
        <v>21</v>
      </c>
      <c r="D96">
        <f t="shared" si="72"/>
        <v>22</v>
      </c>
      <c r="E96">
        <f t="shared" si="72"/>
        <v>23</v>
      </c>
      <c r="F96">
        <f t="shared" si="72"/>
        <v>24</v>
      </c>
      <c r="G96">
        <f t="shared" si="72"/>
        <v>25</v>
      </c>
      <c r="H96">
        <f t="shared" si="72"/>
        <v>0</v>
      </c>
      <c r="I96">
        <f t="shared" si="72"/>
        <v>1</v>
      </c>
      <c r="J96">
        <f t="shared" si="72"/>
        <v>2</v>
      </c>
      <c r="K96">
        <f t="shared" si="72"/>
        <v>3</v>
      </c>
      <c r="L96">
        <f t="shared" si="72"/>
        <v>4</v>
      </c>
      <c r="M96">
        <f t="shared" si="72"/>
        <v>5</v>
      </c>
      <c r="N96">
        <f t="shared" si="72"/>
        <v>6</v>
      </c>
      <c r="O96">
        <f t="shared" si="72"/>
        <v>7</v>
      </c>
      <c r="P96">
        <f t="shared" si="72"/>
        <v>8</v>
      </c>
      <c r="Q96">
        <f t="shared" si="72"/>
        <v>9</v>
      </c>
      <c r="R96">
        <f t="shared" si="72"/>
        <v>10</v>
      </c>
      <c r="S96">
        <f t="shared" si="71"/>
        <v>11</v>
      </c>
      <c r="T96">
        <f t="shared" si="71"/>
        <v>12</v>
      </c>
      <c r="U96">
        <f t="shared" si="71"/>
        <v>13</v>
      </c>
      <c r="V96">
        <f t="shared" si="71"/>
        <v>14</v>
      </c>
      <c r="W96">
        <f t="shared" si="71"/>
        <v>15</v>
      </c>
      <c r="X96">
        <f t="shared" si="71"/>
        <v>16</v>
      </c>
      <c r="Y96">
        <f t="shared" si="71"/>
        <v>17</v>
      </c>
      <c r="Z96">
        <f t="shared" si="71"/>
        <v>18</v>
      </c>
      <c r="AA96">
        <f t="shared" si="71"/>
        <v>19</v>
      </c>
      <c r="AB96">
        <f t="shared" si="71"/>
        <v>20</v>
      </c>
    </row>
    <row r="97" spans="1:28">
      <c r="A97">
        <f t="shared" si="68"/>
        <v>96</v>
      </c>
      <c r="B97">
        <f t="shared" si="41"/>
        <v>11</v>
      </c>
      <c r="C97">
        <f t="shared" si="72"/>
        <v>22</v>
      </c>
      <c r="D97">
        <f t="shared" si="72"/>
        <v>23</v>
      </c>
      <c r="E97">
        <f t="shared" si="72"/>
        <v>24</v>
      </c>
      <c r="F97">
        <f t="shared" si="72"/>
        <v>25</v>
      </c>
      <c r="G97">
        <f t="shared" si="72"/>
        <v>0</v>
      </c>
      <c r="H97">
        <f t="shared" si="72"/>
        <v>1</v>
      </c>
      <c r="I97">
        <f t="shared" si="72"/>
        <v>2</v>
      </c>
      <c r="J97">
        <f t="shared" si="72"/>
        <v>3</v>
      </c>
      <c r="K97">
        <f t="shared" si="72"/>
        <v>4</v>
      </c>
      <c r="L97">
        <f t="shared" si="72"/>
        <v>5</v>
      </c>
      <c r="M97">
        <f t="shared" si="72"/>
        <v>6</v>
      </c>
      <c r="N97">
        <f t="shared" si="72"/>
        <v>7</v>
      </c>
      <c r="O97">
        <f t="shared" si="72"/>
        <v>8</v>
      </c>
      <c r="P97">
        <f t="shared" si="72"/>
        <v>9</v>
      </c>
      <c r="Q97">
        <f t="shared" si="72"/>
        <v>10</v>
      </c>
      <c r="R97">
        <f t="shared" si="72"/>
        <v>11</v>
      </c>
      <c r="S97">
        <f t="shared" si="71"/>
        <v>12</v>
      </c>
      <c r="T97">
        <f t="shared" si="71"/>
        <v>13</v>
      </c>
      <c r="U97">
        <f t="shared" si="71"/>
        <v>14</v>
      </c>
      <c r="V97">
        <f t="shared" si="71"/>
        <v>15</v>
      </c>
      <c r="W97">
        <f t="shared" si="71"/>
        <v>16</v>
      </c>
      <c r="X97">
        <f t="shared" si="71"/>
        <v>17</v>
      </c>
      <c r="Y97">
        <f t="shared" si="71"/>
        <v>18</v>
      </c>
      <c r="Z97">
        <f t="shared" si="71"/>
        <v>19</v>
      </c>
      <c r="AA97">
        <f t="shared" si="71"/>
        <v>20</v>
      </c>
      <c r="AB97">
        <f t="shared" si="71"/>
        <v>21</v>
      </c>
    </row>
    <row r="98" spans="1:28">
      <c r="A98">
        <f t="shared" si="68"/>
        <v>97</v>
      </c>
      <c r="B98">
        <f t="shared" si="41"/>
        <v>12</v>
      </c>
      <c r="C98">
        <f t="shared" si="72"/>
        <v>23</v>
      </c>
      <c r="D98">
        <f t="shared" si="72"/>
        <v>24</v>
      </c>
      <c r="E98">
        <f t="shared" si="72"/>
        <v>25</v>
      </c>
      <c r="F98">
        <f t="shared" si="72"/>
        <v>0</v>
      </c>
      <c r="G98">
        <f t="shared" si="72"/>
        <v>1</v>
      </c>
      <c r="H98">
        <f t="shared" si="72"/>
        <v>2</v>
      </c>
      <c r="I98">
        <f t="shared" si="72"/>
        <v>3</v>
      </c>
      <c r="J98">
        <f t="shared" si="72"/>
        <v>4</v>
      </c>
      <c r="K98">
        <f t="shared" si="72"/>
        <v>5</v>
      </c>
      <c r="L98">
        <f t="shared" si="72"/>
        <v>6</v>
      </c>
      <c r="M98">
        <f t="shared" si="72"/>
        <v>7</v>
      </c>
      <c r="N98">
        <f t="shared" si="72"/>
        <v>8</v>
      </c>
      <c r="O98">
        <f t="shared" si="72"/>
        <v>9</v>
      </c>
      <c r="P98">
        <f t="shared" si="72"/>
        <v>10</v>
      </c>
      <c r="Q98">
        <f t="shared" si="72"/>
        <v>11</v>
      </c>
      <c r="R98">
        <f t="shared" si="72"/>
        <v>12</v>
      </c>
      <c r="S98">
        <f t="shared" si="71"/>
        <v>13</v>
      </c>
      <c r="T98">
        <f t="shared" si="71"/>
        <v>14</v>
      </c>
      <c r="U98">
        <f t="shared" si="71"/>
        <v>15</v>
      </c>
      <c r="V98">
        <f t="shared" si="71"/>
        <v>16</v>
      </c>
      <c r="W98">
        <f t="shared" si="71"/>
        <v>17</v>
      </c>
      <c r="X98">
        <f t="shared" si="71"/>
        <v>18</v>
      </c>
      <c r="Y98">
        <f t="shared" si="71"/>
        <v>19</v>
      </c>
      <c r="Z98">
        <f t="shared" si="71"/>
        <v>20</v>
      </c>
      <c r="AA98">
        <f t="shared" si="71"/>
        <v>21</v>
      </c>
      <c r="AB98">
        <f t="shared" si="71"/>
        <v>22</v>
      </c>
    </row>
    <row r="99" spans="1:28">
      <c r="A99">
        <f t="shared" si="68"/>
        <v>98</v>
      </c>
      <c r="B99">
        <f t="shared" si="41"/>
        <v>13</v>
      </c>
      <c r="C99">
        <f t="shared" si="72"/>
        <v>24</v>
      </c>
      <c r="D99">
        <f t="shared" si="72"/>
        <v>25</v>
      </c>
      <c r="E99">
        <f t="shared" si="72"/>
        <v>0</v>
      </c>
      <c r="F99">
        <f t="shared" si="72"/>
        <v>1</v>
      </c>
      <c r="G99">
        <f t="shared" si="72"/>
        <v>2</v>
      </c>
      <c r="H99">
        <f t="shared" si="72"/>
        <v>3</v>
      </c>
      <c r="I99">
        <f t="shared" si="72"/>
        <v>4</v>
      </c>
      <c r="J99">
        <f t="shared" si="72"/>
        <v>5</v>
      </c>
      <c r="K99">
        <f t="shared" si="72"/>
        <v>6</v>
      </c>
      <c r="L99">
        <f t="shared" si="72"/>
        <v>7</v>
      </c>
      <c r="M99">
        <f t="shared" si="72"/>
        <v>8</v>
      </c>
      <c r="N99">
        <f t="shared" si="72"/>
        <v>9</v>
      </c>
      <c r="O99">
        <f t="shared" si="72"/>
        <v>10</v>
      </c>
      <c r="P99">
        <f t="shared" si="72"/>
        <v>11</v>
      </c>
      <c r="Q99">
        <f t="shared" si="72"/>
        <v>12</v>
      </c>
      <c r="R99">
        <f t="shared" si="72"/>
        <v>13</v>
      </c>
      <c r="S99">
        <f t="shared" si="71"/>
        <v>14</v>
      </c>
      <c r="T99">
        <f t="shared" si="71"/>
        <v>15</v>
      </c>
      <c r="U99">
        <f t="shared" si="71"/>
        <v>16</v>
      </c>
      <c r="V99">
        <f t="shared" si="71"/>
        <v>17</v>
      </c>
      <c r="W99">
        <f t="shared" si="71"/>
        <v>18</v>
      </c>
      <c r="X99">
        <f t="shared" si="71"/>
        <v>19</v>
      </c>
      <c r="Y99">
        <f t="shared" si="71"/>
        <v>20</v>
      </c>
      <c r="Z99">
        <f t="shared" si="71"/>
        <v>21</v>
      </c>
      <c r="AA99">
        <f t="shared" si="71"/>
        <v>22</v>
      </c>
      <c r="AB99">
        <f t="shared" si="71"/>
        <v>23</v>
      </c>
    </row>
    <row r="100" spans="1:28">
      <c r="A100">
        <f t="shared" si="68"/>
        <v>99</v>
      </c>
      <c r="B100">
        <f t="shared" si="41"/>
        <v>14</v>
      </c>
      <c r="C100">
        <f t="shared" si="72"/>
        <v>25</v>
      </c>
      <c r="D100">
        <f t="shared" si="72"/>
        <v>0</v>
      </c>
      <c r="E100">
        <f t="shared" si="72"/>
        <v>1</v>
      </c>
      <c r="F100">
        <f t="shared" si="72"/>
        <v>2</v>
      </c>
      <c r="G100">
        <f t="shared" si="72"/>
        <v>3</v>
      </c>
      <c r="H100">
        <f t="shared" si="72"/>
        <v>4</v>
      </c>
      <c r="I100">
        <f t="shared" si="72"/>
        <v>5</v>
      </c>
      <c r="J100">
        <f t="shared" si="72"/>
        <v>6</v>
      </c>
      <c r="K100">
        <f t="shared" si="72"/>
        <v>7</v>
      </c>
      <c r="L100">
        <f t="shared" si="72"/>
        <v>8</v>
      </c>
      <c r="M100">
        <f t="shared" si="72"/>
        <v>9</v>
      </c>
      <c r="N100">
        <f t="shared" si="72"/>
        <v>10</v>
      </c>
      <c r="O100">
        <f t="shared" si="72"/>
        <v>11</v>
      </c>
      <c r="P100">
        <f t="shared" si="72"/>
        <v>12</v>
      </c>
      <c r="Q100">
        <f t="shared" si="72"/>
        <v>13</v>
      </c>
      <c r="R100">
        <f t="shared" si="72"/>
        <v>14</v>
      </c>
      <c r="S100">
        <f t="shared" si="71"/>
        <v>15</v>
      </c>
      <c r="T100">
        <f t="shared" si="71"/>
        <v>16</v>
      </c>
      <c r="U100">
        <f t="shared" si="71"/>
        <v>17</v>
      </c>
      <c r="V100">
        <f t="shared" si="71"/>
        <v>18</v>
      </c>
      <c r="W100">
        <f t="shared" si="71"/>
        <v>19</v>
      </c>
      <c r="X100">
        <f t="shared" si="71"/>
        <v>20</v>
      </c>
      <c r="Y100">
        <f t="shared" si="71"/>
        <v>21</v>
      </c>
      <c r="Z100">
        <f t="shared" si="71"/>
        <v>22</v>
      </c>
      <c r="AA100">
        <f t="shared" si="71"/>
        <v>23</v>
      </c>
      <c r="AB100">
        <f t="shared" si="71"/>
        <v>24</v>
      </c>
    </row>
  </sheetData>
  <sheetCalcPr fullCalcOnLoad="1"/>
  <phoneticPr fontId="3" type="noConversion"/>
  <pageMargins left="0.75" right="0.75" top="1" bottom="1" header="0.5" footer="0.5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105"/>
  <sheetViews>
    <sheetView tabSelected="1" topLeftCell="C1" workbookViewId="0">
      <selection activeCell="M2" sqref="M2"/>
    </sheetView>
  </sheetViews>
  <sheetFormatPr baseColWidth="10" defaultRowHeight="13"/>
  <sheetData>
    <row r="1" spans="1:13">
      <c r="A1" s="5" t="s">
        <v>1</v>
      </c>
      <c r="B1" s="5" t="s">
        <v>2</v>
      </c>
      <c r="C1" s="5" t="s">
        <v>3</v>
      </c>
      <c r="D1" s="5" t="s">
        <v>4</v>
      </c>
      <c r="E1" s="5">
        <v>19</v>
      </c>
      <c r="F1" s="16">
        <v>17</v>
      </c>
      <c r="G1" s="5" t="s">
        <v>32</v>
      </c>
      <c r="I1" s="5" t="s">
        <v>34</v>
      </c>
      <c r="J1" s="5" t="s">
        <v>35</v>
      </c>
    </row>
    <row r="2" spans="1:13">
      <c r="A2" s="5">
        <v>1</v>
      </c>
      <c r="B2" s="6">
        <v>1</v>
      </c>
      <c r="C2" s="6" t="s">
        <v>5</v>
      </c>
      <c r="D2" s="6">
        <v>14</v>
      </c>
      <c r="E2">
        <f t="shared" ref="E2:E51" si="0">$E$1</f>
        <v>19</v>
      </c>
      <c r="F2">
        <f>MOD(B2-1,$F$1)+1</f>
        <v>1</v>
      </c>
      <c r="G2">
        <f>MOD(D2-E2-F2,26)</f>
        <v>20</v>
      </c>
      <c r="H2" t="str">
        <f>CHAR(G2+65)</f>
        <v>U</v>
      </c>
      <c r="I2">
        <f>AVERAGE(G2:G25)</f>
        <v>12.916666666666666</v>
      </c>
      <c r="J2">
        <f>AVERAGE(G54:G77)</f>
        <v>13.333333333333334</v>
      </c>
      <c r="K2">
        <f>ABS(I2-J2)</f>
        <v>0.41666666666666785</v>
      </c>
      <c r="M2" s="8" t="str">
        <f>CHAR(E2+65)</f>
        <v>T</v>
      </c>
    </row>
    <row r="3" spans="1:13">
      <c r="A3" s="5">
        <v>2</v>
      </c>
      <c r="B3" s="6">
        <v>2</v>
      </c>
      <c r="C3" s="6" t="s">
        <v>6</v>
      </c>
      <c r="D3" s="6">
        <v>1</v>
      </c>
      <c r="E3">
        <f t="shared" si="0"/>
        <v>19</v>
      </c>
      <c r="F3">
        <f t="shared" ref="F3:F51" si="1">MOD(B3-1,$F$1)+1</f>
        <v>2</v>
      </c>
      <c r="G3">
        <f t="shared" ref="G3:G51" si="2">MOD(D3-E3-F3,26)</f>
        <v>6</v>
      </c>
      <c r="H3" t="str">
        <f t="shared" ref="H3:H51" si="3">CHAR(G3+65)</f>
        <v>G</v>
      </c>
      <c r="I3">
        <f t="shared" ref="I3:I28" si="4">AVERAGE(G3:G26)</f>
        <v>12.916666666666666</v>
      </c>
      <c r="J3">
        <f t="shared" ref="J3:J28" si="5">AVERAGE(G55:G78)</f>
        <v>13.166666666666666</v>
      </c>
      <c r="K3">
        <f t="shared" ref="K3:K28" si="6">ABS(I3-J3)</f>
        <v>0.25</v>
      </c>
    </row>
    <row r="4" spans="1:13">
      <c r="A4" s="5">
        <v>3</v>
      </c>
      <c r="B4" s="6">
        <v>3</v>
      </c>
      <c r="C4" s="6" t="s">
        <v>7</v>
      </c>
      <c r="D4" s="6">
        <v>10</v>
      </c>
      <c r="E4">
        <f t="shared" si="0"/>
        <v>19</v>
      </c>
      <c r="F4">
        <f t="shared" si="1"/>
        <v>3</v>
      </c>
      <c r="G4">
        <f t="shared" si="2"/>
        <v>14</v>
      </c>
      <c r="H4" t="str">
        <f t="shared" si="3"/>
        <v>O</v>
      </c>
      <c r="I4">
        <f t="shared" si="4"/>
        <v>13.25</v>
      </c>
      <c r="J4">
        <f t="shared" si="5"/>
        <v>12.75</v>
      </c>
      <c r="K4">
        <f t="shared" si="6"/>
        <v>0.5</v>
      </c>
    </row>
    <row r="5" spans="1:13">
      <c r="A5" s="5">
        <v>4</v>
      </c>
      <c r="B5" s="6">
        <v>4</v>
      </c>
      <c r="C5" s="6" t="s">
        <v>8</v>
      </c>
      <c r="D5" s="6">
        <v>17</v>
      </c>
      <c r="E5">
        <f t="shared" si="0"/>
        <v>19</v>
      </c>
      <c r="F5">
        <f t="shared" si="1"/>
        <v>4</v>
      </c>
      <c r="G5">
        <f t="shared" si="2"/>
        <v>20</v>
      </c>
      <c r="H5" t="str">
        <f t="shared" si="3"/>
        <v>U</v>
      </c>
      <c r="I5">
        <f t="shared" si="4"/>
        <v>13.208333333333334</v>
      </c>
      <c r="J5">
        <f t="shared" si="5"/>
        <v>12.166666666666666</v>
      </c>
      <c r="K5">
        <f t="shared" si="6"/>
        <v>1.0416666666666679</v>
      </c>
    </row>
    <row r="6" spans="1:13">
      <c r="A6" s="5">
        <v>1</v>
      </c>
      <c r="B6" s="7">
        <v>5</v>
      </c>
      <c r="C6" s="7" t="s">
        <v>9</v>
      </c>
      <c r="D6" s="7">
        <v>20</v>
      </c>
      <c r="E6">
        <f t="shared" si="0"/>
        <v>19</v>
      </c>
      <c r="F6">
        <f t="shared" si="1"/>
        <v>5</v>
      </c>
      <c r="G6">
        <f t="shared" si="2"/>
        <v>22</v>
      </c>
      <c r="H6" t="str">
        <f t="shared" si="3"/>
        <v>W</v>
      </c>
      <c r="I6">
        <f t="shared" si="4"/>
        <v>12.833333333333334</v>
      </c>
      <c r="J6">
        <f t="shared" si="5"/>
        <v>11.833333333333334</v>
      </c>
      <c r="K6">
        <f t="shared" si="6"/>
        <v>1</v>
      </c>
    </row>
    <row r="7" spans="1:13">
      <c r="A7" s="5">
        <v>2</v>
      </c>
      <c r="B7" s="7">
        <v>6</v>
      </c>
      <c r="C7" s="7" t="s">
        <v>5</v>
      </c>
      <c r="D7" s="7">
        <v>14</v>
      </c>
      <c r="E7">
        <f t="shared" si="0"/>
        <v>19</v>
      </c>
      <c r="F7">
        <f t="shared" si="1"/>
        <v>6</v>
      </c>
      <c r="G7">
        <f t="shared" si="2"/>
        <v>15</v>
      </c>
      <c r="H7" t="str">
        <f t="shared" si="3"/>
        <v>P</v>
      </c>
      <c r="I7">
        <f t="shared" si="4"/>
        <v>12.416666666666666</v>
      </c>
      <c r="J7">
        <f t="shared" si="5"/>
        <v>11.75</v>
      </c>
      <c r="K7">
        <f t="shared" si="6"/>
        <v>0.66666666666666607</v>
      </c>
    </row>
    <row r="8" spans="1:13">
      <c r="A8" s="5">
        <v>3</v>
      </c>
      <c r="B8" s="7">
        <v>7</v>
      </c>
      <c r="C8" s="7" t="s">
        <v>10</v>
      </c>
      <c r="D8" s="7">
        <v>23</v>
      </c>
      <c r="E8">
        <f t="shared" si="0"/>
        <v>19</v>
      </c>
      <c r="F8">
        <f t="shared" si="1"/>
        <v>7</v>
      </c>
      <c r="G8">
        <f t="shared" si="2"/>
        <v>23</v>
      </c>
      <c r="H8" t="str">
        <f t="shared" si="3"/>
        <v>X</v>
      </c>
      <c r="I8">
        <f t="shared" si="4"/>
        <v>12.083333333333334</v>
      </c>
      <c r="J8">
        <f t="shared" si="5"/>
        <v>12.291666666666666</v>
      </c>
      <c r="K8">
        <f t="shared" si="6"/>
        <v>0.20833333333333215</v>
      </c>
    </row>
    <row r="9" spans="1:13">
      <c r="A9" s="5">
        <v>4</v>
      </c>
      <c r="B9" s="7">
        <v>8</v>
      </c>
      <c r="C9" s="7" t="s">
        <v>5</v>
      </c>
      <c r="D9" s="7">
        <v>14</v>
      </c>
      <c r="E9">
        <f t="shared" si="0"/>
        <v>19</v>
      </c>
      <c r="F9">
        <f t="shared" si="1"/>
        <v>8</v>
      </c>
      <c r="G9">
        <f t="shared" si="2"/>
        <v>13</v>
      </c>
      <c r="H9" t="str">
        <f t="shared" si="3"/>
        <v>N</v>
      </c>
      <c r="I9">
        <f t="shared" si="4"/>
        <v>12.166666666666666</v>
      </c>
      <c r="J9">
        <f t="shared" si="5"/>
        <v>12.458333333333334</v>
      </c>
      <c r="K9">
        <f t="shared" si="6"/>
        <v>0.29166666666666785</v>
      </c>
    </row>
    <row r="10" spans="1:13">
      <c r="A10" s="5">
        <v>5</v>
      </c>
      <c r="B10" s="7">
        <v>9</v>
      </c>
      <c r="C10" s="7" t="s">
        <v>11</v>
      </c>
      <c r="D10" s="7">
        <v>6</v>
      </c>
      <c r="E10">
        <f t="shared" si="0"/>
        <v>19</v>
      </c>
      <c r="F10">
        <f t="shared" si="1"/>
        <v>9</v>
      </c>
      <c r="G10">
        <f t="shared" si="2"/>
        <v>4</v>
      </c>
      <c r="H10" t="str">
        <f t="shared" si="3"/>
        <v>E</v>
      </c>
      <c r="I10">
        <f t="shared" si="4"/>
        <v>11.708333333333334</v>
      </c>
      <c r="J10">
        <f t="shared" si="5"/>
        <v>11.458333333333334</v>
      </c>
      <c r="K10">
        <f t="shared" si="6"/>
        <v>0.25</v>
      </c>
    </row>
    <row r="11" spans="1:13">
      <c r="A11" s="5">
        <v>6</v>
      </c>
      <c r="B11" s="7">
        <v>10</v>
      </c>
      <c r="C11" s="7" t="s">
        <v>12</v>
      </c>
      <c r="D11" s="7">
        <v>7</v>
      </c>
      <c r="E11">
        <f t="shared" si="0"/>
        <v>19</v>
      </c>
      <c r="F11">
        <f t="shared" si="1"/>
        <v>10</v>
      </c>
      <c r="G11">
        <f t="shared" si="2"/>
        <v>4</v>
      </c>
      <c r="H11" t="str">
        <f t="shared" si="3"/>
        <v>E</v>
      </c>
      <c r="I11">
        <f t="shared" si="4"/>
        <v>11.916666666666666</v>
      </c>
      <c r="J11">
        <f t="shared" si="5"/>
        <v>11.416666666666666</v>
      </c>
      <c r="K11">
        <f t="shared" si="6"/>
        <v>0.5</v>
      </c>
    </row>
    <row r="12" spans="1:13">
      <c r="A12" s="5">
        <v>7</v>
      </c>
      <c r="B12" s="7">
        <v>11</v>
      </c>
      <c r="C12" s="7" t="s">
        <v>9</v>
      </c>
      <c r="D12" s="7">
        <v>20</v>
      </c>
      <c r="E12">
        <f t="shared" si="0"/>
        <v>19</v>
      </c>
      <c r="F12">
        <f t="shared" si="1"/>
        <v>11</v>
      </c>
      <c r="G12">
        <f t="shared" si="2"/>
        <v>16</v>
      </c>
      <c r="H12" t="str">
        <f t="shared" si="3"/>
        <v>Q</v>
      </c>
      <c r="I12">
        <f t="shared" si="4"/>
        <v>12.083333333333334</v>
      </c>
      <c r="J12">
        <f t="shared" si="5"/>
        <v>12</v>
      </c>
      <c r="K12">
        <f t="shared" si="6"/>
        <v>8.3333333333333925E-2</v>
      </c>
    </row>
    <row r="13" spans="1:13">
      <c r="A13" s="5">
        <v>8</v>
      </c>
      <c r="B13" s="7">
        <v>12</v>
      </c>
      <c r="C13" s="7" t="s">
        <v>13</v>
      </c>
      <c r="D13" s="7">
        <v>11</v>
      </c>
      <c r="E13">
        <f t="shared" si="0"/>
        <v>19</v>
      </c>
      <c r="F13">
        <f t="shared" si="1"/>
        <v>12</v>
      </c>
      <c r="G13">
        <f t="shared" si="2"/>
        <v>6</v>
      </c>
      <c r="H13" t="str">
        <f t="shared" si="3"/>
        <v>G</v>
      </c>
      <c r="I13">
        <f t="shared" si="4"/>
        <v>12.25</v>
      </c>
      <c r="J13">
        <f t="shared" si="5"/>
        <v>12.208333333333334</v>
      </c>
      <c r="K13">
        <f t="shared" si="6"/>
        <v>4.1666666666666075E-2</v>
      </c>
    </row>
    <row r="14" spans="1:13">
      <c r="A14" s="5">
        <v>9</v>
      </c>
      <c r="B14" s="7">
        <v>13</v>
      </c>
      <c r="C14" s="7" t="s">
        <v>6</v>
      </c>
      <c r="D14" s="7">
        <v>1</v>
      </c>
      <c r="E14">
        <f t="shared" si="0"/>
        <v>19</v>
      </c>
      <c r="F14">
        <f t="shared" si="1"/>
        <v>13</v>
      </c>
      <c r="G14">
        <f t="shared" si="2"/>
        <v>21</v>
      </c>
      <c r="H14" t="str">
        <f t="shared" si="3"/>
        <v>V</v>
      </c>
      <c r="I14">
        <f t="shared" si="4"/>
        <v>13</v>
      </c>
      <c r="J14">
        <f t="shared" si="5"/>
        <v>12.666666666666666</v>
      </c>
      <c r="K14">
        <f t="shared" si="6"/>
        <v>0.33333333333333393</v>
      </c>
    </row>
    <row r="15" spans="1:13">
      <c r="A15" s="5">
        <v>10</v>
      </c>
      <c r="B15" s="7">
        <v>14</v>
      </c>
      <c r="C15" s="7" t="s">
        <v>14</v>
      </c>
      <c r="D15" s="7">
        <v>18</v>
      </c>
      <c r="E15">
        <f t="shared" si="0"/>
        <v>19</v>
      </c>
      <c r="F15">
        <f t="shared" si="1"/>
        <v>14</v>
      </c>
      <c r="G15">
        <f t="shared" si="2"/>
        <v>11</v>
      </c>
      <c r="H15" t="str">
        <f t="shared" si="3"/>
        <v>L</v>
      </c>
      <c r="I15">
        <f t="shared" si="4"/>
        <v>12.125</v>
      </c>
      <c r="J15">
        <f t="shared" si="5"/>
        <v>12.375</v>
      </c>
      <c r="K15">
        <f t="shared" si="6"/>
        <v>0.25</v>
      </c>
    </row>
    <row r="16" spans="1:13">
      <c r="A16" s="5">
        <v>11</v>
      </c>
      <c r="B16" s="7">
        <v>15</v>
      </c>
      <c r="C16" s="7" t="s">
        <v>5</v>
      </c>
      <c r="D16" s="7">
        <v>14</v>
      </c>
      <c r="E16">
        <f t="shared" si="0"/>
        <v>19</v>
      </c>
      <c r="F16">
        <f t="shared" si="1"/>
        <v>15</v>
      </c>
      <c r="G16">
        <f t="shared" si="2"/>
        <v>6</v>
      </c>
      <c r="H16" t="str">
        <f t="shared" si="3"/>
        <v>G</v>
      </c>
      <c r="I16">
        <f t="shared" si="4"/>
        <v>12.583333333333334</v>
      </c>
      <c r="J16">
        <f t="shared" si="5"/>
        <v>13.083333333333334</v>
      </c>
      <c r="K16">
        <f t="shared" si="6"/>
        <v>0.5</v>
      </c>
    </row>
    <row r="17" spans="1:11">
      <c r="A17" s="5">
        <v>12</v>
      </c>
      <c r="B17" s="7">
        <v>16</v>
      </c>
      <c r="C17" s="7" t="s">
        <v>13</v>
      </c>
      <c r="D17" s="7">
        <v>11</v>
      </c>
      <c r="E17">
        <f t="shared" si="0"/>
        <v>19</v>
      </c>
      <c r="F17">
        <f t="shared" si="1"/>
        <v>16</v>
      </c>
      <c r="G17">
        <f t="shared" si="2"/>
        <v>2</v>
      </c>
      <c r="H17" t="str">
        <f t="shared" si="3"/>
        <v>C</v>
      </c>
      <c r="I17">
        <f t="shared" si="4"/>
        <v>13.083333333333334</v>
      </c>
      <c r="J17">
        <f t="shared" si="5"/>
        <v>12.791666666666666</v>
      </c>
      <c r="K17">
        <f t="shared" si="6"/>
        <v>0.29166666666666785</v>
      </c>
    </row>
    <row r="18" spans="1:11">
      <c r="A18" s="5">
        <v>13</v>
      </c>
      <c r="B18" s="7">
        <v>17</v>
      </c>
      <c r="C18" s="7" t="s">
        <v>15</v>
      </c>
      <c r="D18" s="7">
        <v>8</v>
      </c>
      <c r="E18">
        <f t="shared" si="0"/>
        <v>19</v>
      </c>
      <c r="F18">
        <f t="shared" si="1"/>
        <v>17</v>
      </c>
      <c r="G18">
        <f t="shared" si="2"/>
        <v>24</v>
      </c>
      <c r="H18" t="str">
        <f t="shared" si="3"/>
        <v>Y</v>
      </c>
      <c r="I18">
        <f t="shared" si="4"/>
        <v>13.791666666666666</v>
      </c>
      <c r="J18">
        <f t="shared" si="5"/>
        <v>13.416666666666666</v>
      </c>
      <c r="K18">
        <f t="shared" si="6"/>
        <v>0.375</v>
      </c>
    </row>
    <row r="19" spans="1:11">
      <c r="A19" s="5">
        <v>14</v>
      </c>
      <c r="B19" s="7">
        <v>18</v>
      </c>
      <c r="C19" s="7" t="s">
        <v>16</v>
      </c>
      <c r="D19" s="7">
        <v>5</v>
      </c>
      <c r="E19">
        <f t="shared" si="0"/>
        <v>19</v>
      </c>
      <c r="F19">
        <f t="shared" si="1"/>
        <v>1</v>
      </c>
      <c r="G19">
        <f t="shared" si="2"/>
        <v>11</v>
      </c>
      <c r="H19" t="str">
        <f t="shared" si="3"/>
        <v>L</v>
      </c>
      <c r="I19">
        <f t="shared" si="4"/>
        <v>13.166666666666666</v>
      </c>
      <c r="J19">
        <f t="shared" si="5"/>
        <v>12.958333333333334</v>
      </c>
      <c r="K19">
        <f t="shared" si="6"/>
        <v>0.20833333333333215</v>
      </c>
    </row>
    <row r="20" spans="1:11">
      <c r="A20" s="5">
        <v>15</v>
      </c>
      <c r="B20" s="7">
        <v>19</v>
      </c>
      <c r="C20" s="7" t="s">
        <v>6</v>
      </c>
      <c r="D20" s="7">
        <v>1</v>
      </c>
      <c r="E20">
        <f t="shared" si="0"/>
        <v>19</v>
      </c>
      <c r="F20">
        <f t="shared" si="1"/>
        <v>2</v>
      </c>
      <c r="G20">
        <f t="shared" si="2"/>
        <v>6</v>
      </c>
      <c r="H20" t="str">
        <f t="shared" si="3"/>
        <v>G</v>
      </c>
      <c r="I20">
        <f t="shared" si="4"/>
        <v>13.333333333333334</v>
      </c>
      <c r="J20">
        <f t="shared" si="5"/>
        <v>12.708333333333334</v>
      </c>
      <c r="K20">
        <f t="shared" si="6"/>
        <v>0.625</v>
      </c>
    </row>
    <row r="21" spans="1:11">
      <c r="A21" s="5">
        <v>16</v>
      </c>
      <c r="B21" s="7">
        <v>20</v>
      </c>
      <c r="C21" s="7" t="s">
        <v>6</v>
      </c>
      <c r="D21" s="7">
        <v>1</v>
      </c>
      <c r="E21">
        <f t="shared" si="0"/>
        <v>19</v>
      </c>
      <c r="F21">
        <f t="shared" si="1"/>
        <v>3</v>
      </c>
      <c r="G21">
        <f t="shared" si="2"/>
        <v>5</v>
      </c>
      <c r="H21" t="str">
        <f t="shared" si="3"/>
        <v>F</v>
      </c>
      <c r="I21">
        <f t="shared" si="4"/>
        <v>13.75</v>
      </c>
      <c r="J21">
        <f t="shared" si="5"/>
        <v>11.791666666666666</v>
      </c>
      <c r="K21">
        <f t="shared" si="6"/>
        <v>1.9583333333333339</v>
      </c>
    </row>
    <row r="22" spans="1:11">
      <c r="A22" s="5">
        <v>17</v>
      </c>
      <c r="B22" s="7">
        <v>21</v>
      </c>
      <c r="C22" s="7" t="s">
        <v>17</v>
      </c>
      <c r="D22" s="7">
        <v>22</v>
      </c>
      <c r="E22">
        <f t="shared" si="0"/>
        <v>19</v>
      </c>
      <c r="F22">
        <f t="shared" si="1"/>
        <v>4</v>
      </c>
      <c r="G22">
        <f t="shared" si="2"/>
        <v>25</v>
      </c>
      <c r="H22" t="str">
        <f t="shared" si="3"/>
        <v>Z</v>
      </c>
      <c r="I22">
        <f t="shared" si="4"/>
        <v>14.166666666666666</v>
      </c>
      <c r="J22">
        <f t="shared" si="5"/>
        <v>11.416666666666666</v>
      </c>
      <c r="K22">
        <f t="shared" si="6"/>
        <v>2.75</v>
      </c>
    </row>
    <row r="23" spans="1:11">
      <c r="A23" s="5">
        <v>18</v>
      </c>
      <c r="B23" s="7">
        <v>22</v>
      </c>
      <c r="C23" s="7" t="s">
        <v>16</v>
      </c>
      <c r="D23" s="7">
        <v>5</v>
      </c>
      <c r="E23">
        <f t="shared" si="0"/>
        <v>19</v>
      </c>
      <c r="F23">
        <f t="shared" si="1"/>
        <v>5</v>
      </c>
      <c r="G23">
        <f t="shared" si="2"/>
        <v>7</v>
      </c>
      <c r="H23" t="str">
        <f t="shared" si="3"/>
        <v>H</v>
      </c>
      <c r="I23">
        <f t="shared" si="4"/>
        <v>13.125</v>
      </c>
      <c r="J23">
        <f t="shared" si="5"/>
        <v>12.333333333333334</v>
      </c>
      <c r="K23">
        <f t="shared" si="6"/>
        <v>0.79166666666666607</v>
      </c>
    </row>
    <row r="24" spans="1:11">
      <c r="A24" s="5">
        <v>19</v>
      </c>
      <c r="B24" s="7">
        <v>23</v>
      </c>
      <c r="C24" s="7" t="s">
        <v>13</v>
      </c>
      <c r="D24" s="7">
        <v>11</v>
      </c>
      <c r="E24">
        <f t="shared" si="0"/>
        <v>19</v>
      </c>
      <c r="F24">
        <f t="shared" si="1"/>
        <v>6</v>
      </c>
      <c r="G24">
        <f t="shared" si="2"/>
        <v>12</v>
      </c>
      <c r="H24" t="str">
        <f t="shared" si="3"/>
        <v>M</v>
      </c>
      <c r="I24">
        <f t="shared" si="4"/>
        <v>13.041666666666666</v>
      </c>
      <c r="J24">
        <f t="shared" si="5"/>
        <v>12.916666666666666</v>
      </c>
      <c r="K24">
        <f t="shared" si="6"/>
        <v>0.125</v>
      </c>
    </row>
    <row r="25" spans="1:11">
      <c r="A25" s="5">
        <v>20</v>
      </c>
      <c r="B25" s="7">
        <v>24</v>
      </c>
      <c r="C25" s="7" t="s">
        <v>8</v>
      </c>
      <c r="D25" s="7">
        <v>17</v>
      </c>
      <c r="E25">
        <f t="shared" si="0"/>
        <v>19</v>
      </c>
      <c r="F25">
        <f t="shared" si="1"/>
        <v>7</v>
      </c>
      <c r="G25">
        <f t="shared" si="2"/>
        <v>17</v>
      </c>
      <c r="H25" t="str">
        <f t="shared" si="3"/>
        <v>R</v>
      </c>
      <c r="I25">
        <f t="shared" si="4"/>
        <v>13.333333333333334</v>
      </c>
      <c r="J25">
        <f t="shared" si="5"/>
        <v>12.708333333333334</v>
      </c>
      <c r="K25">
        <f t="shared" si="6"/>
        <v>0.625</v>
      </c>
    </row>
    <row r="26" spans="1:11">
      <c r="A26" s="5">
        <v>21</v>
      </c>
      <c r="B26" s="7">
        <v>25</v>
      </c>
      <c r="C26" s="7" t="s">
        <v>18</v>
      </c>
      <c r="D26" s="7">
        <v>21</v>
      </c>
      <c r="E26">
        <f t="shared" si="0"/>
        <v>19</v>
      </c>
      <c r="F26">
        <f t="shared" si="1"/>
        <v>8</v>
      </c>
      <c r="G26">
        <f t="shared" si="2"/>
        <v>20</v>
      </c>
      <c r="H26" t="str">
        <f t="shared" si="3"/>
        <v>U</v>
      </c>
      <c r="I26">
        <f t="shared" si="4"/>
        <v>13.375</v>
      </c>
      <c r="J26">
        <f t="shared" si="5"/>
        <v>12.791666666666666</v>
      </c>
      <c r="K26">
        <f t="shared" si="6"/>
        <v>0.58333333333333393</v>
      </c>
    </row>
    <row r="27" spans="1:11">
      <c r="A27" s="9">
        <v>22</v>
      </c>
      <c r="B27" s="10">
        <v>26</v>
      </c>
      <c r="C27" s="11" t="s">
        <v>19</v>
      </c>
      <c r="D27" s="10">
        <v>16</v>
      </c>
      <c r="E27">
        <f t="shared" si="0"/>
        <v>19</v>
      </c>
      <c r="F27">
        <f t="shared" si="1"/>
        <v>9</v>
      </c>
      <c r="G27">
        <f t="shared" si="2"/>
        <v>14</v>
      </c>
      <c r="H27" t="str">
        <f t="shared" si="3"/>
        <v>O</v>
      </c>
      <c r="I27">
        <f t="shared" si="4"/>
        <v>13.125</v>
      </c>
      <c r="J27">
        <f t="shared" si="5"/>
        <v>12.833333333333334</v>
      </c>
      <c r="K27">
        <f t="shared" si="6"/>
        <v>0.29166666666666607</v>
      </c>
    </row>
    <row r="28" spans="1:11">
      <c r="A28" s="5">
        <v>23</v>
      </c>
      <c r="B28" s="7">
        <v>27</v>
      </c>
      <c r="C28" s="12" t="s">
        <v>19</v>
      </c>
      <c r="D28" s="7">
        <v>16</v>
      </c>
      <c r="E28">
        <f t="shared" si="0"/>
        <v>19</v>
      </c>
      <c r="F28">
        <f t="shared" si="1"/>
        <v>10</v>
      </c>
      <c r="G28">
        <f t="shared" si="2"/>
        <v>13</v>
      </c>
      <c r="H28" t="str">
        <f t="shared" si="3"/>
        <v>N</v>
      </c>
      <c r="I28">
        <f t="shared" si="4"/>
        <v>13.25</v>
      </c>
      <c r="J28">
        <f t="shared" si="5"/>
        <v>13</v>
      </c>
      <c r="K28">
        <f t="shared" si="6"/>
        <v>0.25</v>
      </c>
    </row>
    <row r="29" spans="1:11">
      <c r="A29" s="5">
        <v>24</v>
      </c>
      <c r="B29" s="7">
        <v>28</v>
      </c>
      <c r="C29" s="12" t="s">
        <v>20</v>
      </c>
      <c r="D29" s="7">
        <v>15</v>
      </c>
      <c r="E29">
        <f t="shared" si="0"/>
        <v>19</v>
      </c>
      <c r="F29">
        <f t="shared" si="1"/>
        <v>11</v>
      </c>
      <c r="G29">
        <f t="shared" si="2"/>
        <v>11</v>
      </c>
      <c r="H29" t="str">
        <f t="shared" si="3"/>
        <v>L</v>
      </c>
      <c r="K29">
        <f>AVERAGE(K2:K28)</f>
        <v>0.56327160493827166</v>
      </c>
    </row>
    <row r="30" spans="1:11">
      <c r="A30" s="5">
        <v>25</v>
      </c>
      <c r="B30" s="7">
        <v>29</v>
      </c>
      <c r="C30" s="12" t="s">
        <v>8</v>
      </c>
      <c r="D30" s="7">
        <v>17</v>
      </c>
      <c r="E30">
        <f t="shared" si="0"/>
        <v>19</v>
      </c>
      <c r="F30">
        <f t="shared" si="1"/>
        <v>12</v>
      </c>
      <c r="G30">
        <f t="shared" si="2"/>
        <v>12</v>
      </c>
      <c r="H30" t="str">
        <f t="shared" si="3"/>
        <v>M</v>
      </c>
      <c r="K30" s="17">
        <f>IF(K29&lt;0.35,1,0)</f>
        <v>0</v>
      </c>
    </row>
    <row r="31" spans="1:11">
      <c r="A31" s="5">
        <v>26</v>
      </c>
      <c r="B31" s="7">
        <v>30</v>
      </c>
      <c r="C31" s="12" t="s">
        <v>21</v>
      </c>
      <c r="D31" s="7">
        <v>13</v>
      </c>
      <c r="E31">
        <f t="shared" si="0"/>
        <v>19</v>
      </c>
      <c r="F31">
        <f t="shared" si="1"/>
        <v>13</v>
      </c>
      <c r="G31">
        <f t="shared" si="2"/>
        <v>7</v>
      </c>
      <c r="H31" t="str">
        <f t="shared" si="3"/>
        <v>H</v>
      </c>
    </row>
    <row r="32" spans="1:11">
      <c r="A32" s="5">
        <v>27</v>
      </c>
      <c r="B32" s="7">
        <v>31</v>
      </c>
      <c r="C32" s="12" t="s">
        <v>11</v>
      </c>
      <c r="D32" s="7">
        <v>6</v>
      </c>
      <c r="E32">
        <f t="shared" si="0"/>
        <v>19</v>
      </c>
      <c r="F32">
        <f t="shared" si="1"/>
        <v>14</v>
      </c>
      <c r="G32">
        <f t="shared" si="2"/>
        <v>25</v>
      </c>
      <c r="H32" t="str">
        <f t="shared" si="3"/>
        <v>Z</v>
      </c>
    </row>
    <row r="33" spans="1:8">
      <c r="A33" s="5">
        <v>28</v>
      </c>
      <c r="B33" s="7">
        <v>32</v>
      </c>
      <c r="C33" s="12" t="s">
        <v>7</v>
      </c>
      <c r="D33" s="7">
        <v>10</v>
      </c>
      <c r="E33">
        <f t="shared" si="0"/>
        <v>19</v>
      </c>
      <c r="F33">
        <f t="shared" si="1"/>
        <v>15</v>
      </c>
      <c r="G33">
        <f t="shared" si="2"/>
        <v>2</v>
      </c>
      <c r="H33" t="str">
        <f t="shared" si="3"/>
        <v>C</v>
      </c>
    </row>
    <row r="34" spans="1:8">
      <c r="A34" s="5">
        <v>29</v>
      </c>
      <c r="B34" s="7">
        <v>33</v>
      </c>
      <c r="C34" s="12" t="s">
        <v>14</v>
      </c>
      <c r="D34" s="7">
        <v>18</v>
      </c>
      <c r="E34">
        <f t="shared" si="0"/>
        <v>19</v>
      </c>
      <c r="F34">
        <f t="shared" si="1"/>
        <v>16</v>
      </c>
      <c r="G34">
        <f t="shared" si="2"/>
        <v>9</v>
      </c>
      <c r="H34" t="str">
        <f t="shared" si="3"/>
        <v>J</v>
      </c>
    </row>
    <row r="35" spans="1:8">
      <c r="A35" s="5">
        <v>30</v>
      </c>
      <c r="B35" s="7">
        <v>34</v>
      </c>
      <c r="C35" s="12" t="s">
        <v>14</v>
      </c>
      <c r="D35" s="7">
        <v>18</v>
      </c>
      <c r="E35">
        <f t="shared" si="0"/>
        <v>19</v>
      </c>
      <c r="F35">
        <f t="shared" si="1"/>
        <v>17</v>
      </c>
      <c r="G35">
        <f t="shared" si="2"/>
        <v>8</v>
      </c>
      <c r="H35" t="str">
        <f t="shared" si="3"/>
        <v>I</v>
      </c>
    </row>
    <row r="36" spans="1:8">
      <c r="A36" s="5">
        <v>31</v>
      </c>
      <c r="B36" s="7">
        <v>35</v>
      </c>
      <c r="C36" s="12" t="s">
        <v>5</v>
      </c>
      <c r="D36" s="7">
        <v>14</v>
      </c>
      <c r="E36">
        <f t="shared" si="0"/>
        <v>19</v>
      </c>
      <c r="F36">
        <f t="shared" si="1"/>
        <v>1</v>
      </c>
      <c r="G36">
        <f t="shared" si="2"/>
        <v>20</v>
      </c>
      <c r="H36" t="str">
        <f t="shared" si="3"/>
        <v>U</v>
      </c>
    </row>
    <row r="37" spans="1:8">
      <c r="A37" s="6">
        <v>1</v>
      </c>
      <c r="B37" s="6">
        <v>36</v>
      </c>
      <c r="C37" s="13" t="s">
        <v>22</v>
      </c>
      <c r="D37" s="6">
        <v>19</v>
      </c>
      <c r="E37">
        <f t="shared" si="0"/>
        <v>19</v>
      </c>
      <c r="F37">
        <f t="shared" si="1"/>
        <v>2</v>
      </c>
      <c r="G37">
        <f t="shared" si="2"/>
        <v>24</v>
      </c>
      <c r="H37" t="str">
        <f t="shared" si="3"/>
        <v>Y</v>
      </c>
    </row>
    <row r="38" spans="1:8">
      <c r="A38" s="6">
        <v>2</v>
      </c>
      <c r="B38" s="6">
        <v>37</v>
      </c>
      <c r="C38" s="13" t="s">
        <v>17</v>
      </c>
      <c r="D38" s="6">
        <v>22</v>
      </c>
      <c r="E38">
        <f t="shared" si="0"/>
        <v>19</v>
      </c>
      <c r="F38">
        <f t="shared" si="1"/>
        <v>3</v>
      </c>
      <c r="G38">
        <f t="shared" si="2"/>
        <v>0</v>
      </c>
      <c r="H38" t="str">
        <f t="shared" si="3"/>
        <v>A</v>
      </c>
    </row>
    <row r="39" spans="1:8">
      <c r="A39" s="6">
        <v>3</v>
      </c>
      <c r="B39" s="6">
        <v>38</v>
      </c>
      <c r="C39" s="13" t="s">
        <v>22</v>
      </c>
      <c r="D39" s="6">
        <v>19</v>
      </c>
      <c r="E39">
        <f t="shared" si="0"/>
        <v>19</v>
      </c>
      <c r="F39">
        <f t="shared" si="1"/>
        <v>4</v>
      </c>
      <c r="G39">
        <f t="shared" si="2"/>
        <v>22</v>
      </c>
      <c r="H39" t="str">
        <f t="shared" si="3"/>
        <v>W</v>
      </c>
    </row>
    <row r="40" spans="1:8">
      <c r="A40" s="6">
        <v>4</v>
      </c>
      <c r="B40" s="6">
        <v>39</v>
      </c>
      <c r="C40" s="13" t="s">
        <v>19</v>
      </c>
      <c r="D40" s="6">
        <v>16</v>
      </c>
      <c r="E40">
        <f t="shared" si="0"/>
        <v>19</v>
      </c>
      <c r="F40">
        <f t="shared" si="1"/>
        <v>5</v>
      </c>
      <c r="G40">
        <f t="shared" si="2"/>
        <v>18</v>
      </c>
      <c r="H40" t="str">
        <f t="shared" si="3"/>
        <v>S</v>
      </c>
    </row>
    <row r="41" spans="1:8">
      <c r="A41" s="6">
        <v>5</v>
      </c>
      <c r="B41" s="6">
        <v>40</v>
      </c>
      <c r="C41" s="13" t="s">
        <v>14</v>
      </c>
      <c r="D41" s="6">
        <v>18</v>
      </c>
      <c r="E41">
        <f t="shared" si="0"/>
        <v>19</v>
      </c>
      <c r="F41">
        <f t="shared" si="1"/>
        <v>6</v>
      </c>
      <c r="G41">
        <f t="shared" si="2"/>
        <v>19</v>
      </c>
      <c r="H41" t="str">
        <f t="shared" si="3"/>
        <v>T</v>
      </c>
    </row>
    <row r="42" spans="1:8">
      <c r="A42" s="6">
        <v>6</v>
      </c>
      <c r="B42" s="6">
        <v>41</v>
      </c>
      <c r="C42" s="13" t="s">
        <v>23</v>
      </c>
      <c r="D42" s="6">
        <v>9</v>
      </c>
      <c r="E42">
        <f t="shared" si="0"/>
        <v>19</v>
      </c>
      <c r="F42">
        <f t="shared" si="1"/>
        <v>7</v>
      </c>
      <c r="G42">
        <f t="shared" si="2"/>
        <v>9</v>
      </c>
      <c r="H42" t="str">
        <f t="shared" si="3"/>
        <v>J</v>
      </c>
    </row>
    <row r="43" spans="1:8">
      <c r="A43" s="6">
        <v>7</v>
      </c>
      <c r="B43" s="6">
        <v>42</v>
      </c>
      <c r="C43" s="13" t="s">
        <v>19</v>
      </c>
      <c r="D43" s="6">
        <v>16</v>
      </c>
      <c r="E43">
        <f t="shared" si="0"/>
        <v>19</v>
      </c>
      <c r="F43">
        <f t="shared" si="1"/>
        <v>8</v>
      </c>
      <c r="G43">
        <f t="shared" si="2"/>
        <v>15</v>
      </c>
      <c r="H43" t="str">
        <f t="shared" si="3"/>
        <v>P</v>
      </c>
    </row>
    <row r="44" spans="1:8">
      <c r="A44" s="6">
        <v>8</v>
      </c>
      <c r="B44" s="6">
        <v>43</v>
      </c>
      <c r="C44" s="13" t="s">
        <v>14</v>
      </c>
      <c r="D44" s="6">
        <v>18</v>
      </c>
      <c r="E44">
        <f t="shared" si="0"/>
        <v>19</v>
      </c>
      <c r="F44">
        <f t="shared" si="1"/>
        <v>9</v>
      </c>
      <c r="G44">
        <f t="shared" si="2"/>
        <v>16</v>
      </c>
      <c r="H44" t="str">
        <f t="shared" si="3"/>
        <v>Q</v>
      </c>
    </row>
    <row r="45" spans="1:8">
      <c r="A45" s="6">
        <v>9</v>
      </c>
      <c r="B45" s="6">
        <v>44</v>
      </c>
      <c r="C45" s="13" t="s">
        <v>14</v>
      </c>
      <c r="D45" s="6">
        <v>18</v>
      </c>
      <c r="E45">
        <f t="shared" si="0"/>
        <v>19</v>
      </c>
      <c r="F45">
        <f t="shared" si="1"/>
        <v>10</v>
      </c>
      <c r="G45">
        <f t="shared" si="2"/>
        <v>15</v>
      </c>
      <c r="H45" t="str">
        <f t="shared" si="3"/>
        <v>P</v>
      </c>
    </row>
    <row r="46" spans="1:8">
      <c r="A46" s="6">
        <v>10</v>
      </c>
      <c r="B46" s="6">
        <v>45</v>
      </c>
      <c r="C46" s="13" t="s">
        <v>24</v>
      </c>
      <c r="D46" s="6">
        <v>4</v>
      </c>
      <c r="E46">
        <f t="shared" si="0"/>
        <v>19</v>
      </c>
      <c r="F46">
        <f t="shared" si="1"/>
        <v>11</v>
      </c>
      <c r="G46">
        <f t="shared" si="2"/>
        <v>0</v>
      </c>
      <c r="H46" t="str">
        <f t="shared" si="3"/>
        <v>A</v>
      </c>
    </row>
    <row r="47" spans="1:8">
      <c r="A47" s="6">
        <v>11</v>
      </c>
      <c r="B47" s="6">
        <v>46</v>
      </c>
      <c r="C47" s="13" t="s">
        <v>7</v>
      </c>
      <c r="D47" s="6">
        <v>10</v>
      </c>
      <c r="E47">
        <f t="shared" si="0"/>
        <v>19</v>
      </c>
      <c r="F47">
        <f t="shared" si="1"/>
        <v>12</v>
      </c>
      <c r="G47">
        <f t="shared" si="2"/>
        <v>5</v>
      </c>
      <c r="H47" t="str">
        <f t="shared" si="3"/>
        <v>F</v>
      </c>
    </row>
    <row r="48" spans="1:8">
      <c r="A48" s="6">
        <v>12</v>
      </c>
      <c r="B48" s="6">
        <v>47</v>
      </c>
      <c r="C48" s="13" t="s">
        <v>25</v>
      </c>
      <c r="D48" s="6">
        <v>25</v>
      </c>
      <c r="E48">
        <f t="shared" si="0"/>
        <v>19</v>
      </c>
      <c r="F48">
        <f t="shared" si="1"/>
        <v>13</v>
      </c>
      <c r="G48">
        <f t="shared" si="2"/>
        <v>19</v>
      </c>
      <c r="H48" t="str">
        <f t="shared" si="3"/>
        <v>T</v>
      </c>
    </row>
    <row r="49" spans="1:8">
      <c r="A49" s="6">
        <v>13</v>
      </c>
      <c r="B49" s="6">
        <v>48</v>
      </c>
      <c r="C49" s="13" t="s">
        <v>25</v>
      </c>
      <c r="D49" s="6">
        <v>25</v>
      </c>
      <c r="E49">
        <f t="shared" si="0"/>
        <v>19</v>
      </c>
      <c r="F49">
        <f t="shared" si="1"/>
        <v>14</v>
      </c>
      <c r="G49">
        <f t="shared" si="2"/>
        <v>18</v>
      </c>
      <c r="H49" t="str">
        <f t="shared" si="3"/>
        <v>S</v>
      </c>
    </row>
    <row r="50" spans="1:8">
      <c r="A50" s="6">
        <v>14</v>
      </c>
      <c r="B50" s="6">
        <v>49</v>
      </c>
      <c r="C50" s="13" t="s">
        <v>17</v>
      </c>
      <c r="D50" s="6">
        <v>22</v>
      </c>
      <c r="E50">
        <f t="shared" si="0"/>
        <v>19</v>
      </c>
      <c r="F50">
        <f t="shared" si="1"/>
        <v>15</v>
      </c>
      <c r="G50">
        <f t="shared" si="2"/>
        <v>14</v>
      </c>
      <c r="H50" t="str">
        <f t="shared" si="3"/>
        <v>O</v>
      </c>
    </row>
    <row r="51" spans="1:8">
      <c r="A51" s="14">
        <v>15</v>
      </c>
      <c r="B51" s="14">
        <v>50</v>
      </c>
      <c r="C51" s="15" t="s">
        <v>26</v>
      </c>
      <c r="D51" s="14">
        <v>0</v>
      </c>
      <c r="E51">
        <f t="shared" si="0"/>
        <v>19</v>
      </c>
      <c r="F51">
        <f t="shared" si="1"/>
        <v>16</v>
      </c>
      <c r="G51">
        <f t="shared" si="2"/>
        <v>17</v>
      </c>
      <c r="H51" t="str">
        <f t="shared" si="3"/>
        <v>R</v>
      </c>
    </row>
    <row r="53" spans="1:8">
      <c r="A53" s="5" t="s">
        <v>1</v>
      </c>
      <c r="B53" s="5" t="s">
        <v>2</v>
      </c>
      <c r="C53" s="5" t="s">
        <v>3</v>
      </c>
      <c r="D53" s="5" t="s">
        <v>4</v>
      </c>
      <c r="E53" s="5" t="s">
        <v>31</v>
      </c>
      <c r="F53" t="s">
        <v>36</v>
      </c>
      <c r="G53" s="5" t="s">
        <v>33</v>
      </c>
    </row>
    <row r="54" spans="1:8">
      <c r="A54" s="6">
        <v>16</v>
      </c>
      <c r="B54" s="6">
        <v>51</v>
      </c>
      <c r="C54" s="6" t="s">
        <v>22</v>
      </c>
      <c r="D54" s="6">
        <v>19</v>
      </c>
      <c r="E54">
        <f>$E$1</f>
        <v>19</v>
      </c>
      <c r="F54">
        <f>MOD(B54-1-50,$F$1)+1</f>
        <v>1</v>
      </c>
      <c r="G54">
        <f>MOD(D54-E54-F54,26)</f>
        <v>25</v>
      </c>
      <c r="H54" t="str">
        <f>CHAR(G54+65)</f>
        <v>Z</v>
      </c>
    </row>
    <row r="55" spans="1:8">
      <c r="A55" s="6">
        <v>17</v>
      </c>
      <c r="B55" s="6">
        <v>52</v>
      </c>
      <c r="C55" s="6" t="s">
        <v>23</v>
      </c>
      <c r="D55" s="6">
        <v>9</v>
      </c>
      <c r="E55">
        <f t="shared" ref="E55:E103" si="7">$E$1</f>
        <v>19</v>
      </c>
      <c r="F55">
        <f t="shared" ref="F55:F103" si="8">MOD(B55-1-50,$F$1)+1</f>
        <v>2</v>
      </c>
      <c r="G55">
        <f t="shared" ref="G55:G103" si="9">MOD(D55-E55-F55,26)</f>
        <v>14</v>
      </c>
      <c r="H55" t="str">
        <f t="shared" ref="H55:H103" si="10">CHAR(G55+65)</f>
        <v>O</v>
      </c>
    </row>
    <row r="56" spans="1:8">
      <c r="A56" s="6">
        <v>18</v>
      </c>
      <c r="B56" s="6">
        <v>53</v>
      </c>
      <c r="C56" s="6" t="s">
        <v>7</v>
      </c>
      <c r="D56" s="6">
        <v>10</v>
      </c>
      <c r="E56">
        <f t="shared" si="7"/>
        <v>19</v>
      </c>
      <c r="F56">
        <f t="shared" si="8"/>
        <v>3</v>
      </c>
      <c r="G56">
        <f t="shared" si="9"/>
        <v>14</v>
      </c>
      <c r="H56" t="str">
        <f t="shared" si="10"/>
        <v>O</v>
      </c>
    </row>
    <row r="57" spans="1:8">
      <c r="A57" s="6">
        <v>19</v>
      </c>
      <c r="B57" s="14">
        <v>54</v>
      </c>
      <c r="C57" s="14" t="s">
        <v>13</v>
      </c>
      <c r="D57" s="14">
        <v>11</v>
      </c>
      <c r="E57">
        <f t="shared" si="7"/>
        <v>19</v>
      </c>
      <c r="F57">
        <f t="shared" si="8"/>
        <v>4</v>
      </c>
      <c r="G57">
        <f t="shared" si="9"/>
        <v>14</v>
      </c>
      <c r="H57" t="str">
        <f t="shared" si="10"/>
        <v>O</v>
      </c>
    </row>
    <row r="58" spans="1:8">
      <c r="A58" s="6">
        <v>20</v>
      </c>
      <c r="B58" s="6">
        <v>55</v>
      </c>
      <c r="C58" s="6" t="s">
        <v>9</v>
      </c>
      <c r="D58" s="6">
        <v>20</v>
      </c>
      <c r="E58">
        <f t="shared" si="7"/>
        <v>19</v>
      </c>
      <c r="F58">
        <f t="shared" si="8"/>
        <v>5</v>
      </c>
      <c r="G58">
        <f t="shared" si="9"/>
        <v>22</v>
      </c>
      <c r="H58" t="str">
        <f t="shared" si="10"/>
        <v>W</v>
      </c>
    </row>
    <row r="59" spans="1:8">
      <c r="A59" s="6">
        <v>21</v>
      </c>
      <c r="B59" s="6">
        <v>56</v>
      </c>
      <c r="C59" s="6" t="s">
        <v>27</v>
      </c>
      <c r="D59" s="6">
        <v>3</v>
      </c>
      <c r="E59">
        <f t="shared" si="7"/>
        <v>19</v>
      </c>
      <c r="F59">
        <f t="shared" si="8"/>
        <v>6</v>
      </c>
      <c r="G59">
        <f t="shared" si="9"/>
        <v>4</v>
      </c>
      <c r="H59" t="str">
        <f t="shared" si="10"/>
        <v>E</v>
      </c>
    </row>
    <row r="60" spans="1:8">
      <c r="A60" s="6">
        <v>22</v>
      </c>
      <c r="B60" s="6">
        <v>57</v>
      </c>
      <c r="C60" s="6" t="s">
        <v>15</v>
      </c>
      <c r="D60" s="6">
        <v>8</v>
      </c>
      <c r="E60">
        <f t="shared" si="7"/>
        <v>19</v>
      </c>
      <c r="F60">
        <f t="shared" si="8"/>
        <v>7</v>
      </c>
      <c r="G60">
        <f t="shared" si="9"/>
        <v>8</v>
      </c>
      <c r="H60" t="str">
        <f t="shared" si="10"/>
        <v>I</v>
      </c>
    </row>
    <row r="61" spans="1:8">
      <c r="A61" s="6">
        <v>23</v>
      </c>
      <c r="B61" s="6">
        <v>58</v>
      </c>
      <c r="C61" s="6" t="s">
        <v>26</v>
      </c>
      <c r="D61" s="6">
        <v>0</v>
      </c>
      <c r="E61">
        <f t="shared" si="7"/>
        <v>19</v>
      </c>
      <c r="F61">
        <f t="shared" si="8"/>
        <v>8</v>
      </c>
      <c r="G61">
        <f t="shared" si="9"/>
        <v>25</v>
      </c>
      <c r="H61" t="str">
        <f t="shared" si="10"/>
        <v>Z</v>
      </c>
    </row>
    <row r="62" spans="1:8">
      <c r="A62" s="6">
        <v>24</v>
      </c>
      <c r="B62" s="6">
        <v>59</v>
      </c>
      <c r="C62" s="6" t="s">
        <v>17</v>
      </c>
      <c r="D62" s="6">
        <v>22</v>
      </c>
      <c r="E62">
        <f t="shared" si="7"/>
        <v>19</v>
      </c>
      <c r="F62">
        <f t="shared" si="8"/>
        <v>9</v>
      </c>
      <c r="G62">
        <f t="shared" si="9"/>
        <v>20</v>
      </c>
      <c r="H62" t="str">
        <f t="shared" si="10"/>
        <v>U</v>
      </c>
    </row>
    <row r="63" spans="1:8">
      <c r="A63" s="6">
        <v>25</v>
      </c>
      <c r="B63" s="6">
        <v>60</v>
      </c>
      <c r="C63" s="6" t="s">
        <v>15</v>
      </c>
      <c r="D63" s="6">
        <v>8</v>
      </c>
      <c r="E63">
        <f t="shared" si="7"/>
        <v>19</v>
      </c>
      <c r="F63">
        <f t="shared" si="8"/>
        <v>10</v>
      </c>
      <c r="G63">
        <f t="shared" si="9"/>
        <v>5</v>
      </c>
      <c r="H63" t="str">
        <f t="shared" si="10"/>
        <v>F</v>
      </c>
    </row>
    <row r="64" spans="1:8">
      <c r="A64" s="6">
        <v>26</v>
      </c>
      <c r="B64" s="6">
        <v>61</v>
      </c>
      <c r="C64" s="6" t="s">
        <v>21</v>
      </c>
      <c r="D64" s="6">
        <v>13</v>
      </c>
      <c r="E64">
        <f t="shared" si="7"/>
        <v>19</v>
      </c>
      <c r="F64">
        <f t="shared" si="8"/>
        <v>11</v>
      </c>
      <c r="G64">
        <f t="shared" si="9"/>
        <v>9</v>
      </c>
      <c r="H64" t="str">
        <f t="shared" si="10"/>
        <v>J</v>
      </c>
    </row>
    <row r="65" spans="1:8">
      <c r="A65" s="6">
        <v>27</v>
      </c>
      <c r="B65" s="6">
        <v>62</v>
      </c>
      <c r="C65" s="6" t="s">
        <v>16</v>
      </c>
      <c r="D65" s="6">
        <v>5</v>
      </c>
      <c r="E65">
        <f t="shared" si="7"/>
        <v>19</v>
      </c>
      <c r="F65">
        <f t="shared" si="8"/>
        <v>12</v>
      </c>
      <c r="G65">
        <f t="shared" si="9"/>
        <v>0</v>
      </c>
      <c r="H65" t="str">
        <f t="shared" si="10"/>
        <v>A</v>
      </c>
    </row>
    <row r="66" spans="1:8">
      <c r="A66" s="6">
        <v>28</v>
      </c>
      <c r="B66" s="6">
        <v>63</v>
      </c>
      <c r="C66" s="6" t="s">
        <v>6</v>
      </c>
      <c r="D66" s="6">
        <v>1</v>
      </c>
      <c r="E66">
        <f t="shared" si="7"/>
        <v>19</v>
      </c>
      <c r="F66">
        <f t="shared" si="8"/>
        <v>13</v>
      </c>
      <c r="G66">
        <f t="shared" si="9"/>
        <v>21</v>
      </c>
      <c r="H66" t="str">
        <f t="shared" si="10"/>
        <v>V</v>
      </c>
    </row>
    <row r="67" spans="1:8">
      <c r="A67" s="15">
        <v>29</v>
      </c>
      <c r="B67" s="15">
        <v>64</v>
      </c>
      <c r="C67" s="15" t="s">
        <v>21</v>
      </c>
      <c r="D67" s="15">
        <v>13</v>
      </c>
      <c r="E67">
        <f t="shared" si="7"/>
        <v>19</v>
      </c>
      <c r="F67">
        <f t="shared" si="8"/>
        <v>14</v>
      </c>
      <c r="G67">
        <f t="shared" si="9"/>
        <v>6</v>
      </c>
      <c r="H67" t="str">
        <f t="shared" si="10"/>
        <v>G</v>
      </c>
    </row>
    <row r="68" spans="1:8">
      <c r="A68" s="6">
        <v>30</v>
      </c>
      <c r="B68" s="6">
        <v>65</v>
      </c>
      <c r="C68" s="6" t="s">
        <v>28</v>
      </c>
      <c r="D68" s="6">
        <v>24</v>
      </c>
      <c r="E68">
        <f t="shared" si="7"/>
        <v>19</v>
      </c>
      <c r="F68">
        <f t="shared" si="8"/>
        <v>15</v>
      </c>
      <c r="G68">
        <f t="shared" si="9"/>
        <v>16</v>
      </c>
      <c r="H68" t="str">
        <f t="shared" si="10"/>
        <v>Q</v>
      </c>
    </row>
    <row r="69" spans="1:8">
      <c r="A69" s="6">
        <v>31</v>
      </c>
      <c r="B69" s="6">
        <v>66</v>
      </c>
      <c r="C69" s="6" t="s">
        <v>20</v>
      </c>
      <c r="D69" s="6">
        <v>15</v>
      </c>
      <c r="E69">
        <f t="shared" si="7"/>
        <v>19</v>
      </c>
      <c r="F69">
        <f t="shared" si="8"/>
        <v>16</v>
      </c>
      <c r="G69">
        <f t="shared" si="9"/>
        <v>6</v>
      </c>
      <c r="H69" t="str">
        <f t="shared" si="10"/>
        <v>G</v>
      </c>
    </row>
    <row r="70" spans="1:8">
      <c r="A70" s="5">
        <v>1</v>
      </c>
      <c r="B70" s="5">
        <v>67</v>
      </c>
      <c r="C70" s="5" t="s">
        <v>18</v>
      </c>
      <c r="D70" s="5">
        <v>21</v>
      </c>
      <c r="E70">
        <f t="shared" si="7"/>
        <v>19</v>
      </c>
      <c r="F70">
        <f t="shared" si="8"/>
        <v>17</v>
      </c>
      <c r="G70">
        <f t="shared" si="9"/>
        <v>11</v>
      </c>
      <c r="H70" t="str">
        <f t="shared" si="10"/>
        <v>L</v>
      </c>
    </row>
    <row r="71" spans="1:8">
      <c r="A71" s="5">
        <v>2</v>
      </c>
      <c r="B71" s="5">
        <v>68</v>
      </c>
      <c r="C71" s="5" t="s">
        <v>22</v>
      </c>
      <c r="D71" s="5">
        <v>19</v>
      </c>
      <c r="E71">
        <f t="shared" si="7"/>
        <v>19</v>
      </c>
      <c r="F71">
        <f t="shared" si="8"/>
        <v>1</v>
      </c>
      <c r="G71">
        <f t="shared" si="9"/>
        <v>25</v>
      </c>
      <c r="H71" t="str">
        <f t="shared" si="10"/>
        <v>Z</v>
      </c>
    </row>
    <row r="72" spans="1:8">
      <c r="A72" s="5">
        <v>3</v>
      </c>
      <c r="B72" s="5">
        <v>69</v>
      </c>
      <c r="C72" s="5" t="s">
        <v>22</v>
      </c>
      <c r="D72" s="5">
        <v>19</v>
      </c>
      <c r="E72">
        <f t="shared" si="7"/>
        <v>19</v>
      </c>
      <c r="F72">
        <f t="shared" si="8"/>
        <v>2</v>
      </c>
      <c r="G72">
        <f t="shared" si="9"/>
        <v>24</v>
      </c>
      <c r="H72" t="str">
        <f t="shared" si="10"/>
        <v>Y</v>
      </c>
    </row>
    <row r="73" spans="1:8">
      <c r="A73" s="5">
        <v>4</v>
      </c>
      <c r="B73" s="5">
        <v>70</v>
      </c>
      <c r="C73" s="5" t="s">
        <v>29</v>
      </c>
      <c r="D73" s="5">
        <v>12</v>
      </c>
      <c r="E73">
        <f t="shared" si="7"/>
        <v>19</v>
      </c>
      <c r="F73">
        <f t="shared" si="8"/>
        <v>3</v>
      </c>
      <c r="G73">
        <f t="shared" si="9"/>
        <v>16</v>
      </c>
      <c r="H73" t="str">
        <f t="shared" si="10"/>
        <v>Q</v>
      </c>
    </row>
    <row r="74" spans="1:8">
      <c r="A74" s="5">
        <v>5</v>
      </c>
      <c r="B74" s="5">
        <v>71</v>
      </c>
      <c r="C74" s="5" t="s">
        <v>25</v>
      </c>
      <c r="D74" s="5">
        <v>25</v>
      </c>
      <c r="E74">
        <f t="shared" si="7"/>
        <v>19</v>
      </c>
      <c r="F74">
        <f t="shared" si="8"/>
        <v>4</v>
      </c>
      <c r="G74">
        <f t="shared" si="9"/>
        <v>2</v>
      </c>
      <c r="H74" t="str">
        <f t="shared" si="10"/>
        <v>C</v>
      </c>
    </row>
    <row r="75" spans="1:8">
      <c r="A75" s="5">
        <v>6</v>
      </c>
      <c r="B75" s="5">
        <v>72</v>
      </c>
      <c r="C75" s="5" t="s">
        <v>16</v>
      </c>
      <c r="D75" s="5">
        <v>5</v>
      </c>
      <c r="E75">
        <f t="shared" si="7"/>
        <v>19</v>
      </c>
      <c r="F75">
        <f t="shared" si="8"/>
        <v>5</v>
      </c>
      <c r="G75">
        <f t="shared" si="9"/>
        <v>7</v>
      </c>
      <c r="H75" t="str">
        <f t="shared" si="10"/>
        <v>H</v>
      </c>
    </row>
    <row r="76" spans="1:8">
      <c r="A76" s="5">
        <v>7</v>
      </c>
      <c r="B76" s="5">
        <v>73</v>
      </c>
      <c r="C76" s="5" t="s">
        <v>20</v>
      </c>
      <c r="D76" s="5">
        <v>15</v>
      </c>
      <c r="E76">
        <f t="shared" si="7"/>
        <v>19</v>
      </c>
      <c r="F76">
        <f t="shared" si="8"/>
        <v>6</v>
      </c>
      <c r="G76">
        <f t="shared" si="9"/>
        <v>16</v>
      </c>
      <c r="H76" t="str">
        <f t="shared" si="10"/>
        <v>Q</v>
      </c>
    </row>
    <row r="77" spans="1:8">
      <c r="A77" s="5">
        <v>8</v>
      </c>
      <c r="B77" s="5">
        <v>74</v>
      </c>
      <c r="C77" s="5" t="s">
        <v>7</v>
      </c>
      <c r="D77" s="5">
        <v>10</v>
      </c>
      <c r="E77">
        <f t="shared" si="7"/>
        <v>19</v>
      </c>
      <c r="F77">
        <f t="shared" si="8"/>
        <v>7</v>
      </c>
      <c r="G77">
        <f t="shared" si="9"/>
        <v>10</v>
      </c>
      <c r="H77" t="str">
        <f t="shared" si="10"/>
        <v>K</v>
      </c>
    </row>
    <row r="78" spans="1:8">
      <c r="A78" s="5">
        <v>9</v>
      </c>
      <c r="B78" s="5">
        <v>75</v>
      </c>
      <c r="C78" s="5" t="s">
        <v>17</v>
      </c>
      <c r="D78" s="5">
        <v>22</v>
      </c>
      <c r="E78">
        <f t="shared" si="7"/>
        <v>19</v>
      </c>
      <c r="F78">
        <f t="shared" si="8"/>
        <v>8</v>
      </c>
      <c r="G78">
        <f t="shared" si="9"/>
        <v>21</v>
      </c>
      <c r="H78" t="str">
        <f t="shared" si="10"/>
        <v>V</v>
      </c>
    </row>
    <row r="79" spans="1:8">
      <c r="A79" s="9">
        <v>10</v>
      </c>
      <c r="B79" s="9">
        <v>76</v>
      </c>
      <c r="C79" s="9" t="s">
        <v>11</v>
      </c>
      <c r="D79" s="9">
        <v>6</v>
      </c>
      <c r="E79">
        <f t="shared" si="7"/>
        <v>19</v>
      </c>
      <c r="F79">
        <f t="shared" si="8"/>
        <v>9</v>
      </c>
      <c r="G79">
        <f t="shared" si="9"/>
        <v>4</v>
      </c>
      <c r="H79" t="str">
        <f t="shared" si="10"/>
        <v>E</v>
      </c>
    </row>
    <row r="80" spans="1:8">
      <c r="A80" s="5">
        <v>11</v>
      </c>
      <c r="B80" s="5">
        <v>77</v>
      </c>
      <c r="C80" s="5" t="s">
        <v>27</v>
      </c>
      <c r="D80" s="5">
        <v>3</v>
      </c>
      <c r="E80">
        <f t="shared" si="7"/>
        <v>19</v>
      </c>
      <c r="F80">
        <f t="shared" si="8"/>
        <v>10</v>
      </c>
      <c r="G80">
        <f t="shared" si="9"/>
        <v>0</v>
      </c>
      <c r="H80" t="str">
        <f t="shared" si="10"/>
        <v>A</v>
      </c>
    </row>
    <row r="81" spans="1:8">
      <c r="A81" s="5">
        <v>12</v>
      </c>
      <c r="B81" s="5">
        <v>78</v>
      </c>
      <c r="C81" s="5" t="s">
        <v>7</v>
      </c>
      <c r="D81" s="5">
        <v>10</v>
      </c>
      <c r="E81">
        <f t="shared" si="7"/>
        <v>19</v>
      </c>
      <c r="F81">
        <f t="shared" si="8"/>
        <v>11</v>
      </c>
      <c r="G81">
        <f t="shared" si="9"/>
        <v>6</v>
      </c>
      <c r="H81" t="str">
        <f t="shared" si="10"/>
        <v>G</v>
      </c>
    </row>
    <row r="82" spans="1:8">
      <c r="A82" s="5">
        <v>13</v>
      </c>
      <c r="B82" s="5">
        <v>79</v>
      </c>
      <c r="C82" s="5" t="s">
        <v>25</v>
      </c>
      <c r="D82" s="5">
        <v>25</v>
      </c>
      <c r="E82">
        <f t="shared" si="7"/>
        <v>19</v>
      </c>
      <c r="F82">
        <f t="shared" si="8"/>
        <v>12</v>
      </c>
      <c r="G82">
        <f t="shared" si="9"/>
        <v>20</v>
      </c>
      <c r="H82" t="str">
        <f t="shared" si="10"/>
        <v>U</v>
      </c>
    </row>
    <row r="83" spans="1:8">
      <c r="A83" s="5">
        <v>14</v>
      </c>
      <c r="B83" s="5">
        <v>80</v>
      </c>
      <c r="C83" s="5" t="s">
        <v>10</v>
      </c>
      <c r="D83" s="5">
        <v>23</v>
      </c>
      <c r="E83">
        <f t="shared" si="7"/>
        <v>19</v>
      </c>
      <c r="F83">
        <f t="shared" si="8"/>
        <v>13</v>
      </c>
      <c r="G83">
        <f t="shared" si="9"/>
        <v>17</v>
      </c>
      <c r="H83" t="str">
        <f t="shared" si="10"/>
        <v>R</v>
      </c>
    </row>
    <row r="84" spans="1:8">
      <c r="A84" s="5">
        <v>15</v>
      </c>
      <c r="B84" s="5">
        <v>81</v>
      </c>
      <c r="C84" s="5" t="s">
        <v>22</v>
      </c>
      <c r="D84" s="5">
        <v>19</v>
      </c>
      <c r="E84">
        <f t="shared" si="7"/>
        <v>19</v>
      </c>
      <c r="F84">
        <f t="shared" si="8"/>
        <v>14</v>
      </c>
      <c r="G84">
        <f t="shared" si="9"/>
        <v>12</v>
      </c>
      <c r="H84" t="str">
        <f t="shared" si="10"/>
        <v>M</v>
      </c>
    </row>
    <row r="85" spans="1:8">
      <c r="A85" s="5">
        <v>16</v>
      </c>
      <c r="B85" s="5">
        <v>82</v>
      </c>
      <c r="C85" s="5" t="s">
        <v>23</v>
      </c>
      <c r="D85" s="5">
        <v>9</v>
      </c>
      <c r="E85">
        <f t="shared" si="7"/>
        <v>19</v>
      </c>
      <c r="F85">
        <f t="shared" si="8"/>
        <v>15</v>
      </c>
      <c r="G85">
        <f t="shared" si="9"/>
        <v>1</v>
      </c>
      <c r="H85" t="str">
        <f t="shared" si="10"/>
        <v>B</v>
      </c>
    </row>
    <row r="86" spans="1:8">
      <c r="A86" s="5">
        <v>17</v>
      </c>
      <c r="B86" s="5">
        <v>83</v>
      </c>
      <c r="C86" s="5" t="s">
        <v>30</v>
      </c>
      <c r="D86" s="5">
        <v>2</v>
      </c>
      <c r="E86">
        <f t="shared" si="7"/>
        <v>19</v>
      </c>
      <c r="F86">
        <f t="shared" si="8"/>
        <v>16</v>
      </c>
      <c r="G86">
        <f t="shared" si="9"/>
        <v>19</v>
      </c>
      <c r="H86" t="str">
        <f t="shared" si="10"/>
        <v>T</v>
      </c>
    </row>
    <row r="87" spans="1:8">
      <c r="A87" s="5">
        <v>18</v>
      </c>
      <c r="B87" s="5">
        <v>84</v>
      </c>
      <c r="C87" s="5" t="s">
        <v>27</v>
      </c>
      <c r="D87" s="5">
        <v>3</v>
      </c>
      <c r="E87">
        <f t="shared" si="7"/>
        <v>19</v>
      </c>
      <c r="F87">
        <f t="shared" si="8"/>
        <v>17</v>
      </c>
      <c r="G87">
        <f t="shared" si="9"/>
        <v>19</v>
      </c>
      <c r="H87" t="str">
        <f t="shared" si="10"/>
        <v>T</v>
      </c>
    </row>
    <row r="88" spans="1:8">
      <c r="A88" s="5">
        <v>19</v>
      </c>
      <c r="B88" s="5">
        <v>85</v>
      </c>
      <c r="C88" s="5" t="s">
        <v>15</v>
      </c>
      <c r="D88" s="5">
        <v>8</v>
      </c>
      <c r="E88">
        <f t="shared" si="7"/>
        <v>19</v>
      </c>
      <c r="F88">
        <f t="shared" si="8"/>
        <v>1</v>
      </c>
      <c r="G88">
        <f t="shared" si="9"/>
        <v>14</v>
      </c>
      <c r="H88" t="str">
        <f t="shared" si="10"/>
        <v>O</v>
      </c>
    </row>
    <row r="89" spans="1:8">
      <c r="A89" s="5">
        <v>20</v>
      </c>
      <c r="B89" s="5">
        <v>86</v>
      </c>
      <c r="C89" s="5" t="s">
        <v>11</v>
      </c>
      <c r="D89" s="5">
        <v>6</v>
      </c>
      <c r="E89">
        <f t="shared" si="7"/>
        <v>19</v>
      </c>
      <c r="F89">
        <f t="shared" si="8"/>
        <v>2</v>
      </c>
      <c r="G89">
        <f t="shared" si="9"/>
        <v>11</v>
      </c>
      <c r="H89" t="str">
        <f t="shared" si="10"/>
        <v>L</v>
      </c>
    </row>
    <row r="90" spans="1:8">
      <c r="A90" s="5">
        <v>21</v>
      </c>
      <c r="B90" s="5">
        <v>87</v>
      </c>
      <c r="C90" s="5" t="s">
        <v>7</v>
      </c>
      <c r="D90" s="5">
        <v>10</v>
      </c>
      <c r="E90">
        <f t="shared" si="7"/>
        <v>19</v>
      </c>
      <c r="F90">
        <f t="shared" si="8"/>
        <v>3</v>
      </c>
      <c r="G90">
        <f t="shared" si="9"/>
        <v>14</v>
      </c>
      <c r="H90" t="str">
        <f t="shared" si="10"/>
        <v>O</v>
      </c>
    </row>
    <row r="91" spans="1:8">
      <c r="A91" s="5">
        <v>22</v>
      </c>
      <c r="B91" s="5">
        <v>88</v>
      </c>
      <c r="C91" s="5" t="s">
        <v>9</v>
      </c>
      <c r="D91" s="5">
        <v>20</v>
      </c>
      <c r="E91">
        <f t="shared" si="7"/>
        <v>19</v>
      </c>
      <c r="F91">
        <f t="shared" si="8"/>
        <v>4</v>
      </c>
      <c r="G91">
        <f t="shared" si="9"/>
        <v>23</v>
      </c>
      <c r="H91" t="str">
        <f t="shared" si="10"/>
        <v>X</v>
      </c>
    </row>
    <row r="92" spans="1:8">
      <c r="A92" s="5">
        <v>23</v>
      </c>
      <c r="B92" s="5">
        <v>89</v>
      </c>
      <c r="C92" s="5" t="s">
        <v>12</v>
      </c>
      <c r="D92" s="5">
        <v>7</v>
      </c>
      <c r="E92">
        <f t="shared" si="7"/>
        <v>19</v>
      </c>
      <c r="F92">
        <f t="shared" si="8"/>
        <v>5</v>
      </c>
      <c r="G92">
        <f t="shared" si="9"/>
        <v>9</v>
      </c>
      <c r="H92" t="str">
        <f t="shared" si="10"/>
        <v>J</v>
      </c>
    </row>
    <row r="93" spans="1:8">
      <c r="A93" s="5">
        <v>24</v>
      </c>
      <c r="B93" s="5">
        <v>90</v>
      </c>
      <c r="C93" s="5" t="s">
        <v>9</v>
      </c>
      <c r="D93" s="5">
        <v>20</v>
      </c>
      <c r="E93">
        <f t="shared" si="7"/>
        <v>19</v>
      </c>
      <c r="F93">
        <f t="shared" si="8"/>
        <v>6</v>
      </c>
      <c r="G93">
        <f t="shared" si="9"/>
        <v>21</v>
      </c>
      <c r="H93" t="str">
        <f t="shared" si="10"/>
        <v>V</v>
      </c>
    </row>
    <row r="94" spans="1:8">
      <c r="A94" s="5">
        <v>25</v>
      </c>
      <c r="B94" s="5">
        <v>91</v>
      </c>
      <c r="C94" s="5" t="s">
        <v>26</v>
      </c>
      <c r="D94" s="5">
        <v>0</v>
      </c>
      <c r="E94">
        <f t="shared" si="7"/>
        <v>19</v>
      </c>
      <c r="F94">
        <f t="shared" si="8"/>
        <v>7</v>
      </c>
      <c r="G94">
        <f t="shared" si="9"/>
        <v>0</v>
      </c>
      <c r="H94" t="str">
        <f t="shared" si="10"/>
        <v>A</v>
      </c>
    </row>
    <row r="95" spans="1:8">
      <c r="A95" s="5">
        <v>26</v>
      </c>
      <c r="B95" s="5">
        <v>92</v>
      </c>
      <c r="C95" s="5" t="s">
        <v>9</v>
      </c>
      <c r="D95" s="5">
        <v>20</v>
      </c>
      <c r="E95">
        <f t="shared" si="7"/>
        <v>19</v>
      </c>
      <c r="F95">
        <f t="shared" si="8"/>
        <v>8</v>
      </c>
      <c r="G95">
        <f t="shared" si="9"/>
        <v>19</v>
      </c>
      <c r="H95" t="str">
        <f t="shared" si="10"/>
        <v>T</v>
      </c>
    </row>
    <row r="96" spans="1:8">
      <c r="A96" s="5">
        <v>27</v>
      </c>
      <c r="B96" s="5">
        <v>93</v>
      </c>
      <c r="C96" s="5" t="s">
        <v>24</v>
      </c>
      <c r="D96" s="5">
        <v>4</v>
      </c>
      <c r="E96">
        <f t="shared" si="7"/>
        <v>19</v>
      </c>
      <c r="F96">
        <f t="shared" si="8"/>
        <v>9</v>
      </c>
      <c r="G96">
        <f t="shared" si="9"/>
        <v>2</v>
      </c>
      <c r="H96" t="str">
        <f t="shared" si="10"/>
        <v>C</v>
      </c>
    </row>
    <row r="97" spans="1:8">
      <c r="A97" s="5">
        <v>28</v>
      </c>
      <c r="B97" s="5">
        <v>94</v>
      </c>
      <c r="C97" s="5" t="s">
        <v>7</v>
      </c>
      <c r="D97" s="5">
        <v>10</v>
      </c>
      <c r="E97">
        <f t="shared" si="7"/>
        <v>19</v>
      </c>
      <c r="F97">
        <f t="shared" si="8"/>
        <v>10</v>
      </c>
      <c r="G97">
        <f t="shared" si="9"/>
        <v>7</v>
      </c>
      <c r="H97" t="str">
        <f t="shared" si="10"/>
        <v>H</v>
      </c>
    </row>
    <row r="98" spans="1:8">
      <c r="A98" s="5">
        <v>29</v>
      </c>
      <c r="B98" s="5">
        <v>95</v>
      </c>
      <c r="C98" s="5" t="s">
        <v>30</v>
      </c>
      <c r="D98" s="5">
        <v>2</v>
      </c>
      <c r="E98">
        <f t="shared" si="7"/>
        <v>19</v>
      </c>
      <c r="F98">
        <f t="shared" si="8"/>
        <v>11</v>
      </c>
      <c r="G98">
        <f t="shared" si="9"/>
        <v>24</v>
      </c>
      <c r="H98" t="str">
        <f t="shared" si="10"/>
        <v>Y</v>
      </c>
    </row>
    <row r="99" spans="1:8">
      <c r="A99" s="5">
        <v>30</v>
      </c>
      <c r="B99" s="5">
        <v>96</v>
      </c>
      <c r="C99" s="5" t="s">
        <v>26</v>
      </c>
      <c r="D99" s="5">
        <v>0</v>
      </c>
      <c r="E99">
        <f t="shared" si="7"/>
        <v>19</v>
      </c>
      <c r="F99">
        <f t="shared" si="8"/>
        <v>12</v>
      </c>
      <c r="G99">
        <f t="shared" si="9"/>
        <v>21</v>
      </c>
      <c r="H99" t="str">
        <f t="shared" si="10"/>
        <v>V</v>
      </c>
    </row>
    <row r="100" spans="1:8">
      <c r="A100" s="5">
        <v>31</v>
      </c>
      <c r="B100" s="5">
        <v>97</v>
      </c>
      <c r="C100" s="5" t="s">
        <v>8</v>
      </c>
      <c r="D100" s="5">
        <v>17</v>
      </c>
      <c r="E100">
        <f t="shared" si="7"/>
        <v>19</v>
      </c>
      <c r="F100">
        <f t="shared" si="8"/>
        <v>13</v>
      </c>
      <c r="G100">
        <f t="shared" si="9"/>
        <v>11</v>
      </c>
      <c r="H100" t="str">
        <f t="shared" si="10"/>
        <v>L</v>
      </c>
    </row>
    <row r="101" spans="1:8">
      <c r="A101" s="5" t="s">
        <v>10</v>
      </c>
      <c r="B101" s="5">
        <v>98</v>
      </c>
      <c r="C101" s="5" t="s">
        <v>22</v>
      </c>
      <c r="D101" s="5">
        <v>19</v>
      </c>
      <c r="E101">
        <f t="shared" si="7"/>
        <v>19</v>
      </c>
      <c r="F101">
        <f t="shared" si="8"/>
        <v>14</v>
      </c>
      <c r="G101">
        <f t="shared" si="9"/>
        <v>12</v>
      </c>
      <c r="H101" t="str">
        <f t="shared" si="10"/>
        <v>M</v>
      </c>
    </row>
    <row r="102" spans="1:8">
      <c r="A102" s="5" t="s">
        <v>10</v>
      </c>
      <c r="B102" s="5">
        <v>99</v>
      </c>
      <c r="C102" s="5" t="s">
        <v>24</v>
      </c>
      <c r="D102" s="5">
        <v>4</v>
      </c>
      <c r="E102">
        <f t="shared" si="7"/>
        <v>19</v>
      </c>
      <c r="F102">
        <f t="shared" si="8"/>
        <v>15</v>
      </c>
      <c r="G102">
        <f t="shared" si="9"/>
        <v>22</v>
      </c>
      <c r="H102" t="str">
        <f t="shared" si="10"/>
        <v>W</v>
      </c>
    </row>
    <row r="103" spans="1:8">
      <c r="A103" s="5" t="s">
        <v>10</v>
      </c>
      <c r="B103" s="5">
        <v>100</v>
      </c>
      <c r="C103" s="5" t="s">
        <v>8</v>
      </c>
      <c r="D103" s="5">
        <v>17</v>
      </c>
      <c r="E103">
        <f t="shared" si="7"/>
        <v>19</v>
      </c>
      <c r="F103">
        <f t="shared" si="8"/>
        <v>16</v>
      </c>
      <c r="G103">
        <f t="shared" si="9"/>
        <v>8</v>
      </c>
      <c r="H103" t="str">
        <f t="shared" si="10"/>
        <v>I</v>
      </c>
    </row>
    <row r="104" spans="1:8" ht="16"/>
    <row r="105" spans="1:8" ht="16"/>
  </sheetData>
  <sheetCalcPr fullCalcOnLoad="1"/>
  <phoneticPr fontId="3" type="noConversion"/>
  <pageMargins left="0.75" right="0.75" top="1" bottom="1" header="0.5" footer="0.5"/>
  <pageSetup paperSize="1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LinearOffsetAnalysis</vt:lpstr>
      <vt:lpstr>Sheet1</vt:lpstr>
    </vt:vector>
  </TitlesOfParts>
  <Company>Rivium Pty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O'Neill</dc:creator>
  <cp:lastModifiedBy>Michael O'Neill</cp:lastModifiedBy>
  <dcterms:created xsi:type="dcterms:W3CDTF">2024-04-30T04:10:00Z</dcterms:created>
  <dcterms:modified xsi:type="dcterms:W3CDTF">2024-05-03T06:47:20Z</dcterms:modified>
</cp:coreProperties>
</file>