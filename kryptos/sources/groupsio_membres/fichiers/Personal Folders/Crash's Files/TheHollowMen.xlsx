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720" yWindow="-220" windowWidth="47200" windowHeight="26620" tabRatio="500"/>
  </bookViews>
  <sheets>
    <sheet name="The Hollow Men" sheetId="1" r:id="rId1"/>
    <sheet name="Group Counts" sheetId="6" r:id="rId2"/>
    <sheet name="Stanza Counts" sheetId="7" r:id="rId3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20" i="6"/>
  <c r="B41"/>
  <c r="B55"/>
  <c r="B72"/>
  <c r="B104"/>
  <c r="B116"/>
  <c r="B12" i="7"/>
  <c r="B15"/>
  <c r="B22"/>
  <c r="B33"/>
  <c r="B42"/>
  <c r="B45"/>
  <c r="B52"/>
  <c r="B60"/>
  <c r="B66"/>
  <c r="B71"/>
  <c r="B79"/>
  <c r="B84"/>
  <c r="B90"/>
  <c r="B97"/>
  <c r="B106"/>
  <c r="B111"/>
  <c r="B117"/>
  <c r="B116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2"/>
  <c r="E2"/>
  <c r="G2"/>
  <c r="J2"/>
  <c r="E3"/>
  <c r="G3"/>
  <c r="J3"/>
  <c r="E4"/>
  <c r="G4"/>
  <c r="J4"/>
  <c r="E5"/>
  <c r="G5"/>
  <c r="J5"/>
  <c r="E6"/>
  <c r="G6"/>
  <c r="J6"/>
  <c r="E7"/>
  <c r="G7"/>
  <c r="J7"/>
  <c r="E8"/>
  <c r="G8"/>
  <c r="J8"/>
  <c r="E9"/>
  <c r="G9"/>
  <c r="J9"/>
  <c r="E10"/>
  <c r="G10"/>
  <c r="J10"/>
  <c r="E11"/>
  <c r="G11"/>
  <c r="J11"/>
  <c r="E12"/>
  <c r="G12"/>
  <c r="J12"/>
  <c r="E13"/>
  <c r="G13"/>
  <c r="J13"/>
  <c r="E14"/>
  <c r="G14"/>
  <c r="J14"/>
  <c r="E15"/>
  <c r="G15"/>
  <c r="J15"/>
  <c r="E16"/>
  <c r="G16"/>
  <c r="J16"/>
  <c r="E17"/>
  <c r="G17"/>
  <c r="J17"/>
  <c r="E18"/>
  <c r="G18"/>
  <c r="J18"/>
  <c r="E19"/>
  <c r="G19"/>
  <c r="J19"/>
  <c r="E20"/>
  <c r="G20"/>
  <c r="J20"/>
  <c r="E21"/>
  <c r="G21"/>
  <c r="J21"/>
  <c r="E22"/>
  <c r="G22"/>
  <c r="J22"/>
  <c r="E23"/>
  <c r="G23"/>
  <c r="J23"/>
  <c r="E24"/>
  <c r="G24"/>
  <c r="J24"/>
  <c r="E25"/>
  <c r="G25"/>
  <c r="J25"/>
  <c r="E26"/>
  <c r="G26"/>
  <c r="J26"/>
  <c r="E27"/>
  <c r="G27"/>
  <c r="J27"/>
  <c r="E28"/>
  <c r="G28"/>
  <c r="J28"/>
  <c r="E29"/>
  <c r="G29"/>
  <c r="J29"/>
  <c r="E30"/>
  <c r="G30"/>
  <c r="J30"/>
  <c r="E31"/>
  <c r="G31"/>
  <c r="J31"/>
  <c r="E32"/>
  <c r="G32"/>
  <c r="J32"/>
  <c r="E33"/>
  <c r="G33"/>
  <c r="J33"/>
  <c r="E34"/>
  <c r="G34"/>
  <c r="J34"/>
  <c r="E35"/>
  <c r="G35"/>
  <c r="J35"/>
  <c r="E36"/>
  <c r="G36"/>
  <c r="J36"/>
  <c r="E37"/>
  <c r="G37"/>
  <c r="J37"/>
  <c r="E38"/>
  <c r="G38"/>
  <c r="J38"/>
  <c r="E39"/>
  <c r="G39"/>
  <c r="J39"/>
  <c r="E40"/>
  <c r="G40"/>
  <c r="J40"/>
  <c r="E41"/>
  <c r="G41"/>
  <c r="J41"/>
  <c r="E42"/>
  <c r="G42"/>
  <c r="J42"/>
  <c r="E43"/>
  <c r="G43"/>
  <c r="J43"/>
  <c r="E44"/>
  <c r="G44"/>
  <c r="J44"/>
  <c r="E45"/>
  <c r="G45"/>
  <c r="J45"/>
  <c r="E46"/>
  <c r="G46"/>
  <c r="J46"/>
  <c r="E47"/>
  <c r="G47"/>
  <c r="J47"/>
  <c r="E48"/>
  <c r="G48"/>
  <c r="J48"/>
  <c r="E49"/>
  <c r="G49"/>
  <c r="J49"/>
  <c r="E50"/>
  <c r="G50"/>
  <c r="J50"/>
  <c r="E51"/>
  <c r="G51"/>
  <c r="J51"/>
  <c r="E52"/>
  <c r="G52"/>
  <c r="J52"/>
  <c r="E53"/>
  <c r="G53"/>
  <c r="J53"/>
  <c r="E54"/>
  <c r="G54"/>
  <c r="J54"/>
  <c r="E55"/>
  <c r="G55"/>
  <c r="J55"/>
  <c r="E56"/>
  <c r="G56"/>
  <c r="J56"/>
  <c r="E57"/>
  <c r="G57"/>
  <c r="J57"/>
  <c r="E58"/>
  <c r="G58"/>
  <c r="J58"/>
  <c r="E59"/>
  <c r="G59"/>
  <c r="J59"/>
  <c r="E60"/>
  <c r="G60"/>
  <c r="J60"/>
  <c r="E61"/>
  <c r="G61"/>
  <c r="J61"/>
  <c r="E62"/>
  <c r="G62"/>
  <c r="J62"/>
  <c r="E63"/>
  <c r="G63"/>
  <c r="J63"/>
  <c r="E64"/>
  <c r="G64"/>
  <c r="J64"/>
  <c r="E65"/>
  <c r="G65"/>
  <c r="J65"/>
  <c r="E66"/>
  <c r="G66"/>
  <c r="J66"/>
  <c r="E67"/>
  <c r="G67"/>
  <c r="J67"/>
  <c r="E68"/>
  <c r="G68"/>
  <c r="J68"/>
  <c r="E69"/>
  <c r="G69"/>
  <c r="J69"/>
  <c r="E70"/>
  <c r="G70"/>
  <c r="J70"/>
  <c r="E71"/>
  <c r="G71"/>
  <c r="J71"/>
  <c r="E72"/>
  <c r="G72"/>
  <c r="J72"/>
  <c r="E73"/>
  <c r="G73"/>
  <c r="J73"/>
  <c r="E74"/>
  <c r="G74"/>
  <c r="J74"/>
  <c r="E75"/>
  <c r="G75"/>
  <c r="J75"/>
  <c r="E76"/>
  <c r="G76"/>
  <c r="J76"/>
  <c r="E77"/>
  <c r="G77"/>
  <c r="J77"/>
  <c r="E78"/>
  <c r="G78"/>
  <c r="J78"/>
  <c r="E79"/>
  <c r="G79"/>
  <c r="J79"/>
  <c r="E80"/>
  <c r="G80"/>
  <c r="J80"/>
  <c r="E81"/>
  <c r="G81"/>
  <c r="J81"/>
  <c r="E82"/>
  <c r="G82"/>
  <c r="J82"/>
  <c r="E83"/>
  <c r="G83"/>
  <c r="J83"/>
  <c r="E84"/>
  <c r="G84"/>
  <c r="J84"/>
  <c r="E85"/>
  <c r="G85"/>
  <c r="J85"/>
  <c r="E86"/>
  <c r="G86"/>
  <c r="J86"/>
  <c r="E87"/>
  <c r="G87"/>
  <c r="J87"/>
  <c r="E88"/>
  <c r="G88"/>
  <c r="J88"/>
  <c r="E89"/>
  <c r="G89"/>
  <c r="J89"/>
  <c r="E90"/>
  <c r="G90"/>
  <c r="J90"/>
  <c r="E91"/>
  <c r="G91"/>
  <c r="J91"/>
  <c r="E92"/>
  <c r="G92"/>
  <c r="J92"/>
  <c r="E93"/>
  <c r="G93"/>
  <c r="J93"/>
  <c r="E94"/>
  <c r="G94"/>
  <c r="J94"/>
  <c r="E95"/>
  <c r="G95"/>
  <c r="J95"/>
  <c r="E96"/>
  <c r="G96"/>
  <c r="J96"/>
  <c r="E97"/>
  <c r="G97"/>
  <c r="J97"/>
  <c r="E98"/>
  <c r="G98"/>
  <c r="J98"/>
  <c r="E99"/>
  <c r="G99"/>
  <c r="J99"/>
  <c r="A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</calcChain>
</file>

<file path=xl/sharedStrings.xml><?xml version="1.0" encoding="utf-8"?>
<sst xmlns="http://schemas.openxmlformats.org/spreadsheetml/2006/main" count="230" uniqueCount="213">
  <si>
    <t>BEHAVINGASTHEWINDBEHAVES</t>
  </si>
  <si>
    <t>NONEARER</t>
  </si>
  <si>
    <t>NOTTHATFINALMEETING</t>
  </si>
  <si>
    <t>INTHETWILIGHTKINGDOM</t>
  </si>
  <si>
    <t>THISISTHEDEADLAND</t>
  </si>
  <si>
    <t>THISISCACTUSLAND</t>
  </si>
  <si>
    <t>HERETHESTONEIMAGES</t>
  </si>
  <si>
    <t>ARERAISEDHERETHEYRECEIVE</t>
  </si>
  <si>
    <t>THESUPPLICATIONOFADEADMANSHAND</t>
  </si>
  <si>
    <t>UNDERTHETWINKLEOFAFADINGSTAR</t>
  </si>
  <si>
    <t>ISITLIKETHIS</t>
  </si>
  <si>
    <t>INDEATHSOTHERKINGDOM</t>
  </si>
  <si>
    <t>WAKINGALONE</t>
  </si>
  <si>
    <t>ATTHEHOURWHENWEARE</t>
  </si>
  <si>
    <t>TREMBLINGWITHTENDERNESS</t>
  </si>
  <si>
    <t>LIPSTHATWOULDKISS</t>
  </si>
  <si>
    <t>FORMPRAYERSTOBROKENSTONE</t>
  </si>
  <si>
    <t>THEEYESARENOTHERE</t>
  </si>
  <si>
    <t>THEREARENOEYESHERE</t>
  </si>
  <si>
    <t>INTHISVALLEYOFDYINGSTARS</t>
  </si>
  <si>
    <t>INTHISHOLLOWVALLEY</t>
  </si>
  <si>
    <t>THISBROKENJAWOFOURLOSTKINGDOMS</t>
  </si>
  <si>
    <t>INTHISLASTOFMEETINGPLACES</t>
  </si>
  <si>
    <t>WEGROPETOGETHER</t>
  </si>
  <si>
    <t>ANDAVOIDSPEECH</t>
  </si>
  <si>
    <t>GATHEREDONTHISBEACHOFTHETUMIDRIVER</t>
  </si>
  <si>
    <t>SIGHTLESSUNLESS</t>
  </si>
  <si>
    <t>THEEYESREAPPEAR</t>
  </si>
  <si>
    <t>ASTHEPERPETUALSTAR</t>
  </si>
  <si>
    <t>MULTIFOLIATEROSE</t>
  </si>
  <si>
    <t>OFDEATHSTWILIGHTKINGDOM</t>
  </si>
  <si>
    <t>THEHOPEONLY</t>
  </si>
  <si>
    <t>OFEMPTYMEN</t>
  </si>
  <si>
    <t>HEREWEGOROUNDTHEPRICKLYPEAR</t>
  </si>
  <si>
    <t>PRICKLYPEARPRICKLYPEAR</t>
  </si>
  <si>
    <t>ATFIVEOCLOCKINTHEMORNING</t>
  </si>
  <si>
    <t>BETWEENTHEIDEA</t>
  </si>
  <si>
    <t>ANDTHEREALITY</t>
  </si>
  <si>
    <t>BETWEENTHEMOTION</t>
  </si>
  <si>
    <t>ANDTHEACT</t>
  </si>
  <si>
    <t>FALLSTHESHADOW</t>
  </si>
  <si>
    <t>FORTHINEISTHEKINGDOM</t>
  </si>
  <si>
    <t>BETWEENTHECONCEPTION</t>
  </si>
  <si>
    <t>ANDTHECREATION</t>
  </si>
  <si>
    <t>BETWEENTHEEMOTION</t>
  </si>
  <si>
    <t>ANDTHERESPONSE</t>
  </si>
  <si>
    <t>LIFEISVERYLONG</t>
  </si>
  <si>
    <t>BETWEENTHEDESIRE</t>
  </si>
  <si>
    <t>ANDTHESPASM</t>
  </si>
  <si>
    <t>BETWEENTHEPOTENCY</t>
  </si>
  <si>
    <t>ANDTHEEXISTENCE</t>
  </si>
  <si>
    <t>BETWEENTHEESSENCE</t>
  </si>
  <si>
    <t>ANDTHEDESCENT</t>
  </si>
  <si>
    <t>FORTHINEIS</t>
  </si>
  <si>
    <t>LIFEIS</t>
  </si>
  <si>
    <t>FORTHINEISTHE</t>
  </si>
  <si>
    <t>THISISTHEWAYTHEWORLDENDS</t>
  </si>
  <si>
    <t>NOTWITHABANGBUTAWHIMPER</t>
  </si>
  <si>
    <t>1 Total</t>
  </si>
  <si>
    <t>2 Total</t>
  </si>
  <si>
    <t>3 Total</t>
  </si>
  <si>
    <t>4 Total</t>
  </si>
  <si>
    <t>5 Total</t>
  </si>
  <si>
    <t>Grand Total</t>
  </si>
  <si>
    <t>Stanza</t>
  </si>
  <si>
    <t>Length</t>
    <phoneticPr fontId="4" type="noConversion"/>
  </si>
  <si>
    <t>6 Total</t>
  </si>
  <si>
    <t>7 Total</t>
  </si>
  <si>
    <t>8 Total</t>
  </si>
  <si>
    <t>9 Total</t>
  </si>
  <si>
    <t>10 Total</t>
  </si>
  <si>
    <t>11 Total</t>
  </si>
  <si>
    <t>12 Total</t>
  </si>
  <si>
    <t>13 Total</t>
  </si>
  <si>
    <t>14 Total</t>
  </si>
  <si>
    <t>15 Total</t>
  </si>
  <si>
    <t>16 Total</t>
  </si>
  <si>
    <t>17 Total</t>
  </si>
  <si>
    <t>Line</t>
    <phoneticPr fontId="4" type="noConversion"/>
  </si>
  <si>
    <t>Section</t>
    <phoneticPr fontId="4" type="noConversion"/>
  </si>
  <si>
    <t>Stanza</t>
    <phoneticPr fontId="4" type="noConversion"/>
  </si>
  <si>
    <t>Text</t>
    <phoneticPr fontId="4" type="noConversion"/>
  </si>
  <si>
    <t>Cleaned</t>
    <phoneticPr fontId="4" type="noConversion"/>
  </si>
  <si>
    <t>First Char</t>
    <phoneticPr fontId="4" type="noConversion"/>
  </si>
  <si>
    <t>Length</t>
    <phoneticPr fontId="4" type="noConversion"/>
  </si>
  <si>
    <t>Section</t>
  </si>
  <si>
    <t>WEARETHEHOLLOWMEN</t>
  </si>
  <si>
    <t>WEARETHESTUFFEDMEN</t>
  </si>
  <si>
    <t>LEANINGTOGETHER</t>
  </si>
  <si>
    <t>HEADPIECEFILLEDWITHSTRAWALAS</t>
  </si>
  <si>
    <t>OURDRIEDVOICESWHEN</t>
  </si>
  <si>
    <t>WEWHISPERTOGETHER</t>
  </si>
  <si>
    <t>AREQUIETANDMEANINGLESS</t>
  </si>
  <si>
    <t>ASWINDINDRYGRASS</t>
  </si>
  <si>
    <t>ORRATSFEETOVERBROKENGLASS</t>
  </si>
  <si>
    <t>INOURDRYCELLAR</t>
  </si>
  <si>
    <t>SHAPEWITHOUTFORMSHADEWITHOUTCOLOUR</t>
  </si>
  <si>
    <t>PARALYSEDFORCEGESTUREWITHOUTMOTION</t>
  </si>
  <si>
    <t>THOSEWHOHAVECROSSED</t>
  </si>
  <si>
    <t>WITHDIRECTEYESTODEATHSOTHERKINGDOM</t>
  </si>
  <si>
    <t>REMEMBERUSIFATALLNOTASLOST</t>
  </si>
  <si>
    <t>VIOLENTSOULSBUTONLY</t>
  </si>
  <si>
    <t>ASTHEHOLLOWMEN</t>
  </si>
  <si>
    <t>THESTUFFEDMEN</t>
  </si>
  <si>
    <t>EYESIDARENOTMEETINDREAMS</t>
  </si>
  <si>
    <t>INDEATHSDREAMKINGDOM</t>
  </si>
  <si>
    <t>THESEDONOTAPPEAR</t>
  </si>
  <si>
    <t>THERETHEEYESARE</t>
  </si>
  <si>
    <t>SUNLIGHTONABROKENCOLUMN</t>
  </si>
  <si>
    <t>THEREISATREESWINGING</t>
  </si>
  <si>
    <t>ANDVOICESARE</t>
  </si>
  <si>
    <t>INTHEWINDSSINGING</t>
  </si>
  <si>
    <t>MOREDISTANTANDMORESOLEMN</t>
  </si>
  <si>
    <t>THANAFADINGSTAR</t>
  </si>
  <si>
    <t>LETMEBENONEARER</t>
  </si>
  <si>
    <t>LETMEALSOWEAR</t>
  </si>
  <si>
    <t>SUCHDELIBERATEDISGUISES</t>
  </si>
  <si>
    <t>RATSCOATCROWSKINCROSSEDSTAVES</t>
  </si>
  <si>
    <t>INAFIELD</t>
  </si>
  <si>
    <t>    In this valley of dying stars</t>
  </si>
  <si>
    <t>    In this hollow valley</t>
  </si>
  <si>
    <t>    This broken jaw of our lost kingdoms</t>
  </si>
  <si>
    <t>    In this last of meeting places</t>
  </si>
  <si>
    <t>    We grope together</t>
  </si>
  <si>
    <t>    And avoid speech</t>
  </si>
  <si>
    <t>    Gathered on this beach of the tumid river</t>
  </si>
  <si>
    <t>    Sightless, unless</t>
  </si>
  <si>
    <t>    The eyes reappear</t>
  </si>
  <si>
    <t>    As the perpetual star</t>
  </si>
  <si>
    <t>    Multifoliate rose</t>
  </si>
  <si>
    <t>    Of death's twilight kingdom</t>
  </si>
  <si>
    <t>    The hope only</t>
  </si>
  <si>
    <t>    Of empty men.</t>
  </si>
  <si>
    <r>
      <t>    </t>
    </r>
    <r>
      <rPr>
        <i/>
        <sz val="15"/>
        <color indexed="63"/>
        <rFont val="Helvetica"/>
      </rPr>
      <t>Here we go round the prickly pear</t>
    </r>
  </si>
  <si>
    <t>    Prickly pear prickly pear</t>
  </si>
  <si>
    <t>    Here we go round the prickly pear</t>
  </si>
  <si>
    <t>    At five o'clock in the morning.</t>
  </si>
  <si>
    <t>    Between the idea</t>
  </si>
  <si>
    <t>    And the reality</t>
  </si>
  <si>
    <t>    Between the motion</t>
  </si>
  <si>
    <t>    And the act</t>
  </si>
  <si>
    <t>    Falls the Shadow</t>
  </si>
  <si>
    <t>    Between the conception</t>
  </si>
  <si>
    <t>    And the creation</t>
  </si>
  <si>
    <t>    Between the emotion</t>
  </si>
  <si>
    <t>    And the response</t>
  </si>
  <si>
    <t>    Between the desire</t>
  </si>
  <si>
    <t>    And the spasm</t>
  </si>
  <si>
    <t>    Between the potency</t>
  </si>
  <si>
    <t>    And the existence</t>
  </si>
  <si>
    <t>    Between the essence</t>
  </si>
  <si>
    <t>    And the descent</t>
  </si>
  <si>
    <t>    For Thine is</t>
  </si>
  <si>
    <t>    Life is</t>
  </si>
  <si>
    <t>    For Thine is the</t>
  </si>
  <si>
    <r>
      <t>    </t>
    </r>
    <r>
      <rPr>
        <i/>
        <sz val="15"/>
        <color indexed="63"/>
        <rFont val="Helvetica"/>
      </rPr>
      <t>This is the way the world ends</t>
    </r>
  </si>
  <si>
    <t>    This is the way the world ends</t>
  </si>
  <si>
    <t>    Not with a bang but a whimper.</t>
  </si>
  <si>
    <r>
      <t xml:space="preserve">    </t>
    </r>
    <r>
      <rPr>
        <b/>
        <i/>
        <sz val="15"/>
        <color indexed="63"/>
        <rFont val="Helvetica"/>
      </rPr>
      <t>For Thine is the Kingdom</t>
    </r>
    <phoneticPr fontId="4" type="noConversion"/>
  </si>
  <si>
    <t xml:space="preserve">    Life is very long</t>
    <phoneticPr fontId="4" type="noConversion"/>
  </si>
  <si>
    <r>
      <t xml:space="preserve">    </t>
    </r>
    <r>
      <rPr>
        <b/>
        <i/>
        <sz val="15"/>
        <color indexed="63"/>
        <rFont val="Helvetica"/>
      </rPr>
      <t>For Thine is the Kingdom</t>
    </r>
    <phoneticPr fontId="4" type="noConversion"/>
  </si>
  <si>
    <t>    We are the hollow men</t>
  </si>
  <si>
    <t>    We are the stuffed men</t>
  </si>
  <si>
    <t>    Leaning together</t>
  </si>
  <si>
    <t>    Headpiece filled with straw. Alas!</t>
  </si>
  <si>
    <t>    Our dried voices, when</t>
  </si>
  <si>
    <t>    We whisper together</t>
  </si>
  <si>
    <t>    Are quiet and meaningless</t>
  </si>
  <si>
    <t>    As wind in dry grass</t>
  </si>
  <si>
    <t>    Or rats' feet over broken glass</t>
  </si>
  <si>
    <t>    In our dry cellar</t>
  </si>
  <si>
    <t>    Shape without form, shade without colour,</t>
  </si>
  <si>
    <t>    Paralysed force, gesture without motion;</t>
  </si>
  <si>
    <t>    Those who have crossed</t>
  </si>
  <si>
    <t>    With direct eyes, to death's other Kingdom</t>
  </si>
  <si>
    <t>    Remember us-if at all-not as lost</t>
  </si>
  <si>
    <t>    Violent souls, but only</t>
  </si>
  <si>
    <t>    As the hollow men</t>
  </si>
  <si>
    <t>    The stuffed men.</t>
  </si>
  <si>
    <t>    Eyes I dare not meet in dreams</t>
  </si>
  <si>
    <t>    In death's dream kingdom</t>
  </si>
  <si>
    <t>    These do not appear:</t>
  </si>
  <si>
    <t>    There, the eyes are</t>
  </si>
  <si>
    <t>    Sunlight on a broken column</t>
  </si>
  <si>
    <t>    There, is a tree swinging</t>
  </si>
  <si>
    <t>    And voices are</t>
  </si>
  <si>
    <t>    In the wind's singing</t>
  </si>
  <si>
    <t>    More distant and more solemn</t>
  </si>
  <si>
    <t>    Than a fading star.</t>
  </si>
  <si>
    <t>    Let me be no nearer</t>
  </si>
  <si>
    <t>    Let me also wear</t>
  </si>
  <si>
    <t>    Such deliberate disguises</t>
  </si>
  <si>
    <t>    Rat's coat, crowskin, crossed staves</t>
  </si>
  <si>
    <t>    In a field</t>
  </si>
  <si>
    <t>    Behaving as the wind behaves</t>
  </si>
  <si>
    <t>    No nearer-</t>
  </si>
  <si>
    <t>    Not that final meeting</t>
  </si>
  <si>
    <t>    In the twilight kingdom</t>
  </si>
  <si>
    <t>    This is the dead land</t>
  </si>
  <si>
    <t>    This is cactus land</t>
  </si>
  <si>
    <t>    Here the stone images</t>
  </si>
  <si>
    <t>    Are raised, here they receive</t>
  </si>
  <si>
    <t>    The supplication of a dead man's hand</t>
  </si>
  <si>
    <t>    Under the twinkle of a fading star.</t>
  </si>
  <si>
    <t>    Is it like this</t>
  </si>
  <si>
    <t>    In death's other kingdom</t>
  </si>
  <si>
    <t>    Waking alone</t>
  </si>
  <si>
    <t>    At the hour when we are</t>
  </si>
  <si>
    <t>    Trembling with tenderness</t>
  </si>
  <si>
    <t>    Lips that would kiss</t>
  </si>
  <si>
    <t>    Form prayers to broken stone.</t>
  </si>
  <si>
    <t>    The eyes are not here</t>
  </si>
  <si>
    <t>    There are no eyes here</t>
  </si>
</sst>
</file>

<file path=xl/styles.xml><?xml version="1.0" encoding="utf-8"?>
<styleSheet xmlns="http://schemas.openxmlformats.org/spreadsheetml/2006/main">
  <fonts count="7">
    <font>
      <sz val="10"/>
      <name val="Verdana"/>
    </font>
    <font>
      <b/>
      <sz val="10"/>
      <name val="Verdana"/>
    </font>
    <font>
      <sz val="15"/>
      <color indexed="63"/>
      <name val="Helvetica"/>
    </font>
    <font>
      <i/>
      <sz val="15"/>
      <color indexed="63"/>
      <name val="Helvetica"/>
    </font>
    <font>
      <sz val="8"/>
      <name val="Verdana"/>
    </font>
    <font>
      <b/>
      <sz val="15"/>
      <color indexed="63"/>
      <name val="Helvetica"/>
    </font>
    <font>
      <b/>
      <i/>
      <sz val="15"/>
      <color indexed="63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31"/>
      </left>
      <right style="medium">
        <color indexed="31"/>
      </right>
      <top style="medium">
        <color indexed="31"/>
      </top>
      <bottom style="medium">
        <color indexed="31"/>
      </bottom>
      <diagonal/>
    </border>
    <border>
      <left style="medium">
        <color indexed="31"/>
      </left>
      <right/>
      <top style="medium">
        <color indexed="31"/>
      </top>
      <bottom style="medium">
        <color indexed="31"/>
      </bottom>
      <diagonal/>
    </border>
    <border>
      <left/>
      <right style="medium">
        <color indexed="31"/>
      </right>
      <top style="medium">
        <color indexed="31"/>
      </top>
      <bottom style="medium">
        <color indexed="31"/>
      </bottom>
      <diagonal/>
    </border>
    <border>
      <left/>
      <right/>
      <top style="medium">
        <color indexed="31"/>
      </top>
      <bottom style="medium">
        <color indexed="31"/>
      </bottom>
      <diagonal/>
    </border>
    <border>
      <left style="medium">
        <color indexed="31"/>
      </left>
      <right style="medium">
        <color indexed="31"/>
      </right>
      <top/>
      <bottom style="medium">
        <color indexed="31"/>
      </bottom>
      <diagonal/>
    </border>
    <border>
      <left style="medium">
        <color indexed="31"/>
      </left>
      <right/>
      <top/>
      <bottom style="medium">
        <color indexed="31"/>
      </bottom>
      <diagonal/>
    </border>
    <border>
      <left/>
      <right style="medium">
        <color indexed="31"/>
      </right>
      <top/>
      <bottom style="medium">
        <color indexed="31"/>
      </bottom>
      <diagonal/>
    </border>
    <border>
      <left/>
      <right/>
      <top/>
      <bottom style="medium">
        <color indexed="31"/>
      </bottom>
      <diagonal/>
    </border>
    <border>
      <left style="medium">
        <color indexed="31"/>
      </left>
      <right style="medium">
        <color indexed="31"/>
      </right>
      <top style="medium">
        <color indexed="31"/>
      </top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/>
      <right style="medium">
        <color indexed="31"/>
      </right>
      <top style="medium">
        <color indexed="31"/>
      </top>
      <bottom/>
      <diagonal/>
    </border>
    <border>
      <left/>
      <right/>
      <top style="medium">
        <color indexed="3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10"/>
  <sheetViews>
    <sheetView tabSelected="1" workbookViewId="0">
      <selection sqref="A1:I1"/>
    </sheetView>
  </sheetViews>
  <sheetFormatPr baseColWidth="10" defaultRowHeight="13"/>
  <cols>
    <col min="4" max="4" width="52.140625" customWidth="1"/>
    <col min="6" max="6" width="18.85546875" customWidth="1"/>
    <col min="8" max="9" width="38.7109375" customWidth="1"/>
  </cols>
  <sheetData>
    <row r="1" spans="1:10">
      <c r="A1" s="7" t="s">
        <v>78</v>
      </c>
      <c r="B1" s="7" t="s">
        <v>79</v>
      </c>
      <c r="C1" s="7" t="s">
        <v>80</v>
      </c>
      <c r="D1" s="7" t="s">
        <v>81</v>
      </c>
      <c r="E1" s="7" t="s">
        <v>82</v>
      </c>
      <c r="F1" s="7"/>
      <c r="G1" s="7" t="s">
        <v>83</v>
      </c>
      <c r="H1" s="7"/>
      <c r="I1" s="7" t="s">
        <v>84</v>
      </c>
    </row>
    <row r="2" spans="1:10" ht="16">
      <c r="A2">
        <f>1</f>
        <v>1</v>
      </c>
      <c r="B2">
        <v>1</v>
      </c>
      <c r="C2">
        <v>1</v>
      </c>
      <c r="D2" s="2" t="s">
        <v>161</v>
      </c>
      <c r="E2" t="str">
        <f>MID(D2,5,100)</f>
        <v>We are the hollow men</v>
      </c>
      <c r="G2" s="5" t="str">
        <f>LEFT(E2,1)</f>
        <v>W</v>
      </c>
      <c r="H2" s="5" t="s">
        <v>86</v>
      </c>
      <c r="I2" s="5">
        <f>LEN(H2)</f>
        <v>17</v>
      </c>
      <c r="J2" t="str">
        <f>G2</f>
        <v>W</v>
      </c>
    </row>
    <row r="3" spans="1:10" ht="16">
      <c r="A3">
        <f>1+A2</f>
        <v>2</v>
      </c>
      <c r="B3">
        <v>1</v>
      </c>
      <c r="C3">
        <v>1</v>
      </c>
      <c r="D3" s="2" t="s">
        <v>162</v>
      </c>
      <c r="E3" t="str">
        <f t="shared" ref="E3:E66" si="0">MID(D3,5,100)</f>
        <v>We are the stuffed men</v>
      </c>
      <c r="G3" s="5" t="str">
        <f t="shared" ref="G3:G66" si="1">LEFT(E3,1)</f>
        <v>W</v>
      </c>
      <c r="H3" s="5" t="s">
        <v>87</v>
      </c>
      <c r="I3" s="5">
        <f t="shared" ref="I3:I66" si="2">LEN(H3)</f>
        <v>18</v>
      </c>
      <c r="J3" t="str">
        <f>J2&amp;G3</f>
        <v>WW</v>
      </c>
    </row>
    <row r="4" spans="1:10" ht="16">
      <c r="A4">
        <f t="shared" ref="A4:A67" si="3">1+A3</f>
        <v>3</v>
      </c>
      <c r="B4">
        <v>1</v>
      </c>
      <c r="C4">
        <v>1</v>
      </c>
      <c r="D4" s="2" t="s">
        <v>163</v>
      </c>
      <c r="E4" t="str">
        <f t="shared" si="0"/>
        <v>Leaning together</v>
      </c>
      <c r="G4" s="5" t="str">
        <f t="shared" si="1"/>
        <v>L</v>
      </c>
      <c r="H4" s="5" t="s">
        <v>88</v>
      </c>
      <c r="I4" s="5">
        <f t="shared" si="2"/>
        <v>15</v>
      </c>
      <c r="J4" t="str">
        <f>J3&amp;G4</f>
        <v>WWL</v>
      </c>
    </row>
    <row r="5" spans="1:10" ht="16">
      <c r="A5">
        <f t="shared" si="3"/>
        <v>4</v>
      </c>
      <c r="B5">
        <v>1</v>
      </c>
      <c r="C5">
        <v>1</v>
      </c>
      <c r="D5" s="2" t="s">
        <v>164</v>
      </c>
      <c r="E5" t="str">
        <f t="shared" si="0"/>
        <v>Headpiece filled with straw. Alas!</v>
      </c>
      <c r="G5" s="5" t="str">
        <f t="shared" si="1"/>
        <v>H</v>
      </c>
      <c r="H5" s="5" t="s">
        <v>89</v>
      </c>
      <c r="I5" s="5">
        <f t="shared" si="2"/>
        <v>28</v>
      </c>
      <c r="J5" t="str">
        <f>J4&amp;G5</f>
        <v>WWLH</v>
      </c>
    </row>
    <row r="6" spans="1:10" ht="16">
      <c r="A6">
        <f t="shared" si="3"/>
        <v>5</v>
      </c>
      <c r="B6">
        <v>1</v>
      </c>
      <c r="C6">
        <v>1</v>
      </c>
      <c r="D6" s="2" t="s">
        <v>165</v>
      </c>
      <c r="E6" t="str">
        <f t="shared" si="0"/>
        <v>Our dried voices, when</v>
      </c>
      <c r="G6" s="5" t="str">
        <f t="shared" si="1"/>
        <v>O</v>
      </c>
      <c r="H6" s="5" t="s">
        <v>90</v>
      </c>
      <c r="I6" s="5">
        <f t="shared" si="2"/>
        <v>18</v>
      </c>
      <c r="J6" t="str">
        <f>J5&amp;G6</f>
        <v>WWLHO</v>
      </c>
    </row>
    <row r="7" spans="1:10" ht="16">
      <c r="A7">
        <f t="shared" si="3"/>
        <v>6</v>
      </c>
      <c r="B7">
        <v>1</v>
      </c>
      <c r="C7">
        <v>1</v>
      </c>
      <c r="D7" s="2" t="s">
        <v>166</v>
      </c>
      <c r="E7" t="str">
        <f t="shared" si="0"/>
        <v>We whisper together</v>
      </c>
      <c r="G7" s="5" t="str">
        <f t="shared" si="1"/>
        <v>W</v>
      </c>
      <c r="H7" s="5" t="s">
        <v>91</v>
      </c>
      <c r="I7" s="5">
        <f t="shared" si="2"/>
        <v>17</v>
      </c>
      <c r="J7" t="str">
        <f>J6&amp;G7</f>
        <v>WWLHOW</v>
      </c>
    </row>
    <row r="8" spans="1:10" ht="16">
      <c r="A8">
        <f t="shared" si="3"/>
        <v>7</v>
      </c>
      <c r="B8">
        <v>1</v>
      </c>
      <c r="C8">
        <v>1</v>
      </c>
      <c r="D8" s="2" t="s">
        <v>167</v>
      </c>
      <c r="E8" t="str">
        <f t="shared" si="0"/>
        <v>Are quiet and meaningless</v>
      </c>
      <c r="G8" s="5" t="str">
        <f t="shared" si="1"/>
        <v>A</v>
      </c>
      <c r="H8" s="5" t="s">
        <v>92</v>
      </c>
      <c r="I8" s="5">
        <f t="shared" si="2"/>
        <v>22</v>
      </c>
      <c r="J8" t="str">
        <f>J7&amp;G8</f>
        <v>WWLHOWA</v>
      </c>
    </row>
    <row r="9" spans="1:10" ht="16">
      <c r="A9">
        <f t="shared" si="3"/>
        <v>8</v>
      </c>
      <c r="B9">
        <v>1</v>
      </c>
      <c r="C9">
        <v>1</v>
      </c>
      <c r="D9" s="2" t="s">
        <v>168</v>
      </c>
      <c r="E9" t="str">
        <f t="shared" si="0"/>
        <v>As wind in dry grass</v>
      </c>
      <c r="G9" s="5" t="str">
        <f t="shared" si="1"/>
        <v>A</v>
      </c>
      <c r="H9" s="5" t="s">
        <v>93</v>
      </c>
      <c r="I9" s="5">
        <f t="shared" si="2"/>
        <v>16</v>
      </c>
      <c r="J9" t="str">
        <f>J8&amp;G9</f>
        <v>WWLHOWAA</v>
      </c>
    </row>
    <row r="10" spans="1:10" ht="16">
      <c r="A10">
        <f t="shared" si="3"/>
        <v>9</v>
      </c>
      <c r="B10">
        <v>1</v>
      </c>
      <c r="C10">
        <v>1</v>
      </c>
      <c r="D10" s="2" t="s">
        <v>169</v>
      </c>
      <c r="E10" t="str">
        <f t="shared" si="0"/>
        <v>Or rats' feet over broken glass</v>
      </c>
      <c r="G10" s="5" t="str">
        <f t="shared" si="1"/>
        <v>O</v>
      </c>
      <c r="H10" s="5" t="s">
        <v>94</v>
      </c>
      <c r="I10" s="5">
        <f t="shared" si="2"/>
        <v>25</v>
      </c>
      <c r="J10" t="str">
        <f>J9&amp;G10</f>
        <v>WWLHOWAAO</v>
      </c>
    </row>
    <row r="11" spans="1:10" ht="16">
      <c r="A11">
        <f t="shared" si="3"/>
        <v>10</v>
      </c>
      <c r="B11">
        <v>1</v>
      </c>
      <c r="C11">
        <v>1</v>
      </c>
      <c r="D11" s="2" t="s">
        <v>170</v>
      </c>
      <c r="E11" t="str">
        <f t="shared" si="0"/>
        <v>In our dry cellar</v>
      </c>
      <c r="G11" s="5" t="str">
        <f t="shared" si="1"/>
        <v>I</v>
      </c>
      <c r="H11" s="5" t="s">
        <v>95</v>
      </c>
      <c r="I11" s="5">
        <f t="shared" si="2"/>
        <v>14</v>
      </c>
      <c r="J11" t="str">
        <f>J10&amp;G11</f>
        <v>WWLHOWAAOI</v>
      </c>
    </row>
    <row r="12" spans="1:10" ht="16">
      <c r="A12">
        <f t="shared" si="3"/>
        <v>11</v>
      </c>
      <c r="B12">
        <v>1</v>
      </c>
      <c r="C12">
        <v>2</v>
      </c>
      <c r="D12" s="2" t="s">
        <v>171</v>
      </c>
      <c r="E12" t="str">
        <f t="shared" si="0"/>
        <v>Shape without form, shade without colour,</v>
      </c>
      <c r="G12" s="5" t="str">
        <f t="shared" si="1"/>
        <v>S</v>
      </c>
      <c r="H12" s="5" t="s">
        <v>96</v>
      </c>
      <c r="I12" s="5">
        <f t="shared" si="2"/>
        <v>34</v>
      </c>
      <c r="J12" t="str">
        <f>J11&amp;G12</f>
        <v>WWLHOWAAOIS</v>
      </c>
    </row>
    <row r="13" spans="1:10" ht="16">
      <c r="A13">
        <f t="shared" si="3"/>
        <v>12</v>
      </c>
      <c r="B13">
        <v>1</v>
      </c>
      <c r="C13">
        <v>2</v>
      </c>
      <c r="D13" s="2" t="s">
        <v>172</v>
      </c>
      <c r="E13" t="str">
        <f t="shared" si="0"/>
        <v>Paralysed force, gesture without motion;</v>
      </c>
      <c r="G13" s="5" t="str">
        <f t="shared" si="1"/>
        <v>P</v>
      </c>
      <c r="H13" s="5" t="s">
        <v>97</v>
      </c>
      <c r="I13" s="5">
        <f t="shared" si="2"/>
        <v>34</v>
      </c>
      <c r="J13" t="str">
        <f>J12&amp;G13</f>
        <v>WWLHOWAAOISP</v>
      </c>
    </row>
    <row r="14" spans="1:10" ht="16">
      <c r="A14">
        <f t="shared" si="3"/>
        <v>13</v>
      </c>
      <c r="B14">
        <v>1</v>
      </c>
      <c r="C14">
        <v>3</v>
      </c>
      <c r="D14" s="2" t="s">
        <v>173</v>
      </c>
      <c r="E14" t="str">
        <f t="shared" si="0"/>
        <v>Those who have crossed</v>
      </c>
      <c r="G14" s="5" t="str">
        <f t="shared" si="1"/>
        <v>T</v>
      </c>
      <c r="H14" s="5" t="s">
        <v>98</v>
      </c>
      <c r="I14" s="5">
        <f t="shared" si="2"/>
        <v>19</v>
      </c>
      <c r="J14" t="str">
        <f>J13&amp;G14</f>
        <v>WWLHOWAAOISPT</v>
      </c>
    </row>
    <row r="15" spans="1:10" ht="16">
      <c r="A15">
        <f t="shared" si="3"/>
        <v>14</v>
      </c>
      <c r="B15">
        <v>1</v>
      </c>
      <c r="C15">
        <v>3</v>
      </c>
      <c r="D15" s="2" t="s">
        <v>174</v>
      </c>
      <c r="E15" t="str">
        <f t="shared" si="0"/>
        <v>With direct eyes, to death's other Kingdom</v>
      </c>
      <c r="G15" s="5" t="str">
        <f t="shared" si="1"/>
        <v>W</v>
      </c>
      <c r="H15" s="5" t="s">
        <v>99</v>
      </c>
      <c r="I15" s="5">
        <f t="shared" si="2"/>
        <v>34</v>
      </c>
      <c r="J15" t="str">
        <f>J14&amp;G15</f>
        <v>WWLHOWAAOISPTW</v>
      </c>
    </row>
    <row r="16" spans="1:10" ht="16">
      <c r="A16">
        <f t="shared" si="3"/>
        <v>15</v>
      </c>
      <c r="B16">
        <v>1</v>
      </c>
      <c r="C16">
        <v>3</v>
      </c>
      <c r="D16" s="2" t="s">
        <v>175</v>
      </c>
      <c r="E16" t="str">
        <f t="shared" si="0"/>
        <v>Remember us-if at all-not as lost</v>
      </c>
      <c r="G16" s="5" t="str">
        <f t="shared" si="1"/>
        <v>R</v>
      </c>
      <c r="H16" s="5" t="s">
        <v>100</v>
      </c>
      <c r="I16" s="5">
        <f t="shared" si="2"/>
        <v>26</v>
      </c>
      <c r="J16" t="str">
        <f>J15&amp;G16</f>
        <v>WWLHOWAAOISPTWR</v>
      </c>
    </row>
    <row r="17" spans="1:10" ht="16">
      <c r="A17">
        <f t="shared" si="3"/>
        <v>16</v>
      </c>
      <c r="B17">
        <v>1</v>
      </c>
      <c r="C17">
        <v>3</v>
      </c>
      <c r="D17" s="2" t="s">
        <v>176</v>
      </c>
      <c r="E17" t="str">
        <f t="shared" si="0"/>
        <v>Violent souls, but only</v>
      </c>
      <c r="G17" s="5" t="str">
        <f t="shared" si="1"/>
        <v>V</v>
      </c>
      <c r="H17" s="5" t="s">
        <v>101</v>
      </c>
      <c r="I17" s="5">
        <f t="shared" si="2"/>
        <v>19</v>
      </c>
      <c r="J17" t="str">
        <f>J16&amp;G17</f>
        <v>WWLHOWAAOISPTWRV</v>
      </c>
    </row>
    <row r="18" spans="1:10" ht="16">
      <c r="A18">
        <f t="shared" si="3"/>
        <v>17</v>
      </c>
      <c r="B18">
        <v>1</v>
      </c>
      <c r="C18">
        <v>3</v>
      </c>
      <c r="D18" s="2" t="s">
        <v>177</v>
      </c>
      <c r="E18" t="str">
        <f t="shared" si="0"/>
        <v>As the hollow men</v>
      </c>
      <c r="G18" s="5" t="str">
        <f t="shared" si="1"/>
        <v>A</v>
      </c>
      <c r="H18" s="5" t="s">
        <v>102</v>
      </c>
      <c r="I18" s="5">
        <f t="shared" si="2"/>
        <v>14</v>
      </c>
      <c r="J18" t="str">
        <f>J17&amp;G18</f>
        <v>WWLHOWAAOISPTWRVA</v>
      </c>
    </row>
    <row r="19" spans="1:10" ht="16">
      <c r="A19">
        <f t="shared" si="3"/>
        <v>18</v>
      </c>
      <c r="B19">
        <v>1</v>
      </c>
      <c r="C19">
        <v>3</v>
      </c>
      <c r="D19" s="2" t="s">
        <v>178</v>
      </c>
      <c r="E19" t="str">
        <f t="shared" si="0"/>
        <v>The stuffed men.</v>
      </c>
      <c r="G19" s="5" t="str">
        <f t="shared" si="1"/>
        <v>T</v>
      </c>
      <c r="H19" s="5" t="s">
        <v>103</v>
      </c>
      <c r="I19" s="5">
        <f t="shared" si="2"/>
        <v>13</v>
      </c>
      <c r="J19" t="str">
        <f>J18&amp;G19</f>
        <v>WWLHOWAAOISPTWRVAT</v>
      </c>
    </row>
    <row r="20" spans="1:10" ht="16">
      <c r="A20">
        <f t="shared" si="3"/>
        <v>19</v>
      </c>
      <c r="B20">
        <v>2</v>
      </c>
      <c r="C20">
        <v>4</v>
      </c>
      <c r="D20" s="2" t="s">
        <v>179</v>
      </c>
      <c r="E20" t="str">
        <f t="shared" si="0"/>
        <v>Eyes I dare not meet in dreams</v>
      </c>
      <c r="G20" s="5" t="str">
        <f t="shared" si="1"/>
        <v>E</v>
      </c>
      <c r="H20" s="5" t="s">
        <v>104</v>
      </c>
      <c r="I20" s="5">
        <f t="shared" si="2"/>
        <v>24</v>
      </c>
      <c r="J20" t="str">
        <f>J19&amp;G20</f>
        <v>WWLHOWAAOISPTWRVATE</v>
      </c>
    </row>
    <row r="21" spans="1:10" ht="16">
      <c r="A21">
        <f t="shared" si="3"/>
        <v>20</v>
      </c>
      <c r="B21">
        <v>2</v>
      </c>
      <c r="C21">
        <v>4</v>
      </c>
      <c r="D21" s="2" t="s">
        <v>180</v>
      </c>
      <c r="E21" t="str">
        <f t="shared" si="0"/>
        <v>In death's dream kingdom</v>
      </c>
      <c r="G21" s="5" t="str">
        <f t="shared" si="1"/>
        <v>I</v>
      </c>
      <c r="H21" s="5" t="s">
        <v>105</v>
      </c>
      <c r="I21" s="5">
        <f t="shared" si="2"/>
        <v>20</v>
      </c>
      <c r="J21" t="str">
        <f>J20&amp;G21</f>
        <v>WWLHOWAAOISPTWRVATEI</v>
      </c>
    </row>
    <row r="22" spans="1:10" ht="16">
      <c r="A22">
        <f t="shared" si="3"/>
        <v>21</v>
      </c>
      <c r="B22">
        <v>2</v>
      </c>
      <c r="C22">
        <v>4</v>
      </c>
      <c r="D22" s="2" t="s">
        <v>181</v>
      </c>
      <c r="E22" t="str">
        <f t="shared" si="0"/>
        <v>These do not appear:</v>
      </c>
      <c r="G22" s="5" t="str">
        <f t="shared" si="1"/>
        <v>T</v>
      </c>
      <c r="H22" s="5" t="s">
        <v>106</v>
      </c>
      <c r="I22" s="5">
        <f t="shared" si="2"/>
        <v>16</v>
      </c>
      <c r="J22" t="str">
        <f>J21&amp;G22</f>
        <v>WWLHOWAAOISPTWRVATEIT</v>
      </c>
    </row>
    <row r="23" spans="1:10" ht="16">
      <c r="A23">
        <f t="shared" si="3"/>
        <v>22</v>
      </c>
      <c r="B23">
        <v>2</v>
      </c>
      <c r="C23">
        <v>4</v>
      </c>
      <c r="D23" s="2" t="s">
        <v>182</v>
      </c>
      <c r="E23" t="str">
        <f t="shared" si="0"/>
        <v>There, the eyes are</v>
      </c>
      <c r="G23" s="5" t="str">
        <f t="shared" si="1"/>
        <v>T</v>
      </c>
      <c r="H23" s="5" t="s">
        <v>107</v>
      </c>
      <c r="I23" s="5">
        <f t="shared" si="2"/>
        <v>15</v>
      </c>
      <c r="J23" t="str">
        <f>J22&amp;G23</f>
        <v>WWLHOWAAOISPTWRVATEITT</v>
      </c>
    </row>
    <row r="24" spans="1:10" ht="16">
      <c r="A24">
        <f t="shared" si="3"/>
        <v>23</v>
      </c>
      <c r="B24">
        <v>2</v>
      </c>
      <c r="C24">
        <v>4</v>
      </c>
      <c r="D24" s="2" t="s">
        <v>183</v>
      </c>
      <c r="E24" t="str">
        <f t="shared" si="0"/>
        <v>Sunlight on a broken column</v>
      </c>
      <c r="G24" s="5" t="str">
        <f t="shared" si="1"/>
        <v>S</v>
      </c>
      <c r="H24" s="5" t="s">
        <v>108</v>
      </c>
      <c r="I24" s="5">
        <f t="shared" si="2"/>
        <v>23</v>
      </c>
      <c r="J24" t="str">
        <f>J23&amp;G24</f>
        <v>WWLHOWAAOISPTWRVATEITTS</v>
      </c>
    </row>
    <row r="25" spans="1:10" ht="16">
      <c r="A25">
        <f t="shared" si="3"/>
        <v>24</v>
      </c>
      <c r="B25">
        <v>2</v>
      </c>
      <c r="C25">
        <v>4</v>
      </c>
      <c r="D25" s="2" t="s">
        <v>184</v>
      </c>
      <c r="E25" t="str">
        <f t="shared" si="0"/>
        <v>There, is a tree swinging</v>
      </c>
      <c r="G25" s="5" t="str">
        <f t="shared" si="1"/>
        <v>T</v>
      </c>
      <c r="H25" s="5" t="s">
        <v>109</v>
      </c>
      <c r="I25" s="5">
        <f t="shared" si="2"/>
        <v>20</v>
      </c>
      <c r="J25" t="str">
        <f>J24&amp;G25</f>
        <v>WWLHOWAAOISPTWRVATEITTST</v>
      </c>
    </row>
    <row r="26" spans="1:10" ht="16">
      <c r="A26">
        <f t="shared" si="3"/>
        <v>25</v>
      </c>
      <c r="B26">
        <v>2</v>
      </c>
      <c r="C26">
        <v>4</v>
      </c>
      <c r="D26" s="2" t="s">
        <v>185</v>
      </c>
      <c r="E26" t="str">
        <f t="shared" si="0"/>
        <v>And voices are</v>
      </c>
      <c r="G26" s="5" t="str">
        <f t="shared" si="1"/>
        <v>A</v>
      </c>
      <c r="H26" s="5" t="s">
        <v>110</v>
      </c>
      <c r="I26" s="5">
        <f t="shared" si="2"/>
        <v>12</v>
      </c>
      <c r="J26" t="str">
        <f>J25&amp;G26</f>
        <v>WWLHOWAAOISPTWRVATEITTSTA</v>
      </c>
    </row>
    <row r="27" spans="1:10" ht="16">
      <c r="A27">
        <f t="shared" si="3"/>
        <v>26</v>
      </c>
      <c r="B27">
        <v>2</v>
      </c>
      <c r="C27">
        <v>4</v>
      </c>
      <c r="D27" s="2" t="s">
        <v>186</v>
      </c>
      <c r="E27" t="str">
        <f t="shared" si="0"/>
        <v>In the wind's singing</v>
      </c>
      <c r="G27" s="5" t="str">
        <f t="shared" si="1"/>
        <v>I</v>
      </c>
      <c r="H27" s="5" t="s">
        <v>111</v>
      </c>
      <c r="I27" s="5">
        <f t="shared" si="2"/>
        <v>17</v>
      </c>
      <c r="J27" t="str">
        <f>J26&amp;G27</f>
        <v>WWLHOWAAOISPTWRVATEITTSTAI</v>
      </c>
    </row>
    <row r="28" spans="1:10" ht="16">
      <c r="A28">
        <f t="shared" si="3"/>
        <v>27</v>
      </c>
      <c r="B28">
        <v>2</v>
      </c>
      <c r="C28">
        <v>4</v>
      </c>
      <c r="D28" s="2" t="s">
        <v>187</v>
      </c>
      <c r="E28" t="str">
        <f t="shared" si="0"/>
        <v>More distant and more solemn</v>
      </c>
      <c r="G28" s="5" t="str">
        <f t="shared" si="1"/>
        <v>M</v>
      </c>
      <c r="H28" s="5" t="s">
        <v>112</v>
      </c>
      <c r="I28" s="5">
        <f t="shared" si="2"/>
        <v>24</v>
      </c>
      <c r="J28" t="str">
        <f>J27&amp;G28</f>
        <v>WWLHOWAAOISPTWRVATEITTSTAIM</v>
      </c>
    </row>
    <row r="29" spans="1:10" ht="16">
      <c r="A29">
        <f t="shared" si="3"/>
        <v>28</v>
      </c>
      <c r="B29">
        <v>2</v>
      </c>
      <c r="C29">
        <v>4</v>
      </c>
      <c r="D29" s="2" t="s">
        <v>188</v>
      </c>
      <c r="E29" t="str">
        <f t="shared" si="0"/>
        <v>Than a fading star.</v>
      </c>
      <c r="G29" s="5" t="str">
        <f t="shared" si="1"/>
        <v>T</v>
      </c>
      <c r="H29" s="5" t="s">
        <v>113</v>
      </c>
      <c r="I29" s="5">
        <f t="shared" si="2"/>
        <v>15</v>
      </c>
      <c r="J29" t="str">
        <f>J28&amp;G29</f>
        <v>WWLHOWAAOISPTWRVATEITTSTAIMT</v>
      </c>
    </row>
    <row r="30" spans="1:10" ht="16">
      <c r="A30">
        <f t="shared" si="3"/>
        <v>29</v>
      </c>
      <c r="B30">
        <v>2</v>
      </c>
      <c r="C30">
        <v>5</v>
      </c>
      <c r="D30" s="2" t="s">
        <v>189</v>
      </c>
      <c r="E30" t="str">
        <f t="shared" si="0"/>
        <v>Let me be no nearer</v>
      </c>
      <c r="G30" s="5" t="str">
        <f t="shared" si="1"/>
        <v>L</v>
      </c>
      <c r="H30" s="5" t="s">
        <v>114</v>
      </c>
      <c r="I30" s="5">
        <f t="shared" si="2"/>
        <v>15</v>
      </c>
      <c r="J30" t="str">
        <f>J29&amp;G30</f>
        <v>WWLHOWAAOISPTWRVATEITTSTAIMTL</v>
      </c>
    </row>
    <row r="31" spans="1:10" ht="16">
      <c r="A31">
        <f t="shared" si="3"/>
        <v>30</v>
      </c>
      <c r="B31">
        <v>2</v>
      </c>
      <c r="C31">
        <v>5</v>
      </c>
      <c r="D31" s="2" t="s">
        <v>180</v>
      </c>
      <c r="E31" t="str">
        <f t="shared" si="0"/>
        <v>In death's dream kingdom</v>
      </c>
      <c r="G31" s="5" t="str">
        <f t="shared" si="1"/>
        <v>I</v>
      </c>
      <c r="H31" s="5" t="s">
        <v>105</v>
      </c>
      <c r="I31" s="5">
        <f t="shared" si="2"/>
        <v>20</v>
      </c>
      <c r="J31" t="str">
        <f>J30&amp;G31</f>
        <v>WWLHOWAAOISPTWRVATEITTSTAIMTLI</v>
      </c>
    </row>
    <row r="32" spans="1:10" ht="16">
      <c r="A32">
        <f t="shared" si="3"/>
        <v>31</v>
      </c>
      <c r="B32">
        <v>2</v>
      </c>
      <c r="C32">
        <v>5</v>
      </c>
      <c r="D32" s="2" t="s">
        <v>190</v>
      </c>
      <c r="E32" t="str">
        <f t="shared" si="0"/>
        <v>Let me also wear</v>
      </c>
      <c r="G32" s="5" t="str">
        <f t="shared" si="1"/>
        <v>L</v>
      </c>
      <c r="H32" s="5" t="s">
        <v>115</v>
      </c>
      <c r="I32" s="5">
        <f t="shared" si="2"/>
        <v>13</v>
      </c>
      <c r="J32" t="str">
        <f>J31&amp;G32</f>
        <v>WWLHOWAAOISPTWRVATEITTSTAIMTLIL</v>
      </c>
    </row>
    <row r="33" spans="1:10" ht="16">
      <c r="A33">
        <f t="shared" si="3"/>
        <v>32</v>
      </c>
      <c r="B33">
        <v>2</v>
      </c>
      <c r="C33">
        <v>5</v>
      </c>
      <c r="D33" s="2" t="s">
        <v>191</v>
      </c>
      <c r="E33" t="str">
        <f t="shared" si="0"/>
        <v>Such deliberate disguises</v>
      </c>
      <c r="G33" s="5" t="str">
        <f t="shared" si="1"/>
        <v>S</v>
      </c>
      <c r="H33" s="5" t="s">
        <v>116</v>
      </c>
      <c r="I33" s="5">
        <f t="shared" si="2"/>
        <v>23</v>
      </c>
      <c r="J33" t="str">
        <f>J32&amp;G33</f>
        <v>WWLHOWAAOISPTWRVATEITTSTAIMTLILS</v>
      </c>
    </row>
    <row r="34" spans="1:10" ht="16">
      <c r="A34">
        <f t="shared" si="3"/>
        <v>33</v>
      </c>
      <c r="B34">
        <v>2</v>
      </c>
      <c r="C34">
        <v>5</v>
      </c>
      <c r="D34" s="2" t="s">
        <v>192</v>
      </c>
      <c r="E34" t="str">
        <f t="shared" si="0"/>
        <v>Rat's coat, crowskin, crossed staves</v>
      </c>
      <c r="G34" s="5" t="str">
        <f t="shared" si="1"/>
        <v>R</v>
      </c>
      <c r="H34" s="5" t="s">
        <v>117</v>
      </c>
      <c r="I34" s="5">
        <f t="shared" si="2"/>
        <v>29</v>
      </c>
      <c r="J34" t="str">
        <f>J33&amp;G34</f>
        <v>WWLHOWAAOISPTWRVATEITTSTAIMTLILSR</v>
      </c>
    </row>
    <row r="35" spans="1:10" ht="16">
      <c r="A35">
        <f t="shared" si="3"/>
        <v>34</v>
      </c>
      <c r="B35">
        <v>2</v>
      </c>
      <c r="C35">
        <v>5</v>
      </c>
      <c r="D35" s="2" t="s">
        <v>193</v>
      </c>
      <c r="E35" t="str">
        <f t="shared" si="0"/>
        <v>In a field</v>
      </c>
      <c r="G35" s="5" t="str">
        <f t="shared" si="1"/>
        <v>I</v>
      </c>
      <c r="H35" s="5" t="s">
        <v>118</v>
      </c>
      <c r="I35" s="5">
        <f t="shared" si="2"/>
        <v>8</v>
      </c>
      <c r="J35" t="str">
        <f>J34&amp;G35</f>
        <v>WWLHOWAAOISPTWRVATEITTSTAIMTLILSRI</v>
      </c>
    </row>
    <row r="36" spans="1:10" ht="16">
      <c r="A36">
        <f t="shared" si="3"/>
        <v>35</v>
      </c>
      <c r="B36">
        <v>2</v>
      </c>
      <c r="C36">
        <v>5</v>
      </c>
      <c r="D36" s="2" t="s">
        <v>194</v>
      </c>
      <c r="E36" t="str">
        <f t="shared" si="0"/>
        <v>Behaving as the wind behaves</v>
      </c>
      <c r="G36" s="5" t="str">
        <f t="shared" si="1"/>
        <v>B</v>
      </c>
      <c r="H36" s="5" t="s">
        <v>0</v>
      </c>
      <c r="I36" s="5">
        <f t="shared" si="2"/>
        <v>24</v>
      </c>
      <c r="J36" t="str">
        <f>J35&amp;G36</f>
        <v>WWLHOWAAOISPTWRVATEITTSTAIMTLILSRIB</v>
      </c>
    </row>
    <row r="37" spans="1:10" ht="16">
      <c r="A37">
        <f t="shared" si="3"/>
        <v>36</v>
      </c>
      <c r="B37">
        <v>2</v>
      </c>
      <c r="C37">
        <v>5</v>
      </c>
      <c r="D37" s="2" t="s">
        <v>195</v>
      </c>
      <c r="E37" t="str">
        <f t="shared" si="0"/>
        <v>No nearer-</v>
      </c>
      <c r="G37" s="5" t="str">
        <f t="shared" si="1"/>
        <v>N</v>
      </c>
      <c r="H37" s="5" t="s">
        <v>1</v>
      </c>
      <c r="I37" s="5">
        <f t="shared" si="2"/>
        <v>8</v>
      </c>
      <c r="J37" t="str">
        <f>J36&amp;G37</f>
        <v>WWLHOWAAOISPTWRVATEITTSTAIMTLILSRIBN</v>
      </c>
    </row>
    <row r="38" spans="1:10" ht="16">
      <c r="A38">
        <f t="shared" si="3"/>
        <v>37</v>
      </c>
      <c r="B38">
        <v>2</v>
      </c>
      <c r="C38">
        <v>6</v>
      </c>
      <c r="D38" s="2" t="s">
        <v>196</v>
      </c>
      <c r="E38" t="str">
        <f t="shared" si="0"/>
        <v>Not that final meeting</v>
      </c>
      <c r="G38" s="5" t="str">
        <f t="shared" si="1"/>
        <v>N</v>
      </c>
      <c r="H38" s="5" t="s">
        <v>2</v>
      </c>
      <c r="I38" s="5">
        <f t="shared" si="2"/>
        <v>19</v>
      </c>
      <c r="J38" t="str">
        <f>J37&amp;G38</f>
        <v>WWLHOWAAOISPTWRVATEITTSTAIMTLILSRIBNN</v>
      </c>
    </row>
    <row r="39" spans="1:10" ht="16">
      <c r="A39">
        <f t="shared" si="3"/>
        <v>38</v>
      </c>
      <c r="B39">
        <v>2</v>
      </c>
      <c r="C39">
        <v>6</v>
      </c>
      <c r="D39" s="2" t="s">
        <v>197</v>
      </c>
      <c r="E39" t="str">
        <f t="shared" si="0"/>
        <v>In the twilight kingdom</v>
      </c>
      <c r="G39" s="5" t="str">
        <f t="shared" si="1"/>
        <v>I</v>
      </c>
      <c r="H39" s="5" t="s">
        <v>3</v>
      </c>
      <c r="I39" s="5">
        <f t="shared" si="2"/>
        <v>20</v>
      </c>
      <c r="J39" t="str">
        <f>J38&amp;G39</f>
        <v>WWLHOWAAOISPTWRVATEITTSTAIMTLILSRIBNNI</v>
      </c>
    </row>
    <row r="40" spans="1:10" ht="16">
      <c r="A40">
        <f t="shared" si="3"/>
        <v>39</v>
      </c>
      <c r="B40">
        <v>3</v>
      </c>
      <c r="C40">
        <v>7</v>
      </c>
      <c r="D40" s="2" t="s">
        <v>198</v>
      </c>
      <c r="E40" t="str">
        <f t="shared" si="0"/>
        <v>This is the dead land</v>
      </c>
      <c r="G40" s="5" t="str">
        <f t="shared" si="1"/>
        <v>T</v>
      </c>
      <c r="H40" s="5" t="s">
        <v>4</v>
      </c>
      <c r="I40" s="5">
        <f t="shared" si="2"/>
        <v>17</v>
      </c>
      <c r="J40" t="str">
        <f>J39&amp;G40</f>
        <v>WWLHOWAAOISPTWRVATEITTSTAIMTLILSRIBNNIT</v>
      </c>
    </row>
    <row r="41" spans="1:10" ht="16">
      <c r="A41">
        <f t="shared" si="3"/>
        <v>40</v>
      </c>
      <c r="B41">
        <v>3</v>
      </c>
      <c r="C41">
        <v>7</v>
      </c>
      <c r="D41" s="2" t="s">
        <v>199</v>
      </c>
      <c r="E41" t="str">
        <f t="shared" si="0"/>
        <v>This is cactus land</v>
      </c>
      <c r="G41" s="5" t="str">
        <f t="shared" si="1"/>
        <v>T</v>
      </c>
      <c r="H41" s="5" t="s">
        <v>5</v>
      </c>
      <c r="I41" s="5">
        <f t="shared" si="2"/>
        <v>16</v>
      </c>
      <c r="J41" t="str">
        <f>J40&amp;G41</f>
        <v>WWLHOWAAOISPTWRVATEITTSTAIMTLILSRIBNNITT</v>
      </c>
    </row>
    <row r="42" spans="1:10" ht="16">
      <c r="A42">
        <f t="shared" si="3"/>
        <v>41</v>
      </c>
      <c r="B42">
        <v>3</v>
      </c>
      <c r="C42">
        <v>7</v>
      </c>
      <c r="D42" s="2" t="s">
        <v>200</v>
      </c>
      <c r="E42" t="str">
        <f t="shared" si="0"/>
        <v>Here the stone images</v>
      </c>
      <c r="G42" s="5" t="str">
        <f t="shared" si="1"/>
        <v>H</v>
      </c>
      <c r="H42" s="5" t="s">
        <v>6</v>
      </c>
      <c r="I42" s="5">
        <f t="shared" si="2"/>
        <v>18</v>
      </c>
      <c r="J42" t="str">
        <f>J41&amp;G42</f>
        <v>WWLHOWAAOISPTWRVATEITTSTAIMTLILSRIBNNITTH</v>
      </c>
    </row>
    <row r="43" spans="1:10" ht="16">
      <c r="A43">
        <f t="shared" si="3"/>
        <v>42</v>
      </c>
      <c r="B43">
        <v>3</v>
      </c>
      <c r="C43">
        <v>7</v>
      </c>
      <c r="D43" s="2" t="s">
        <v>201</v>
      </c>
      <c r="E43" t="str">
        <f t="shared" si="0"/>
        <v>Are raised, here they receive</v>
      </c>
      <c r="G43" s="5" t="str">
        <f t="shared" si="1"/>
        <v>A</v>
      </c>
      <c r="H43" s="5" t="s">
        <v>7</v>
      </c>
      <c r="I43" s="5">
        <f t="shared" si="2"/>
        <v>24</v>
      </c>
      <c r="J43" t="str">
        <f>J42&amp;G43</f>
        <v>WWLHOWAAOISPTWRVATEITTSTAIMTLILSRIBNNITTHA</v>
      </c>
    </row>
    <row r="44" spans="1:10" ht="16">
      <c r="A44">
        <f t="shared" si="3"/>
        <v>43</v>
      </c>
      <c r="B44">
        <v>3</v>
      </c>
      <c r="C44">
        <v>7</v>
      </c>
      <c r="D44" s="2" t="s">
        <v>202</v>
      </c>
      <c r="E44" t="str">
        <f t="shared" si="0"/>
        <v>The supplication of a dead man's hand</v>
      </c>
      <c r="G44" s="5" t="str">
        <f t="shared" si="1"/>
        <v>T</v>
      </c>
      <c r="H44" s="5" t="s">
        <v>8</v>
      </c>
      <c r="I44" s="5">
        <f t="shared" si="2"/>
        <v>30</v>
      </c>
      <c r="J44" t="str">
        <f>J43&amp;G44</f>
        <v>WWLHOWAAOISPTWRVATEITTSTAIMTLILSRIBNNITTHAT</v>
      </c>
    </row>
    <row r="45" spans="1:10" ht="16">
      <c r="A45">
        <f t="shared" si="3"/>
        <v>44</v>
      </c>
      <c r="B45">
        <v>3</v>
      </c>
      <c r="C45">
        <v>7</v>
      </c>
      <c r="D45" s="2" t="s">
        <v>203</v>
      </c>
      <c r="E45" t="str">
        <f t="shared" si="0"/>
        <v>Under the twinkle of a fading star.</v>
      </c>
      <c r="G45" s="5" t="str">
        <f t="shared" si="1"/>
        <v>U</v>
      </c>
      <c r="H45" s="5" t="s">
        <v>9</v>
      </c>
      <c r="I45" s="5">
        <f t="shared" si="2"/>
        <v>28</v>
      </c>
      <c r="J45" t="str">
        <f>J44&amp;G45</f>
        <v>WWLHOWAAOISPTWRVATEITTSTAIMTLILSRIBNNITTHATU</v>
      </c>
    </row>
    <row r="46" spans="1:10" ht="16">
      <c r="A46">
        <f t="shared" si="3"/>
        <v>45</v>
      </c>
      <c r="B46">
        <v>3</v>
      </c>
      <c r="C46">
        <v>8</v>
      </c>
      <c r="D46" s="2" t="s">
        <v>204</v>
      </c>
      <c r="E46" t="str">
        <f t="shared" si="0"/>
        <v>Is it like this</v>
      </c>
      <c r="G46" s="5" t="str">
        <f t="shared" si="1"/>
        <v>I</v>
      </c>
      <c r="H46" s="5" t="s">
        <v>10</v>
      </c>
      <c r="I46" s="5">
        <f t="shared" si="2"/>
        <v>12</v>
      </c>
      <c r="J46" t="str">
        <f>J45&amp;G46</f>
        <v>WWLHOWAAOISPTWRVATEITTSTAIMTLILSRIBNNITTHATUI</v>
      </c>
    </row>
    <row r="47" spans="1:10" ht="16">
      <c r="A47">
        <f t="shared" si="3"/>
        <v>46</v>
      </c>
      <c r="B47">
        <v>3</v>
      </c>
      <c r="C47">
        <v>8</v>
      </c>
      <c r="D47" s="2" t="s">
        <v>205</v>
      </c>
      <c r="E47" t="str">
        <f t="shared" si="0"/>
        <v>In death's other kingdom</v>
      </c>
      <c r="G47" s="5" t="str">
        <f t="shared" si="1"/>
        <v>I</v>
      </c>
      <c r="H47" s="5" t="s">
        <v>11</v>
      </c>
      <c r="I47" s="5">
        <f t="shared" si="2"/>
        <v>20</v>
      </c>
      <c r="J47" t="str">
        <f>J46&amp;G47</f>
        <v>WWLHOWAAOISPTWRVATEITTSTAIMTLILSRIBNNITTHATUII</v>
      </c>
    </row>
    <row r="48" spans="1:10" ht="16">
      <c r="A48">
        <f t="shared" si="3"/>
        <v>47</v>
      </c>
      <c r="B48">
        <v>3</v>
      </c>
      <c r="C48">
        <v>8</v>
      </c>
      <c r="D48" s="2" t="s">
        <v>206</v>
      </c>
      <c r="E48" t="str">
        <f t="shared" si="0"/>
        <v>Waking alone</v>
      </c>
      <c r="G48" s="5" t="str">
        <f t="shared" si="1"/>
        <v>W</v>
      </c>
      <c r="H48" s="5" t="s">
        <v>12</v>
      </c>
      <c r="I48" s="5">
        <f t="shared" si="2"/>
        <v>11</v>
      </c>
      <c r="J48" t="str">
        <f>J47&amp;G48</f>
        <v>WWLHOWAAOISPTWRVATEITTSTAIMTLILSRIBNNITTHATUIIW</v>
      </c>
    </row>
    <row r="49" spans="1:10" ht="16">
      <c r="A49">
        <f t="shared" si="3"/>
        <v>48</v>
      </c>
      <c r="B49">
        <v>3</v>
      </c>
      <c r="C49">
        <v>8</v>
      </c>
      <c r="D49" s="2" t="s">
        <v>207</v>
      </c>
      <c r="E49" t="str">
        <f t="shared" si="0"/>
        <v>At the hour when we are</v>
      </c>
      <c r="G49" s="5" t="str">
        <f t="shared" si="1"/>
        <v>A</v>
      </c>
      <c r="H49" s="5" t="s">
        <v>13</v>
      </c>
      <c r="I49" s="5">
        <f t="shared" si="2"/>
        <v>18</v>
      </c>
      <c r="J49" t="str">
        <f>J48&amp;G49</f>
        <v>WWLHOWAAOISPTWRVATEITTSTAIMTLILSRIBNNITTHATUIIWA</v>
      </c>
    </row>
    <row r="50" spans="1:10" ht="16">
      <c r="A50">
        <f t="shared" si="3"/>
        <v>49</v>
      </c>
      <c r="B50">
        <v>3</v>
      </c>
      <c r="C50">
        <v>8</v>
      </c>
      <c r="D50" s="2" t="s">
        <v>208</v>
      </c>
      <c r="E50" t="str">
        <f t="shared" si="0"/>
        <v>Trembling with tenderness</v>
      </c>
      <c r="G50" s="5" t="str">
        <f t="shared" si="1"/>
        <v>T</v>
      </c>
      <c r="H50" s="5" t="s">
        <v>14</v>
      </c>
      <c r="I50" s="5">
        <f t="shared" si="2"/>
        <v>23</v>
      </c>
      <c r="J50" t="str">
        <f>J49&amp;G50</f>
        <v>WWLHOWAAOISPTWRVATEITTSTAIMTLILSRIBNNITTHATUIIWAT</v>
      </c>
    </row>
    <row r="51" spans="1:10" ht="16">
      <c r="A51">
        <f t="shared" si="3"/>
        <v>50</v>
      </c>
      <c r="B51">
        <v>3</v>
      </c>
      <c r="C51">
        <v>8</v>
      </c>
      <c r="D51" s="2" t="s">
        <v>209</v>
      </c>
      <c r="E51" t="str">
        <f t="shared" si="0"/>
        <v>Lips that would kiss</v>
      </c>
      <c r="G51" s="5" t="str">
        <f t="shared" si="1"/>
        <v>L</v>
      </c>
      <c r="H51" s="5" t="s">
        <v>15</v>
      </c>
      <c r="I51" s="5">
        <f t="shared" si="2"/>
        <v>17</v>
      </c>
      <c r="J51" t="str">
        <f>J50&amp;G51</f>
        <v>WWLHOWAAOISPTWRVATEITTSTAIMTLILSRIBNNITTHATUIIWATL</v>
      </c>
    </row>
    <row r="52" spans="1:10" ht="16">
      <c r="A52">
        <f t="shared" si="3"/>
        <v>51</v>
      </c>
      <c r="B52">
        <v>3</v>
      </c>
      <c r="C52">
        <v>8</v>
      </c>
      <c r="D52" s="2" t="s">
        <v>210</v>
      </c>
      <c r="E52" t="str">
        <f t="shared" si="0"/>
        <v>Form prayers to broken stone.</v>
      </c>
      <c r="G52" s="5" t="str">
        <f t="shared" si="1"/>
        <v>F</v>
      </c>
      <c r="H52" s="5" t="s">
        <v>16</v>
      </c>
      <c r="I52" s="5">
        <f t="shared" si="2"/>
        <v>24</v>
      </c>
      <c r="J52" t="str">
        <f>J51&amp;G52</f>
        <v>WWLHOWAAOISPTWRVATEITTSTAIMTLILSRIBNNITTHATUIIWATLF</v>
      </c>
    </row>
    <row r="53" spans="1:10" ht="16">
      <c r="A53">
        <f t="shared" si="3"/>
        <v>52</v>
      </c>
      <c r="B53">
        <v>4</v>
      </c>
      <c r="C53">
        <v>9</v>
      </c>
      <c r="D53" s="2" t="s">
        <v>211</v>
      </c>
      <c r="E53" t="str">
        <f t="shared" si="0"/>
        <v>The eyes are not here</v>
      </c>
      <c r="G53" s="5" t="str">
        <f t="shared" si="1"/>
        <v>T</v>
      </c>
      <c r="H53" s="5" t="s">
        <v>17</v>
      </c>
      <c r="I53" s="5">
        <f t="shared" si="2"/>
        <v>17</v>
      </c>
      <c r="J53" t="str">
        <f>J52&amp;G53</f>
        <v>WWLHOWAAOISPTWRVATEITTSTAIMTLILSRIBNNITTHATUIIWATLFT</v>
      </c>
    </row>
    <row r="54" spans="1:10" ht="16">
      <c r="A54">
        <f t="shared" si="3"/>
        <v>53</v>
      </c>
      <c r="B54">
        <v>4</v>
      </c>
      <c r="C54">
        <v>9</v>
      </c>
      <c r="D54" s="2" t="s">
        <v>212</v>
      </c>
      <c r="E54" t="str">
        <f t="shared" si="0"/>
        <v>There are no eyes here</v>
      </c>
      <c r="G54" s="5" t="str">
        <f t="shared" si="1"/>
        <v>T</v>
      </c>
      <c r="H54" s="5" t="s">
        <v>18</v>
      </c>
      <c r="I54" s="5">
        <f t="shared" si="2"/>
        <v>18</v>
      </c>
      <c r="J54" t="str">
        <f>J53&amp;G54</f>
        <v>WWLHOWAAOISPTWRVATEITTSTAIMTLILSRIBNNITTHATUIIWATLFTT</v>
      </c>
    </row>
    <row r="55" spans="1:10" ht="16">
      <c r="A55">
        <f t="shared" si="3"/>
        <v>54</v>
      </c>
      <c r="B55">
        <v>4</v>
      </c>
      <c r="C55">
        <v>9</v>
      </c>
      <c r="D55" s="2" t="s">
        <v>119</v>
      </c>
      <c r="E55" t="str">
        <f t="shared" si="0"/>
        <v>In this valley of dying stars</v>
      </c>
      <c r="G55" s="5" t="str">
        <f t="shared" si="1"/>
        <v>I</v>
      </c>
      <c r="H55" s="5" t="s">
        <v>19</v>
      </c>
      <c r="I55" s="5">
        <f t="shared" si="2"/>
        <v>24</v>
      </c>
      <c r="J55" t="str">
        <f>J54&amp;G55</f>
        <v>WWLHOWAAOISPTWRVATEITTSTAIMTLILSRIBNNITTHATUIIWATLFTTI</v>
      </c>
    </row>
    <row r="56" spans="1:10" ht="16">
      <c r="A56">
        <f t="shared" si="3"/>
        <v>55</v>
      </c>
      <c r="B56">
        <v>4</v>
      </c>
      <c r="C56">
        <v>9</v>
      </c>
      <c r="D56" s="2" t="s">
        <v>120</v>
      </c>
      <c r="E56" t="str">
        <f t="shared" si="0"/>
        <v>In this hollow valley</v>
      </c>
      <c r="G56" s="5" t="str">
        <f t="shared" si="1"/>
        <v>I</v>
      </c>
      <c r="H56" s="5" t="s">
        <v>20</v>
      </c>
      <c r="I56" s="5">
        <f t="shared" si="2"/>
        <v>18</v>
      </c>
      <c r="J56" t="str">
        <f>J55&amp;G56</f>
        <v>WWLHOWAAOISPTWRVATEITTSTAIMTLILSRIBNNITTHATUIIWATLFTTII</v>
      </c>
    </row>
    <row r="57" spans="1:10" ht="16">
      <c r="A57">
        <f t="shared" si="3"/>
        <v>56</v>
      </c>
      <c r="B57">
        <v>4</v>
      </c>
      <c r="C57">
        <v>9</v>
      </c>
      <c r="D57" s="2" t="s">
        <v>121</v>
      </c>
      <c r="E57" t="str">
        <f t="shared" si="0"/>
        <v>This broken jaw of our lost kingdoms</v>
      </c>
      <c r="G57" s="5" t="str">
        <f t="shared" si="1"/>
        <v>T</v>
      </c>
      <c r="H57" s="5" t="s">
        <v>21</v>
      </c>
      <c r="I57" s="5">
        <f t="shared" si="2"/>
        <v>30</v>
      </c>
      <c r="J57" t="str">
        <f>J56&amp;G57</f>
        <v>WWLHOWAAOISPTWRVATEITTSTAIMTLILSRIBNNITTHATUIIWATLFTTIIT</v>
      </c>
    </row>
    <row r="58" spans="1:10" ht="16">
      <c r="A58">
        <f t="shared" si="3"/>
        <v>57</v>
      </c>
      <c r="B58">
        <v>4</v>
      </c>
      <c r="C58">
        <v>10</v>
      </c>
      <c r="D58" s="2" t="s">
        <v>122</v>
      </c>
      <c r="E58" t="str">
        <f t="shared" si="0"/>
        <v>In this last of meeting places</v>
      </c>
      <c r="G58" s="5" t="str">
        <f t="shared" si="1"/>
        <v>I</v>
      </c>
      <c r="H58" s="5" t="s">
        <v>22</v>
      </c>
      <c r="I58" s="5">
        <f t="shared" si="2"/>
        <v>25</v>
      </c>
      <c r="J58" t="str">
        <f>J57&amp;G58</f>
        <v>WWLHOWAAOISPTWRVATEITTSTAIMTLILSRIBNNITTHATUIIWATLFTTIITI</v>
      </c>
    </row>
    <row r="59" spans="1:10" ht="16">
      <c r="A59">
        <f t="shared" si="3"/>
        <v>58</v>
      </c>
      <c r="B59">
        <v>4</v>
      </c>
      <c r="C59">
        <v>10</v>
      </c>
      <c r="D59" s="2" t="s">
        <v>123</v>
      </c>
      <c r="E59" t="str">
        <f t="shared" si="0"/>
        <v>We grope together</v>
      </c>
      <c r="G59" s="5" t="str">
        <f t="shared" si="1"/>
        <v>W</v>
      </c>
      <c r="H59" s="5" t="s">
        <v>23</v>
      </c>
      <c r="I59" s="5">
        <f t="shared" si="2"/>
        <v>15</v>
      </c>
      <c r="J59" t="str">
        <f>J58&amp;G59</f>
        <v>WWLHOWAAOISPTWRVATEITTSTAIMTLILSRIBNNITTHATUIIWATLFTTIITIW</v>
      </c>
    </row>
    <row r="60" spans="1:10" ht="16">
      <c r="A60">
        <f t="shared" si="3"/>
        <v>59</v>
      </c>
      <c r="B60">
        <v>4</v>
      </c>
      <c r="C60">
        <v>10</v>
      </c>
      <c r="D60" s="2" t="s">
        <v>124</v>
      </c>
      <c r="E60" t="str">
        <f t="shared" si="0"/>
        <v>And avoid speech</v>
      </c>
      <c r="G60" s="5" t="str">
        <f t="shared" si="1"/>
        <v>A</v>
      </c>
      <c r="H60" s="5" t="s">
        <v>24</v>
      </c>
      <c r="I60" s="5">
        <f t="shared" si="2"/>
        <v>14</v>
      </c>
      <c r="J60" t="str">
        <f>J59&amp;G60</f>
        <v>WWLHOWAAOISPTWRVATEITTSTAIMTLILSRIBNNITTHATUIIWATLFTTIITIWA</v>
      </c>
    </row>
    <row r="61" spans="1:10" ht="16">
      <c r="A61">
        <f t="shared" si="3"/>
        <v>60</v>
      </c>
      <c r="B61">
        <v>4</v>
      </c>
      <c r="C61">
        <v>10</v>
      </c>
      <c r="D61" s="2" t="s">
        <v>125</v>
      </c>
      <c r="E61" t="str">
        <f t="shared" si="0"/>
        <v>Gathered on this beach of the tumid river</v>
      </c>
      <c r="G61" s="5" t="str">
        <f t="shared" si="1"/>
        <v>G</v>
      </c>
      <c r="H61" s="5" t="s">
        <v>25</v>
      </c>
      <c r="I61" s="5">
        <f t="shared" si="2"/>
        <v>34</v>
      </c>
      <c r="J61" t="str">
        <f>J60&amp;G61</f>
        <v>WWLHOWAAOISPTWRVATEITTSTAIMTLILSRIBNNITTHATUIIWATLFTTIITIWAG</v>
      </c>
    </row>
    <row r="62" spans="1:10" ht="16">
      <c r="A62">
        <f t="shared" si="3"/>
        <v>61</v>
      </c>
      <c r="B62">
        <v>4</v>
      </c>
      <c r="C62">
        <v>11</v>
      </c>
      <c r="D62" s="2" t="s">
        <v>126</v>
      </c>
      <c r="E62" t="str">
        <f t="shared" si="0"/>
        <v>Sightless, unless</v>
      </c>
      <c r="G62" s="5" t="str">
        <f t="shared" si="1"/>
        <v>S</v>
      </c>
      <c r="H62" s="5" t="s">
        <v>26</v>
      </c>
      <c r="I62" s="5">
        <f t="shared" si="2"/>
        <v>15</v>
      </c>
      <c r="J62" t="str">
        <f>J61&amp;G62</f>
        <v>WWLHOWAAOISPTWRVATEITTSTAIMTLILSRIBNNITTHATUIIWATLFTTIITIWAGS</v>
      </c>
    </row>
    <row r="63" spans="1:10" ht="16">
      <c r="A63">
        <f t="shared" si="3"/>
        <v>62</v>
      </c>
      <c r="B63">
        <v>4</v>
      </c>
      <c r="C63">
        <v>11</v>
      </c>
      <c r="D63" s="2" t="s">
        <v>127</v>
      </c>
      <c r="E63" t="str">
        <f t="shared" si="0"/>
        <v>The eyes reappear</v>
      </c>
      <c r="G63" s="5" t="str">
        <f t="shared" si="1"/>
        <v>T</v>
      </c>
      <c r="H63" s="5" t="s">
        <v>27</v>
      </c>
      <c r="I63" s="5">
        <f t="shared" si="2"/>
        <v>15</v>
      </c>
      <c r="J63" t="str">
        <f>J62&amp;G63</f>
        <v>WWLHOWAAOISPTWRVATEITTSTAIMTLILSRIBNNITTHATUIIWATLFTTIITIWAGST</v>
      </c>
    </row>
    <row r="64" spans="1:10" ht="16">
      <c r="A64">
        <f t="shared" si="3"/>
        <v>63</v>
      </c>
      <c r="B64">
        <v>4</v>
      </c>
      <c r="C64">
        <v>11</v>
      </c>
      <c r="D64" s="2" t="s">
        <v>128</v>
      </c>
      <c r="E64" t="str">
        <f t="shared" si="0"/>
        <v>As the perpetual star</v>
      </c>
      <c r="G64" s="5" t="str">
        <f t="shared" si="1"/>
        <v>A</v>
      </c>
      <c r="H64" s="5" t="s">
        <v>28</v>
      </c>
      <c r="I64" s="5">
        <f t="shared" si="2"/>
        <v>18</v>
      </c>
      <c r="J64" t="str">
        <f>J63&amp;G64</f>
        <v>WWLHOWAAOISPTWRVATEITTSTAIMTLILSRIBNNITTHATUIIWATLFTTIITIWAGSTA</v>
      </c>
    </row>
    <row r="65" spans="1:10" ht="16">
      <c r="A65">
        <f t="shared" si="3"/>
        <v>64</v>
      </c>
      <c r="B65">
        <v>4</v>
      </c>
      <c r="C65">
        <v>11</v>
      </c>
      <c r="D65" s="2" t="s">
        <v>129</v>
      </c>
      <c r="E65" t="str">
        <f t="shared" si="0"/>
        <v>Multifoliate rose</v>
      </c>
      <c r="G65" s="5" t="str">
        <f t="shared" si="1"/>
        <v>M</v>
      </c>
      <c r="H65" s="5" t="s">
        <v>29</v>
      </c>
      <c r="I65" s="5">
        <f t="shared" si="2"/>
        <v>16</v>
      </c>
      <c r="J65" t="str">
        <f>J64&amp;G65</f>
        <v>WWLHOWAAOISPTWRVATEITTSTAIMTLILSRIBNNITTHATUIIWATLFTTIITIWAGSTAM</v>
      </c>
    </row>
    <row r="66" spans="1:10" ht="16">
      <c r="A66">
        <f t="shared" si="3"/>
        <v>65</v>
      </c>
      <c r="B66">
        <v>4</v>
      </c>
      <c r="C66">
        <v>11</v>
      </c>
      <c r="D66" s="2" t="s">
        <v>130</v>
      </c>
      <c r="E66" t="str">
        <f t="shared" si="0"/>
        <v>Of death's twilight kingdom</v>
      </c>
      <c r="G66" s="5" t="str">
        <f t="shared" si="1"/>
        <v>O</v>
      </c>
      <c r="H66" s="5" t="s">
        <v>30</v>
      </c>
      <c r="I66" s="5">
        <f t="shared" si="2"/>
        <v>23</v>
      </c>
      <c r="J66" t="str">
        <f>J65&amp;G66</f>
        <v>WWLHOWAAOISPTWRVATEITTSTAIMTLILSRIBNNITTHATUIIWATLFTTIITIWAGSTAMO</v>
      </c>
    </row>
    <row r="67" spans="1:10" ht="16">
      <c r="A67">
        <f t="shared" si="3"/>
        <v>66</v>
      </c>
      <c r="B67">
        <v>4</v>
      </c>
      <c r="C67">
        <v>11</v>
      </c>
      <c r="D67" s="2" t="s">
        <v>131</v>
      </c>
      <c r="E67" t="str">
        <f t="shared" ref="E67:E99" si="4">MID(D67,5,100)</f>
        <v>The hope only</v>
      </c>
      <c r="G67" s="5" t="str">
        <f t="shared" ref="G67:G99" si="5">LEFT(E67,1)</f>
        <v>T</v>
      </c>
      <c r="H67" s="5" t="s">
        <v>31</v>
      </c>
      <c r="I67" s="5">
        <f t="shared" ref="I67:I99" si="6">LEN(H67)</f>
        <v>11</v>
      </c>
      <c r="J67" t="str">
        <f>J66&amp;G67</f>
        <v>WWLHOWAAOISPTWRVATEITTSTAIMTLILSRIBNNITTHATUIIWATLFTTIITIWAGSTAMOT</v>
      </c>
    </row>
    <row r="68" spans="1:10" ht="16">
      <c r="A68">
        <f t="shared" ref="A68:A99" si="7">1+A67</f>
        <v>67</v>
      </c>
      <c r="B68">
        <v>4</v>
      </c>
      <c r="C68">
        <v>11</v>
      </c>
      <c r="D68" s="2" t="s">
        <v>132</v>
      </c>
      <c r="E68" t="str">
        <f t="shared" si="4"/>
        <v>Of empty men.</v>
      </c>
      <c r="G68" s="5" t="str">
        <f t="shared" si="5"/>
        <v>O</v>
      </c>
      <c r="H68" s="5" t="s">
        <v>32</v>
      </c>
      <c r="I68" s="5">
        <f t="shared" si="6"/>
        <v>10</v>
      </c>
      <c r="J68" t="str">
        <f>J67&amp;G68</f>
        <v>WWLHOWAAOISPTWRVATEITTSTAIMTLILSRIBNNITTHATUIIWATLFTTIITIWAGSTAMOTO</v>
      </c>
    </row>
    <row r="69" spans="1:10" ht="16">
      <c r="A69">
        <f t="shared" si="7"/>
        <v>68</v>
      </c>
      <c r="B69">
        <v>5</v>
      </c>
      <c r="C69">
        <v>12</v>
      </c>
      <c r="D69" s="2" t="s">
        <v>133</v>
      </c>
      <c r="E69" t="str">
        <f t="shared" si="4"/>
        <v>Here we go round the prickly pear</v>
      </c>
      <c r="G69" s="5" t="str">
        <f t="shared" si="5"/>
        <v>H</v>
      </c>
      <c r="H69" s="5" t="s">
        <v>33</v>
      </c>
      <c r="I69" s="5">
        <f t="shared" si="6"/>
        <v>27</v>
      </c>
      <c r="J69" t="str">
        <f>J68&amp;G69</f>
        <v>WWLHOWAAOISPTWRVATEITTSTAIMTLILSRIBNNITTHATUIIWATLFTTIITIWAGSTAMOTOH</v>
      </c>
    </row>
    <row r="70" spans="1:10" ht="16">
      <c r="A70">
        <f t="shared" si="7"/>
        <v>69</v>
      </c>
      <c r="B70">
        <v>5</v>
      </c>
      <c r="C70">
        <v>12</v>
      </c>
      <c r="D70" s="1" t="s">
        <v>134</v>
      </c>
      <c r="E70" t="str">
        <f t="shared" si="4"/>
        <v>Prickly pear prickly pear</v>
      </c>
      <c r="G70" s="5" t="str">
        <f t="shared" si="5"/>
        <v>P</v>
      </c>
      <c r="H70" s="5" t="s">
        <v>34</v>
      </c>
      <c r="I70" s="5">
        <f t="shared" si="6"/>
        <v>22</v>
      </c>
      <c r="J70" t="str">
        <f>J69&amp;G70</f>
        <v>WWLHOWAAOISPTWRVATEITTSTAIMTLILSRIBNNITTHATUIIWATLFTTIITIWAGSTAMOTOHP</v>
      </c>
    </row>
    <row r="71" spans="1:10" ht="16">
      <c r="A71">
        <f t="shared" si="7"/>
        <v>70</v>
      </c>
      <c r="B71">
        <v>5</v>
      </c>
      <c r="C71">
        <v>12</v>
      </c>
      <c r="D71" s="1" t="s">
        <v>135</v>
      </c>
      <c r="E71" t="str">
        <f t="shared" si="4"/>
        <v>Here we go round the prickly pear</v>
      </c>
      <c r="G71" s="5" t="str">
        <f t="shared" si="5"/>
        <v>H</v>
      </c>
      <c r="H71" s="5" t="s">
        <v>33</v>
      </c>
      <c r="I71" s="5">
        <f t="shared" si="6"/>
        <v>27</v>
      </c>
      <c r="J71" t="str">
        <f>J70&amp;G71</f>
        <v>WWLHOWAAOISPTWRVATEITTSTAIMTLILSRIBNNITTHATUIIWATLFTTIITIWAGSTAMOTOHPH</v>
      </c>
    </row>
    <row r="72" spans="1:10" ht="16">
      <c r="A72">
        <f t="shared" si="7"/>
        <v>71</v>
      </c>
      <c r="B72">
        <v>5</v>
      </c>
      <c r="C72">
        <v>12</v>
      </c>
      <c r="D72" s="1" t="s">
        <v>136</v>
      </c>
      <c r="E72" t="str">
        <f t="shared" si="4"/>
        <v>At five o'clock in the morning.</v>
      </c>
      <c r="G72" s="5" t="str">
        <f t="shared" si="5"/>
        <v>A</v>
      </c>
      <c r="H72" s="5" t="s">
        <v>35</v>
      </c>
      <c r="I72" s="5">
        <f t="shared" si="6"/>
        <v>24</v>
      </c>
      <c r="J72" t="str">
        <f>J71&amp;G72</f>
        <v>WWLHOWAAOISPTWRVATEITTSTAIMTLILSRIBNNITTHATUIIWATLFTTIITIWAGSTAMOTOHPHA</v>
      </c>
    </row>
    <row r="73" spans="1:10" ht="16">
      <c r="A73">
        <f t="shared" si="7"/>
        <v>72</v>
      </c>
      <c r="B73">
        <v>5</v>
      </c>
      <c r="C73">
        <v>13</v>
      </c>
      <c r="D73" s="2" t="s">
        <v>137</v>
      </c>
      <c r="E73" t="str">
        <f t="shared" si="4"/>
        <v>Between the idea</v>
      </c>
      <c r="G73" s="5" t="str">
        <f t="shared" si="5"/>
        <v>B</v>
      </c>
      <c r="H73" s="5" t="s">
        <v>36</v>
      </c>
      <c r="I73" s="5">
        <f t="shared" si="6"/>
        <v>14</v>
      </c>
      <c r="J73" t="str">
        <f>J72&amp;G73</f>
        <v>WWLHOWAAOISPTWRVATEITTSTAIMTLILSRIBNNITTHATUIIWATLFTTIITIWAGSTAMOTOHPHAB</v>
      </c>
    </row>
    <row r="74" spans="1:10" ht="16">
      <c r="A74">
        <f t="shared" si="7"/>
        <v>73</v>
      </c>
      <c r="B74">
        <v>5</v>
      </c>
      <c r="C74">
        <v>13</v>
      </c>
      <c r="D74" s="2" t="s">
        <v>138</v>
      </c>
      <c r="E74" t="str">
        <f t="shared" si="4"/>
        <v>And the reality</v>
      </c>
      <c r="G74" s="5" t="str">
        <f t="shared" si="5"/>
        <v>A</v>
      </c>
      <c r="H74" s="5" t="s">
        <v>37</v>
      </c>
      <c r="I74" s="5">
        <f t="shared" si="6"/>
        <v>13</v>
      </c>
      <c r="J74" t="str">
        <f>J73&amp;G74</f>
        <v>WWLHOWAAOISPTWRVATEITTSTAIMTLILSRIBNNITTHATUIIWATLFTTIITIWAGSTAMOTOHPHABA</v>
      </c>
    </row>
    <row r="75" spans="1:10" ht="16">
      <c r="A75">
        <f t="shared" si="7"/>
        <v>74</v>
      </c>
      <c r="B75">
        <v>5</v>
      </c>
      <c r="C75">
        <v>13</v>
      </c>
      <c r="D75" s="2" t="s">
        <v>139</v>
      </c>
      <c r="E75" t="str">
        <f t="shared" si="4"/>
        <v>Between the motion</v>
      </c>
      <c r="G75" s="5" t="str">
        <f t="shared" si="5"/>
        <v>B</v>
      </c>
      <c r="H75" s="5" t="s">
        <v>38</v>
      </c>
      <c r="I75" s="5">
        <f t="shared" si="6"/>
        <v>16</v>
      </c>
      <c r="J75" t="str">
        <f>J74&amp;G75</f>
        <v>WWLHOWAAOISPTWRVATEITTSTAIMTLILSRIBNNITTHATUIIWATLFTTIITIWAGSTAMOTOHPHABAB</v>
      </c>
    </row>
    <row r="76" spans="1:10" ht="16">
      <c r="A76">
        <f t="shared" si="7"/>
        <v>75</v>
      </c>
      <c r="B76">
        <v>5</v>
      </c>
      <c r="C76">
        <v>13</v>
      </c>
      <c r="D76" s="2" t="s">
        <v>140</v>
      </c>
      <c r="E76" t="str">
        <f t="shared" si="4"/>
        <v>And the act</v>
      </c>
      <c r="G76" s="5" t="str">
        <f t="shared" si="5"/>
        <v>A</v>
      </c>
      <c r="H76" s="5" t="s">
        <v>39</v>
      </c>
      <c r="I76" s="5">
        <f t="shared" si="6"/>
        <v>9</v>
      </c>
      <c r="J76" t="str">
        <f>J75&amp;G76</f>
        <v>WWLHOWAAOISPTWRVATEITTSTAIMTLILSRIBNNITTHATUIIWATLFTTIITIWAGSTAMOTOHPHABABA</v>
      </c>
    </row>
    <row r="77" spans="1:10" ht="16">
      <c r="A77">
        <f t="shared" si="7"/>
        <v>76</v>
      </c>
      <c r="B77">
        <v>5</v>
      </c>
      <c r="C77">
        <v>13</v>
      </c>
      <c r="D77" s="2" t="s">
        <v>141</v>
      </c>
      <c r="E77" t="str">
        <f t="shared" si="4"/>
        <v>Falls the Shadow</v>
      </c>
      <c r="G77" s="5" t="str">
        <f t="shared" si="5"/>
        <v>F</v>
      </c>
      <c r="H77" s="5" t="s">
        <v>40</v>
      </c>
      <c r="I77" s="5">
        <f t="shared" si="6"/>
        <v>14</v>
      </c>
      <c r="J77" t="str">
        <f>J76&amp;G77</f>
        <v>WWLHOWAAOISPTWRVATEITTSTAIMTLILSRIBNNITTHATUIIWATLFTTIITIWAGSTAMOTOHPHABABAF</v>
      </c>
    </row>
    <row r="78" spans="1:10" ht="16">
      <c r="A78">
        <f t="shared" si="7"/>
        <v>77</v>
      </c>
      <c r="B78">
        <v>5</v>
      </c>
      <c r="C78">
        <v>14</v>
      </c>
      <c r="D78" s="3" t="s">
        <v>160</v>
      </c>
      <c r="E78" t="str">
        <f t="shared" si="4"/>
        <v>For Thine is the Kingdom</v>
      </c>
      <c r="G78" s="5" t="str">
        <f t="shared" si="5"/>
        <v>F</v>
      </c>
      <c r="H78" s="5" t="s">
        <v>41</v>
      </c>
      <c r="I78" s="5">
        <f t="shared" si="6"/>
        <v>20</v>
      </c>
      <c r="J78" t="str">
        <f>J77&amp;G78</f>
        <v>WWLHOWAAOISPTWRVATEITTSTAIMTLILSRIBNNITTHATUIIWATLFTTIITIWAGSTAMOTOHPHABABAFF</v>
      </c>
    </row>
    <row r="79" spans="1:10" ht="16">
      <c r="A79">
        <f t="shared" si="7"/>
        <v>78</v>
      </c>
      <c r="B79">
        <v>5</v>
      </c>
      <c r="C79">
        <v>14</v>
      </c>
      <c r="D79" s="2" t="s">
        <v>142</v>
      </c>
      <c r="E79" t="str">
        <f t="shared" si="4"/>
        <v>Between the conception</v>
      </c>
      <c r="G79" s="5" t="str">
        <f t="shared" si="5"/>
        <v>B</v>
      </c>
      <c r="H79" s="5" t="s">
        <v>42</v>
      </c>
      <c r="I79" s="5">
        <f t="shared" si="6"/>
        <v>20</v>
      </c>
      <c r="J79" t="str">
        <f>J78&amp;G79</f>
        <v>WWLHOWAAOISPTWRVATEITTSTAIMTLILSRIBNNITTHATUIIWATLFTTIITIWAGSTAMOTOHPHABABAFFB</v>
      </c>
    </row>
    <row r="80" spans="1:10" ht="16">
      <c r="A80">
        <f t="shared" si="7"/>
        <v>79</v>
      </c>
      <c r="B80">
        <v>5</v>
      </c>
      <c r="C80">
        <v>14</v>
      </c>
      <c r="D80" s="2" t="s">
        <v>143</v>
      </c>
      <c r="E80" t="str">
        <f t="shared" si="4"/>
        <v>And the creation</v>
      </c>
      <c r="G80" s="5" t="str">
        <f t="shared" si="5"/>
        <v>A</v>
      </c>
      <c r="H80" s="5" t="s">
        <v>43</v>
      </c>
      <c r="I80" s="5">
        <f t="shared" si="6"/>
        <v>14</v>
      </c>
      <c r="J80" t="str">
        <f>J79&amp;G80</f>
        <v>WWLHOWAAOISPTWRVATEITTSTAIMTLILSRIBNNITTHATUIIWATLFTTIITIWAGSTAMOTOHPHABABAFFBA</v>
      </c>
    </row>
    <row r="81" spans="1:10" ht="16">
      <c r="A81">
        <f t="shared" si="7"/>
        <v>80</v>
      </c>
      <c r="B81">
        <v>5</v>
      </c>
      <c r="C81">
        <v>14</v>
      </c>
      <c r="D81" s="2" t="s">
        <v>144</v>
      </c>
      <c r="E81" t="str">
        <f t="shared" si="4"/>
        <v>Between the emotion</v>
      </c>
      <c r="G81" s="5" t="str">
        <f t="shared" si="5"/>
        <v>B</v>
      </c>
      <c r="H81" s="5" t="s">
        <v>44</v>
      </c>
      <c r="I81" s="5">
        <f t="shared" si="6"/>
        <v>17</v>
      </c>
      <c r="J81" t="str">
        <f>J80&amp;G81</f>
        <v>WWLHOWAAOISPTWRVATEITTSTAIMTLILSRIBNNITTHATUIIWATLFTTIITIWAGSTAMOTOHPHABABAFFBAB</v>
      </c>
    </row>
    <row r="82" spans="1:10" ht="16">
      <c r="A82">
        <f t="shared" si="7"/>
        <v>81</v>
      </c>
      <c r="B82">
        <v>5</v>
      </c>
      <c r="C82">
        <v>14</v>
      </c>
      <c r="D82" s="2" t="s">
        <v>145</v>
      </c>
      <c r="E82" t="str">
        <f t="shared" si="4"/>
        <v>And the response</v>
      </c>
      <c r="G82" s="5" t="str">
        <f t="shared" si="5"/>
        <v>A</v>
      </c>
      <c r="H82" s="5" t="s">
        <v>45</v>
      </c>
      <c r="I82" s="5">
        <f t="shared" si="6"/>
        <v>14</v>
      </c>
      <c r="J82" t="str">
        <f>J81&amp;G82</f>
        <v>WWLHOWAAOISPTWRVATEITTSTAIMTLILSRIBNNITTHATUIIWATLFTTIITIWAGSTAMOTOHPHABABAFFBABA</v>
      </c>
    </row>
    <row r="83" spans="1:10" ht="16">
      <c r="A83">
        <f t="shared" si="7"/>
        <v>82</v>
      </c>
      <c r="B83">
        <v>5</v>
      </c>
      <c r="C83">
        <v>14</v>
      </c>
      <c r="D83" s="2" t="s">
        <v>141</v>
      </c>
      <c r="E83" t="str">
        <f t="shared" si="4"/>
        <v>Falls the Shadow</v>
      </c>
      <c r="G83" s="5" t="str">
        <f t="shared" si="5"/>
        <v>F</v>
      </c>
      <c r="H83" s="5" t="s">
        <v>40</v>
      </c>
      <c r="I83" s="5">
        <f t="shared" si="6"/>
        <v>14</v>
      </c>
      <c r="J83" t="str">
        <f>J82&amp;G83</f>
        <v>WWLHOWAAOISPTWRVATEITTSTAIMTLILSRIBNNITTHATUIIWATLFTTIITIWAGSTAMOTOHPHABABAFFBABAF</v>
      </c>
    </row>
    <row r="84" spans="1:10" ht="16">
      <c r="A84">
        <f t="shared" si="7"/>
        <v>83</v>
      </c>
      <c r="B84">
        <v>5</v>
      </c>
      <c r="C84">
        <v>15</v>
      </c>
      <c r="D84" s="4" t="s">
        <v>159</v>
      </c>
      <c r="E84" t="str">
        <f t="shared" si="4"/>
        <v>Life is very long</v>
      </c>
      <c r="G84" s="5" t="str">
        <f t="shared" si="5"/>
        <v>L</v>
      </c>
      <c r="H84" s="5" t="s">
        <v>46</v>
      </c>
      <c r="I84" s="5">
        <f t="shared" si="6"/>
        <v>14</v>
      </c>
      <c r="J84" t="str">
        <f>J83&amp;G84</f>
        <v>WWLHOWAAOISPTWRVATEITTSTAIMTLILSRIBNNITTHATUIIWATLFTTIITIWAGSTAMOTOHPHABABAFFBABAFL</v>
      </c>
    </row>
    <row r="85" spans="1:10" ht="16">
      <c r="A85">
        <f t="shared" si="7"/>
        <v>84</v>
      </c>
      <c r="B85">
        <v>5</v>
      </c>
      <c r="C85">
        <v>15</v>
      </c>
      <c r="D85" s="2" t="s">
        <v>146</v>
      </c>
      <c r="E85" t="str">
        <f t="shared" si="4"/>
        <v>Between the desire</v>
      </c>
      <c r="G85" s="5" t="str">
        <f t="shared" si="5"/>
        <v>B</v>
      </c>
      <c r="H85" s="5" t="s">
        <v>47</v>
      </c>
      <c r="I85" s="5">
        <f t="shared" si="6"/>
        <v>16</v>
      </c>
      <c r="J85" t="str">
        <f>J84&amp;G85</f>
        <v>WWLHOWAAOISPTWRVATEITTSTAIMTLILSRIBNNITTHATUIIWATLFTTIITIWAGSTAMOTOHPHABABAFFBABAFLB</v>
      </c>
    </row>
    <row r="86" spans="1:10" ht="16">
      <c r="A86">
        <f t="shared" si="7"/>
        <v>85</v>
      </c>
      <c r="B86">
        <v>5</v>
      </c>
      <c r="C86">
        <v>15</v>
      </c>
      <c r="D86" s="2" t="s">
        <v>147</v>
      </c>
      <c r="E86" t="str">
        <f t="shared" si="4"/>
        <v>And the spasm</v>
      </c>
      <c r="G86" s="5" t="str">
        <f t="shared" si="5"/>
        <v>A</v>
      </c>
      <c r="H86" s="5" t="s">
        <v>48</v>
      </c>
      <c r="I86" s="5">
        <f t="shared" si="6"/>
        <v>11</v>
      </c>
      <c r="J86" t="str">
        <f>J85&amp;G86</f>
        <v>WWLHOWAAOISPTWRVATEITTSTAIMTLILSRIBNNITTHATUIIWATLFTTIITIWAGSTAMOTOHPHABABAFFBABAFLBA</v>
      </c>
    </row>
    <row r="87" spans="1:10" ht="16">
      <c r="A87">
        <f t="shared" si="7"/>
        <v>86</v>
      </c>
      <c r="B87">
        <v>5</v>
      </c>
      <c r="C87">
        <v>15</v>
      </c>
      <c r="D87" s="2" t="s">
        <v>148</v>
      </c>
      <c r="E87" t="str">
        <f t="shared" si="4"/>
        <v>Between the potency</v>
      </c>
      <c r="G87" s="5" t="str">
        <f t="shared" si="5"/>
        <v>B</v>
      </c>
      <c r="H87" s="5" t="s">
        <v>49</v>
      </c>
      <c r="I87" s="5">
        <f t="shared" si="6"/>
        <v>17</v>
      </c>
      <c r="J87" t="str">
        <f>J86&amp;G87</f>
        <v>WWLHOWAAOISPTWRVATEITTSTAIMTLILSRIBNNITTHATUIIWATLFTTIITIWAGSTAMOTOHPHABABAFFBABAFLBAB</v>
      </c>
    </row>
    <row r="88" spans="1:10" ht="16">
      <c r="A88">
        <f t="shared" si="7"/>
        <v>87</v>
      </c>
      <c r="B88">
        <v>5</v>
      </c>
      <c r="C88">
        <v>15</v>
      </c>
      <c r="D88" s="2" t="s">
        <v>149</v>
      </c>
      <c r="E88" t="str">
        <f t="shared" si="4"/>
        <v>And the existence</v>
      </c>
      <c r="G88" s="5" t="str">
        <f t="shared" si="5"/>
        <v>A</v>
      </c>
      <c r="H88" s="5" t="s">
        <v>50</v>
      </c>
      <c r="I88" s="5">
        <f t="shared" si="6"/>
        <v>15</v>
      </c>
      <c r="J88" t="str">
        <f>J87&amp;G88</f>
        <v>WWLHOWAAOISPTWRVATEITTSTAIMTLILSRIBNNITTHATUIIWATLFTTIITIWAGSTAMOTOHPHABABAFFBABAFLBABA</v>
      </c>
    </row>
    <row r="89" spans="1:10" ht="16">
      <c r="A89">
        <f t="shared" si="7"/>
        <v>88</v>
      </c>
      <c r="B89">
        <v>5</v>
      </c>
      <c r="C89">
        <v>15</v>
      </c>
      <c r="D89" s="2" t="s">
        <v>150</v>
      </c>
      <c r="E89" t="str">
        <f t="shared" si="4"/>
        <v>Between the essence</v>
      </c>
      <c r="G89" s="5" t="str">
        <f t="shared" si="5"/>
        <v>B</v>
      </c>
      <c r="H89" s="5" t="s">
        <v>51</v>
      </c>
      <c r="I89" s="5">
        <f t="shared" si="6"/>
        <v>17</v>
      </c>
      <c r="J89" t="str">
        <f>J88&amp;G89</f>
        <v>WWLHOWAAOISPTWRVATEITTSTAIMTLILSRIBNNITTHATUIIWATLFTTIITIWAGSTAMOTOHPHABABAFFBABAFLBABAB</v>
      </c>
    </row>
    <row r="90" spans="1:10" ht="16">
      <c r="A90">
        <f t="shared" si="7"/>
        <v>89</v>
      </c>
      <c r="B90">
        <v>5</v>
      </c>
      <c r="C90">
        <v>15</v>
      </c>
      <c r="D90" s="2" t="s">
        <v>151</v>
      </c>
      <c r="E90" t="str">
        <f t="shared" si="4"/>
        <v>And the descent</v>
      </c>
      <c r="G90" s="5" t="str">
        <f t="shared" si="5"/>
        <v>A</v>
      </c>
      <c r="H90" s="5" t="s">
        <v>52</v>
      </c>
      <c r="I90" s="5">
        <f t="shared" si="6"/>
        <v>13</v>
      </c>
      <c r="J90" t="str">
        <f>J89&amp;G90</f>
        <v>WWLHOWAAOISPTWRVATEITTSTAIMTLILSRIBNNITTHATUIIWATLFTTIITIWAGSTAMOTOHPHABABAFFBABAFLBABABA</v>
      </c>
    </row>
    <row r="91" spans="1:10" ht="16">
      <c r="A91">
        <f t="shared" si="7"/>
        <v>90</v>
      </c>
      <c r="B91">
        <v>5</v>
      </c>
      <c r="C91">
        <v>15</v>
      </c>
      <c r="D91" s="2" t="s">
        <v>141</v>
      </c>
      <c r="E91" t="str">
        <f t="shared" si="4"/>
        <v>Falls the Shadow</v>
      </c>
      <c r="G91" s="5" t="str">
        <f t="shared" si="5"/>
        <v>F</v>
      </c>
      <c r="H91" s="5" t="s">
        <v>40</v>
      </c>
      <c r="I91" s="5">
        <f t="shared" si="6"/>
        <v>14</v>
      </c>
      <c r="J91" t="str">
        <f>J90&amp;G91</f>
        <v>WWLHOWAAOISPTWRVATEITTSTAIMTLILSRIBNNITTHATUIIWATLFTTIITIWAGSTAMOTOHPHABABAFFBABAFLBABABAF</v>
      </c>
    </row>
    <row r="92" spans="1:10" ht="16">
      <c r="A92">
        <f t="shared" si="7"/>
        <v>91</v>
      </c>
      <c r="B92">
        <v>5</v>
      </c>
      <c r="C92">
        <v>16</v>
      </c>
      <c r="D92" s="3" t="s">
        <v>158</v>
      </c>
      <c r="E92" t="str">
        <f t="shared" si="4"/>
        <v>For Thine is the Kingdom</v>
      </c>
      <c r="G92" s="5" t="str">
        <f t="shared" si="5"/>
        <v>F</v>
      </c>
      <c r="H92" s="5" t="s">
        <v>41</v>
      </c>
      <c r="I92" s="5">
        <f t="shared" si="6"/>
        <v>20</v>
      </c>
      <c r="J92" t="str">
        <f>J91&amp;G92</f>
        <v>WWLHOWAAOISPTWRVATEITTSTAIMTLILSRIBNNITTHATUIIWATLFTTIITIWAGSTAMOTOHPHABABAFFBABAFLBABABAFF</v>
      </c>
    </row>
    <row r="93" spans="1:10" ht="16">
      <c r="A93">
        <f t="shared" si="7"/>
        <v>92</v>
      </c>
      <c r="B93">
        <v>5</v>
      </c>
      <c r="C93">
        <v>16</v>
      </c>
      <c r="D93" s="2" t="s">
        <v>152</v>
      </c>
      <c r="E93" t="str">
        <f t="shared" si="4"/>
        <v>For Thine is</v>
      </c>
      <c r="G93" s="5" t="str">
        <f t="shared" si="5"/>
        <v>F</v>
      </c>
      <c r="H93" s="5" t="s">
        <v>53</v>
      </c>
      <c r="I93" s="5">
        <f t="shared" si="6"/>
        <v>10</v>
      </c>
      <c r="J93" t="str">
        <f>J92&amp;G93</f>
        <v>WWLHOWAAOISPTWRVATEITTSTAIMTLILSRIBNNITTHATUIIWATLFTTIITIWAGSTAMOTOHPHABABAFFBABAFLBABABAFFF</v>
      </c>
    </row>
    <row r="94" spans="1:10" ht="16">
      <c r="A94">
        <f t="shared" si="7"/>
        <v>93</v>
      </c>
      <c r="B94">
        <v>5</v>
      </c>
      <c r="C94">
        <v>16</v>
      </c>
      <c r="D94" s="2" t="s">
        <v>153</v>
      </c>
      <c r="E94" t="str">
        <f t="shared" si="4"/>
        <v>Life is</v>
      </c>
      <c r="G94" s="5" t="str">
        <f t="shared" si="5"/>
        <v>L</v>
      </c>
      <c r="H94" s="5" t="s">
        <v>54</v>
      </c>
      <c r="I94" s="5">
        <f t="shared" si="6"/>
        <v>6</v>
      </c>
      <c r="J94" t="str">
        <f>J93&amp;G94</f>
        <v>WWLHOWAAOISPTWRVATEITTSTAIMTLILSRIBNNITTHATUIIWATLFTTIITIWAGSTAMOTOHPHABABAFFBABAFLBABABAFFFL</v>
      </c>
    </row>
    <row r="95" spans="1:10" ht="16">
      <c r="A95">
        <f t="shared" si="7"/>
        <v>94</v>
      </c>
      <c r="B95">
        <v>5</v>
      </c>
      <c r="C95">
        <v>16</v>
      </c>
      <c r="D95" s="2" t="s">
        <v>154</v>
      </c>
      <c r="E95" t="str">
        <f t="shared" si="4"/>
        <v>For Thine is the</v>
      </c>
      <c r="G95" s="5" t="str">
        <f t="shared" si="5"/>
        <v>F</v>
      </c>
      <c r="H95" s="5" t="s">
        <v>55</v>
      </c>
      <c r="I95" s="5">
        <f t="shared" si="6"/>
        <v>13</v>
      </c>
      <c r="J95" t="str">
        <f>J94&amp;G95</f>
        <v>WWLHOWAAOISPTWRVATEITTSTAIMTLILSRIBNNITTHATUIIWATLFTTIITIWAGSTAMOTOHPHABABAFFBABAFLBABABAFFFLF</v>
      </c>
    </row>
    <row r="96" spans="1:10" ht="16">
      <c r="A96">
        <f t="shared" si="7"/>
        <v>95</v>
      </c>
      <c r="B96">
        <v>5</v>
      </c>
      <c r="C96">
        <v>17</v>
      </c>
      <c r="D96" s="2" t="s">
        <v>155</v>
      </c>
      <c r="E96" t="str">
        <f t="shared" si="4"/>
        <v>This is the way the world ends</v>
      </c>
      <c r="G96" s="5" t="str">
        <f t="shared" si="5"/>
        <v>T</v>
      </c>
      <c r="H96" s="5" t="s">
        <v>56</v>
      </c>
      <c r="I96" s="5">
        <f t="shared" si="6"/>
        <v>24</v>
      </c>
      <c r="J96" t="str">
        <f>J95&amp;G96</f>
        <v>WWLHOWAAOISPTWRVATEITTSTAIMTLILSRIBNNITTHATUIIWATLFTTIITIWAGSTAMOTOHPHABABAFFBABAFLBABABAFFFLFT</v>
      </c>
    </row>
    <row r="97" spans="1:10" ht="16">
      <c r="A97">
        <f t="shared" si="7"/>
        <v>96</v>
      </c>
      <c r="B97">
        <v>5</v>
      </c>
      <c r="C97">
        <v>17</v>
      </c>
      <c r="D97" s="1" t="s">
        <v>156</v>
      </c>
      <c r="E97" t="str">
        <f t="shared" si="4"/>
        <v>This is the way the world ends</v>
      </c>
      <c r="G97" s="5" t="str">
        <f t="shared" si="5"/>
        <v>T</v>
      </c>
      <c r="H97" s="5" t="s">
        <v>56</v>
      </c>
      <c r="I97" s="5">
        <f t="shared" si="6"/>
        <v>24</v>
      </c>
      <c r="J97" t="str">
        <f>J96&amp;G97</f>
        <v>WWLHOWAAOISPTWRVATEITTSTAIMTLILSRIBNNITTHATUIIWATLFTTIITIWAGSTAMOTOHPHABABAFFBABAFLBABABAFFFLFTT</v>
      </c>
    </row>
    <row r="98" spans="1:10" ht="16">
      <c r="A98">
        <f t="shared" si="7"/>
        <v>97</v>
      </c>
      <c r="B98">
        <v>5</v>
      </c>
      <c r="C98">
        <v>17</v>
      </c>
      <c r="D98" s="1" t="s">
        <v>156</v>
      </c>
      <c r="E98" t="str">
        <f t="shared" si="4"/>
        <v>This is the way the world ends</v>
      </c>
      <c r="G98" s="5" t="str">
        <f t="shared" si="5"/>
        <v>T</v>
      </c>
      <c r="H98" s="5" t="s">
        <v>56</v>
      </c>
      <c r="I98" s="5">
        <f t="shared" si="6"/>
        <v>24</v>
      </c>
      <c r="J98" t="str">
        <f>J97&amp;G98</f>
        <v>WWLHOWAAOISPTWRVATEITTSTAIMTLILSRIBNNITTHATUIIWATLFTTIITIWAGSTAMOTOHPHABABAFFBABAFLBABABAFFFLFTTT</v>
      </c>
    </row>
    <row r="99" spans="1:10" ht="16">
      <c r="A99">
        <f t="shared" si="7"/>
        <v>98</v>
      </c>
      <c r="B99">
        <v>5</v>
      </c>
      <c r="C99">
        <v>17</v>
      </c>
      <c r="D99" s="1" t="s">
        <v>157</v>
      </c>
      <c r="E99" t="str">
        <f t="shared" si="4"/>
        <v>Not with a bang but a whimper.</v>
      </c>
      <c r="G99" s="5" t="str">
        <f t="shared" si="5"/>
        <v>N</v>
      </c>
      <c r="H99" s="5" t="s">
        <v>57</v>
      </c>
      <c r="I99" s="5">
        <f t="shared" si="6"/>
        <v>23</v>
      </c>
      <c r="J99" t="str">
        <f>J98&amp;G99</f>
        <v>WWLHOWAAOISPTWRVATEITTSTAIMTLILSRIBNNITTHATUIIWATLFTTIITIWAGSTAMOTOHPHABABAFFBABAFLBABABAFFFLFTTTN</v>
      </c>
    </row>
    <row r="100" spans="1:10" ht="16"/>
    <row r="101" spans="1:10" ht="16"/>
    <row r="102" spans="1:10" ht="16"/>
    <row r="103" spans="1:10" ht="16"/>
    <row r="104" spans="1:10" ht="16"/>
    <row r="105" spans="1:10" ht="16"/>
    <row r="106" spans="1:10" ht="16"/>
    <row r="107" spans="1:10" ht="16"/>
    <row r="108" spans="1:10" ht="16"/>
    <row r="109" spans="1:10" ht="16"/>
    <row r="110" spans="1:10" ht="16"/>
  </sheetData>
  <phoneticPr fontId="4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116"/>
  <sheetViews>
    <sheetView workbookViewId="0">
      <selection sqref="A1:B1048576"/>
    </sheetView>
  </sheetViews>
  <sheetFormatPr baseColWidth="10" defaultRowHeight="13" outlineLevelRow="2"/>
  <sheetData>
    <row r="1" spans="1:2">
      <c r="A1" t="s">
        <v>85</v>
      </c>
    </row>
    <row r="2" spans="1:2" outlineLevel="2">
      <c r="A2">
        <v>1</v>
      </c>
      <c r="B2">
        <v>17</v>
      </c>
    </row>
    <row r="3" spans="1:2" outlineLevel="2">
      <c r="A3">
        <v>1</v>
      </c>
      <c r="B3">
        <v>18</v>
      </c>
    </row>
    <row r="4" spans="1:2" outlineLevel="2">
      <c r="A4">
        <v>1</v>
      </c>
      <c r="B4">
        <v>15</v>
      </c>
    </row>
    <row r="5" spans="1:2" outlineLevel="2">
      <c r="A5">
        <v>1</v>
      </c>
      <c r="B5">
        <v>28</v>
      </c>
    </row>
    <row r="6" spans="1:2" outlineLevel="2">
      <c r="A6">
        <v>1</v>
      </c>
      <c r="B6">
        <v>18</v>
      </c>
    </row>
    <row r="7" spans="1:2" outlineLevel="2">
      <c r="A7">
        <v>1</v>
      </c>
      <c r="B7">
        <v>17</v>
      </c>
    </row>
    <row r="8" spans="1:2" outlineLevel="2">
      <c r="A8">
        <v>1</v>
      </c>
      <c r="B8">
        <v>22</v>
      </c>
    </row>
    <row r="9" spans="1:2" outlineLevel="2">
      <c r="A9">
        <v>1</v>
      </c>
      <c r="B9">
        <v>16</v>
      </c>
    </row>
    <row r="10" spans="1:2" outlineLevel="2">
      <c r="A10">
        <v>1</v>
      </c>
      <c r="B10">
        <v>25</v>
      </c>
    </row>
    <row r="11" spans="1:2" outlineLevel="2">
      <c r="A11">
        <v>1</v>
      </c>
      <c r="B11">
        <v>14</v>
      </c>
    </row>
    <row r="12" spans="1:2" outlineLevel="2">
      <c r="A12">
        <v>1</v>
      </c>
      <c r="B12">
        <v>34</v>
      </c>
    </row>
    <row r="13" spans="1:2" outlineLevel="2">
      <c r="A13">
        <v>1</v>
      </c>
      <c r="B13">
        <v>34</v>
      </c>
    </row>
    <row r="14" spans="1:2" outlineLevel="2">
      <c r="A14">
        <v>1</v>
      </c>
      <c r="B14">
        <v>19</v>
      </c>
    </row>
    <row r="15" spans="1:2" outlineLevel="2">
      <c r="A15">
        <v>1</v>
      </c>
      <c r="B15">
        <v>34</v>
      </c>
    </row>
    <row r="16" spans="1:2" outlineLevel="2">
      <c r="A16">
        <v>1</v>
      </c>
      <c r="B16">
        <v>26</v>
      </c>
    </row>
    <row r="17" spans="1:2" outlineLevel="2">
      <c r="A17">
        <v>1</v>
      </c>
      <c r="B17">
        <v>19</v>
      </c>
    </row>
    <row r="18" spans="1:2" outlineLevel="2">
      <c r="A18">
        <v>1</v>
      </c>
      <c r="B18">
        <v>14</v>
      </c>
    </row>
    <row r="19" spans="1:2" outlineLevel="2">
      <c r="A19">
        <v>1</v>
      </c>
      <c r="B19">
        <v>13</v>
      </c>
    </row>
    <row r="20" spans="1:2" outlineLevel="1">
      <c r="A20" s="6" t="s">
        <v>58</v>
      </c>
      <c r="B20">
        <f>SUBTOTAL(9,B2:B19)</f>
        <v>383</v>
      </c>
    </row>
    <row r="21" spans="1:2" outlineLevel="2">
      <c r="A21">
        <v>2</v>
      </c>
      <c r="B21">
        <v>24</v>
      </c>
    </row>
    <row r="22" spans="1:2" outlineLevel="2">
      <c r="A22">
        <v>2</v>
      </c>
      <c r="B22">
        <v>20</v>
      </c>
    </row>
    <row r="23" spans="1:2" outlineLevel="2">
      <c r="A23">
        <v>2</v>
      </c>
      <c r="B23">
        <v>16</v>
      </c>
    </row>
    <row r="24" spans="1:2" outlineLevel="2">
      <c r="A24">
        <v>2</v>
      </c>
      <c r="B24">
        <v>15</v>
      </c>
    </row>
    <row r="25" spans="1:2" outlineLevel="2">
      <c r="A25">
        <v>2</v>
      </c>
      <c r="B25">
        <v>23</v>
      </c>
    </row>
    <row r="26" spans="1:2" outlineLevel="2">
      <c r="A26">
        <v>2</v>
      </c>
      <c r="B26">
        <v>20</v>
      </c>
    </row>
    <row r="27" spans="1:2" outlineLevel="2">
      <c r="A27">
        <v>2</v>
      </c>
      <c r="B27">
        <v>12</v>
      </c>
    </row>
    <row r="28" spans="1:2" outlineLevel="2">
      <c r="A28">
        <v>2</v>
      </c>
      <c r="B28">
        <v>17</v>
      </c>
    </row>
    <row r="29" spans="1:2" outlineLevel="2">
      <c r="A29">
        <v>2</v>
      </c>
      <c r="B29">
        <v>24</v>
      </c>
    </row>
    <row r="30" spans="1:2" outlineLevel="2">
      <c r="A30">
        <v>2</v>
      </c>
      <c r="B30">
        <v>15</v>
      </c>
    </row>
    <row r="31" spans="1:2" outlineLevel="2">
      <c r="A31">
        <v>2</v>
      </c>
      <c r="B31">
        <v>15</v>
      </c>
    </row>
    <row r="32" spans="1:2" outlineLevel="2">
      <c r="A32">
        <v>2</v>
      </c>
      <c r="B32">
        <v>20</v>
      </c>
    </row>
    <row r="33" spans="1:2" outlineLevel="2">
      <c r="A33">
        <v>2</v>
      </c>
      <c r="B33">
        <v>13</v>
      </c>
    </row>
    <row r="34" spans="1:2" outlineLevel="2">
      <c r="A34">
        <v>2</v>
      </c>
      <c r="B34">
        <v>23</v>
      </c>
    </row>
    <row r="35" spans="1:2" outlineLevel="2">
      <c r="A35">
        <v>2</v>
      </c>
      <c r="B35">
        <v>29</v>
      </c>
    </row>
    <row r="36" spans="1:2" outlineLevel="2">
      <c r="A36">
        <v>2</v>
      </c>
      <c r="B36">
        <v>8</v>
      </c>
    </row>
    <row r="37" spans="1:2" outlineLevel="2">
      <c r="A37">
        <v>2</v>
      </c>
      <c r="B37">
        <v>24</v>
      </c>
    </row>
    <row r="38" spans="1:2" outlineLevel="2">
      <c r="A38">
        <v>2</v>
      </c>
      <c r="B38">
        <v>8</v>
      </c>
    </row>
    <row r="39" spans="1:2" outlineLevel="2">
      <c r="A39">
        <v>2</v>
      </c>
      <c r="B39">
        <v>19</v>
      </c>
    </row>
    <row r="40" spans="1:2" outlineLevel="2">
      <c r="A40">
        <v>2</v>
      </c>
      <c r="B40">
        <v>20</v>
      </c>
    </row>
    <row r="41" spans="1:2" outlineLevel="1">
      <c r="A41" s="7" t="s">
        <v>59</v>
      </c>
      <c r="B41">
        <f>SUBTOTAL(9,B21:B40)</f>
        <v>365</v>
      </c>
    </row>
    <row r="42" spans="1:2" outlineLevel="2">
      <c r="A42">
        <v>3</v>
      </c>
      <c r="B42">
        <v>17</v>
      </c>
    </row>
    <row r="43" spans="1:2" outlineLevel="2">
      <c r="A43">
        <v>3</v>
      </c>
      <c r="B43">
        <v>16</v>
      </c>
    </row>
    <row r="44" spans="1:2" outlineLevel="2">
      <c r="A44">
        <v>3</v>
      </c>
      <c r="B44">
        <v>18</v>
      </c>
    </row>
    <row r="45" spans="1:2" outlineLevel="2">
      <c r="A45">
        <v>3</v>
      </c>
      <c r="B45">
        <v>24</v>
      </c>
    </row>
    <row r="46" spans="1:2" outlineLevel="2">
      <c r="A46">
        <v>3</v>
      </c>
      <c r="B46">
        <v>30</v>
      </c>
    </row>
    <row r="47" spans="1:2" outlineLevel="2">
      <c r="A47">
        <v>3</v>
      </c>
      <c r="B47">
        <v>28</v>
      </c>
    </row>
    <row r="48" spans="1:2" outlineLevel="2">
      <c r="A48">
        <v>3</v>
      </c>
      <c r="B48">
        <v>12</v>
      </c>
    </row>
    <row r="49" spans="1:2" outlineLevel="2">
      <c r="A49">
        <v>3</v>
      </c>
      <c r="B49">
        <v>20</v>
      </c>
    </row>
    <row r="50" spans="1:2" outlineLevel="2">
      <c r="A50">
        <v>3</v>
      </c>
      <c r="B50">
        <v>11</v>
      </c>
    </row>
    <row r="51" spans="1:2" outlineLevel="2">
      <c r="A51">
        <v>3</v>
      </c>
      <c r="B51">
        <v>18</v>
      </c>
    </row>
    <row r="52" spans="1:2" outlineLevel="2">
      <c r="A52">
        <v>3</v>
      </c>
      <c r="B52">
        <v>23</v>
      </c>
    </row>
    <row r="53" spans="1:2" outlineLevel="2">
      <c r="A53">
        <v>3</v>
      </c>
      <c r="B53">
        <v>17</v>
      </c>
    </row>
    <row r="54" spans="1:2" outlineLevel="2">
      <c r="A54">
        <v>3</v>
      </c>
      <c r="B54">
        <v>24</v>
      </c>
    </row>
    <row r="55" spans="1:2" outlineLevel="1">
      <c r="A55" s="7" t="s">
        <v>60</v>
      </c>
      <c r="B55">
        <f>SUBTOTAL(9,B42:B54)</f>
        <v>258</v>
      </c>
    </row>
    <row r="56" spans="1:2" outlineLevel="2">
      <c r="A56">
        <v>4</v>
      </c>
      <c r="B56">
        <v>17</v>
      </c>
    </row>
    <row r="57" spans="1:2" outlineLevel="2">
      <c r="A57">
        <v>4</v>
      </c>
      <c r="B57">
        <v>18</v>
      </c>
    </row>
    <row r="58" spans="1:2" outlineLevel="2">
      <c r="A58">
        <v>4</v>
      </c>
      <c r="B58">
        <v>24</v>
      </c>
    </row>
    <row r="59" spans="1:2" outlineLevel="2">
      <c r="A59">
        <v>4</v>
      </c>
      <c r="B59">
        <v>18</v>
      </c>
    </row>
    <row r="60" spans="1:2" outlineLevel="2">
      <c r="A60">
        <v>4</v>
      </c>
      <c r="B60">
        <v>30</v>
      </c>
    </row>
    <row r="61" spans="1:2" outlineLevel="2">
      <c r="A61">
        <v>4</v>
      </c>
      <c r="B61">
        <v>25</v>
      </c>
    </row>
    <row r="62" spans="1:2" outlineLevel="2">
      <c r="A62">
        <v>4</v>
      </c>
      <c r="B62">
        <v>15</v>
      </c>
    </row>
    <row r="63" spans="1:2" outlineLevel="2">
      <c r="A63">
        <v>4</v>
      </c>
      <c r="B63">
        <v>14</v>
      </c>
    </row>
    <row r="64" spans="1:2" outlineLevel="2">
      <c r="A64">
        <v>4</v>
      </c>
      <c r="B64">
        <v>34</v>
      </c>
    </row>
    <row r="65" spans="1:2" outlineLevel="2">
      <c r="A65">
        <v>4</v>
      </c>
      <c r="B65">
        <v>15</v>
      </c>
    </row>
    <row r="66" spans="1:2" outlineLevel="2">
      <c r="A66">
        <v>4</v>
      </c>
      <c r="B66">
        <v>15</v>
      </c>
    </row>
    <row r="67" spans="1:2" outlineLevel="2">
      <c r="A67">
        <v>4</v>
      </c>
      <c r="B67">
        <v>18</v>
      </c>
    </row>
    <row r="68" spans="1:2" outlineLevel="2">
      <c r="A68">
        <v>4</v>
      </c>
      <c r="B68">
        <v>16</v>
      </c>
    </row>
    <row r="69" spans="1:2" outlineLevel="2">
      <c r="A69">
        <v>4</v>
      </c>
      <c r="B69">
        <v>23</v>
      </c>
    </row>
    <row r="70" spans="1:2" outlineLevel="2">
      <c r="A70">
        <v>4</v>
      </c>
      <c r="B70">
        <v>11</v>
      </c>
    </row>
    <row r="71" spans="1:2" outlineLevel="2">
      <c r="A71">
        <v>4</v>
      </c>
      <c r="B71">
        <v>10</v>
      </c>
    </row>
    <row r="72" spans="1:2" outlineLevel="1">
      <c r="A72" s="7" t="s">
        <v>61</v>
      </c>
      <c r="B72">
        <f>SUBTOTAL(9,B56:B71)</f>
        <v>303</v>
      </c>
    </row>
    <row r="73" spans="1:2" outlineLevel="2">
      <c r="A73">
        <v>5</v>
      </c>
      <c r="B73">
        <v>27</v>
      </c>
    </row>
    <row r="74" spans="1:2" outlineLevel="2">
      <c r="A74">
        <v>5</v>
      </c>
      <c r="B74">
        <v>22</v>
      </c>
    </row>
    <row r="75" spans="1:2" outlineLevel="2">
      <c r="A75">
        <v>5</v>
      </c>
      <c r="B75">
        <v>27</v>
      </c>
    </row>
    <row r="76" spans="1:2" outlineLevel="2">
      <c r="A76">
        <v>5</v>
      </c>
      <c r="B76">
        <v>24</v>
      </c>
    </row>
    <row r="77" spans="1:2" outlineLevel="2">
      <c r="A77">
        <v>5</v>
      </c>
      <c r="B77">
        <v>14</v>
      </c>
    </row>
    <row r="78" spans="1:2" outlineLevel="2">
      <c r="A78">
        <v>5</v>
      </c>
      <c r="B78">
        <v>13</v>
      </c>
    </row>
    <row r="79" spans="1:2" outlineLevel="2">
      <c r="A79">
        <v>5</v>
      </c>
      <c r="B79">
        <v>16</v>
      </c>
    </row>
    <row r="80" spans="1:2" outlineLevel="2">
      <c r="A80">
        <v>5</v>
      </c>
      <c r="B80">
        <v>9</v>
      </c>
    </row>
    <row r="81" spans="1:2" outlineLevel="2">
      <c r="A81">
        <v>5</v>
      </c>
      <c r="B81">
        <v>14</v>
      </c>
    </row>
    <row r="82" spans="1:2" outlineLevel="2">
      <c r="A82">
        <v>5</v>
      </c>
      <c r="B82">
        <v>20</v>
      </c>
    </row>
    <row r="83" spans="1:2" outlineLevel="2">
      <c r="A83">
        <v>5</v>
      </c>
      <c r="B83">
        <v>20</v>
      </c>
    </row>
    <row r="84" spans="1:2" outlineLevel="2">
      <c r="A84">
        <v>5</v>
      </c>
      <c r="B84">
        <v>14</v>
      </c>
    </row>
    <row r="85" spans="1:2" outlineLevel="2">
      <c r="A85">
        <v>5</v>
      </c>
      <c r="B85">
        <v>17</v>
      </c>
    </row>
    <row r="86" spans="1:2" outlineLevel="2">
      <c r="A86">
        <v>5</v>
      </c>
      <c r="B86">
        <v>14</v>
      </c>
    </row>
    <row r="87" spans="1:2" outlineLevel="2">
      <c r="A87">
        <v>5</v>
      </c>
      <c r="B87">
        <v>14</v>
      </c>
    </row>
    <row r="88" spans="1:2" outlineLevel="2">
      <c r="A88">
        <v>5</v>
      </c>
      <c r="B88">
        <v>14</v>
      </c>
    </row>
    <row r="89" spans="1:2" outlineLevel="2">
      <c r="A89">
        <v>5</v>
      </c>
      <c r="B89">
        <v>16</v>
      </c>
    </row>
    <row r="90" spans="1:2" outlineLevel="2">
      <c r="A90">
        <v>5</v>
      </c>
      <c r="B90">
        <v>11</v>
      </c>
    </row>
    <row r="91" spans="1:2" outlineLevel="2">
      <c r="A91">
        <v>5</v>
      </c>
      <c r="B91">
        <v>17</v>
      </c>
    </row>
    <row r="92" spans="1:2" outlineLevel="2">
      <c r="A92">
        <v>5</v>
      </c>
      <c r="B92">
        <v>15</v>
      </c>
    </row>
    <row r="93" spans="1:2" outlineLevel="2">
      <c r="A93">
        <v>5</v>
      </c>
      <c r="B93">
        <v>17</v>
      </c>
    </row>
    <row r="94" spans="1:2" outlineLevel="2">
      <c r="A94">
        <v>5</v>
      </c>
      <c r="B94">
        <v>13</v>
      </c>
    </row>
    <row r="95" spans="1:2" outlineLevel="2">
      <c r="A95">
        <v>5</v>
      </c>
      <c r="B95">
        <v>14</v>
      </c>
    </row>
    <row r="96" spans="1:2" outlineLevel="2">
      <c r="A96">
        <v>5</v>
      </c>
      <c r="B96">
        <v>20</v>
      </c>
    </row>
    <row r="97" spans="1:2" outlineLevel="2">
      <c r="A97">
        <v>5</v>
      </c>
      <c r="B97">
        <v>10</v>
      </c>
    </row>
    <row r="98" spans="1:2" outlineLevel="2">
      <c r="A98">
        <v>5</v>
      </c>
      <c r="B98">
        <v>6</v>
      </c>
    </row>
    <row r="99" spans="1:2" outlineLevel="2">
      <c r="A99">
        <v>5</v>
      </c>
      <c r="B99">
        <v>13</v>
      </c>
    </row>
    <row r="100" spans="1:2" outlineLevel="2">
      <c r="A100">
        <v>5</v>
      </c>
      <c r="B100">
        <v>24</v>
      </c>
    </row>
    <row r="101" spans="1:2" outlineLevel="2">
      <c r="A101">
        <v>5</v>
      </c>
      <c r="B101">
        <v>24</v>
      </c>
    </row>
    <row r="102" spans="1:2" outlineLevel="2">
      <c r="A102">
        <v>5</v>
      </c>
      <c r="B102">
        <v>24</v>
      </c>
    </row>
    <row r="103" spans="1:2" outlineLevel="2">
      <c r="A103">
        <v>5</v>
      </c>
      <c r="B103">
        <v>23</v>
      </c>
    </row>
    <row r="104" spans="1:2" outlineLevel="1">
      <c r="A104" s="7" t="s">
        <v>62</v>
      </c>
      <c r="B104">
        <f>SUBTOTAL(9,B73:B103)</f>
        <v>526</v>
      </c>
    </row>
    <row r="105" spans="1:2" outlineLevel="1"/>
    <row r="106" spans="1:2" outlineLevel="1"/>
    <row r="107" spans="1:2" outlineLevel="1"/>
    <row r="108" spans="1:2" outlineLevel="1"/>
    <row r="109" spans="1:2" outlineLevel="1"/>
    <row r="110" spans="1:2" outlineLevel="1"/>
    <row r="111" spans="1:2" outlineLevel="1"/>
    <row r="112" spans="1:2" outlineLevel="1"/>
    <row r="113" spans="1:2" outlineLevel="1"/>
    <row r="114" spans="1:2" outlineLevel="1"/>
    <row r="115" spans="1:2" outlineLevel="1"/>
    <row r="116" spans="1:2" outlineLevel="1">
      <c r="A116" s="7" t="s">
        <v>63</v>
      </c>
      <c r="B116">
        <f>SUBTOTAL(9,B2:B115)</f>
        <v>1835</v>
      </c>
    </row>
  </sheetData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117"/>
  <sheetViews>
    <sheetView topLeftCell="A35" workbookViewId="0">
      <selection sqref="A1:B117"/>
    </sheetView>
  </sheetViews>
  <sheetFormatPr baseColWidth="10" defaultRowHeight="13" outlineLevelRow="2"/>
  <sheetData>
    <row r="1" spans="1:2">
      <c r="A1" t="s">
        <v>64</v>
      </c>
      <c r="B1" t="s">
        <v>65</v>
      </c>
    </row>
    <row r="2" spans="1:2" outlineLevel="2">
      <c r="A2">
        <v>1</v>
      </c>
      <c r="B2">
        <v>17</v>
      </c>
    </row>
    <row r="3" spans="1:2" outlineLevel="2">
      <c r="A3">
        <v>1</v>
      </c>
      <c r="B3">
        <v>18</v>
      </c>
    </row>
    <row r="4" spans="1:2" outlineLevel="2">
      <c r="A4">
        <v>1</v>
      </c>
      <c r="B4">
        <v>15</v>
      </c>
    </row>
    <row r="5" spans="1:2" outlineLevel="2">
      <c r="A5">
        <v>1</v>
      </c>
      <c r="B5">
        <v>28</v>
      </c>
    </row>
    <row r="6" spans="1:2" outlineLevel="2">
      <c r="A6">
        <v>1</v>
      </c>
      <c r="B6">
        <v>18</v>
      </c>
    </row>
    <row r="7" spans="1:2" outlineLevel="2">
      <c r="A7">
        <v>1</v>
      </c>
      <c r="B7">
        <v>17</v>
      </c>
    </row>
    <row r="8" spans="1:2" outlineLevel="2">
      <c r="A8">
        <v>1</v>
      </c>
      <c r="B8">
        <v>22</v>
      </c>
    </row>
    <row r="9" spans="1:2" outlineLevel="2">
      <c r="A9">
        <v>1</v>
      </c>
      <c r="B9">
        <v>16</v>
      </c>
    </row>
    <row r="10" spans="1:2" outlineLevel="2">
      <c r="A10">
        <v>1</v>
      </c>
      <c r="B10">
        <v>25</v>
      </c>
    </row>
    <row r="11" spans="1:2" outlineLevel="2">
      <c r="A11">
        <v>1</v>
      </c>
      <c r="B11">
        <v>14</v>
      </c>
    </row>
    <row r="12" spans="1:2" outlineLevel="1">
      <c r="A12" s="6" t="s">
        <v>58</v>
      </c>
      <c r="B12">
        <f>SUBTOTAL(9,B2:B11)</f>
        <v>190</v>
      </c>
    </row>
    <row r="13" spans="1:2" outlineLevel="2">
      <c r="A13">
        <v>2</v>
      </c>
      <c r="B13">
        <v>34</v>
      </c>
    </row>
    <row r="14" spans="1:2" outlineLevel="2">
      <c r="A14">
        <v>2</v>
      </c>
      <c r="B14">
        <v>34</v>
      </c>
    </row>
    <row r="15" spans="1:2" outlineLevel="1">
      <c r="A15" s="7" t="s">
        <v>59</v>
      </c>
      <c r="B15">
        <f>SUBTOTAL(9,B13:B14)</f>
        <v>68</v>
      </c>
    </row>
    <row r="16" spans="1:2" outlineLevel="2">
      <c r="A16">
        <v>3</v>
      </c>
      <c r="B16">
        <v>19</v>
      </c>
    </row>
    <row r="17" spans="1:2" outlineLevel="2">
      <c r="A17">
        <v>3</v>
      </c>
      <c r="B17">
        <v>34</v>
      </c>
    </row>
    <row r="18" spans="1:2" outlineLevel="2">
      <c r="A18">
        <v>3</v>
      </c>
      <c r="B18">
        <v>26</v>
      </c>
    </row>
    <row r="19" spans="1:2" outlineLevel="2">
      <c r="A19">
        <v>3</v>
      </c>
      <c r="B19">
        <v>19</v>
      </c>
    </row>
    <row r="20" spans="1:2" outlineLevel="2">
      <c r="A20">
        <v>3</v>
      </c>
      <c r="B20">
        <v>14</v>
      </c>
    </row>
    <row r="21" spans="1:2" outlineLevel="2">
      <c r="A21">
        <v>3</v>
      </c>
      <c r="B21">
        <v>13</v>
      </c>
    </row>
    <row r="22" spans="1:2" outlineLevel="1">
      <c r="A22" s="7" t="s">
        <v>60</v>
      </c>
      <c r="B22">
        <f>SUBTOTAL(9,B16:B21)</f>
        <v>125</v>
      </c>
    </row>
    <row r="23" spans="1:2" outlineLevel="2">
      <c r="A23">
        <v>4</v>
      </c>
      <c r="B23">
        <v>24</v>
      </c>
    </row>
    <row r="24" spans="1:2" outlineLevel="2">
      <c r="A24">
        <v>4</v>
      </c>
      <c r="B24">
        <v>20</v>
      </c>
    </row>
    <row r="25" spans="1:2" outlineLevel="2">
      <c r="A25">
        <v>4</v>
      </c>
      <c r="B25">
        <v>16</v>
      </c>
    </row>
    <row r="26" spans="1:2" outlineLevel="2">
      <c r="A26">
        <v>4</v>
      </c>
      <c r="B26">
        <v>15</v>
      </c>
    </row>
    <row r="27" spans="1:2" outlineLevel="2">
      <c r="A27">
        <v>4</v>
      </c>
      <c r="B27">
        <v>23</v>
      </c>
    </row>
    <row r="28" spans="1:2" outlineLevel="2">
      <c r="A28">
        <v>4</v>
      </c>
      <c r="B28">
        <v>20</v>
      </c>
    </row>
    <row r="29" spans="1:2" outlineLevel="2">
      <c r="A29">
        <v>4</v>
      </c>
      <c r="B29">
        <v>12</v>
      </c>
    </row>
    <row r="30" spans="1:2" outlineLevel="2">
      <c r="A30">
        <v>4</v>
      </c>
      <c r="B30">
        <v>17</v>
      </c>
    </row>
    <row r="31" spans="1:2" outlineLevel="2">
      <c r="A31">
        <v>4</v>
      </c>
      <c r="B31">
        <v>24</v>
      </c>
    </row>
    <row r="32" spans="1:2" outlineLevel="2">
      <c r="A32">
        <v>4</v>
      </c>
      <c r="B32">
        <v>15</v>
      </c>
    </row>
    <row r="33" spans="1:2" outlineLevel="1">
      <c r="A33" s="7" t="s">
        <v>61</v>
      </c>
      <c r="B33">
        <f>SUBTOTAL(9,B23:B32)</f>
        <v>186</v>
      </c>
    </row>
    <row r="34" spans="1:2" outlineLevel="2">
      <c r="A34">
        <v>5</v>
      </c>
      <c r="B34">
        <v>15</v>
      </c>
    </row>
    <row r="35" spans="1:2" outlineLevel="2">
      <c r="A35">
        <v>5</v>
      </c>
      <c r="B35">
        <v>20</v>
      </c>
    </row>
    <row r="36" spans="1:2" outlineLevel="2">
      <c r="A36">
        <v>5</v>
      </c>
      <c r="B36">
        <v>13</v>
      </c>
    </row>
    <row r="37" spans="1:2" outlineLevel="2">
      <c r="A37">
        <v>5</v>
      </c>
      <c r="B37">
        <v>23</v>
      </c>
    </row>
    <row r="38" spans="1:2" outlineLevel="2">
      <c r="A38">
        <v>5</v>
      </c>
      <c r="B38">
        <v>29</v>
      </c>
    </row>
    <row r="39" spans="1:2" outlineLevel="2">
      <c r="A39">
        <v>5</v>
      </c>
      <c r="B39">
        <v>8</v>
      </c>
    </row>
    <row r="40" spans="1:2" outlineLevel="2">
      <c r="A40">
        <v>5</v>
      </c>
      <c r="B40">
        <v>24</v>
      </c>
    </row>
    <row r="41" spans="1:2" outlineLevel="2">
      <c r="A41">
        <v>5</v>
      </c>
      <c r="B41">
        <v>8</v>
      </c>
    </row>
    <row r="42" spans="1:2" outlineLevel="1">
      <c r="A42" s="7" t="s">
        <v>62</v>
      </c>
      <c r="B42">
        <f>SUBTOTAL(9,B34:B41)</f>
        <v>140</v>
      </c>
    </row>
    <row r="43" spans="1:2" outlineLevel="2">
      <c r="A43">
        <v>6</v>
      </c>
      <c r="B43">
        <v>19</v>
      </c>
    </row>
    <row r="44" spans="1:2" outlineLevel="2">
      <c r="A44">
        <v>6</v>
      </c>
      <c r="B44">
        <v>20</v>
      </c>
    </row>
    <row r="45" spans="1:2" outlineLevel="1">
      <c r="A45" s="7" t="s">
        <v>66</v>
      </c>
      <c r="B45">
        <f>SUBTOTAL(9,B43:B44)</f>
        <v>39</v>
      </c>
    </row>
    <row r="46" spans="1:2" outlineLevel="2">
      <c r="A46">
        <v>7</v>
      </c>
      <c r="B46">
        <v>17</v>
      </c>
    </row>
    <row r="47" spans="1:2" outlineLevel="2">
      <c r="A47">
        <v>7</v>
      </c>
      <c r="B47">
        <v>16</v>
      </c>
    </row>
    <row r="48" spans="1:2" outlineLevel="2">
      <c r="A48">
        <v>7</v>
      </c>
      <c r="B48">
        <v>18</v>
      </c>
    </row>
    <row r="49" spans="1:2" outlineLevel="2">
      <c r="A49">
        <v>7</v>
      </c>
      <c r="B49">
        <v>24</v>
      </c>
    </row>
    <row r="50" spans="1:2" outlineLevel="2">
      <c r="A50">
        <v>7</v>
      </c>
      <c r="B50">
        <v>30</v>
      </c>
    </row>
    <row r="51" spans="1:2" outlineLevel="2">
      <c r="A51">
        <v>7</v>
      </c>
      <c r="B51">
        <v>28</v>
      </c>
    </row>
    <row r="52" spans="1:2" outlineLevel="1">
      <c r="A52" s="7" t="s">
        <v>67</v>
      </c>
      <c r="B52">
        <f>SUBTOTAL(9,B46:B51)</f>
        <v>133</v>
      </c>
    </row>
    <row r="53" spans="1:2" outlineLevel="2">
      <c r="A53">
        <v>8</v>
      </c>
      <c r="B53">
        <v>12</v>
      </c>
    </row>
    <row r="54" spans="1:2" outlineLevel="2">
      <c r="A54">
        <v>8</v>
      </c>
      <c r="B54">
        <v>20</v>
      </c>
    </row>
    <row r="55" spans="1:2" outlineLevel="2">
      <c r="A55">
        <v>8</v>
      </c>
      <c r="B55">
        <v>11</v>
      </c>
    </row>
    <row r="56" spans="1:2" outlineLevel="2">
      <c r="A56">
        <v>8</v>
      </c>
      <c r="B56">
        <v>18</v>
      </c>
    </row>
    <row r="57" spans="1:2" outlineLevel="2">
      <c r="A57">
        <v>8</v>
      </c>
      <c r="B57">
        <v>23</v>
      </c>
    </row>
    <row r="58" spans="1:2" outlineLevel="2">
      <c r="A58">
        <v>8</v>
      </c>
      <c r="B58">
        <v>17</v>
      </c>
    </row>
    <row r="59" spans="1:2" outlineLevel="2">
      <c r="A59">
        <v>8</v>
      </c>
      <c r="B59">
        <v>24</v>
      </c>
    </row>
    <row r="60" spans="1:2" outlineLevel="1">
      <c r="A60" s="7" t="s">
        <v>68</v>
      </c>
      <c r="B60">
        <f>SUBTOTAL(9,B53:B59)</f>
        <v>125</v>
      </c>
    </row>
    <row r="61" spans="1:2" outlineLevel="2">
      <c r="A61">
        <v>9</v>
      </c>
      <c r="B61">
        <v>17</v>
      </c>
    </row>
    <row r="62" spans="1:2" outlineLevel="2">
      <c r="A62">
        <v>9</v>
      </c>
      <c r="B62">
        <v>18</v>
      </c>
    </row>
    <row r="63" spans="1:2" outlineLevel="2">
      <c r="A63">
        <v>9</v>
      </c>
      <c r="B63">
        <v>24</v>
      </c>
    </row>
    <row r="64" spans="1:2" outlineLevel="2">
      <c r="A64">
        <v>9</v>
      </c>
      <c r="B64">
        <v>18</v>
      </c>
    </row>
    <row r="65" spans="1:2" outlineLevel="2">
      <c r="A65">
        <v>9</v>
      </c>
      <c r="B65">
        <v>30</v>
      </c>
    </row>
    <row r="66" spans="1:2" outlineLevel="1">
      <c r="A66" s="7" t="s">
        <v>69</v>
      </c>
      <c r="B66">
        <f>SUBTOTAL(9,B61:B65)</f>
        <v>107</v>
      </c>
    </row>
    <row r="67" spans="1:2" outlineLevel="2">
      <c r="A67">
        <v>10</v>
      </c>
      <c r="B67">
        <v>25</v>
      </c>
    </row>
    <row r="68" spans="1:2" outlineLevel="2">
      <c r="A68">
        <v>10</v>
      </c>
      <c r="B68">
        <v>15</v>
      </c>
    </row>
    <row r="69" spans="1:2" outlineLevel="2">
      <c r="A69">
        <v>10</v>
      </c>
      <c r="B69">
        <v>14</v>
      </c>
    </row>
    <row r="70" spans="1:2" outlineLevel="2">
      <c r="A70">
        <v>10</v>
      </c>
      <c r="B70">
        <v>34</v>
      </c>
    </row>
    <row r="71" spans="1:2" outlineLevel="1">
      <c r="A71" s="7" t="s">
        <v>70</v>
      </c>
      <c r="B71">
        <f>SUBTOTAL(9,B67:B70)</f>
        <v>88</v>
      </c>
    </row>
    <row r="72" spans="1:2" outlineLevel="2">
      <c r="A72">
        <v>11</v>
      </c>
      <c r="B72">
        <v>15</v>
      </c>
    </row>
    <row r="73" spans="1:2" outlineLevel="2">
      <c r="A73">
        <v>11</v>
      </c>
      <c r="B73">
        <v>15</v>
      </c>
    </row>
    <row r="74" spans="1:2" outlineLevel="2">
      <c r="A74">
        <v>11</v>
      </c>
      <c r="B74">
        <v>18</v>
      </c>
    </row>
    <row r="75" spans="1:2" outlineLevel="2">
      <c r="A75">
        <v>11</v>
      </c>
      <c r="B75">
        <v>16</v>
      </c>
    </row>
    <row r="76" spans="1:2" outlineLevel="2">
      <c r="A76">
        <v>11</v>
      </c>
      <c r="B76">
        <v>23</v>
      </c>
    </row>
    <row r="77" spans="1:2" outlineLevel="2">
      <c r="A77">
        <v>11</v>
      </c>
      <c r="B77">
        <v>11</v>
      </c>
    </row>
    <row r="78" spans="1:2" outlineLevel="2">
      <c r="A78">
        <v>11</v>
      </c>
      <c r="B78">
        <v>10</v>
      </c>
    </row>
    <row r="79" spans="1:2" outlineLevel="1">
      <c r="A79" s="7" t="s">
        <v>71</v>
      </c>
      <c r="B79">
        <f>SUBTOTAL(9,B72:B78)</f>
        <v>108</v>
      </c>
    </row>
    <row r="80" spans="1:2" outlineLevel="2">
      <c r="A80">
        <v>12</v>
      </c>
      <c r="B80">
        <v>27</v>
      </c>
    </row>
    <row r="81" spans="1:2" outlineLevel="2">
      <c r="A81">
        <v>12</v>
      </c>
      <c r="B81">
        <v>22</v>
      </c>
    </row>
    <row r="82" spans="1:2" outlineLevel="2">
      <c r="A82">
        <v>12</v>
      </c>
      <c r="B82">
        <v>27</v>
      </c>
    </row>
    <row r="83" spans="1:2" outlineLevel="2">
      <c r="A83">
        <v>12</v>
      </c>
      <c r="B83">
        <v>24</v>
      </c>
    </row>
    <row r="84" spans="1:2" outlineLevel="1">
      <c r="A84" s="7" t="s">
        <v>72</v>
      </c>
      <c r="B84">
        <f>SUBTOTAL(9,B80:B83)</f>
        <v>100</v>
      </c>
    </row>
    <row r="85" spans="1:2" outlineLevel="2">
      <c r="A85">
        <v>13</v>
      </c>
      <c r="B85">
        <v>14</v>
      </c>
    </row>
    <row r="86" spans="1:2" outlineLevel="2">
      <c r="A86">
        <v>13</v>
      </c>
      <c r="B86">
        <v>13</v>
      </c>
    </row>
    <row r="87" spans="1:2" outlineLevel="2">
      <c r="A87">
        <v>13</v>
      </c>
      <c r="B87">
        <v>16</v>
      </c>
    </row>
    <row r="88" spans="1:2" outlineLevel="2">
      <c r="A88">
        <v>13</v>
      </c>
      <c r="B88">
        <v>9</v>
      </c>
    </row>
    <row r="89" spans="1:2" outlineLevel="2">
      <c r="A89">
        <v>13</v>
      </c>
      <c r="B89">
        <v>14</v>
      </c>
    </row>
    <row r="90" spans="1:2" outlineLevel="1">
      <c r="A90" s="7" t="s">
        <v>73</v>
      </c>
      <c r="B90">
        <f>SUBTOTAL(9,B85:B89)</f>
        <v>66</v>
      </c>
    </row>
    <row r="91" spans="1:2" outlineLevel="2">
      <c r="A91">
        <v>14</v>
      </c>
      <c r="B91">
        <v>20</v>
      </c>
    </row>
    <row r="92" spans="1:2" outlineLevel="2">
      <c r="A92">
        <v>14</v>
      </c>
      <c r="B92">
        <v>20</v>
      </c>
    </row>
    <row r="93" spans="1:2" outlineLevel="2">
      <c r="A93">
        <v>14</v>
      </c>
      <c r="B93">
        <v>14</v>
      </c>
    </row>
    <row r="94" spans="1:2" outlineLevel="2">
      <c r="A94">
        <v>14</v>
      </c>
      <c r="B94">
        <v>17</v>
      </c>
    </row>
    <row r="95" spans="1:2" outlineLevel="2">
      <c r="A95">
        <v>14</v>
      </c>
      <c r="B95">
        <v>14</v>
      </c>
    </row>
    <row r="96" spans="1:2" outlineLevel="2">
      <c r="A96">
        <v>14</v>
      </c>
      <c r="B96">
        <v>14</v>
      </c>
    </row>
    <row r="97" spans="1:2" outlineLevel="1">
      <c r="A97" s="7" t="s">
        <v>74</v>
      </c>
      <c r="B97">
        <f>SUBTOTAL(9,B91:B96)</f>
        <v>99</v>
      </c>
    </row>
    <row r="98" spans="1:2" outlineLevel="2">
      <c r="A98">
        <v>15</v>
      </c>
      <c r="B98">
        <v>14</v>
      </c>
    </row>
    <row r="99" spans="1:2" outlineLevel="2">
      <c r="A99">
        <v>15</v>
      </c>
      <c r="B99">
        <v>16</v>
      </c>
    </row>
    <row r="100" spans="1:2" outlineLevel="2">
      <c r="A100">
        <v>15</v>
      </c>
      <c r="B100">
        <v>11</v>
      </c>
    </row>
    <row r="101" spans="1:2" outlineLevel="2">
      <c r="A101">
        <v>15</v>
      </c>
      <c r="B101">
        <v>17</v>
      </c>
    </row>
    <row r="102" spans="1:2" outlineLevel="2">
      <c r="A102">
        <v>15</v>
      </c>
      <c r="B102">
        <v>15</v>
      </c>
    </row>
    <row r="103" spans="1:2" outlineLevel="2">
      <c r="A103">
        <v>15</v>
      </c>
      <c r="B103">
        <v>17</v>
      </c>
    </row>
    <row r="104" spans="1:2" outlineLevel="2">
      <c r="A104">
        <v>15</v>
      </c>
      <c r="B104">
        <v>13</v>
      </c>
    </row>
    <row r="105" spans="1:2" outlineLevel="2">
      <c r="A105">
        <v>15</v>
      </c>
      <c r="B105">
        <v>14</v>
      </c>
    </row>
    <row r="106" spans="1:2" outlineLevel="1">
      <c r="A106" s="7" t="s">
        <v>75</v>
      </c>
      <c r="B106">
        <f>SUBTOTAL(9,B98:B105)</f>
        <v>117</v>
      </c>
    </row>
    <row r="107" spans="1:2" outlineLevel="2">
      <c r="A107">
        <v>16</v>
      </c>
      <c r="B107">
        <v>20</v>
      </c>
    </row>
    <row r="108" spans="1:2" outlineLevel="2">
      <c r="A108">
        <v>16</v>
      </c>
      <c r="B108">
        <v>10</v>
      </c>
    </row>
    <row r="109" spans="1:2" outlineLevel="2">
      <c r="A109">
        <v>16</v>
      </c>
      <c r="B109">
        <v>6</v>
      </c>
    </row>
    <row r="110" spans="1:2" outlineLevel="2">
      <c r="A110">
        <v>16</v>
      </c>
      <c r="B110">
        <v>13</v>
      </c>
    </row>
    <row r="111" spans="1:2" outlineLevel="1">
      <c r="A111" s="7" t="s">
        <v>76</v>
      </c>
      <c r="B111">
        <f>SUBTOTAL(9,B107:B110)</f>
        <v>49</v>
      </c>
    </row>
    <row r="112" spans="1:2" outlineLevel="2">
      <c r="A112">
        <v>17</v>
      </c>
      <c r="B112">
        <v>24</v>
      </c>
    </row>
    <row r="113" spans="1:2" outlineLevel="2">
      <c r="A113">
        <v>17</v>
      </c>
      <c r="B113">
        <v>24</v>
      </c>
    </row>
    <row r="114" spans="1:2" outlineLevel="2">
      <c r="A114">
        <v>17</v>
      </c>
      <c r="B114">
        <v>24</v>
      </c>
    </row>
    <row r="115" spans="1:2" outlineLevel="2">
      <c r="A115">
        <v>17</v>
      </c>
      <c r="B115">
        <v>23</v>
      </c>
    </row>
    <row r="116" spans="1:2" outlineLevel="1">
      <c r="A116" s="7" t="s">
        <v>77</v>
      </c>
      <c r="B116">
        <f>SUBTOTAL(9,B112:B115)</f>
        <v>95</v>
      </c>
    </row>
    <row r="117" spans="1:2">
      <c r="A117" s="7" t="s">
        <v>63</v>
      </c>
      <c r="B117">
        <f>SUBTOTAL(9,B2:B115)</f>
        <v>1835</v>
      </c>
    </row>
  </sheetData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Hollow Men</vt:lpstr>
      <vt:lpstr>Group Counts</vt:lpstr>
      <vt:lpstr>Stanza Counts</vt:lpstr>
    </vt:vector>
  </TitlesOfParts>
  <Company>Rivium Pty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O'Neill</dc:creator>
  <cp:lastModifiedBy>Michael O'Neill</cp:lastModifiedBy>
  <dcterms:created xsi:type="dcterms:W3CDTF">2022-01-14T20:51:10Z</dcterms:created>
  <dcterms:modified xsi:type="dcterms:W3CDTF">2022-01-14T22:50:44Z</dcterms:modified>
</cp:coreProperties>
</file>