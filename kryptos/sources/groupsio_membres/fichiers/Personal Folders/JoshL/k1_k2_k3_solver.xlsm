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950" yWindow="-180" windowWidth="12030" windowHeight="9495"/>
  </bookViews>
  <sheets>
    <sheet name="KRYPTOS SOLVER" sheetId="14" r:id="rId1"/>
  </sheets>
  <functionGroups builtInGroupCount="17"/>
  <calcPr calcId="145621"/>
</workbook>
</file>

<file path=xl/calcChain.xml><?xml version="1.0" encoding="utf-8"?>
<calcChain xmlns="http://schemas.openxmlformats.org/spreadsheetml/2006/main">
  <c r="A4" i="14" l="1"/>
  <c r="A5" i="14"/>
  <c r="A3" i="14"/>
  <c r="A2" i="14"/>
</calcChain>
</file>

<file path=xl/sharedStrings.xml><?xml version="1.0" encoding="utf-8"?>
<sst xmlns="http://schemas.openxmlformats.org/spreadsheetml/2006/main" count="13" uniqueCount="13">
  <si>
    <t>OBKRUOXOGHULBSOLIFBBWFLRVQQPRNGKSSOTWTQSJQSSEKZZWATJKLUDIAWINFBNYPVTTMZFPKWGDKZXTJCDIGKUHUAUEKCAR</t>
  </si>
  <si>
    <t>k1</t>
  </si>
  <si>
    <t>k2</t>
  </si>
  <si>
    <t>k3</t>
  </si>
  <si>
    <t>k4</t>
  </si>
  <si>
    <t>EMUFPHZLRFAXYUSDJKZLDKRNSHGNFIVJYQTQUXQBQVYUVLLTREVJYQTMKYRDMFD</t>
  </si>
  <si>
    <t>VFPJUDEEHZWETZYVGWHKKQETGFQJNCEGGWHKK?DQMCPFQZDQMMIAGPFXHQRLGTIMVMZJANQLVKQEDAGDVFRPJUNGEUNAQZGZLECGYUXUEENJTBJLBQCRTBJDFHRRYIZETKZEMVDUFKSJHKFWHKUWQLSZFTIHHDDDUVH?DWKBFUFPWNTDFIYCUQZEREEVLDKFEZMOQQJLTTUGSYQPFEUNLAVIDXFLGGTEZ?FKZBSFDQVGOGIPUFXHHDRKFFHQNTGPUAECNUVPDJMQCLQUMUNEDFQELZZVRRGKFFVOEEXBDMVPNFQXEZLGREDNQFMPNZGLFLPMRJQYALMGNUVPDXVKPDQUMEBEDMHDAFMJGZNUPLGEWJLLAETG</t>
  </si>
  <si>
    <t>ENDYAHROHNLSRHEOCPTEOIBIDYSHNAIACHTNREYULDSLLSLLNOHSNOSMRWXMNETPRNGATIHNRARPESLNNELEBLPIIACAEWMTWNDITEENRAHCTENEUDRETNHAEOETFOLSEDTIWENHAEIOYTEYQHEENCTAYCREIFTBRSPAMHHEWENATAMATEGYEERLBTEEFOASFIOTUETUAEOTOARMAEERTNRTIBSEDDNIAAHTTMSTEWPIEROAGRIEWFEBAECTDDHILCEIHSITEGOEAOSDDRYDLORITRKLMLEHAGTDHARDPNEOHMGFMFEUHEECDMRIPFEIMEHNLSSTTRTVDOHW?</t>
  </si>
  <si>
    <t>k2 ALT</t>
  </si>
  <si>
    <t>VFPJUDEEHZWETZYVGWHKKQETGFQJNCEGGWHKK?DQMCPFQZDQMMIAGPFXHQRLGTIMVMZJANQLVKQEDAGDVFRPJUNGEUNAQZGZLECGYUXUEENJTBJLBQCRTBJDFHRRYIZETKZEMVDUFKSJHKFWHKUWQLSZFTIHHDDDUVH?DWKBFUFPWNTDFIYCUQZEREEVLDKFEZMOQQJLTTUGSYQPFEUNLAVIDXFLGGTEZ?FKZBSFDQVGOGIPUFXHHDRKFFHQNTGPUAECNUVPDJMQCLQUMUNEDFQELZZVRRGKFFVOEEXBDMVPNFQXEZLGREDNQFMPNZGLFLPMRJQYALMGNUVPDXVKPDQUMEBEDMHDAFMJGZNUPLGESWJLLAETG</t>
  </si>
  <si>
    <t>CYPHERTEXT</t>
  </si>
  <si>
    <t>SECTION</t>
  </si>
  <si>
    <t>PLAINTEXT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</si>
</sst>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vertical="top" wrapText="1"/>
    </xf>
    <xf numFmtId="0" fontId="0" fillId="0" borderId="0" xfId="0" applyFont="1" applyAlignment="1">
      <alignment horizontal="left" vertical="top" wrapText="1"/>
    </xf>
    <xf numFmtId="0" fontId="0" fillId="0" borderId="0" xfId="0" applyAlignment="1">
      <alignment vertical="top"/>
    </xf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3"/>
  <sheetViews>
    <sheetView tabSelected="1" workbookViewId="0">
      <selection activeCell="A5" sqref="A5"/>
    </sheetView>
  </sheetViews>
  <sheetFormatPr defaultRowHeight="15" x14ac:dyDescent="0.25"/>
  <cols>
    <col min="1" max="1" width="81.5703125" bestFit="1" customWidth="1"/>
    <col min="2" max="2" width="9.140625" style="3"/>
    <col min="3" max="3" width="83.140625" customWidth="1"/>
  </cols>
  <sheetData>
    <row r="1" spans="1:4" x14ac:dyDescent="0.25">
      <c r="A1" s="5" t="s">
        <v>12</v>
      </c>
      <c r="B1" s="6" t="s">
        <v>11</v>
      </c>
      <c r="C1" s="5" t="s">
        <v>10</v>
      </c>
      <c r="D1" s="5"/>
    </row>
    <row r="2" spans="1:4" ht="45" x14ac:dyDescent="0.25">
      <c r="A2" s="1" t="str">
        <f>VIGENERE(C2,"PALIMPSEST")</f>
        <v>BETWEENSUBTLESHADINGANDTHEABSENCEOFLIGHTLIESTHENUANCEOFIQLUSION</v>
      </c>
      <c r="B2" s="1" t="s">
        <v>1</v>
      </c>
      <c r="C2" s="1" t="s">
        <v>5</v>
      </c>
    </row>
    <row r="3" spans="1:4" ht="91.5" customHeight="1" x14ac:dyDescent="0.25">
      <c r="A3" s="1" t="str">
        <f>VIGENERE(C3,"ABSCISSA")</f>
        <v>ITWASTOTALLYINVISIBLEHOWSTHATPOSSIBLE?THEYUSEDTHEEARTHSMAGNETICFIELDXTHEINFORMATIONWASGATHEREDANDTRANSMITTEDUNDERGRUUNDTOANUNKNOWNLOCATIONXDOESLANGLEYKNOWABOUTTHIS?THEYSHOULDITSBURIEDOUTTHERESOMEWHEREXWHOKNOWSTHEEXACTLOCATION?ONLYWWTHISWASHISLASTMESSAGEXTHIRTYEIGHTDEGREESFIFTYSEVENMINUTESSIXPOINTFIVESECONDSNORTHSEVENTYSEVENDEGREESEIGHTMINUTESFORTYFOURSECONDSWESTIDBYROWS</v>
      </c>
      <c r="B3" s="1" t="s">
        <v>2</v>
      </c>
      <c r="C3" s="1" t="s">
        <v>6</v>
      </c>
    </row>
    <row r="4" spans="1:4" ht="91.5" customHeight="1" x14ac:dyDescent="0.25">
      <c r="A4" s="1" t="str">
        <f>VIGENERE(C4,"ABSCISSA")</f>
        <v>ITWASTOTALLYINVISIBLEHOWSTHATPOSSIBLE?THEYUSEDTHEEARTHSMAGNETICFIELDXTHEINFORMATIONWASGATHEREDANDTRANSMITTEDUNDERGRUUNDTOANUNKNOWNLOCATIONXDOESLANGLEYKNOWABOUTTHIS?THEYSHOULDITSBURIEDOUTTHERESOMEWHEREXWHOKNOWSTHEEXACTLOCATION?ONLYWWTHISWASHISLASTMESSAGEXTHIRTYEIGHTDEGREESFIFTYSEVENMINUTESSIXPOINTFIVESECONDSNORTHSEVENTYSEVENDEGREESEIGHTMINUTESFORTYFOURSECONDSWESTXLAYERTWO</v>
      </c>
      <c r="B4" s="1" t="s">
        <v>8</v>
      </c>
      <c r="C4" s="1" t="s">
        <v>9</v>
      </c>
    </row>
    <row r="5" spans="1:4" ht="75" x14ac:dyDescent="0.25">
      <c r="A5" s="1" t="str">
        <f>rotation(rotation(C5,12),16)</f>
        <v>SLOWLYDESPARATLYSLOWLYTHEREMAINSOFPASSAGEDEBRISTHATENCUMBEREDTHELOWERPARTOFTHEDOORWAYWASREMOVEDWITHTREMBLINGHANDSIMADEATINYBREACHINTHEUPPERLEFTHANDCORNERANDTHENWIDENINGTHEHOLEALITTLEIINSERTEDTHECANDLEANDPEEREDINTHEHOTAIRESCAPINGFROMTHECHAMBERCAUSEDTHEFLAMETOFLICKERBUTPRESENTLYDETAILSOFTHEROOMWITHINEMERGEDFROMTHEMISTXCANYOUSEEANYTHINGQ?</v>
      </c>
      <c r="B5" s="2" t="s">
        <v>3</v>
      </c>
      <c r="C5" s="1" t="s">
        <v>7</v>
      </c>
    </row>
    <row r="6" spans="1:4" ht="30" x14ac:dyDescent="0.25">
      <c r="A6" s="1"/>
      <c r="B6" s="1" t="s">
        <v>4</v>
      </c>
      <c r="C6" s="1" t="s">
        <v>0</v>
      </c>
    </row>
    <row r="12" spans="1:4" x14ac:dyDescent="0.25">
      <c r="A12" s="4"/>
    </row>
    <row r="13" spans="1:4" x14ac:dyDescent="0.25">
      <c r="A13" s="4"/>
    </row>
  </sheetData>
  <sortState ref="I5:I23">
    <sortCondition ref="I5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KRYPTOS SOLVER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LeVeque, Josh</dc:creator>
  <cp:lastModifiedBy>LeVeque, Josh</cp:lastModifiedBy>
  <dcterms:created xsi:type="dcterms:W3CDTF">2013-02-07T19:55:22Z</dcterms:created>
  <dcterms:modified xsi:type="dcterms:W3CDTF">2013-03-01T22:08:58Z</dcterms:modified>
</cp:coreProperties>
</file>