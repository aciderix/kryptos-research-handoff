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345" windowWidth="20775" windowHeight="9420" tabRatio="212"/>
  </bookViews>
  <sheets>
    <sheet name="END_JUNE_2014" sheetId="15" r:id="rId1"/>
  </sheets>
  <definedNames>
    <definedName name="AS_THE_RIVER_THAWS_EACH_SPRING">#REF!</definedName>
    <definedName name="ENGINE_143">#REF!</definedName>
    <definedName name="MASSACHUSETS">#REF!</definedName>
    <definedName name="MASSASAUGAS">#REF!</definedName>
    <definedName name="MISSISSIPPI">#REF!,#REF!</definedName>
    <definedName name="SASSAFRAS">#REF!</definedName>
    <definedName name="SUCCESSES">#REF!</definedName>
    <definedName name="TABLE">#REF!</definedName>
    <definedName name="TEST_DEVICE_1">#REF!</definedName>
    <definedName name="TRESPASSERS">#REF!</definedName>
  </definedNames>
  <calcPr calcId="125725"/>
</workbook>
</file>

<file path=xl/calcChain.xml><?xml version="1.0" encoding="utf-8"?>
<calcChain xmlns="http://schemas.openxmlformats.org/spreadsheetml/2006/main">
  <c r="BG39" i="15"/>
  <c r="BI40"/>
  <c r="BG40"/>
  <c r="BI39"/>
  <c r="BI41" s="1"/>
  <c r="BG41"/>
  <c r="AS40"/>
  <c r="AU40"/>
  <c r="AU39"/>
  <c r="AS39"/>
  <c r="AG40"/>
  <c r="AG39"/>
  <c r="AE40"/>
  <c r="AI40" s="1"/>
  <c r="AE39"/>
  <c r="AU41" l="1"/>
  <c r="AE41"/>
  <c r="AG41"/>
  <c r="AS41"/>
  <c r="AW40"/>
  <c r="BK40"/>
  <c r="AI39"/>
  <c r="AI41" s="1"/>
  <c r="BK39"/>
  <c r="BK41" s="1"/>
  <c r="AW39"/>
  <c r="AW41" s="1"/>
</calcChain>
</file>

<file path=xl/sharedStrings.xml><?xml version="1.0" encoding="utf-8"?>
<sst xmlns="http://schemas.openxmlformats.org/spreadsheetml/2006/main" count="296" uniqueCount="157">
  <si>
    <t>F</t>
  </si>
  <si>
    <t>A</t>
  </si>
  <si>
    <t>E</t>
  </si>
  <si>
    <t>G</t>
  </si>
  <si>
    <t>I</t>
  </si>
  <si>
    <t>R</t>
  </si>
  <si>
    <t>T</t>
  </si>
  <si>
    <t>M</t>
  </si>
  <si>
    <t>N</t>
  </si>
  <si>
    <t>U</t>
  </si>
  <si>
    <t>V</t>
  </si>
  <si>
    <t>W</t>
  </si>
  <si>
    <t>K</t>
  </si>
  <si>
    <t>Y</t>
  </si>
  <si>
    <t>P</t>
  </si>
  <si>
    <t>O</t>
  </si>
  <si>
    <t>S</t>
  </si>
  <si>
    <t>B</t>
  </si>
  <si>
    <t>C</t>
  </si>
  <si>
    <t>D</t>
  </si>
  <si>
    <t>H</t>
  </si>
  <si>
    <t>J</t>
  </si>
  <si>
    <t>L</t>
  </si>
  <si>
    <t>X</t>
  </si>
  <si>
    <t>Q</t>
  </si>
  <si>
    <t>Z</t>
  </si>
  <si>
    <r>
      <t>I was reading Martin Gardner</t>
    </r>
    <r>
      <rPr>
        <vertAlign val="superscript"/>
        <sz val="10"/>
        <color theme="1"/>
        <rFont val="Arial Unicode MS"/>
        <family val="2"/>
      </rPr>
      <t>1</t>
    </r>
    <r>
      <rPr>
        <sz val="10"/>
        <color theme="1"/>
        <rFont val="Arial Unicode MS"/>
        <family val="2"/>
      </rPr>
      <t xml:space="preserve"> in an attempt to find visual, geometric enciphering possibilities</t>
    </r>
  </si>
  <si>
    <t>when I encountered his article on the Gray Code.  The name is reminiscent of K1's message,</t>
  </si>
  <si>
    <t>and it is a form of binary, and the basic version is formed reflectively.  That is the one that</t>
  </si>
  <si>
    <t xml:space="preserve">Gardner says is usually considered ~The~ Gray Code by mathematicians.  (There are many </t>
  </si>
  <si>
    <t xml:space="preserve">variations; in fact, as the number of numeric bases is infinite, so is the number of Gray Codes) </t>
  </si>
  <si>
    <r>
      <t xml:space="preserve">neatly with Z at </t>
    </r>
    <r>
      <rPr>
        <b/>
        <sz val="10"/>
        <color rgb="FFFF0000"/>
        <rFont val="Arial Unicode MS"/>
        <family val="2"/>
      </rPr>
      <t>57</t>
    </r>
    <r>
      <rPr>
        <sz val="10"/>
        <color theme="1"/>
        <rFont val="Arial Unicode MS"/>
        <family val="2"/>
      </rPr>
      <t xml:space="preserve">.  The last 6-bit number would correspond to decimal </t>
    </r>
    <r>
      <rPr>
        <b/>
        <sz val="10"/>
        <color rgb="FFFF0000"/>
        <rFont val="Arial Unicode MS"/>
        <family val="2"/>
      </rPr>
      <t>63</t>
    </r>
    <r>
      <rPr>
        <sz val="10"/>
        <color theme="1"/>
        <rFont val="Arial Unicode MS"/>
        <family val="2"/>
      </rPr>
      <t xml:space="preserve">.  These numbers  </t>
    </r>
  </si>
  <si>
    <r>
      <t xml:space="preserve">contains 6x26 characters, i.e. 156, for which read 1-56, there being </t>
    </r>
    <r>
      <rPr>
        <b/>
        <sz val="10"/>
        <color rgb="FFFF0000"/>
        <rFont val="Arial Unicode MS"/>
        <family val="2"/>
      </rPr>
      <t>56</t>
    </r>
    <r>
      <rPr>
        <sz val="10"/>
        <color theme="1"/>
        <rFont val="Arial Unicode MS"/>
        <family val="2"/>
      </rPr>
      <t xml:space="preserve"> characters in K</t>
    </r>
    <r>
      <rPr>
        <u/>
        <sz val="10"/>
        <color theme="1"/>
        <rFont val="Arial Unicode MS"/>
        <family val="2"/>
      </rPr>
      <t>1</t>
    </r>
    <r>
      <rPr>
        <sz val="10"/>
        <color theme="1"/>
        <rFont val="Arial Unicode MS"/>
        <family val="2"/>
      </rPr>
      <t xml:space="preserve"> before </t>
    </r>
  </si>
  <si>
    <r>
      <t xml:space="preserve">starting at the third K2 query, if the 'erroneously' omitted S/x remains omitted, there are </t>
    </r>
    <r>
      <rPr>
        <b/>
        <sz val="10"/>
        <color rgb="FFFF0000"/>
        <rFont val="Arial Unicode MS"/>
        <family val="2"/>
      </rPr>
      <t>156</t>
    </r>
    <r>
      <rPr>
        <sz val="10"/>
        <color theme="1"/>
        <rFont val="Arial Unicode MS"/>
        <family val="2"/>
      </rPr>
      <t xml:space="preserve"> </t>
    </r>
  </si>
  <si>
    <t xml:space="preserve">characters to the L/a 'error' in "desparatly".  There is also possible confirmation, or maybe an </t>
  </si>
  <si>
    <t xml:space="preserve">point between 6 &amp; 5 in the seconds to be understood as a period.  However, I believe the </t>
  </si>
  <si>
    <t xml:space="preserve">The last letter of K2 Ciphertext is G.  It is followed by K3 Ciphertext END and then YA (raised) </t>
  </si>
  <si>
    <t xml:space="preserve">H (normal) R (raised), all Ciphertext.  The G is to be put at the END of the raised letters, thusly:  </t>
  </si>
  <si>
    <t xml:space="preserve">YARG.  Cyrillic Jim being reminded by the "YA" and the "R" of the concept of "backwardsness" </t>
  </si>
  <si>
    <t>then reverses this to GRAY (which is probably enough by itself), and if still at a loss to remember</t>
  </si>
  <si>
    <t xml:space="preserve">Of the standard &amp; Gray binary 26-number sequences between 32 &amp; 63, the Gray Code from </t>
  </si>
  <si>
    <t xml:space="preserve">The first thing that occurs to the Kryptanalyst on finding a set of 97 somethings mixed irregularly </t>
  </si>
  <si>
    <t xml:space="preserve">with 59 something-elses is that the 97 somethings are to be used to indicate the letters to be pulled </t>
  </si>
  <si>
    <t>For example, returning to the coordinates beyond the period, 5 x 77 = 385 = all of K2 plus the 15</t>
  </si>
  <si>
    <t>letters to the omitted "e" in K3, if you count the place of omission.  This divides into two 192-long</t>
  </si>
  <si>
    <t xml:space="preserve">both strings to numerals and add them, then use the 192-character Gray Code array to pick out the </t>
  </si>
  <si>
    <t>As the 1:0 ratio is so close to the dit/dah ratio, it seems possible that some Morse-related/based</t>
  </si>
  <si>
    <t xml:space="preserve">system is involved.   (The total Morse characters of K4 amount to 299, or 13 x 23, and 156 = 13 </t>
  </si>
  <si>
    <t xml:space="preserve">As the 97 ones are a bit obvious, and may serve only to help confirm one's arrival at the </t>
  </si>
  <si>
    <t xml:space="preserve">Original Matrix, the actual indicators might well be the zeroes ("tiny breach[es]?), which are </t>
  </si>
  <si>
    <t xml:space="preserve">better and more thinly scattered than the ones and less regular in occurence; and the point of </t>
  </si>
  <si>
    <t xml:space="preserve">using this matrix seems to be to create a system of irregularity that is unlikely to be duplicated </t>
  </si>
  <si>
    <t xml:space="preserve">numerals internally, such as by use of KRYPTOS progressively anagrammed; or by the 6-place </t>
  </si>
  <si>
    <t xml:space="preserve">(2,3,7,6)) or 4x4 corner one obtains Karnaugh map templates for 2, 3 or 4 variables respectively </t>
  </si>
  <si>
    <t>to our work here, it has at least some very handsome, glorious technicolor illustrations of K-maps</t>
  </si>
  <si>
    <t>My apologies to anyone whose work I may have infringed unwittingly.  I don't believe I have seen</t>
  </si>
  <si>
    <t>Carl Ellis</t>
  </si>
  <si>
    <r>
      <rPr>
        <vertAlign val="superscript"/>
        <sz val="10"/>
        <color theme="1"/>
        <rFont val="Arial Unicode MS"/>
        <family val="2"/>
      </rPr>
      <t>1</t>
    </r>
    <r>
      <rPr>
        <u/>
        <sz val="10"/>
        <color theme="1"/>
        <rFont val="Arial Unicode MS"/>
        <family val="2"/>
      </rPr>
      <t>The Knotted Doughnut And Other Mathematical Entertainments</t>
    </r>
    <r>
      <rPr>
        <sz val="10"/>
        <color theme="1"/>
        <rFont val="Arial Unicode MS"/>
        <family val="2"/>
      </rPr>
      <t xml:space="preserve">,  </t>
    </r>
  </si>
  <si>
    <t>The binary Gray Code is fun.</t>
  </si>
  <si>
    <t>Let us ferret out Tutankhamun.</t>
  </si>
  <si>
    <t>GRAY</t>
  </si>
  <si>
    <t>STANDARD</t>
  </si>
  <si>
    <t>VALUE</t>
  </si>
  <si>
    <t>I wrote out the 6-bit part of it with the idea of finding something that might relate to the much-</t>
  </si>
  <si>
    <t>"Original Matrix" and that our attention is directed to it by K1.</t>
  </si>
  <si>
    <t xml:space="preserve">discussed Morse, and found numerical parameters which have convinced me that it is Sanborn's </t>
  </si>
  <si>
    <r>
      <t xml:space="preserve">are all "mentioned" by K1.  The full array of ones &amp; zeroes from 32 thru 63 contains </t>
    </r>
    <r>
      <rPr>
        <b/>
        <sz val="10"/>
        <color rgb="FFFF0000"/>
        <rFont val="Arial Unicode MS"/>
        <family val="2"/>
      </rPr>
      <t>192</t>
    </r>
    <r>
      <rPr>
        <sz val="10"/>
        <color theme="1"/>
        <rFont val="Arial Unicode MS"/>
        <family val="2"/>
      </rPr>
      <t xml:space="preserve"> of </t>
    </r>
  </si>
  <si>
    <t xml:space="preserve">26-long positions available from the array without cycling end-to-beginning, two are as close, </t>
  </si>
  <si>
    <t xml:space="preserve">and four are nearly so, but I don't see a K1 indicator for beginning elsewhere.  Though the first </t>
  </si>
  <si>
    <t xml:space="preserve">characters, and thus don't quite describe either the 32-line or the 26-line array.  </t>
  </si>
  <si>
    <t xml:space="preserve">coordinates, and 38 is the percentage of zeroes in the 6 x 26 array), they have a total of 61 </t>
  </si>
  <si>
    <r>
      <t xml:space="preserve">32 to 57 contains </t>
    </r>
    <r>
      <rPr>
        <b/>
        <sz val="10"/>
        <color rgb="FFFF0000"/>
        <rFont val="Arial Unicode MS"/>
        <family val="2"/>
      </rPr>
      <t>97</t>
    </r>
    <r>
      <rPr>
        <sz val="10"/>
        <color theme="1"/>
        <rFont val="Arial Unicode MS"/>
        <family val="2"/>
      </rPr>
      <t xml:space="preserve"> ones and </t>
    </r>
    <r>
      <rPr>
        <b/>
        <sz val="10"/>
        <color rgb="FFFF0000"/>
        <rFont val="Arial Unicode MS"/>
        <family val="2"/>
      </rPr>
      <t>59</t>
    </r>
    <r>
      <rPr>
        <sz val="10"/>
        <color theme="1"/>
        <rFont val="Arial Unicode MS"/>
        <family val="2"/>
      </rPr>
      <t xml:space="preserve"> zeroes, which is approximately the ratio of dits to dahs </t>
    </r>
  </si>
  <si>
    <t xml:space="preserve">both be derived from YA_R, as can the word "array".  Of the other 6 consecutive-number </t>
  </si>
  <si>
    <t xml:space="preserve">in English Morse, and the only one of the said samples that comes so close.   97 &amp; 59 can </t>
  </si>
  <si>
    <t xml:space="preserve">or stumbled on by chance, but whose construction is easily committed to memory.  Sloane's </t>
  </si>
  <si>
    <t xml:space="preserve">complex to derive or memorize. There are 5 starting point letters which give 97 zeroes if the </t>
  </si>
  <si>
    <t xml:space="preserve">array is the 192-digit one from 32 to 63 (mapped to standard alphabet from 32 to 57) with an </t>
  </si>
  <si>
    <t xml:space="preserve">additional 7 rows repeated (candle in the upper left corner?), for 234 bits:  A, M, Q, S &amp; U.  </t>
  </si>
  <si>
    <t xml:space="preserve">Error 2).  If we think of the K2 final G as #1 in the Original Matrix Reminder, END are 2-3-4, and </t>
  </si>
  <si>
    <t xml:space="preserve">234 is thus what is contained within GRAY, so to speak.  But if the zeroes are to be the focus, </t>
  </si>
  <si>
    <t xml:space="preserve">I prefer this:  The 59 zeroes in rows 32 through 57 tell you to expand the used array through row </t>
  </si>
  <si>
    <r>
      <t xml:space="preserve">The </t>
    </r>
    <r>
      <rPr>
        <b/>
        <sz val="10"/>
        <color theme="1"/>
        <rFont val="Arial Unicode MS"/>
        <family val="2"/>
      </rPr>
      <t>O</t>
    </r>
    <r>
      <rPr>
        <sz val="10"/>
        <color theme="1"/>
        <rFont val="Arial Unicode MS"/>
        <family val="2"/>
      </rPr>
      <t xml:space="preserve">n-line </t>
    </r>
    <r>
      <rPr>
        <b/>
        <sz val="10"/>
        <color theme="1"/>
        <rFont val="Arial Unicode MS"/>
        <family val="2"/>
      </rPr>
      <t>E</t>
    </r>
    <r>
      <rPr>
        <sz val="10"/>
        <color theme="1"/>
        <rFont val="Arial Unicode MS"/>
        <family val="2"/>
      </rPr>
      <t xml:space="preserve">ncyclopedia of </t>
    </r>
    <r>
      <rPr>
        <b/>
        <sz val="10"/>
        <color theme="1"/>
        <rFont val="Arial Unicode MS"/>
        <family val="2"/>
      </rPr>
      <t>I</t>
    </r>
    <r>
      <rPr>
        <sz val="10"/>
        <color theme="1"/>
        <rFont val="Arial Unicode MS"/>
        <family val="2"/>
      </rPr>
      <t xml:space="preserve">nteger </t>
    </r>
    <r>
      <rPr>
        <b/>
        <sz val="10"/>
        <color theme="1"/>
        <rFont val="Arial Unicode MS"/>
        <family val="2"/>
      </rPr>
      <t>S</t>
    </r>
    <r>
      <rPr>
        <sz val="10"/>
        <color theme="1"/>
        <rFont val="Arial Unicode MS"/>
        <family val="2"/>
      </rPr>
      <t>equences gives a version of the code, #A163233, which</t>
    </r>
  </si>
  <si>
    <t xml:space="preserve">W. H. Freeman &amp; Co., New York, pbk. ISBN 0-7167-1799-9 </t>
  </si>
  <si>
    <t>Martin Gardner, 1986, at Chapter 2 (pp 11-27)</t>
  </si>
  <si>
    <r>
      <t xml:space="preserve">"remaining debris encumbering the lower part of the door"?), the </t>
    </r>
    <r>
      <rPr>
        <b/>
        <sz val="10"/>
        <color rgb="FFFF0000"/>
        <rFont val="Arial Unicode MS"/>
        <family val="2"/>
      </rPr>
      <t>6</t>
    </r>
    <r>
      <rPr>
        <sz val="10"/>
        <color theme="1"/>
        <rFont val="Arial Unicode MS"/>
        <family val="2"/>
      </rPr>
      <t xml:space="preserve"> rows after row 57. Also,</t>
    </r>
  </si>
  <si>
    <t>from a text to form an OTP, the system thus frustrating attempts to find such an OTP by brute-</t>
  </si>
  <si>
    <t>nor how/whether to manipulate that text (or this Gray array, for that matter), so it is hardly a give-</t>
  </si>
  <si>
    <t xml:space="preserve">away of the whole show if it is to be so used.  But K4 was supposed to be the difficult section, </t>
  </si>
  <si>
    <t xml:space="preserve">and the discovery of the Gray Code matrix is hardly difficult, but mostly a matter of pure luck, so </t>
  </si>
  <si>
    <t xml:space="preserve">that I would assume that the difficult part comes after identifying the Original Matrix.  If anybody </t>
  </si>
  <si>
    <t xml:space="preserve">wants to "try all the shifts" as J. S. put it, in hopes that The Original Matrix is the hard part and </t>
  </si>
  <si>
    <t>K4 solution is not that near at hand, and hereafter is where it gets convoluted.</t>
  </si>
  <si>
    <t>84 x 4 = 336, in reverse, 4 x 48 = 192.  And 19^2 (read 192) plus 3^2 (read 32) = 370, K2 letter count.</t>
  </si>
  <si>
    <t xml:space="preserve">decimals for sevenths; or by double rotation, or YAR, or, or, or.   Nor do we know at what point </t>
  </si>
  <si>
    <t xml:space="preserve">(Wouldn't it be a nice touch to require the omitted part of K3 to be reinserted, the whole then </t>
  </si>
  <si>
    <t xml:space="preserve">re-enciphered, and the new CT used for the text to pull an OTP from?)  So, tho I am convinced </t>
  </si>
  <si>
    <t xml:space="preserve">study advanced mathematics.  If Ed Scheidt advised Jim Sanborn to study the OEIS notes on </t>
  </si>
  <si>
    <t>Chapter 1, on coincidence, might also be apropos for us, and plenty of good stuff in the</t>
  </si>
  <si>
    <t xml:space="preserve">rest of it as well.  I only hope that K5, when we get there, is not going to involve the </t>
  </si>
  <si>
    <t>In Gray Code Order</t>
  </si>
  <si>
    <t>Sorted by Standard-alphabetizing a Kryptos-alphabet mapping</t>
  </si>
  <si>
    <t xml:space="preserve">ones to use against K4.  Speaking of which, note the remaining 3 digits of the coordinates, 8-4-4:   </t>
  </si>
  <si>
    <t xml:space="preserve">zeroes in the enlarged part of the array to be used; 64 is "mentioned" in K2 by the first letter,  </t>
  </si>
  <si>
    <t xml:space="preserve">in that line 32 has a standard binary value of 48, and this times the 4 remaining lines of "debris" </t>
  </si>
  <si>
    <t xml:space="preserve">and non-translating, this would put paid to any attempt to extract an OTP string from anything </t>
  </si>
  <si>
    <t xml:space="preserve">[first] door, but my bet is it's going to take a lot of opening.  </t>
  </si>
  <si>
    <r>
      <t>recites in its notes &amp; explanations "</t>
    </r>
    <r>
      <rPr>
        <sz val="10"/>
        <color theme="1"/>
        <rFont val="Cambria"/>
        <family val="1"/>
        <scheme val="major"/>
      </rPr>
      <t>By taking the top left 2x2 corner, 2x4 rectangle ((0,1,5,4),</t>
    </r>
  </si>
  <si>
    <r>
      <rPr>
        <sz val="10"/>
        <color theme="1"/>
        <rFont val="Cambria"/>
        <family val="1"/>
        <scheme val="major"/>
      </rPr>
      <t>(although not the standard ones usually given in the textbooks)."</t>
    </r>
    <r>
      <rPr>
        <sz val="10"/>
        <color theme="1"/>
        <rFont val="Arial Unicode MS"/>
        <family val="2"/>
      </rPr>
      <t xml:space="preserve">  If it has no particular relevance</t>
    </r>
  </si>
  <si>
    <t>In Standard Binary Value Order</t>
  </si>
  <si>
    <r>
      <rPr>
        <b/>
        <sz val="10"/>
        <color rgb="FFFF0000"/>
        <rFont val="Arial Unicode MS"/>
        <family val="2"/>
      </rPr>
      <t>6</t>
    </r>
    <r>
      <rPr>
        <sz val="10"/>
        <color theme="1"/>
        <rFont val="Arial Unicode MS"/>
        <family val="2"/>
      </rPr>
      <t xml:space="preserve">-bit binary numbers begin at decimal </t>
    </r>
    <r>
      <rPr>
        <b/>
        <sz val="10"/>
        <color rgb="FFFF0000"/>
        <rFont val="Arial Unicode MS"/>
        <family val="2"/>
      </rPr>
      <t>32</t>
    </r>
    <r>
      <rPr>
        <sz val="10"/>
        <color theme="1"/>
        <rFont val="Arial Unicode MS"/>
        <family val="2"/>
      </rPr>
      <t xml:space="preserve">, and if </t>
    </r>
    <r>
      <rPr>
        <sz val="10"/>
        <rFont val="Arial Unicode MS"/>
        <family val="2"/>
      </rPr>
      <t>the alphabet is mapped to them</t>
    </r>
    <r>
      <rPr>
        <sz val="10"/>
        <color theme="1"/>
        <rFont val="Arial Unicode MS"/>
        <family val="2"/>
      </rPr>
      <t xml:space="preserve">, it ends </t>
    </r>
  </si>
  <si>
    <t xml:space="preserve">the "error" (though this fails to count #57, the "error" itself); and the second section  (The </t>
  </si>
  <si>
    <t xml:space="preserve">them, the period of K3.  The first section of the array, from 32 to 57 ('upper part of the door'?) </t>
  </si>
  <si>
    <t xml:space="preserve">independent method for recognizing this array, in the coordinates:  38° 57' 6.5" N might be a </t>
  </si>
  <si>
    <t xml:space="preserve">reminder to Sanborn of an array 6 wide, 32 to 57, 6 lines at the bottom to be disregarded, </t>
  </si>
  <si>
    <t xml:space="preserve">x 12.)  But if we believe J. S., then from K4#64 to K4#69 N=B, Y=E, P=R, V=L, T=I &amp; T=N; and </t>
  </si>
  <si>
    <t xml:space="preserve">List of Integer Series (OEIS on the net) is full of fine "randomizers", but most are hideously </t>
  </si>
  <si>
    <t xml:space="preserve">and by the sum of the digits of the coordinates.  This proceeding also re-emphasizes the 192, </t>
  </si>
  <si>
    <t xml:space="preserve">by using just the first 26 lines, however ordered. </t>
  </si>
  <si>
    <t xml:space="preserve">Of course the array could be rearranged in any sequence, e.g. by KRYPTOS used as a key as </t>
  </si>
  <si>
    <t xml:space="preserve">it was in the Vigenaire tableau; or the pattern could be further disrupted by rearranging the Gray </t>
  </si>
  <si>
    <t xml:space="preserve">drawn on toroids, and Karnaugh maps on flat surfaces.  Those who are big on word-association, </t>
  </si>
  <si>
    <r>
      <t xml:space="preserve">(I must admit to being bigger on it now than heretofore) can convert </t>
    </r>
    <r>
      <rPr>
        <u/>
        <sz val="10"/>
        <color theme="1"/>
        <rFont val="Arial Unicode MS"/>
        <family val="2"/>
      </rPr>
      <t>Karnaugh</t>
    </r>
    <r>
      <rPr>
        <sz val="10"/>
        <color theme="1"/>
        <rFont val="Arial Unicode MS"/>
        <family val="2"/>
      </rPr>
      <t xml:space="preserve"> to </t>
    </r>
    <r>
      <rPr>
        <u/>
        <sz val="10"/>
        <color theme="1"/>
        <rFont val="Arial Unicode MS"/>
        <family val="2"/>
      </rPr>
      <t>Karnak</t>
    </r>
    <r>
      <rPr>
        <sz val="10"/>
        <color theme="1"/>
        <rFont val="Arial Unicode MS"/>
        <family val="2"/>
      </rPr>
      <t>, and go</t>
    </r>
  </si>
  <si>
    <t xml:space="preserve">Gray Codes I can understand why he feels like an anamath.  The one I believe is the simplest is </t>
  </si>
  <si>
    <t>36.  I recommend Gardner for a sufficient &amp; non-technical explanation.</t>
  </si>
  <si>
    <r>
      <t xml:space="preserve">#A014550, </t>
    </r>
    <r>
      <rPr>
        <u/>
        <sz val="10"/>
        <color theme="1"/>
        <rFont val="Arial Unicode MS"/>
        <family val="2"/>
      </rPr>
      <t>Binary Reflected Gray Code</t>
    </r>
    <r>
      <rPr>
        <sz val="10"/>
        <color theme="1"/>
        <rFont val="Arial Unicode MS"/>
        <family val="2"/>
      </rPr>
      <t xml:space="preserve">, though the OEIS only gives the numerals through Gray </t>
    </r>
  </si>
  <si>
    <t>(And sufficient cold brew), from KV62,</t>
  </si>
  <si>
    <t>So with pencil and paper, old son</t>
  </si>
  <si>
    <r>
      <t xml:space="preserve">Hm, beginning of K2 to 2nd query </t>
    </r>
    <r>
      <rPr>
        <i/>
        <sz val="8"/>
        <color theme="1"/>
        <rFont val="Arial Unicode MS"/>
        <family val="2"/>
      </rPr>
      <t>is</t>
    </r>
    <r>
      <rPr>
        <sz val="8"/>
        <color theme="1"/>
        <rFont val="Arial Unicode MS"/>
        <family val="2"/>
      </rPr>
      <t xml:space="preserve"> 1</t>
    </r>
    <r>
      <rPr>
        <u/>
        <sz val="8"/>
        <color theme="1"/>
        <rFont val="Arial Unicode MS"/>
        <family val="2"/>
      </rPr>
      <t>62</t>
    </r>
    <r>
      <rPr>
        <sz val="8"/>
        <color theme="1"/>
        <rFont val="Arial Unicode MS"/>
        <family val="2"/>
      </rPr>
      <t xml:space="preserve">, and 3rd query to the omitted "e" is </t>
    </r>
    <r>
      <rPr>
        <i/>
        <sz val="8"/>
        <color theme="1"/>
        <rFont val="Arial Unicode MS"/>
        <family val="2"/>
      </rPr>
      <t>another</t>
    </r>
    <r>
      <rPr>
        <sz val="8"/>
        <color theme="1"/>
        <rFont val="Arial Unicode MS"/>
        <family val="2"/>
      </rPr>
      <t xml:space="preserve"> 1</t>
    </r>
    <r>
      <rPr>
        <u/>
        <sz val="8"/>
        <color theme="1"/>
        <rFont val="Arial Unicode MS"/>
        <family val="2"/>
      </rPr>
      <t>62</t>
    </r>
    <r>
      <rPr>
        <sz val="8"/>
        <color theme="1"/>
        <rFont val="Arial Unicode MS"/>
        <family val="2"/>
      </rPr>
      <t>, KV=K5 ? ...</t>
    </r>
  </si>
  <si>
    <t xml:space="preserve">primary, and tell-tale, method for the intended recipient to be reminded of the Gray Code to </t>
  </si>
  <si>
    <t xml:space="preserve">be as follows:  </t>
  </si>
  <si>
    <r>
      <t>details, considers the numbers suggested by G-END-YA until he recalls that K</t>
    </r>
    <r>
      <rPr>
        <u/>
        <sz val="10"/>
        <color theme="1"/>
        <rFont val="Arial Unicode MS"/>
        <family val="2"/>
      </rPr>
      <t>1</t>
    </r>
    <r>
      <rPr>
        <sz val="10"/>
        <color theme="1"/>
        <rFont val="Arial Unicode MS"/>
        <family val="2"/>
      </rPr>
      <t xml:space="preserve"> refers to a </t>
    </r>
    <r>
      <rPr>
        <u/>
        <sz val="10"/>
        <color theme="1"/>
        <rFont val="Arial Unicode MS"/>
        <family val="2"/>
      </rPr>
      <t>32</t>
    </r>
    <r>
      <rPr>
        <sz val="10"/>
        <color theme="1"/>
        <rFont val="Arial Unicode MS"/>
        <family val="2"/>
      </rPr>
      <t>-</t>
    </r>
  </si>
  <si>
    <t>and is probably there to remind J. S. that YAR requires an "extra" letter, viz., K2#370, "G".</t>
  </si>
  <si>
    <t xml:space="preserve">forcing all the possible regular intervals.  I suppose that to be the case, though it seems to me </t>
  </si>
  <si>
    <t>that using it so, without any further complications, against any of our text just as given would be</t>
  </si>
  <si>
    <t xml:space="preserve">Carter's text omitted from J. S.' quote - YAR is is a very versatile key.  But I'm betting that the </t>
  </si>
  <si>
    <t xml:space="preserve">that the rest is routine drudge work, my recommendation would be to use the 457 letters from </t>
  </si>
  <si>
    <t>would give 192 again.  As the skip intervals of the series of zeroes are overall non-repetitive</t>
  </si>
  <si>
    <t xml:space="preserve">to begin on the matrix when once it is adjusted, if that be necessary, nor to what text to apply it.  </t>
  </si>
  <si>
    <t xml:space="preserve">the essentials of these observations on our Yahoo site, though being computer-unfriendly I still </t>
  </si>
  <si>
    <t xml:space="preserve">cannot locate the archives to check.  I am rather astonished that, considering the number of </t>
  </si>
  <si>
    <t xml:space="preserve">engineers, infotech, communications, &amp; computer kinds people we have here, that "Gray Code" </t>
  </si>
  <si>
    <t xml:space="preserve">apparently never rang a bell with someone.  Not to mention our intelligence contingent - surely </t>
  </si>
  <si>
    <t>;)</t>
  </si>
  <si>
    <t xml:space="preserve">Hamiltonian paths and hypercubes he mentions.  (He opens the chapter with his version </t>
  </si>
  <si>
    <r>
      <t xml:space="preserve">treated to </t>
    </r>
    <r>
      <rPr>
        <i/>
        <u/>
        <sz val="10"/>
        <color theme="1"/>
        <rFont val="Arial Unicode MS"/>
        <family val="2"/>
      </rPr>
      <t>The Break of The Old 97</t>
    </r>
    <r>
      <rPr>
        <sz val="10"/>
        <color theme="1"/>
        <rFont val="Arial Unicode MS"/>
        <family val="2"/>
      </rPr>
      <t>, but I daresay no one need worry about that for a bit.)</t>
    </r>
  </si>
  <si>
    <t xml:space="preserve">of a limerick on Gray Code, and I can't resist parody.  When K4 goes down you will all be </t>
  </si>
  <si>
    <r>
      <t xml:space="preserve">row array containing </t>
    </r>
    <r>
      <rPr>
        <u/>
        <sz val="10"/>
        <color theme="1"/>
        <rFont val="Arial Unicode MS"/>
        <family val="2"/>
      </rPr>
      <t>6</t>
    </r>
    <r>
      <rPr>
        <sz val="10"/>
        <color theme="1"/>
        <rFont val="Arial Unicode MS"/>
        <family val="2"/>
      </rPr>
      <t xml:space="preserve"> columns.  The "extra" "L" on the tableau occurs on the same level as YAR,</t>
    </r>
  </si>
  <si>
    <r>
      <t>two lines of K</t>
    </r>
    <r>
      <rPr>
        <u/>
        <sz val="10"/>
        <color theme="1"/>
        <rFont val="Arial Unicode MS"/>
        <family val="2"/>
      </rPr>
      <t>2</t>
    </r>
    <r>
      <rPr>
        <sz val="10"/>
        <color theme="1"/>
        <rFont val="Arial Unicode MS"/>
        <family val="2"/>
      </rPr>
      <t xml:space="preserve"> do contain a possible marker (?) just after K2#37 (and 38 is mentioned in the </t>
    </r>
  </si>
  <si>
    <t xml:space="preserve">a bit too obvious.  To be sure, the information given here does not tell us what text to pull from, </t>
  </si>
  <si>
    <t xml:space="preserve">sections separated by a midpoint at K2#193, or two 192-long sections without midpoint if you don't </t>
  </si>
  <si>
    <t>count the K3#15 spot where the omission is.  These could be used as a "double OTP"; i.e. convert</t>
  </si>
  <si>
    <t xml:space="preserve">I don't see much point in involving Morse if there is to be no fractionizing &amp; recombining.  </t>
  </si>
  <si>
    <r>
      <t xml:space="preserve">MASQU if you prefer. </t>
    </r>
    <r>
      <rPr>
        <b/>
        <i/>
        <sz val="10"/>
        <color theme="1"/>
        <rFont val="Arial Unicode MS"/>
        <family val="2"/>
      </rPr>
      <t>:)</t>
    </r>
    <r>
      <rPr>
        <sz val="10"/>
        <color theme="1"/>
        <rFont val="Arial Unicode MS"/>
        <family val="2"/>
      </rPr>
      <t xml:space="preserve">   234 = 3/2 x 156, as well as 370-136 (my old Point 3, figured from </t>
    </r>
  </si>
  <si>
    <t xml:space="preserve">59  (Where the standard binary value of the Gray Code equals 38).  This yields a total of 64 </t>
  </si>
  <si>
    <t xml:space="preserve">that the subject chunk of Gray Code is indeed Sanborn's Original Matrix, or that from which it </t>
  </si>
  <si>
    <t xml:space="preserve">is to be developed, I doubt it gets us very close to the "wonderful things".  Surely it must be the </t>
  </si>
  <si>
    <r>
      <t xml:space="preserve">a proper spook is humdrum, unobtrusive, alltäglich, downright quintessentially </t>
    </r>
    <r>
      <rPr>
        <i/>
        <sz val="10"/>
        <color theme="1"/>
        <rFont val="Arial Unicode MS"/>
        <family val="2"/>
      </rPr>
      <t>gray</t>
    </r>
    <r>
      <rPr>
        <sz val="10"/>
        <color theme="1"/>
        <rFont val="Arial Unicode MS"/>
        <family val="2"/>
      </rPr>
      <t xml:space="preserve">? </t>
    </r>
    <r>
      <rPr>
        <b/>
        <sz val="10"/>
        <color theme="1"/>
        <rFont val="Arial Unicode MS"/>
        <family val="2"/>
      </rPr>
      <t xml:space="preserve"> </t>
    </r>
  </si>
</sst>
</file>

<file path=xl/styles.xml><?xml version="1.0" encoding="utf-8"?>
<styleSheet xmlns="http://schemas.openxmlformats.org/spreadsheetml/2006/main">
  <fonts count="30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sz val="10"/>
      <color theme="1"/>
      <name val="Arial Unicode MS"/>
      <family val="2"/>
    </font>
    <font>
      <sz val="10"/>
      <name val="Arial Unicode MS"/>
      <family val="2"/>
    </font>
    <font>
      <b/>
      <sz val="12"/>
      <name val="Arial Unicode MS"/>
      <family val="2"/>
    </font>
    <font>
      <b/>
      <sz val="10"/>
      <color rgb="FFFF0000"/>
      <name val="Arial Unicode MS"/>
      <family val="2"/>
    </font>
    <font>
      <b/>
      <sz val="10"/>
      <color theme="1"/>
      <name val="Arial Unicode MS"/>
      <family val="2"/>
    </font>
    <font>
      <sz val="8"/>
      <color theme="1"/>
      <name val="Calibri"/>
      <family val="2"/>
      <scheme val="minor"/>
    </font>
    <font>
      <i/>
      <sz val="10"/>
      <color theme="1"/>
      <name val="Arial Unicode MS"/>
      <family val="2"/>
    </font>
    <font>
      <vertAlign val="superscript"/>
      <sz val="10"/>
      <color theme="1"/>
      <name val="Arial Unicode MS"/>
      <family val="2"/>
    </font>
    <font>
      <u/>
      <sz val="10"/>
      <color theme="1"/>
      <name val="Arial Unicode MS"/>
      <family val="2"/>
    </font>
    <font>
      <i/>
      <u/>
      <sz val="10"/>
      <color theme="1"/>
      <name val="Arial Unicode MS"/>
      <family val="2"/>
    </font>
    <font>
      <sz val="11"/>
      <color rgb="FFFF0000"/>
      <name val="Calibri"/>
      <family val="2"/>
      <scheme val="minor"/>
    </font>
    <font>
      <b/>
      <sz val="10"/>
      <color rgb="FF0070C0"/>
      <name val="Arial Unicode MS"/>
      <family val="2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8"/>
      <color theme="4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 Unicode MS"/>
      <family val="2"/>
    </font>
    <font>
      <sz val="9"/>
      <name val="Arial Unicode MS"/>
      <family val="2"/>
    </font>
    <font>
      <b/>
      <sz val="9"/>
      <name val="Arial Unicode MS"/>
      <family val="2"/>
    </font>
    <font>
      <b/>
      <sz val="10"/>
      <color theme="0" tint="-0.34998626667073579"/>
      <name val="Arial Unicode MS"/>
      <family val="2"/>
    </font>
    <font>
      <b/>
      <sz val="9"/>
      <color rgb="FF00B050"/>
      <name val="Arial Unicode MS"/>
      <family val="2"/>
    </font>
    <font>
      <b/>
      <i/>
      <sz val="10"/>
      <color theme="1"/>
      <name val="Arial Unicode MS"/>
      <family val="2"/>
    </font>
    <font>
      <sz val="10"/>
      <color theme="1"/>
      <name val="Cambria"/>
      <family val="1"/>
      <scheme val="major"/>
    </font>
    <font>
      <sz val="8"/>
      <color theme="1"/>
      <name val="Arial Unicode MS"/>
      <family val="2"/>
    </font>
    <font>
      <i/>
      <sz val="8"/>
      <color theme="1"/>
      <name val="Arial Unicode MS"/>
      <family val="2"/>
    </font>
    <font>
      <u/>
      <sz val="8"/>
      <color theme="1"/>
      <name val="Arial Unicode MS"/>
      <family val="2"/>
    </font>
  </fonts>
  <fills count="8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65"/>
        <bgColor theme="4" tint="0.59996337778862885"/>
      </patternFill>
    </fill>
    <fill>
      <patternFill patternType="lightUp">
        <fgColor rgb="FF92D050"/>
        <bgColor auto="1"/>
      </patternFill>
    </fill>
    <fill>
      <patternFill patternType="solid">
        <fgColor rgb="FFCCFF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mediumDashDotDot">
        <color auto="1"/>
      </left>
      <right/>
      <top style="mediumDashDotDot">
        <color auto="1"/>
      </top>
      <bottom/>
      <diagonal/>
    </border>
    <border>
      <left/>
      <right/>
      <top style="mediumDashDotDot">
        <color auto="1"/>
      </top>
      <bottom/>
      <diagonal/>
    </border>
    <border>
      <left/>
      <right style="mediumDashDotDot">
        <color auto="1"/>
      </right>
      <top style="mediumDashDotDot">
        <color auto="1"/>
      </top>
      <bottom/>
      <diagonal/>
    </border>
    <border>
      <left style="mediumDashDotDot">
        <color auto="1"/>
      </left>
      <right/>
      <top/>
      <bottom/>
      <diagonal/>
    </border>
    <border>
      <left/>
      <right style="mediumDashDotDot">
        <color auto="1"/>
      </right>
      <top/>
      <bottom/>
      <diagonal/>
    </border>
    <border>
      <left style="mediumDashDotDot">
        <color auto="1"/>
      </left>
      <right/>
      <top/>
      <bottom style="mediumDashDotDot">
        <color auto="1"/>
      </bottom>
      <diagonal/>
    </border>
    <border>
      <left/>
      <right/>
      <top/>
      <bottom style="mediumDashDotDot">
        <color auto="1"/>
      </bottom>
      <diagonal/>
    </border>
    <border>
      <left/>
      <right style="mediumDashDotDot">
        <color auto="1"/>
      </right>
      <top/>
      <bottom style="mediumDashDotDot">
        <color auto="1"/>
      </bottom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4" fillId="2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3" fillId="4" borderId="0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vertical="center"/>
    </xf>
    <xf numFmtId="0" fontId="7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7" fillId="0" borderId="10" xfId="0" applyFont="1" applyBorder="1" applyAlignment="1">
      <alignment horizontal="right" vertical="center"/>
    </xf>
    <xf numFmtId="0" fontId="7" fillId="0" borderId="10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13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6" fillId="5" borderId="0" xfId="0" applyFont="1" applyFill="1" applyBorder="1" applyAlignment="1">
      <alignment horizontal="center" vertical="center"/>
    </xf>
    <xf numFmtId="0" fontId="15" fillId="5" borderId="0" xfId="0" applyFont="1" applyFill="1" applyBorder="1" applyAlignment="1">
      <alignment horizontal="center" vertical="center"/>
    </xf>
    <xf numFmtId="0" fontId="16" fillId="6" borderId="0" xfId="0" applyFont="1" applyFill="1" applyBorder="1" applyAlignment="1">
      <alignment horizontal="center" vertical="center"/>
    </xf>
    <xf numFmtId="0" fontId="15" fillId="6" borderId="0" xfId="0" applyFont="1" applyFill="1" applyBorder="1" applyAlignment="1">
      <alignment horizontal="center" vertical="center"/>
    </xf>
    <xf numFmtId="0" fontId="20" fillId="2" borderId="0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1" fillId="3" borderId="0" xfId="0" applyFont="1" applyFill="1" applyBorder="1" applyAlignment="1">
      <alignment horizontal="center" vertical="center"/>
    </xf>
    <xf numFmtId="0" fontId="21" fillId="4" borderId="0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2" fillId="3" borderId="0" xfId="0" applyFont="1" applyFill="1" applyBorder="1" applyAlignment="1">
      <alignment horizontal="center" vertical="center"/>
    </xf>
    <xf numFmtId="0" fontId="22" fillId="2" borderId="0" xfId="0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2" fillId="4" borderId="0" xfId="0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center" vertical="center"/>
    </xf>
    <xf numFmtId="0" fontId="23" fillId="4" borderId="0" xfId="0" applyFont="1" applyFill="1" applyBorder="1" applyAlignment="1">
      <alignment horizontal="center" vertical="center"/>
    </xf>
    <xf numFmtId="0" fontId="20" fillId="4" borderId="0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18" fillId="0" borderId="0" xfId="0" applyFont="1" applyBorder="1" applyAlignment="1">
      <alignment vertical="center"/>
    </xf>
    <xf numFmtId="0" fontId="19" fillId="6" borderId="17" xfId="0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7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7" borderId="0" xfId="0" applyFont="1" applyFill="1" applyBorder="1" applyAlignment="1">
      <alignment vertical="center"/>
    </xf>
    <xf numFmtId="0" fontId="19" fillId="5" borderId="17" xfId="0" applyFont="1" applyFill="1" applyBorder="1" applyAlignment="1">
      <alignment horizontal="center" vertical="center"/>
    </xf>
    <xf numFmtId="0" fontId="19" fillId="7" borderId="17" xfId="0" applyFont="1" applyFill="1" applyBorder="1" applyAlignment="1">
      <alignment horizontal="center" vertical="center"/>
    </xf>
    <xf numFmtId="0" fontId="24" fillId="4" borderId="0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5" fillId="0" borderId="0" xfId="0" applyFont="1" applyAlignment="1">
      <alignment vertical="center"/>
    </xf>
  </cellXfs>
  <cellStyles count="1">
    <cellStyle name="Normal" xfId="0" builtinId="0"/>
  </cellStyles>
  <dxfs count="1">
    <dxf>
      <font>
        <b/>
        <i val="0"/>
        <strike val="0"/>
        <color rgb="FFFF0000"/>
      </font>
    </dxf>
  </dxfs>
  <tableStyles count="0" defaultTableStyle="TableStyleMedium9" defaultPivotStyle="PivotStyleLight16"/>
  <colors>
    <mruColors>
      <color rgb="FF99FF99"/>
      <color rgb="FFFFFF99"/>
      <color rgb="FFCCFF66"/>
      <color rgb="FFFF6699"/>
      <color rgb="FF66FFFF"/>
      <color rgb="FF9933FF"/>
      <color rgb="FFFF0066"/>
      <color rgb="FFCCFFCC"/>
      <color rgb="FFCCCC00"/>
      <color rgb="FF7D7547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N141"/>
  <sheetViews>
    <sheetView showGridLines="0" tabSelected="1" zoomScaleNormal="100" workbookViewId="0"/>
  </sheetViews>
  <sheetFormatPr defaultColWidth="3.85546875" defaultRowHeight="17.25" customHeight="1"/>
  <cols>
    <col min="1" max="1" width="3.85546875" style="4" customWidth="1"/>
    <col min="2" max="2" width="3.85546875" style="22" customWidth="1"/>
    <col min="3" max="25" width="3.85546875" style="4" customWidth="1"/>
    <col min="26" max="26" width="3.85546875" style="5" customWidth="1"/>
    <col min="27" max="30" width="3.85546875" style="23"/>
    <col min="31" max="38" width="3.85546875" style="23" customWidth="1"/>
    <col min="39" max="41" width="3.85546875" style="23"/>
    <col min="42" max="42" width="3.85546875" style="24" customWidth="1"/>
    <col min="43" max="43" width="3.85546875" style="24"/>
    <col min="44" max="16384" width="3.85546875" style="23"/>
  </cols>
  <sheetData>
    <row r="1" spans="2:66" ht="17.25" customHeight="1">
      <c r="AP1" s="23"/>
      <c r="AQ1" s="23"/>
    </row>
    <row r="2" spans="2:66" ht="17.25" customHeight="1">
      <c r="B2" s="22">
        <v>1</v>
      </c>
      <c r="D2" s="4" t="s">
        <v>26</v>
      </c>
      <c r="AF2" s="24" t="s">
        <v>99</v>
      </c>
      <c r="AP2" s="23"/>
      <c r="AQ2" s="23"/>
      <c r="AT2" s="24" t="s">
        <v>108</v>
      </c>
      <c r="BH2" s="24" t="s">
        <v>100</v>
      </c>
    </row>
    <row r="3" spans="2:66" ht="17.25" customHeight="1" thickBot="1">
      <c r="D3" s="4" t="s">
        <v>27</v>
      </c>
      <c r="AP3" s="23"/>
      <c r="AQ3" s="23"/>
    </row>
    <row r="4" spans="2:66" ht="17.25" customHeight="1">
      <c r="D4" s="4" t="s">
        <v>28</v>
      </c>
      <c r="AA4" s="29"/>
      <c r="AB4" s="30"/>
      <c r="AC4" s="30"/>
      <c r="AD4" s="31" t="s">
        <v>60</v>
      </c>
      <c r="AE4" s="30"/>
      <c r="AF4" s="30"/>
      <c r="AG4" s="30"/>
      <c r="AH4" s="30"/>
      <c r="AI4" s="30"/>
      <c r="AJ4" s="30"/>
      <c r="AK4" s="32" t="s">
        <v>61</v>
      </c>
      <c r="AL4" s="33"/>
      <c r="AN4" s="40"/>
      <c r="AO4" s="29"/>
      <c r="AP4" s="30"/>
      <c r="AQ4" s="30"/>
      <c r="AR4" s="31" t="s">
        <v>60</v>
      </c>
      <c r="AS4" s="30"/>
      <c r="AT4" s="30"/>
      <c r="AU4" s="30"/>
      <c r="AV4" s="30"/>
      <c r="AW4" s="30"/>
      <c r="AX4" s="30"/>
      <c r="AY4" s="32" t="s">
        <v>61</v>
      </c>
      <c r="AZ4" s="33"/>
      <c r="BA4" s="40"/>
      <c r="BB4" s="40"/>
      <c r="BC4" s="29"/>
      <c r="BD4" s="30"/>
      <c r="BE4" s="30"/>
      <c r="BF4" s="31" t="s">
        <v>60</v>
      </c>
      <c r="BG4" s="30"/>
      <c r="BH4" s="30"/>
      <c r="BI4" s="30"/>
      <c r="BJ4" s="30"/>
      <c r="BK4" s="30"/>
      <c r="BL4" s="30"/>
      <c r="BM4" s="32" t="s">
        <v>61</v>
      </c>
      <c r="BN4" s="33"/>
    </row>
    <row r="5" spans="2:66" ht="17.25" customHeight="1">
      <c r="D5" s="4" t="s">
        <v>29</v>
      </c>
      <c r="AA5" s="34"/>
      <c r="AB5" s="25"/>
      <c r="AC5" s="25"/>
      <c r="AD5" s="26" t="s">
        <v>62</v>
      </c>
      <c r="AE5" s="28">
        <v>32</v>
      </c>
      <c r="AF5" s="28">
        <v>16</v>
      </c>
      <c r="AG5" s="28">
        <v>8</v>
      </c>
      <c r="AH5" s="28">
        <v>4</v>
      </c>
      <c r="AI5" s="28">
        <v>2</v>
      </c>
      <c r="AJ5" s="28">
        <v>1</v>
      </c>
      <c r="AK5" s="27" t="s">
        <v>62</v>
      </c>
      <c r="AL5" s="35"/>
      <c r="AN5" s="41"/>
      <c r="AO5" s="34"/>
      <c r="AP5" s="25"/>
      <c r="AQ5" s="25"/>
      <c r="AR5" s="26" t="s">
        <v>62</v>
      </c>
      <c r="AS5" s="28">
        <v>32</v>
      </c>
      <c r="AT5" s="28">
        <v>16</v>
      </c>
      <c r="AU5" s="28">
        <v>8</v>
      </c>
      <c r="AV5" s="28">
        <v>4</v>
      </c>
      <c r="AW5" s="28">
        <v>2</v>
      </c>
      <c r="AX5" s="28">
        <v>1</v>
      </c>
      <c r="AY5" s="27" t="s">
        <v>62</v>
      </c>
      <c r="AZ5" s="35"/>
      <c r="BA5" s="41"/>
      <c r="BB5" s="41"/>
      <c r="BC5" s="34"/>
      <c r="BD5" s="25"/>
      <c r="BE5" s="25"/>
      <c r="BF5" s="26" t="s">
        <v>62</v>
      </c>
      <c r="BG5" s="28">
        <v>32</v>
      </c>
      <c r="BH5" s="28">
        <v>16</v>
      </c>
      <c r="BI5" s="28">
        <v>8</v>
      </c>
      <c r="BJ5" s="28">
        <v>4</v>
      </c>
      <c r="BK5" s="28">
        <v>2</v>
      </c>
      <c r="BL5" s="28">
        <v>1</v>
      </c>
      <c r="BM5" s="27" t="s">
        <v>62</v>
      </c>
      <c r="BN5" s="35"/>
    </row>
    <row r="6" spans="2:66" ht="17.25" customHeight="1">
      <c r="D6" s="4" t="s">
        <v>30</v>
      </c>
      <c r="AA6" s="34"/>
      <c r="AB6" s="61" t="s">
        <v>12</v>
      </c>
      <c r="AC6" s="51" t="s">
        <v>1</v>
      </c>
      <c r="AD6" s="57">
        <v>32</v>
      </c>
      <c r="AE6" s="7">
        <v>1</v>
      </c>
      <c r="AF6" s="8">
        <v>1</v>
      </c>
      <c r="AG6" s="8">
        <v>0</v>
      </c>
      <c r="AH6" s="8">
        <v>0</v>
      </c>
      <c r="AI6" s="8">
        <v>0</v>
      </c>
      <c r="AJ6" s="9">
        <v>0</v>
      </c>
      <c r="AK6" s="53">
        <v>48</v>
      </c>
      <c r="AL6" s="35"/>
      <c r="AN6" s="42"/>
      <c r="AO6" s="34"/>
      <c r="AP6" s="61" t="s">
        <v>12</v>
      </c>
      <c r="AQ6" s="51" t="s">
        <v>1</v>
      </c>
      <c r="AR6" s="57">
        <v>63</v>
      </c>
      <c r="AS6" s="7">
        <v>1</v>
      </c>
      <c r="AT6" s="8">
        <v>0</v>
      </c>
      <c r="AU6" s="8">
        <v>0</v>
      </c>
      <c r="AV6" s="8">
        <v>0</v>
      </c>
      <c r="AW6" s="8">
        <v>0</v>
      </c>
      <c r="AX6" s="9">
        <v>0</v>
      </c>
      <c r="AY6" s="56">
        <v>32</v>
      </c>
      <c r="AZ6" s="35"/>
      <c r="BA6" s="42"/>
      <c r="BB6" s="42"/>
      <c r="BC6" s="34"/>
      <c r="BD6" s="61" t="s">
        <v>1</v>
      </c>
      <c r="BE6" s="51" t="s">
        <v>20</v>
      </c>
      <c r="BF6" s="58">
        <v>39</v>
      </c>
      <c r="BG6" s="7">
        <v>1</v>
      </c>
      <c r="BH6" s="8">
        <v>1</v>
      </c>
      <c r="BI6" s="8">
        <v>0</v>
      </c>
      <c r="BJ6" s="8">
        <v>1</v>
      </c>
      <c r="BK6" s="8">
        <v>0</v>
      </c>
      <c r="BL6" s="9">
        <v>0</v>
      </c>
      <c r="BM6" s="53">
        <v>52</v>
      </c>
      <c r="BN6" s="35"/>
    </row>
    <row r="7" spans="2:66" ht="17.25" customHeight="1">
      <c r="D7" s="81" t="s">
        <v>63</v>
      </c>
      <c r="AA7" s="34"/>
      <c r="AB7" s="61" t="s">
        <v>5</v>
      </c>
      <c r="AC7" s="51" t="s">
        <v>17</v>
      </c>
      <c r="AD7" s="58">
        <v>33</v>
      </c>
      <c r="AE7" s="10">
        <v>1</v>
      </c>
      <c r="AF7" s="11">
        <v>1</v>
      </c>
      <c r="AG7" s="11">
        <v>0</v>
      </c>
      <c r="AH7" s="11">
        <v>0</v>
      </c>
      <c r="AI7" s="11">
        <v>0</v>
      </c>
      <c r="AJ7" s="12">
        <v>1</v>
      </c>
      <c r="AK7" s="53">
        <v>49</v>
      </c>
      <c r="AL7" s="35"/>
      <c r="AN7" s="39"/>
      <c r="AO7" s="34"/>
      <c r="AP7" s="61" t="s">
        <v>5</v>
      </c>
      <c r="AQ7" s="51" t="s">
        <v>17</v>
      </c>
      <c r="AR7" s="58">
        <v>62</v>
      </c>
      <c r="AS7" s="10">
        <v>1</v>
      </c>
      <c r="AT7" s="11">
        <v>0</v>
      </c>
      <c r="AU7" s="11">
        <v>0</v>
      </c>
      <c r="AV7" s="11">
        <v>0</v>
      </c>
      <c r="AW7" s="11">
        <v>0</v>
      </c>
      <c r="AX7" s="12">
        <v>1</v>
      </c>
      <c r="AY7" s="53">
        <v>33</v>
      </c>
      <c r="AZ7" s="35"/>
      <c r="BA7" s="39"/>
      <c r="BB7" s="39"/>
      <c r="BC7" s="34"/>
      <c r="BD7" s="62" t="s">
        <v>17</v>
      </c>
      <c r="BE7" s="63" t="s">
        <v>4</v>
      </c>
      <c r="BF7" s="54">
        <v>40</v>
      </c>
      <c r="BG7" s="13">
        <v>1</v>
      </c>
      <c r="BH7" s="14">
        <v>1</v>
      </c>
      <c r="BI7" s="14">
        <v>1</v>
      </c>
      <c r="BJ7" s="14">
        <v>1</v>
      </c>
      <c r="BK7" s="14">
        <v>0</v>
      </c>
      <c r="BL7" s="15">
        <v>0</v>
      </c>
      <c r="BM7" s="54">
        <v>60</v>
      </c>
      <c r="BN7" s="35"/>
    </row>
    <row r="8" spans="2:66" ht="17.25" customHeight="1">
      <c r="D8" s="81" t="s">
        <v>65</v>
      </c>
      <c r="AA8" s="34"/>
      <c r="AB8" s="62" t="s">
        <v>13</v>
      </c>
      <c r="AC8" s="63" t="s">
        <v>18</v>
      </c>
      <c r="AD8" s="54">
        <v>34</v>
      </c>
      <c r="AE8" s="13">
        <v>1</v>
      </c>
      <c r="AF8" s="14">
        <v>1</v>
      </c>
      <c r="AG8" s="14">
        <v>0</v>
      </c>
      <c r="AH8" s="14">
        <v>0</v>
      </c>
      <c r="AI8" s="14">
        <v>1</v>
      </c>
      <c r="AJ8" s="15">
        <v>1</v>
      </c>
      <c r="AK8" s="54">
        <v>51</v>
      </c>
      <c r="AL8" s="35"/>
      <c r="AO8" s="34"/>
      <c r="AP8" s="62" t="s">
        <v>13</v>
      </c>
      <c r="AQ8" s="63" t="s">
        <v>18</v>
      </c>
      <c r="AR8" s="54">
        <v>60</v>
      </c>
      <c r="AS8" s="13">
        <v>1</v>
      </c>
      <c r="AT8" s="14">
        <v>0</v>
      </c>
      <c r="AU8" s="14">
        <v>0</v>
      </c>
      <c r="AV8" s="14">
        <v>0</v>
      </c>
      <c r="AW8" s="14">
        <v>1</v>
      </c>
      <c r="AX8" s="15">
        <v>0</v>
      </c>
      <c r="AY8" s="54">
        <v>34</v>
      </c>
      <c r="AZ8" s="35"/>
      <c r="BC8" s="34"/>
      <c r="BD8" s="61" t="s">
        <v>18</v>
      </c>
      <c r="BE8" s="51" t="s">
        <v>21</v>
      </c>
      <c r="BF8" s="58">
        <v>41</v>
      </c>
      <c r="BG8" s="10">
        <v>1</v>
      </c>
      <c r="BH8" s="11">
        <v>1</v>
      </c>
      <c r="BI8" s="11">
        <v>1</v>
      </c>
      <c r="BJ8" s="11">
        <v>1</v>
      </c>
      <c r="BK8" s="11">
        <v>0</v>
      </c>
      <c r="BL8" s="12">
        <v>1</v>
      </c>
      <c r="BM8" s="53">
        <v>61</v>
      </c>
      <c r="BN8" s="35"/>
    </row>
    <row r="9" spans="2:66" ht="17.25" customHeight="1">
      <c r="D9" s="81" t="s">
        <v>64</v>
      </c>
      <c r="AA9" s="34"/>
      <c r="AB9" s="61" t="s">
        <v>14</v>
      </c>
      <c r="AC9" s="51" t="s">
        <v>19</v>
      </c>
      <c r="AD9" s="58">
        <v>35</v>
      </c>
      <c r="AE9" s="10">
        <v>1</v>
      </c>
      <c r="AF9" s="11">
        <v>1</v>
      </c>
      <c r="AG9" s="11">
        <v>0</v>
      </c>
      <c r="AH9" s="11">
        <v>0</v>
      </c>
      <c r="AI9" s="11">
        <v>1</v>
      </c>
      <c r="AJ9" s="12">
        <v>0</v>
      </c>
      <c r="AK9" s="53">
        <v>50</v>
      </c>
      <c r="AL9" s="35"/>
      <c r="AO9" s="34"/>
      <c r="AP9" s="61" t="s">
        <v>14</v>
      </c>
      <c r="AQ9" s="51" t="s">
        <v>19</v>
      </c>
      <c r="AR9" s="58">
        <v>61</v>
      </c>
      <c r="AS9" s="10">
        <v>1</v>
      </c>
      <c r="AT9" s="11">
        <v>0</v>
      </c>
      <c r="AU9" s="11">
        <v>0</v>
      </c>
      <c r="AV9" s="11">
        <v>0</v>
      </c>
      <c r="AW9" s="11">
        <v>1</v>
      </c>
      <c r="AX9" s="12">
        <v>1</v>
      </c>
      <c r="AY9" s="53">
        <v>35</v>
      </c>
      <c r="AZ9" s="35"/>
      <c r="BC9" s="34"/>
      <c r="BD9" s="61" t="s">
        <v>19</v>
      </c>
      <c r="BE9" s="51" t="s">
        <v>12</v>
      </c>
      <c r="BF9" s="58">
        <v>42</v>
      </c>
      <c r="BG9" s="10">
        <v>1</v>
      </c>
      <c r="BH9" s="11">
        <v>1</v>
      </c>
      <c r="BI9" s="11">
        <v>1</v>
      </c>
      <c r="BJ9" s="11">
        <v>1</v>
      </c>
      <c r="BK9" s="11">
        <v>1</v>
      </c>
      <c r="BL9" s="12">
        <v>1</v>
      </c>
      <c r="BM9" s="56">
        <v>63</v>
      </c>
      <c r="BN9" s="35"/>
    </row>
    <row r="10" spans="2:66" ht="17.25" customHeight="1">
      <c r="AA10" s="34"/>
      <c r="AB10" s="61" t="s">
        <v>6</v>
      </c>
      <c r="AC10" s="51" t="s">
        <v>2</v>
      </c>
      <c r="AD10" s="58">
        <v>36</v>
      </c>
      <c r="AE10" s="10">
        <v>1</v>
      </c>
      <c r="AF10" s="11">
        <v>1</v>
      </c>
      <c r="AG10" s="11">
        <v>0</v>
      </c>
      <c r="AH10" s="11">
        <v>1</v>
      </c>
      <c r="AI10" s="11">
        <v>1</v>
      </c>
      <c r="AJ10" s="12">
        <v>0</v>
      </c>
      <c r="AK10" s="53">
        <v>54</v>
      </c>
      <c r="AL10" s="35"/>
      <c r="AO10" s="34"/>
      <c r="AP10" s="61" t="s">
        <v>6</v>
      </c>
      <c r="AQ10" s="51" t="s">
        <v>2</v>
      </c>
      <c r="AR10" s="58">
        <v>56</v>
      </c>
      <c r="AS10" s="10">
        <v>1</v>
      </c>
      <c r="AT10" s="11">
        <v>0</v>
      </c>
      <c r="AU10" s="11">
        <v>0</v>
      </c>
      <c r="AV10" s="11">
        <v>1</v>
      </c>
      <c r="AW10" s="11">
        <v>0</v>
      </c>
      <c r="AX10" s="12">
        <v>0</v>
      </c>
      <c r="AY10" s="53">
        <v>36</v>
      </c>
      <c r="AZ10" s="35"/>
      <c r="BC10" s="34"/>
      <c r="BD10" s="62" t="s">
        <v>2</v>
      </c>
      <c r="BE10" s="63" t="s">
        <v>22</v>
      </c>
      <c r="BF10" s="54">
        <v>43</v>
      </c>
      <c r="BG10" s="13">
        <v>1</v>
      </c>
      <c r="BH10" s="14">
        <v>1</v>
      </c>
      <c r="BI10" s="14">
        <v>1</v>
      </c>
      <c r="BJ10" s="14">
        <v>1</v>
      </c>
      <c r="BK10" s="14">
        <v>1</v>
      </c>
      <c r="BL10" s="15">
        <v>0</v>
      </c>
      <c r="BM10" s="54">
        <v>62</v>
      </c>
      <c r="BN10" s="35"/>
    </row>
    <row r="11" spans="2:66" ht="17.25" customHeight="1">
      <c r="B11" s="22">
        <v>2</v>
      </c>
      <c r="D11" s="82" t="s">
        <v>109</v>
      </c>
      <c r="AA11" s="34"/>
      <c r="AB11" s="62" t="s">
        <v>15</v>
      </c>
      <c r="AC11" s="63" t="s">
        <v>0</v>
      </c>
      <c r="AD11" s="77">
        <v>37</v>
      </c>
      <c r="AE11" s="13">
        <v>1</v>
      </c>
      <c r="AF11" s="14">
        <v>1</v>
      </c>
      <c r="AG11" s="14">
        <v>0</v>
      </c>
      <c r="AH11" s="14">
        <v>1</v>
      </c>
      <c r="AI11" s="14">
        <v>1</v>
      </c>
      <c r="AJ11" s="15">
        <v>1</v>
      </c>
      <c r="AK11" s="54">
        <v>55</v>
      </c>
      <c r="AL11" s="35"/>
      <c r="AO11" s="34"/>
      <c r="AP11" s="62" t="s">
        <v>15</v>
      </c>
      <c r="AQ11" s="63" t="s">
        <v>0</v>
      </c>
      <c r="AR11" s="60">
        <v>57</v>
      </c>
      <c r="AS11" s="13">
        <v>1</v>
      </c>
      <c r="AT11" s="14">
        <v>0</v>
      </c>
      <c r="AU11" s="14">
        <v>0</v>
      </c>
      <c r="AV11" s="14">
        <v>1</v>
      </c>
      <c r="AW11" s="14">
        <v>0</v>
      </c>
      <c r="AX11" s="15">
        <v>1</v>
      </c>
      <c r="AY11" s="77">
        <v>37</v>
      </c>
      <c r="AZ11" s="35"/>
      <c r="BC11" s="34"/>
      <c r="BD11" s="61" t="s">
        <v>0</v>
      </c>
      <c r="BE11" s="51" t="s">
        <v>7</v>
      </c>
      <c r="BF11" s="58">
        <v>44</v>
      </c>
      <c r="BG11" s="10">
        <v>1</v>
      </c>
      <c r="BH11" s="11">
        <v>1</v>
      </c>
      <c r="BI11" s="11">
        <v>1</v>
      </c>
      <c r="BJ11" s="11">
        <v>0</v>
      </c>
      <c r="BK11" s="11">
        <v>1</v>
      </c>
      <c r="BL11" s="12">
        <v>0</v>
      </c>
      <c r="BM11" s="53">
        <v>58</v>
      </c>
      <c r="BN11" s="35"/>
    </row>
    <row r="12" spans="2:66" ht="17.25" customHeight="1">
      <c r="D12" s="5" t="s">
        <v>31</v>
      </c>
      <c r="AA12" s="34"/>
      <c r="AB12" s="61" t="s">
        <v>16</v>
      </c>
      <c r="AC12" s="51" t="s">
        <v>3</v>
      </c>
      <c r="AD12" s="58">
        <v>38</v>
      </c>
      <c r="AE12" s="10">
        <v>1</v>
      </c>
      <c r="AF12" s="11">
        <v>1</v>
      </c>
      <c r="AG12" s="11">
        <v>0</v>
      </c>
      <c r="AH12" s="11">
        <v>1</v>
      </c>
      <c r="AI12" s="11">
        <v>0</v>
      </c>
      <c r="AJ12" s="12">
        <v>1</v>
      </c>
      <c r="AK12" s="53">
        <v>53</v>
      </c>
      <c r="AL12" s="35"/>
      <c r="AO12" s="34"/>
      <c r="AP12" s="61" t="s">
        <v>16</v>
      </c>
      <c r="AQ12" s="51" t="s">
        <v>3</v>
      </c>
      <c r="AR12" s="58">
        <v>59</v>
      </c>
      <c r="AS12" s="10">
        <v>1</v>
      </c>
      <c r="AT12" s="11">
        <v>0</v>
      </c>
      <c r="AU12" s="11">
        <v>0</v>
      </c>
      <c r="AV12" s="11">
        <v>1</v>
      </c>
      <c r="AW12" s="11">
        <v>1</v>
      </c>
      <c r="AX12" s="12">
        <v>0</v>
      </c>
      <c r="AY12" s="53">
        <v>38</v>
      </c>
      <c r="AZ12" s="35"/>
      <c r="BC12" s="34"/>
      <c r="BD12" s="61" t="s">
        <v>3</v>
      </c>
      <c r="BE12" s="51" t="s">
        <v>8</v>
      </c>
      <c r="BF12" s="58">
        <v>45</v>
      </c>
      <c r="BG12" s="10">
        <v>1</v>
      </c>
      <c r="BH12" s="11">
        <v>1</v>
      </c>
      <c r="BI12" s="11">
        <v>1</v>
      </c>
      <c r="BJ12" s="11">
        <v>0</v>
      </c>
      <c r="BK12" s="11">
        <v>1</v>
      </c>
      <c r="BL12" s="12">
        <v>1</v>
      </c>
      <c r="BM12" s="53">
        <v>59</v>
      </c>
      <c r="BN12" s="35"/>
    </row>
    <row r="13" spans="2:66" ht="17.25" customHeight="1">
      <c r="D13" s="82" t="s">
        <v>66</v>
      </c>
      <c r="AA13" s="34"/>
      <c r="AB13" s="61" t="s">
        <v>1</v>
      </c>
      <c r="AC13" s="51" t="s">
        <v>20</v>
      </c>
      <c r="AD13" s="58">
        <v>39</v>
      </c>
      <c r="AE13" s="10">
        <v>1</v>
      </c>
      <c r="AF13" s="11">
        <v>1</v>
      </c>
      <c r="AG13" s="11">
        <v>0</v>
      </c>
      <c r="AH13" s="11">
        <v>1</v>
      </c>
      <c r="AI13" s="11">
        <v>0</v>
      </c>
      <c r="AJ13" s="12">
        <v>0</v>
      </c>
      <c r="AK13" s="53">
        <v>52</v>
      </c>
      <c r="AL13" s="35"/>
      <c r="AO13" s="34"/>
      <c r="AP13" s="61" t="s">
        <v>1</v>
      </c>
      <c r="AQ13" s="51" t="s">
        <v>20</v>
      </c>
      <c r="AR13" s="58">
        <v>58</v>
      </c>
      <c r="AS13" s="10">
        <v>1</v>
      </c>
      <c r="AT13" s="11">
        <v>0</v>
      </c>
      <c r="AU13" s="11">
        <v>0</v>
      </c>
      <c r="AV13" s="11">
        <v>1</v>
      </c>
      <c r="AW13" s="11">
        <v>1</v>
      </c>
      <c r="AX13" s="12">
        <v>1</v>
      </c>
      <c r="AY13" s="53">
        <v>39</v>
      </c>
      <c r="AZ13" s="35"/>
      <c r="BC13" s="34"/>
      <c r="BD13" s="62" t="s">
        <v>20</v>
      </c>
      <c r="BE13" s="63" t="s">
        <v>15</v>
      </c>
      <c r="BF13" s="54">
        <v>46</v>
      </c>
      <c r="BG13" s="13">
        <v>1</v>
      </c>
      <c r="BH13" s="14">
        <v>1</v>
      </c>
      <c r="BI13" s="14">
        <v>1</v>
      </c>
      <c r="BJ13" s="14">
        <v>0</v>
      </c>
      <c r="BK13" s="14">
        <v>0</v>
      </c>
      <c r="BL13" s="15">
        <v>1</v>
      </c>
      <c r="BM13" s="60">
        <v>57</v>
      </c>
      <c r="BN13" s="35"/>
    </row>
    <row r="14" spans="2:66" ht="17.25" customHeight="1">
      <c r="D14" s="82" t="s">
        <v>111</v>
      </c>
      <c r="AA14" s="34"/>
      <c r="AB14" s="62" t="s">
        <v>17</v>
      </c>
      <c r="AC14" s="63" t="s">
        <v>4</v>
      </c>
      <c r="AD14" s="54">
        <v>40</v>
      </c>
      <c r="AE14" s="13">
        <v>1</v>
      </c>
      <c r="AF14" s="14">
        <v>1</v>
      </c>
      <c r="AG14" s="14">
        <v>1</v>
      </c>
      <c r="AH14" s="14">
        <v>1</v>
      </c>
      <c r="AI14" s="14">
        <v>0</v>
      </c>
      <c r="AJ14" s="15">
        <v>0</v>
      </c>
      <c r="AK14" s="54">
        <v>60</v>
      </c>
      <c r="AL14" s="35"/>
      <c r="AO14" s="34"/>
      <c r="AP14" s="62" t="s">
        <v>17</v>
      </c>
      <c r="AQ14" s="63" t="s">
        <v>4</v>
      </c>
      <c r="AR14" s="54">
        <v>48</v>
      </c>
      <c r="AS14" s="13">
        <v>1</v>
      </c>
      <c r="AT14" s="14">
        <v>0</v>
      </c>
      <c r="AU14" s="14">
        <v>1</v>
      </c>
      <c r="AV14" s="14">
        <v>0</v>
      </c>
      <c r="AW14" s="14">
        <v>0</v>
      </c>
      <c r="AX14" s="15">
        <v>0</v>
      </c>
      <c r="AY14" s="54">
        <v>40</v>
      </c>
      <c r="AZ14" s="35"/>
      <c r="BC14" s="34"/>
      <c r="BD14" s="61" t="s">
        <v>4</v>
      </c>
      <c r="BE14" s="51" t="s">
        <v>14</v>
      </c>
      <c r="BF14" s="58">
        <v>47</v>
      </c>
      <c r="BG14" s="10">
        <v>1</v>
      </c>
      <c r="BH14" s="11">
        <v>1</v>
      </c>
      <c r="BI14" s="11">
        <v>1</v>
      </c>
      <c r="BJ14" s="11">
        <v>0</v>
      </c>
      <c r="BK14" s="11">
        <v>0</v>
      </c>
      <c r="BL14" s="12">
        <v>0</v>
      </c>
      <c r="BM14" s="53">
        <v>56</v>
      </c>
      <c r="BN14" s="35"/>
    </row>
    <row r="15" spans="2:66" ht="17.25" customHeight="1">
      <c r="D15" s="5" t="s">
        <v>32</v>
      </c>
      <c r="AA15" s="34"/>
      <c r="AB15" s="61" t="s">
        <v>18</v>
      </c>
      <c r="AC15" s="51" t="s">
        <v>21</v>
      </c>
      <c r="AD15" s="58">
        <v>41</v>
      </c>
      <c r="AE15" s="10">
        <v>1</v>
      </c>
      <c r="AF15" s="11">
        <v>1</v>
      </c>
      <c r="AG15" s="11">
        <v>1</v>
      </c>
      <c r="AH15" s="11">
        <v>1</v>
      </c>
      <c r="AI15" s="11">
        <v>0</v>
      </c>
      <c r="AJ15" s="12">
        <v>1</v>
      </c>
      <c r="AK15" s="53">
        <v>61</v>
      </c>
      <c r="AL15" s="35"/>
      <c r="AO15" s="34"/>
      <c r="AP15" s="61" t="s">
        <v>18</v>
      </c>
      <c r="AQ15" s="51" t="s">
        <v>21</v>
      </c>
      <c r="AR15" s="58">
        <v>49</v>
      </c>
      <c r="AS15" s="10">
        <v>1</v>
      </c>
      <c r="AT15" s="11">
        <v>0</v>
      </c>
      <c r="AU15" s="11">
        <v>1</v>
      </c>
      <c r="AV15" s="11">
        <v>0</v>
      </c>
      <c r="AW15" s="11">
        <v>0</v>
      </c>
      <c r="AX15" s="12">
        <v>1</v>
      </c>
      <c r="AY15" s="53">
        <v>41</v>
      </c>
      <c r="AZ15" s="35"/>
      <c r="BC15" s="34"/>
      <c r="BD15" s="61" t="s">
        <v>21</v>
      </c>
      <c r="BE15" s="51" t="s">
        <v>24</v>
      </c>
      <c r="BF15" s="58">
        <v>48</v>
      </c>
      <c r="BG15" s="10">
        <v>1</v>
      </c>
      <c r="BH15" s="11">
        <v>0</v>
      </c>
      <c r="BI15" s="11">
        <v>1</v>
      </c>
      <c r="BJ15" s="11">
        <v>0</v>
      </c>
      <c r="BK15" s="11">
        <v>0</v>
      </c>
      <c r="BL15" s="12">
        <v>0</v>
      </c>
      <c r="BM15" s="53">
        <v>40</v>
      </c>
      <c r="BN15" s="35"/>
    </row>
    <row r="16" spans="2:66" ht="17.25" customHeight="1">
      <c r="D16" s="82" t="s">
        <v>110</v>
      </c>
      <c r="AA16" s="34"/>
      <c r="AB16" s="61" t="s">
        <v>19</v>
      </c>
      <c r="AC16" s="51" t="s">
        <v>12</v>
      </c>
      <c r="AD16" s="58">
        <v>42</v>
      </c>
      <c r="AE16" s="10">
        <v>1</v>
      </c>
      <c r="AF16" s="11">
        <v>1</v>
      </c>
      <c r="AG16" s="11">
        <v>1</v>
      </c>
      <c r="AH16" s="11">
        <v>1</v>
      </c>
      <c r="AI16" s="11">
        <v>1</v>
      </c>
      <c r="AJ16" s="12">
        <v>1</v>
      </c>
      <c r="AK16" s="56">
        <v>63</v>
      </c>
      <c r="AL16" s="35"/>
      <c r="AO16" s="34"/>
      <c r="AP16" s="61" t="s">
        <v>19</v>
      </c>
      <c r="AQ16" s="51" t="s">
        <v>12</v>
      </c>
      <c r="AR16" s="58">
        <v>51</v>
      </c>
      <c r="AS16" s="10">
        <v>1</v>
      </c>
      <c r="AT16" s="11">
        <v>0</v>
      </c>
      <c r="AU16" s="11">
        <v>1</v>
      </c>
      <c r="AV16" s="11">
        <v>0</v>
      </c>
      <c r="AW16" s="11">
        <v>1</v>
      </c>
      <c r="AX16" s="12">
        <v>0</v>
      </c>
      <c r="AY16" s="53">
        <v>42</v>
      </c>
      <c r="AZ16" s="35"/>
      <c r="BC16" s="34"/>
      <c r="BD16" s="61" t="s">
        <v>12</v>
      </c>
      <c r="BE16" s="51" t="s">
        <v>1</v>
      </c>
      <c r="BF16" s="57">
        <v>32</v>
      </c>
      <c r="BG16" s="10">
        <v>1</v>
      </c>
      <c r="BH16" s="11">
        <v>1</v>
      </c>
      <c r="BI16" s="11">
        <v>0</v>
      </c>
      <c r="BJ16" s="11">
        <v>0</v>
      </c>
      <c r="BK16" s="11">
        <v>0</v>
      </c>
      <c r="BL16" s="12">
        <v>0</v>
      </c>
      <c r="BM16" s="53">
        <v>48</v>
      </c>
      <c r="BN16" s="35"/>
    </row>
    <row r="17" spans="2:66" ht="17.25" customHeight="1">
      <c r="D17" s="82" t="s">
        <v>84</v>
      </c>
      <c r="AA17" s="34"/>
      <c r="AB17" s="62" t="s">
        <v>2</v>
      </c>
      <c r="AC17" s="63" t="s">
        <v>22</v>
      </c>
      <c r="AD17" s="54">
        <v>43</v>
      </c>
      <c r="AE17" s="13">
        <v>1</v>
      </c>
      <c r="AF17" s="14">
        <v>1</v>
      </c>
      <c r="AG17" s="14">
        <v>1</v>
      </c>
      <c r="AH17" s="14">
        <v>1</v>
      </c>
      <c r="AI17" s="14">
        <v>1</v>
      </c>
      <c r="AJ17" s="15">
        <v>0</v>
      </c>
      <c r="AK17" s="54">
        <v>62</v>
      </c>
      <c r="AL17" s="35"/>
      <c r="AO17" s="34"/>
      <c r="AP17" s="62" t="s">
        <v>2</v>
      </c>
      <c r="AQ17" s="63" t="s">
        <v>22</v>
      </c>
      <c r="AR17" s="54">
        <v>50</v>
      </c>
      <c r="AS17" s="13">
        <v>1</v>
      </c>
      <c r="AT17" s="14">
        <v>0</v>
      </c>
      <c r="AU17" s="14">
        <v>1</v>
      </c>
      <c r="AV17" s="14">
        <v>0</v>
      </c>
      <c r="AW17" s="14">
        <v>1</v>
      </c>
      <c r="AX17" s="15">
        <v>1</v>
      </c>
      <c r="AY17" s="54">
        <v>43</v>
      </c>
      <c r="AZ17" s="35"/>
      <c r="BC17" s="34"/>
      <c r="BD17" s="62" t="s">
        <v>22</v>
      </c>
      <c r="BE17" s="63" t="s">
        <v>5</v>
      </c>
      <c r="BF17" s="54">
        <v>49</v>
      </c>
      <c r="BG17" s="13">
        <v>1</v>
      </c>
      <c r="BH17" s="14">
        <v>0</v>
      </c>
      <c r="BI17" s="14">
        <v>1</v>
      </c>
      <c r="BJ17" s="14">
        <v>0</v>
      </c>
      <c r="BK17" s="14">
        <v>0</v>
      </c>
      <c r="BL17" s="15">
        <v>1</v>
      </c>
      <c r="BM17" s="54">
        <v>41</v>
      </c>
      <c r="BN17" s="35"/>
    </row>
    <row r="18" spans="2:66" ht="17.25" customHeight="1">
      <c r="D18" s="5" t="s">
        <v>33</v>
      </c>
      <c r="AA18" s="34"/>
      <c r="AB18" s="61" t="s">
        <v>0</v>
      </c>
      <c r="AC18" s="51" t="s">
        <v>7</v>
      </c>
      <c r="AD18" s="58">
        <v>44</v>
      </c>
      <c r="AE18" s="10">
        <v>1</v>
      </c>
      <c r="AF18" s="11">
        <v>1</v>
      </c>
      <c r="AG18" s="11">
        <v>1</v>
      </c>
      <c r="AH18" s="11">
        <v>0</v>
      </c>
      <c r="AI18" s="11">
        <v>1</v>
      </c>
      <c r="AJ18" s="12">
        <v>0</v>
      </c>
      <c r="AK18" s="53">
        <v>58</v>
      </c>
      <c r="AL18" s="35"/>
      <c r="AO18" s="34"/>
      <c r="AP18" s="61" t="s">
        <v>0</v>
      </c>
      <c r="AQ18" s="51" t="s">
        <v>7</v>
      </c>
      <c r="AR18" s="58">
        <v>55</v>
      </c>
      <c r="AS18" s="10">
        <v>1</v>
      </c>
      <c r="AT18" s="11">
        <v>0</v>
      </c>
      <c r="AU18" s="11">
        <v>1</v>
      </c>
      <c r="AV18" s="11">
        <v>1</v>
      </c>
      <c r="AW18" s="11">
        <v>0</v>
      </c>
      <c r="AX18" s="12">
        <v>0</v>
      </c>
      <c r="AY18" s="53">
        <v>44</v>
      </c>
      <c r="AZ18" s="35"/>
      <c r="BC18" s="34"/>
      <c r="BD18" s="61" t="s">
        <v>7</v>
      </c>
      <c r="BE18" s="51" t="s">
        <v>16</v>
      </c>
      <c r="BF18" s="58">
        <v>50</v>
      </c>
      <c r="BG18" s="10">
        <v>1</v>
      </c>
      <c r="BH18" s="11">
        <v>0</v>
      </c>
      <c r="BI18" s="11">
        <v>1</v>
      </c>
      <c r="BJ18" s="11">
        <v>0</v>
      </c>
      <c r="BK18" s="11">
        <v>1</v>
      </c>
      <c r="BL18" s="12">
        <v>1</v>
      </c>
      <c r="BM18" s="53">
        <v>43</v>
      </c>
      <c r="BN18" s="35"/>
    </row>
    <row r="19" spans="2:66" ht="17.25" customHeight="1">
      <c r="D19" s="5" t="s">
        <v>34</v>
      </c>
      <c r="AA19" s="34"/>
      <c r="AB19" s="61" t="s">
        <v>3</v>
      </c>
      <c r="AC19" s="51" t="s">
        <v>8</v>
      </c>
      <c r="AD19" s="58">
        <v>45</v>
      </c>
      <c r="AE19" s="10">
        <v>1</v>
      </c>
      <c r="AF19" s="11">
        <v>1</v>
      </c>
      <c r="AG19" s="11">
        <v>1</v>
      </c>
      <c r="AH19" s="11">
        <v>0</v>
      </c>
      <c r="AI19" s="11">
        <v>1</v>
      </c>
      <c r="AJ19" s="12">
        <v>1</v>
      </c>
      <c r="AK19" s="53">
        <v>59</v>
      </c>
      <c r="AL19" s="35"/>
      <c r="AO19" s="34"/>
      <c r="AP19" s="61" t="s">
        <v>3</v>
      </c>
      <c r="AQ19" s="51" t="s">
        <v>8</v>
      </c>
      <c r="AR19" s="58">
        <v>54</v>
      </c>
      <c r="AS19" s="10">
        <v>1</v>
      </c>
      <c r="AT19" s="11">
        <v>0</v>
      </c>
      <c r="AU19" s="11">
        <v>1</v>
      </c>
      <c r="AV19" s="11">
        <v>1</v>
      </c>
      <c r="AW19" s="11">
        <v>0</v>
      </c>
      <c r="AX19" s="12">
        <v>1</v>
      </c>
      <c r="AY19" s="53">
        <v>45</v>
      </c>
      <c r="AZ19" s="35"/>
      <c r="BC19" s="34"/>
      <c r="BD19" s="61" t="s">
        <v>8</v>
      </c>
      <c r="BE19" s="51" t="s">
        <v>6</v>
      </c>
      <c r="BF19" s="58">
        <v>51</v>
      </c>
      <c r="BG19" s="10">
        <v>1</v>
      </c>
      <c r="BH19" s="11">
        <v>0</v>
      </c>
      <c r="BI19" s="11">
        <v>1</v>
      </c>
      <c r="BJ19" s="11">
        <v>0</v>
      </c>
      <c r="BK19" s="11">
        <v>1</v>
      </c>
      <c r="BL19" s="12">
        <v>0</v>
      </c>
      <c r="BM19" s="53">
        <v>42</v>
      </c>
      <c r="BN19" s="35"/>
    </row>
    <row r="20" spans="2:66" ht="17.25" customHeight="1">
      <c r="D20" s="82" t="s">
        <v>112</v>
      </c>
      <c r="AA20" s="34"/>
      <c r="AB20" s="62" t="s">
        <v>20</v>
      </c>
      <c r="AC20" s="63" t="s">
        <v>15</v>
      </c>
      <c r="AD20" s="54">
        <v>46</v>
      </c>
      <c r="AE20" s="13">
        <v>1</v>
      </c>
      <c r="AF20" s="14">
        <v>1</v>
      </c>
      <c r="AG20" s="14">
        <v>1</v>
      </c>
      <c r="AH20" s="14">
        <v>0</v>
      </c>
      <c r="AI20" s="14">
        <v>0</v>
      </c>
      <c r="AJ20" s="15">
        <v>1</v>
      </c>
      <c r="AK20" s="60">
        <v>57</v>
      </c>
      <c r="AL20" s="35"/>
      <c r="AO20" s="34"/>
      <c r="AP20" s="62" t="s">
        <v>20</v>
      </c>
      <c r="AQ20" s="63" t="s">
        <v>15</v>
      </c>
      <c r="AR20" s="54">
        <v>52</v>
      </c>
      <c r="AS20" s="13">
        <v>1</v>
      </c>
      <c r="AT20" s="14">
        <v>0</v>
      </c>
      <c r="AU20" s="14">
        <v>1</v>
      </c>
      <c r="AV20" s="14">
        <v>1</v>
      </c>
      <c r="AW20" s="14">
        <v>1</v>
      </c>
      <c r="AX20" s="15">
        <v>0</v>
      </c>
      <c r="AY20" s="54">
        <v>46</v>
      </c>
      <c r="AZ20" s="35"/>
      <c r="BC20" s="34"/>
      <c r="BD20" s="62" t="s">
        <v>15</v>
      </c>
      <c r="BE20" s="63" t="s">
        <v>0</v>
      </c>
      <c r="BF20" s="77">
        <v>37</v>
      </c>
      <c r="BG20" s="13">
        <v>1</v>
      </c>
      <c r="BH20" s="14">
        <v>1</v>
      </c>
      <c r="BI20" s="14">
        <v>0</v>
      </c>
      <c r="BJ20" s="14">
        <v>1</v>
      </c>
      <c r="BK20" s="14">
        <v>1</v>
      </c>
      <c r="BL20" s="15">
        <v>1</v>
      </c>
      <c r="BM20" s="54">
        <v>55</v>
      </c>
      <c r="BN20" s="35"/>
    </row>
    <row r="21" spans="2:66" ht="17.25" customHeight="1">
      <c r="D21" s="81" t="s">
        <v>113</v>
      </c>
      <c r="AA21" s="34"/>
      <c r="AB21" s="61" t="s">
        <v>4</v>
      </c>
      <c r="AC21" s="51" t="s">
        <v>14</v>
      </c>
      <c r="AD21" s="58">
        <v>47</v>
      </c>
      <c r="AE21" s="10">
        <v>1</v>
      </c>
      <c r="AF21" s="11">
        <v>1</v>
      </c>
      <c r="AG21" s="11">
        <v>1</v>
      </c>
      <c r="AH21" s="11">
        <v>0</v>
      </c>
      <c r="AI21" s="11">
        <v>0</v>
      </c>
      <c r="AJ21" s="12">
        <v>0</v>
      </c>
      <c r="AK21" s="53">
        <v>56</v>
      </c>
      <c r="AL21" s="35"/>
      <c r="AO21" s="34"/>
      <c r="AP21" s="61" t="s">
        <v>4</v>
      </c>
      <c r="AQ21" s="51" t="s">
        <v>14</v>
      </c>
      <c r="AR21" s="58">
        <v>53</v>
      </c>
      <c r="AS21" s="10">
        <v>1</v>
      </c>
      <c r="AT21" s="11">
        <v>0</v>
      </c>
      <c r="AU21" s="11">
        <v>1</v>
      </c>
      <c r="AV21" s="11">
        <v>1</v>
      </c>
      <c r="AW21" s="11">
        <v>1</v>
      </c>
      <c r="AX21" s="12">
        <v>1</v>
      </c>
      <c r="AY21" s="53">
        <v>47</v>
      </c>
      <c r="AZ21" s="35"/>
      <c r="BC21" s="34"/>
      <c r="BD21" s="61" t="s">
        <v>14</v>
      </c>
      <c r="BE21" s="51" t="s">
        <v>19</v>
      </c>
      <c r="BF21" s="58">
        <v>35</v>
      </c>
      <c r="BG21" s="10">
        <v>1</v>
      </c>
      <c r="BH21" s="11">
        <v>1</v>
      </c>
      <c r="BI21" s="11">
        <v>0</v>
      </c>
      <c r="BJ21" s="11">
        <v>0</v>
      </c>
      <c r="BK21" s="11">
        <v>1</v>
      </c>
      <c r="BL21" s="12">
        <v>0</v>
      </c>
      <c r="BM21" s="53">
        <v>50</v>
      </c>
      <c r="BN21" s="35"/>
    </row>
    <row r="22" spans="2:66" ht="17.25" customHeight="1">
      <c r="D22" s="5" t="s">
        <v>35</v>
      </c>
      <c r="AA22" s="34"/>
      <c r="AB22" s="61" t="s">
        <v>21</v>
      </c>
      <c r="AC22" s="51" t="s">
        <v>24</v>
      </c>
      <c r="AD22" s="58">
        <v>48</v>
      </c>
      <c r="AE22" s="10">
        <v>1</v>
      </c>
      <c r="AF22" s="11">
        <v>0</v>
      </c>
      <c r="AG22" s="11">
        <v>1</v>
      </c>
      <c r="AH22" s="11">
        <v>0</v>
      </c>
      <c r="AI22" s="11">
        <v>0</v>
      </c>
      <c r="AJ22" s="12">
        <v>0</v>
      </c>
      <c r="AK22" s="53">
        <v>40</v>
      </c>
      <c r="AL22" s="35"/>
      <c r="AO22" s="34"/>
      <c r="AP22" s="61" t="s">
        <v>21</v>
      </c>
      <c r="AQ22" s="51" t="s">
        <v>24</v>
      </c>
      <c r="AR22" s="58">
        <v>32</v>
      </c>
      <c r="AS22" s="10">
        <v>1</v>
      </c>
      <c r="AT22" s="11">
        <v>1</v>
      </c>
      <c r="AU22" s="11">
        <v>0</v>
      </c>
      <c r="AV22" s="11">
        <v>0</v>
      </c>
      <c r="AW22" s="11">
        <v>0</v>
      </c>
      <c r="AX22" s="12">
        <v>0</v>
      </c>
      <c r="AY22" s="53">
        <v>48</v>
      </c>
      <c r="AZ22" s="35"/>
      <c r="BC22" s="34"/>
      <c r="BD22" s="62" t="s">
        <v>24</v>
      </c>
      <c r="BE22" s="63" t="s">
        <v>9</v>
      </c>
      <c r="BF22" s="54">
        <v>52</v>
      </c>
      <c r="BG22" s="13">
        <v>1</v>
      </c>
      <c r="BH22" s="14">
        <v>0</v>
      </c>
      <c r="BI22" s="14">
        <v>1</v>
      </c>
      <c r="BJ22" s="14">
        <v>1</v>
      </c>
      <c r="BK22" s="14">
        <v>1</v>
      </c>
      <c r="BL22" s="15">
        <v>0</v>
      </c>
      <c r="BM22" s="54">
        <v>46</v>
      </c>
      <c r="BN22" s="35"/>
    </row>
    <row r="23" spans="2:66" ht="17.25" customHeight="1">
      <c r="D23" s="82" t="s">
        <v>128</v>
      </c>
      <c r="AA23" s="34"/>
      <c r="AB23" s="62" t="s">
        <v>22</v>
      </c>
      <c r="AC23" s="63" t="s">
        <v>5</v>
      </c>
      <c r="AD23" s="54">
        <v>49</v>
      </c>
      <c r="AE23" s="13">
        <v>1</v>
      </c>
      <c r="AF23" s="14">
        <v>0</v>
      </c>
      <c r="AG23" s="14">
        <v>1</v>
      </c>
      <c r="AH23" s="14">
        <v>0</v>
      </c>
      <c r="AI23" s="14">
        <v>0</v>
      </c>
      <c r="AJ23" s="15">
        <v>1</v>
      </c>
      <c r="AK23" s="54">
        <v>41</v>
      </c>
      <c r="AL23" s="35"/>
      <c r="AO23" s="34"/>
      <c r="AP23" s="62" t="s">
        <v>22</v>
      </c>
      <c r="AQ23" s="63" t="s">
        <v>5</v>
      </c>
      <c r="AR23" s="54">
        <v>33</v>
      </c>
      <c r="AS23" s="13">
        <v>1</v>
      </c>
      <c r="AT23" s="14">
        <v>1</v>
      </c>
      <c r="AU23" s="14">
        <v>0</v>
      </c>
      <c r="AV23" s="14">
        <v>0</v>
      </c>
      <c r="AW23" s="14">
        <v>0</v>
      </c>
      <c r="AX23" s="15">
        <v>1</v>
      </c>
      <c r="AY23" s="54">
        <v>49</v>
      </c>
      <c r="AZ23" s="35"/>
      <c r="BC23" s="34"/>
      <c r="BD23" s="61" t="s">
        <v>5</v>
      </c>
      <c r="BE23" s="51" t="s">
        <v>17</v>
      </c>
      <c r="BF23" s="58">
        <v>33</v>
      </c>
      <c r="BG23" s="10">
        <v>1</v>
      </c>
      <c r="BH23" s="11">
        <v>1</v>
      </c>
      <c r="BI23" s="11">
        <v>0</v>
      </c>
      <c r="BJ23" s="11">
        <v>0</v>
      </c>
      <c r="BK23" s="11">
        <v>0</v>
      </c>
      <c r="BL23" s="12">
        <v>1</v>
      </c>
      <c r="BM23" s="53">
        <v>49</v>
      </c>
      <c r="BN23" s="35"/>
    </row>
    <row r="24" spans="2:66" ht="17.25" customHeight="1">
      <c r="D24" s="5" t="s">
        <v>129</v>
      </c>
      <c r="AA24" s="34"/>
      <c r="AB24" s="61" t="s">
        <v>7</v>
      </c>
      <c r="AC24" s="51" t="s">
        <v>16</v>
      </c>
      <c r="AD24" s="58">
        <v>50</v>
      </c>
      <c r="AE24" s="10">
        <v>1</v>
      </c>
      <c r="AF24" s="11">
        <v>0</v>
      </c>
      <c r="AG24" s="11">
        <v>1</v>
      </c>
      <c r="AH24" s="11">
        <v>0</v>
      </c>
      <c r="AI24" s="11">
        <v>1</v>
      </c>
      <c r="AJ24" s="12">
        <v>1</v>
      </c>
      <c r="AK24" s="53">
        <v>43</v>
      </c>
      <c r="AL24" s="35"/>
      <c r="AO24" s="34"/>
      <c r="AP24" s="61" t="s">
        <v>7</v>
      </c>
      <c r="AQ24" s="51" t="s">
        <v>16</v>
      </c>
      <c r="AR24" s="58">
        <v>35</v>
      </c>
      <c r="AS24" s="10">
        <v>1</v>
      </c>
      <c r="AT24" s="11">
        <v>1</v>
      </c>
      <c r="AU24" s="11">
        <v>0</v>
      </c>
      <c r="AV24" s="11">
        <v>0</v>
      </c>
      <c r="AW24" s="11">
        <v>1</v>
      </c>
      <c r="AX24" s="12">
        <v>0</v>
      </c>
      <c r="AY24" s="53">
        <v>50</v>
      </c>
      <c r="AZ24" s="35"/>
      <c r="BC24" s="34"/>
      <c r="BD24" s="61" t="s">
        <v>16</v>
      </c>
      <c r="BE24" s="51" t="s">
        <v>3</v>
      </c>
      <c r="BF24" s="58">
        <v>38</v>
      </c>
      <c r="BG24" s="10">
        <v>1</v>
      </c>
      <c r="BH24" s="11">
        <v>1</v>
      </c>
      <c r="BI24" s="11">
        <v>0</v>
      </c>
      <c r="BJ24" s="11">
        <v>1</v>
      </c>
      <c r="BK24" s="11">
        <v>0</v>
      </c>
      <c r="BL24" s="12">
        <v>1</v>
      </c>
      <c r="BM24" s="53">
        <v>53</v>
      </c>
      <c r="BN24" s="35"/>
    </row>
    <row r="25" spans="2:66" ht="17.25" customHeight="1">
      <c r="D25" s="5"/>
      <c r="AA25" s="34"/>
      <c r="AB25" s="61" t="s">
        <v>8</v>
      </c>
      <c r="AC25" s="51" t="s">
        <v>6</v>
      </c>
      <c r="AD25" s="58">
        <v>51</v>
      </c>
      <c r="AE25" s="10">
        <v>1</v>
      </c>
      <c r="AF25" s="11">
        <v>0</v>
      </c>
      <c r="AG25" s="11">
        <v>1</v>
      </c>
      <c r="AH25" s="11">
        <v>0</v>
      </c>
      <c r="AI25" s="11">
        <v>1</v>
      </c>
      <c r="AJ25" s="12">
        <v>0</v>
      </c>
      <c r="AK25" s="53">
        <v>42</v>
      </c>
      <c r="AL25" s="35"/>
      <c r="AO25" s="34"/>
      <c r="AP25" s="61" t="s">
        <v>8</v>
      </c>
      <c r="AQ25" s="51" t="s">
        <v>6</v>
      </c>
      <c r="AR25" s="58">
        <v>34</v>
      </c>
      <c r="AS25" s="10">
        <v>1</v>
      </c>
      <c r="AT25" s="11">
        <v>1</v>
      </c>
      <c r="AU25" s="11">
        <v>0</v>
      </c>
      <c r="AV25" s="11">
        <v>0</v>
      </c>
      <c r="AW25" s="11">
        <v>1</v>
      </c>
      <c r="AX25" s="12">
        <v>1</v>
      </c>
      <c r="AY25" s="53">
        <v>51</v>
      </c>
      <c r="AZ25" s="35"/>
      <c r="BC25" s="34"/>
      <c r="BD25" s="61" t="s">
        <v>6</v>
      </c>
      <c r="BE25" s="51" t="s">
        <v>2</v>
      </c>
      <c r="BF25" s="58">
        <v>36</v>
      </c>
      <c r="BG25" s="10">
        <v>1</v>
      </c>
      <c r="BH25" s="11">
        <v>1</v>
      </c>
      <c r="BI25" s="11">
        <v>0</v>
      </c>
      <c r="BJ25" s="11">
        <v>1</v>
      </c>
      <c r="BK25" s="11">
        <v>1</v>
      </c>
      <c r="BL25" s="12">
        <v>0</v>
      </c>
      <c r="BM25" s="53">
        <v>54</v>
      </c>
      <c r="BN25" s="35"/>
    </row>
    <row r="26" spans="2:66" ht="17.25" customHeight="1">
      <c r="B26" s="22">
        <v>3</v>
      </c>
      <c r="D26" s="5" t="s">
        <v>36</v>
      </c>
      <c r="AA26" s="34"/>
      <c r="AB26" s="62" t="s">
        <v>24</v>
      </c>
      <c r="AC26" s="63" t="s">
        <v>9</v>
      </c>
      <c r="AD26" s="54">
        <v>52</v>
      </c>
      <c r="AE26" s="13">
        <v>1</v>
      </c>
      <c r="AF26" s="14">
        <v>0</v>
      </c>
      <c r="AG26" s="14">
        <v>1</v>
      </c>
      <c r="AH26" s="14">
        <v>1</v>
      </c>
      <c r="AI26" s="14">
        <v>1</v>
      </c>
      <c r="AJ26" s="15">
        <v>0</v>
      </c>
      <c r="AK26" s="54">
        <v>46</v>
      </c>
      <c r="AL26" s="35"/>
      <c r="AO26" s="34"/>
      <c r="AP26" s="62" t="s">
        <v>24</v>
      </c>
      <c r="AQ26" s="63" t="s">
        <v>9</v>
      </c>
      <c r="AR26" s="54">
        <v>39</v>
      </c>
      <c r="AS26" s="13">
        <v>1</v>
      </c>
      <c r="AT26" s="14">
        <v>1</v>
      </c>
      <c r="AU26" s="14">
        <v>0</v>
      </c>
      <c r="AV26" s="14">
        <v>1</v>
      </c>
      <c r="AW26" s="14">
        <v>0</v>
      </c>
      <c r="AX26" s="15">
        <v>0</v>
      </c>
      <c r="AY26" s="54">
        <v>52</v>
      </c>
      <c r="AZ26" s="35"/>
      <c r="BC26" s="34"/>
      <c r="BD26" s="61" t="s">
        <v>9</v>
      </c>
      <c r="BE26" s="51" t="s">
        <v>10</v>
      </c>
      <c r="BF26" s="58">
        <v>53</v>
      </c>
      <c r="BG26" s="10">
        <v>1</v>
      </c>
      <c r="BH26" s="11">
        <v>0</v>
      </c>
      <c r="BI26" s="11">
        <v>1</v>
      </c>
      <c r="BJ26" s="11">
        <v>1</v>
      </c>
      <c r="BK26" s="11">
        <v>1</v>
      </c>
      <c r="BL26" s="12">
        <v>1</v>
      </c>
      <c r="BM26" s="53">
        <v>47</v>
      </c>
      <c r="BN26" s="35"/>
    </row>
    <row r="27" spans="2:66" ht="17.25" customHeight="1">
      <c r="D27" s="5" t="s">
        <v>37</v>
      </c>
      <c r="AA27" s="34"/>
      <c r="AB27" s="61" t="s">
        <v>9</v>
      </c>
      <c r="AC27" s="51" t="s">
        <v>10</v>
      </c>
      <c r="AD27" s="58">
        <v>53</v>
      </c>
      <c r="AE27" s="10">
        <v>1</v>
      </c>
      <c r="AF27" s="11">
        <v>0</v>
      </c>
      <c r="AG27" s="11">
        <v>1</v>
      </c>
      <c r="AH27" s="11">
        <v>1</v>
      </c>
      <c r="AI27" s="11">
        <v>1</v>
      </c>
      <c r="AJ27" s="12">
        <v>1</v>
      </c>
      <c r="AK27" s="53">
        <v>47</v>
      </c>
      <c r="AL27" s="35"/>
      <c r="AO27" s="34"/>
      <c r="AP27" s="61" t="s">
        <v>9</v>
      </c>
      <c r="AQ27" s="51" t="s">
        <v>10</v>
      </c>
      <c r="AR27" s="58">
        <v>38</v>
      </c>
      <c r="AS27" s="10">
        <v>1</v>
      </c>
      <c r="AT27" s="11">
        <v>1</v>
      </c>
      <c r="AU27" s="11">
        <v>0</v>
      </c>
      <c r="AV27" s="11">
        <v>1</v>
      </c>
      <c r="AW27" s="11">
        <v>0</v>
      </c>
      <c r="AX27" s="12">
        <v>1</v>
      </c>
      <c r="AY27" s="53">
        <v>53</v>
      </c>
      <c r="AZ27" s="35"/>
      <c r="BC27" s="34"/>
      <c r="BD27" s="61" t="s">
        <v>10</v>
      </c>
      <c r="BE27" s="51" t="s">
        <v>11</v>
      </c>
      <c r="BF27" s="58">
        <v>54</v>
      </c>
      <c r="BG27" s="10">
        <v>1</v>
      </c>
      <c r="BH27" s="11">
        <v>0</v>
      </c>
      <c r="BI27" s="11">
        <v>1</v>
      </c>
      <c r="BJ27" s="11">
        <v>1</v>
      </c>
      <c r="BK27" s="11">
        <v>0</v>
      </c>
      <c r="BL27" s="12">
        <v>1</v>
      </c>
      <c r="BM27" s="53">
        <v>45</v>
      </c>
      <c r="BN27" s="35"/>
    </row>
    <row r="28" spans="2:66" ht="17.25" customHeight="1">
      <c r="D28" s="5" t="s">
        <v>38</v>
      </c>
      <c r="AA28" s="34"/>
      <c r="AB28" s="61" t="s">
        <v>10</v>
      </c>
      <c r="AC28" s="51" t="s">
        <v>11</v>
      </c>
      <c r="AD28" s="58">
        <v>54</v>
      </c>
      <c r="AE28" s="10">
        <v>1</v>
      </c>
      <c r="AF28" s="11">
        <v>0</v>
      </c>
      <c r="AG28" s="11">
        <v>1</v>
      </c>
      <c r="AH28" s="11">
        <v>1</v>
      </c>
      <c r="AI28" s="11">
        <v>0</v>
      </c>
      <c r="AJ28" s="12">
        <v>1</v>
      </c>
      <c r="AK28" s="53">
        <v>45</v>
      </c>
      <c r="AL28" s="35"/>
      <c r="AO28" s="34"/>
      <c r="AP28" s="61" t="s">
        <v>10</v>
      </c>
      <c r="AQ28" s="51" t="s">
        <v>11</v>
      </c>
      <c r="AR28" s="58">
        <v>36</v>
      </c>
      <c r="AS28" s="10">
        <v>1</v>
      </c>
      <c r="AT28" s="11">
        <v>1</v>
      </c>
      <c r="AU28" s="11">
        <v>0</v>
      </c>
      <c r="AV28" s="11">
        <v>1</v>
      </c>
      <c r="AW28" s="11">
        <v>1</v>
      </c>
      <c r="AX28" s="12">
        <v>0</v>
      </c>
      <c r="AY28" s="53">
        <v>54</v>
      </c>
      <c r="AZ28" s="35"/>
      <c r="BC28" s="34"/>
      <c r="BD28" s="62" t="s">
        <v>11</v>
      </c>
      <c r="BE28" s="63" t="s">
        <v>23</v>
      </c>
      <c r="BF28" s="54">
        <v>55</v>
      </c>
      <c r="BG28" s="13">
        <v>1</v>
      </c>
      <c r="BH28" s="14">
        <v>0</v>
      </c>
      <c r="BI28" s="14">
        <v>1</v>
      </c>
      <c r="BJ28" s="14">
        <v>1</v>
      </c>
      <c r="BK28" s="14">
        <v>0</v>
      </c>
      <c r="BL28" s="15">
        <v>0</v>
      </c>
      <c r="BM28" s="54">
        <v>44</v>
      </c>
      <c r="BN28" s="35"/>
    </row>
    <row r="29" spans="2:66" ht="17.25" customHeight="1">
      <c r="D29" s="5" t="s">
        <v>39</v>
      </c>
      <c r="AA29" s="34"/>
      <c r="AB29" s="62" t="s">
        <v>11</v>
      </c>
      <c r="AC29" s="63" t="s">
        <v>23</v>
      </c>
      <c r="AD29" s="54">
        <v>55</v>
      </c>
      <c r="AE29" s="13">
        <v>1</v>
      </c>
      <c r="AF29" s="14">
        <v>0</v>
      </c>
      <c r="AG29" s="14">
        <v>1</v>
      </c>
      <c r="AH29" s="14">
        <v>1</v>
      </c>
      <c r="AI29" s="14">
        <v>0</v>
      </c>
      <c r="AJ29" s="15">
        <v>0</v>
      </c>
      <c r="AK29" s="54">
        <v>44</v>
      </c>
      <c r="AL29" s="35"/>
      <c r="AO29" s="34"/>
      <c r="AP29" s="62" t="s">
        <v>11</v>
      </c>
      <c r="AQ29" s="63" t="s">
        <v>23</v>
      </c>
      <c r="AR29" s="77">
        <v>37</v>
      </c>
      <c r="AS29" s="13">
        <v>1</v>
      </c>
      <c r="AT29" s="14">
        <v>1</v>
      </c>
      <c r="AU29" s="14">
        <v>0</v>
      </c>
      <c r="AV29" s="14">
        <v>1</v>
      </c>
      <c r="AW29" s="14">
        <v>1</v>
      </c>
      <c r="AX29" s="15">
        <v>1</v>
      </c>
      <c r="AY29" s="54">
        <v>55</v>
      </c>
      <c r="AZ29" s="35"/>
      <c r="BC29" s="34"/>
      <c r="BD29" s="61" t="s">
        <v>23</v>
      </c>
      <c r="BE29" s="51" t="s">
        <v>13</v>
      </c>
      <c r="BF29" s="58">
        <v>56</v>
      </c>
      <c r="BG29" s="10">
        <v>1</v>
      </c>
      <c r="BH29" s="11">
        <v>0</v>
      </c>
      <c r="BI29" s="11">
        <v>0</v>
      </c>
      <c r="BJ29" s="11">
        <v>1</v>
      </c>
      <c r="BK29" s="11">
        <v>0</v>
      </c>
      <c r="BL29" s="12">
        <v>0</v>
      </c>
      <c r="BM29" s="53">
        <v>36</v>
      </c>
      <c r="BN29" s="35"/>
    </row>
    <row r="30" spans="2:66" ht="17.25" customHeight="1">
      <c r="D30" s="82" t="s">
        <v>130</v>
      </c>
      <c r="AA30" s="34"/>
      <c r="AB30" s="61" t="s">
        <v>23</v>
      </c>
      <c r="AC30" s="51" t="s">
        <v>13</v>
      </c>
      <c r="AD30" s="58">
        <v>56</v>
      </c>
      <c r="AE30" s="10">
        <v>1</v>
      </c>
      <c r="AF30" s="11">
        <v>0</v>
      </c>
      <c r="AG30" s="11">
        <v>0</v>
      </c>
      <c r="AH30" s="11">
        <v>1</v>
      </c>
      <c r="AI30" s="11">
        <v>0</v>
      </c>
      <c r="AJ30" s="12">
        <v>0</v>
      </c>
      <c r="AK30" s="53">
        <v>36</v>
      </c>
      <c r="AL30" s="35"/>
      <c r="AO30" s="34"/>
      <c r="AP30" s="61" t="s">
        <v>23</v>
      </c>
      <c r="AQ30" s="51" t="s">
        <v>13</v>
      </c>
      <c r="AR30" s="58">
        <v>47</v>
      </c>
      <c r="AS30" s="10">
        <v>1</v>
      </c>
      <c r="AT30" s="11">
        <v>1</v>
      </c>
      <c r="AU30" s="11">
        <v>1</v>
      </c>
      <c r="AV30" s="11">
        <v>0</v>
      </c>
      <c r="AW30" s="11">
        <v>0</v>
      </c>
      <c r="AX30" s="12">
        <v>0</v>
      </c>
      <c r="AY30" s="53">
        <v>56</v>
      </c>
      <c r="AZ30" s="35"/>
      <c r="BC30" s="34"/>
      <c r="BD30" s="62" t="s">
        <v>13</v>
      </c>
      <c r="BE30" s="63" t="s">
        <v>18</v>
      </c>
      <c r="BF30" s="54">
        <v>34</v>
      </c>
      <c r="BG30" s="13">
        <v>1</v>
      </c>
      <c r="BH30" s="14">
        <v>1</v>
      </c>
      <c r="BI30" s="14">
        <v>0</v>
      </c>
      <c r="BJ30" s="14">
        <v>0</v>
      </c>
      <c r="BK30" s="14">
        <v>1</v>
      </c>
      <c r="BL30" s="15">
        <v>1</v>
      </c>
      <c r="BM30" s="54">
        <v>51</v>
      </c>
      <c r="BN30" s="35"/>
    </row>
    <row r="31" spans="2:66" ht="17.25" customHeight="1">
      <c r="D31" s="81" t="s">
        <v>146</v>
      </c>
      <c r="AA31" s="34"/>
      <c r="AB31" s="64" t="s">
        <v>25</v>
      </c>
      <c r="AC31" s="52" t="s">
        <v>25</v>
      </c>
      <c r="AD31" s="59">
        <v>57</v>
      </c>
      <c r="AE31" s="16">
        <v>1</v>
      </c>
      <c r="AF31" s="17">
        <v>0</v>
      </c>
      <c r="AG31" s="17">
        <v>0</v>
      </c>
      <c r="AH31" s="17">
        <v>1</v>
      </c>
      <c r="AI31" s="17">
        <v>0</v>
      </c>
      <c r="AJ31" s="18">
        <v>1</v>
      </c>
      <c r="AK31" s="80">
        <v>37</v>
      </c>
      <c r="AL31" s="35"/>
      <c r="AO31" s="34"/>
      <c r="AP31" s="64" t="s">
        <v>25</v>
      </c>
      <c r="AQ31" s="52" t="s">
        <v>25</v>
      </c>
      <c r="AR31" s="78">
        <v>46</v>
      </c>
      <c r="AS31" s="16">
        <v>1</v>
      </c>
      <c r="AT31" s="17">
        <v>1</v>
      </c>
      <c r="AU31" s="17">
        <v>1</v>
      </c>
      <c r="AV31" s="17">
        <v>0</v>
      </c>
      <c r="AW31" s="17">
        <v>0</v>
      </c>
      <c r="AX31" s="18">
        <v>1</v>
      </c>
      <c r="AY31" s="79">
        <v>57</v>
      </c>
      <c r="AZ31" s="35"/>
      <c r="BC31" s="34"/>
      <c r="BD31" s="64" t="s">
        <v>25</v>
      </c>
      <c r="BE31" s="52" t="s">
        <v>25</v>
      </c>
      <c r="BF31" s="59">
        <v>57</v>
      </c>
      <c r="BG31" s="16">
        <v>1</v>
      </c>
      <c r="BH31" s="17">
        <v>0</v>
      </c>
      <c r="BI31" s="17">
        <v>0</v>
      </c>
      <c r="BJ31" s="17">
        <v>1</v>
      </c>
      <c r="BK31" s="17">
        <v>0</v>
      </c>
      <c r="BL31" s="18">
        <v>1</v>
      </c>
      <c r="BM31" s="80">
        <v>37</v>
      </c>
      <c r="BN31" s="35"/>
    </row>
    <row r="32" spans="2:66" ht="17.25" customHeight="1">
      <c r="D32" s="82" t="s">
        <v>131</v>
      </c>
      <c r="AA32" s="34"/>
      <c r="AB32" s="3"/>
      <c r="AC32" s="3"/>
      <c r="AD32" s="55">
        <v>58</v>
      </c>
      <c r="AE32" s="19">
        <v>1</v>
      </c>
      <c r="AF32" s="20">
        <v>0</v>
      </c>
      <c r="AG32" s="20">
        <v>0</v>
      </c>
      <c r="AH32" s="20">
        <v>1</v>
      </c>
      <c r="AI32" s="20">
        <v>1</v>
      </c>
      <c r="AJ32" s="21">
        <v>1</v>
      </c>
      <c r="AK32" s="55">
        <v>39</v>
      </c>
      <c r="AL32" s="35"/>
      <c r="AO32" s="34"/>
      <c r="AP32" s="3"/>
      <c r="AQ32" s="3"/>
      <c r="AR32" s="55">
        <v>44</v>
      </c>
      <c r="AS32" s="19">
        <v>1</v>
      </c>
      <c r="AT32" s="20">
        <v>1</v>
      </c>
      <c r="AU32" s="20">
        <v>1</v>
      </c>
      <c r="AV32" s="20">
        <v>0</v>
      </c>
      <c r="AW32" s="20">
        <v>1</v>
      </c>
      <c r="AX32" s="21">
        <v>0</v>
      </c>
      <c r="AY32" s="55">
        <v>58</v>
      </c>
      <c r="AZ32" s="35"/>
      <c r="BC32" s="34"/>
      <c r="BD32" s="3"/>
      <c r="BE32" s="3"/>
      <c r="BF32" s="55">
        <v>58</v>
      </c>
      <c r="BG32" s="19">
        <v>1</v>
      </c>
      <c r="BH32" s="20">
        <v>0</v>
      </c>
      <c r="BI32" s="20">
        <v>0</v>
      </c>
      <c r="BJ32" s="20">
        <v>1</v>
      </c>
      <c r="BK32" s="20">
        <v>1</v>
      </c>
      <c r="BL32" s="21">
        <v>1</v>
      </c>
      <c r="BM32" s="55">
        <v>39</v>
      </c>
      <c r="BN32" s="35"/>
    </row>
    <row r="33" spans="2:66" ht="17.25" customHeight="1">
      <c r="D33" s="5"/>
      <c r="AA33" s="34"/>
      <c r="AB33" s="1"/>
      <c r="AC33" s="1"/>
      <c r="AD33" s="58">
        <v>59</v>
      </c>
      <c r="AE33" s="10">
        <v>1</v>
      </c>
      <c r="AF33" s="11">
        <v>0</v>
      </c>
      <c r="AG33" s="11">
        <v>0</v>
      </c>
      <c r="AH33" s="11">
        <v>1</v>
      </c>
      <c r="AI33" s="11">
        <v>1</v>
      </c>
      <c r="AJ33" s="12">
        <v>0</v>
      </c>
      <c r="AK33" s="53">
        <v>38</v>
      </c>
      <c r="AL33" s="35"/>
      <c r="AO33" s="34"/>
      <c r="AP33" s="1"/>
      <c r="AQ33" s="1"/>
      <c r="AR33" s="58">
        <v>45</v>
      </c>
      <c r="AS33" s="10">
        <v>1</v>
      </c>
      <c r="AT33" s="11">
        <v>1</v>
      </c>
      <c r="AU33" s="11">
        <v>1</v>
      </c>
      <c r="AV33" s="11">
        <v>0</v>
      </c>
      <c r="AW33" s="11">
        <v>1</v>
      </c>
      <c r="AX33" s="12">
        <v>1</v>
      </c>
      <c r="AY33" s="53">
        <v>59</v>
      </c>
      <c r="AZ33" s="35"/>
      <c r="BC33" s="34"/>
      <c r="BD33" s="1"/>
      <c r="BE33" s="1"/>
      <c r="BF33" s="58">
        <v>59</v>
      </c>
      <c r="BG33" s="10">
        <v>1</v>
      </c>
      <c r="BH33" s="11">
        <v>0</v>
      </c>
      <c r="BI33" s="11">
        <v>0</v>
      </c>
      <c r="BJ33" s="11">
        <v>1</v>
      </c>
      <c r="BK33" s="11">
        <v>1</v>
      </c>
      <c r="BL33" s="12">
        <v>0</v>
      </c>
      <c r="BM33" s="53">
        <v>38</v>
      </c>
      <c r="BN33" s="35"/>
    </row>
    <row r="34" spans="2:66" ht="17.25" customHeight="1">
      <c r="B34" s="22">
        <v>4</v>
      </c>
      <c r="D34" s="6" t="s">
        <v>40</v>
      </c>
      <c r="AA34" s="34"/>
      <c r="AB34" s="1"/>
      <c r="AC34" s="1"/>
      <c r="AD34" s="58">
        <v>60</v>
      </c>
      <c r="AE34" s="10">
        <v>1</v>
      </c>
      <c r="AF34" s="11">
        <v>0</v>
      </c>
      <c r="AG34" s="11">
        <v>0</v>
      </c>
      <c r="AH34" s="11">
        <v>0</v>
      </c>
      <c r="AI34" s="11">
        <v>1</v>
      </c>
      <c r="AJ34" s="12">
        <v>0</v>
      </c>
      <c r="AK34" s="53">
        <v>34</v>
      </c>
      <c r="AL34" s="35"/>
      <c r="AO34" s="34"/>
      <c r="AP34" s="1"/>
      <c r="AQ34" s="1"/>
      <c r="AR34" s="58">
        <v>40</v>
      </c>
      <c r="AS34" s="10">
        <v>1</v>
      </c>
      <c r="AT34" s="11">
        <v>1</v>
      </c>
      <c r="AU34" s="11">
        <v>1</v>
      </c>
      <c r="AV34" s="11">
        <v>1</v>
      </c>
      <c r="AW34" s="11">
        <v>0</v>
      </c>
      <c r="AX34" s="12">
        <v>0</v>
      </c>
      <c r="AY34" s="53">
        <v>60</v>
      </c>
      <c r="AZ34" s="35"/>
      <c r="BC34" s="34"/>
      <c r="BD34" s="1"/>
      <c r="BE34" s="1"/>
      <c r="BF34" s="58">
        <v>60</v>
      </c>
      <c r="BG34" s="10">
        <v>1</v>
      </c>
      <c r="BH34" s="11">
        <v>0</v>
      </c>
      <c r="BI34" s="11">
        <v>0</v>
      </c>
      <c r="BJ34" s="11">
        <v>0</v>
      </c>
      <c r="BK34" s="11">
        <v>1</v>
      </c>
      <c r="BL34" s="12">
        <v>0</v>
      </c>
      <c r="BM34" s="53">
        <v>34</v>
      </c>
      <c r="BN34" s="35"/>
    </row>
    <row r="35" spans="2:66" ht="17.25" customHeight="1">
      <c r="D35" s="83" t="s">
        <v>71</v>
      </c>
      <c r="AA35" s="34"/>
      <c r="AB35" s="2"/>
      <c r="AC35" s="2"/>
      <c r="AD35" s="54">
        <v>61</v>
      </c>
      <c r="AE35" s="13">
        <v>1</v>
      </c>
      <c r="AF35" s="14">
        <v>0</v>
      </c>
      <c r="AG35" s="14">
        <v>0</v>
      </c>
      <c r="AH35" s="14">
        <v>0</v>
      </c>
      <c r="AI35" s="14">
        <v>1</v>
      </c>
      <c r="AJ35" s="15">
        <v>1</v>
      </c>
      <c r="AK35" s="54">
        <v>35</v>
      </c>
      <c r="AL35" s="35"/>
      <c r="AO35" s="34"/>
      <c r="AP35" s="2"/>
      <c r="AQ35" s="2"/>
      <c r="AR35" s="54">
        <v>41</v>
      </c>
      <c r="AS35" s="13">
        <v>1</v>
      </c>
      <c r="AT35" s="14">
        <v>1</v>
      </c>
      <c r="AU35" s="14">
        <v>1</v>
      </c>
      <c r="AV35" s="14">
        <v>1</v>
      </c>
      <c r="AW35" s="14">
        <v>0</v>
      </c>
      <c r="AX35" s="15">
        <v>1</v>
      </c>
      <c r="AY35" s="54">
        <v>61</v>
      </c>
      <c r="AZ35" s="35"/>
      <c r="BC35" s="34"/>
      <c r="BD35" s="2"/>
      <c r="BE35" s="2"/>
      <c r="BF35" s="54">
        <v>61</v>
      </c>
      <c r="BG35" s="13">
        <v>1</v>
      </c>
      <c r="BH35" s="14">
        <v>0</v>
      </c>
      <c r="BI35" s="14">
        <v>0</v>
      </c>
      <c r="BJ35" s="14">
        <v>0</v>
      </c>
      <c r="BK35" s="14">
        <v>1</v>
      </c>
      <c r="BL35" s="15">
        <v>1</v>
      </c>
      <c r="BM35" s="54">
        <v>35</v>
      </c>
      <c r="BN35" s="35"/>
    </row>
    <row r="36" spans="2:66" ht="17.25" customHeight="1">
      <c r="D36" s="82" t="s">
        <v>73</v>
      </c>
      <c r="AA36" s="34"/>
      <c r="AB36" s="1"/>
      <c r="AC36" s="1"/>
      <c r="AD36" s="58">
        <v>62</v>
      </c>
      <c r="AE36" s="10">
        <v>1</v>
      </c>
      <c r="AF36" s="11">
        <v>0</v>
      </c>
      <c r="AG36" s="11">
        <v>0</v>
      </c>
      <c r="AH36" s="11">
        <v>0</v>
      </c>
      <c r="AI36" s="11">
        <v>0</v>
      </c>
      <c r="AJ36" s="12">
        <v>1</v>
      </c>
      <c r="AK36" s="53">
        <v>33</v>
      </c>
      <c r="AL36" s="35"/>
      <c r="AO36" s="34"/>
      <c r="AP36" s="1"/>
      <c r="AQ36" s="1"/>
      <c r="AR36" s="58">
        <v>43</v>
      </c>
      <c r="AS36" s="10">
        <v>1</v>
      </c>
      <c r="AT36" s="11">
        <v>1</v>
      </c>
      <c r="AU36" s="11">
        <v>1</v>
      </c>
      <c r="AV36" s="11">
        <v>1</v>
      </c>
      <c r="AW36" s="11">
        <v>1</v>
      </c>
      <c r="AX36" s="12">
        <v>0</v>
      </c>
      <c r="AY36" s="53">
        <v>62</v>
      </c>
      <c r="AZ36" s="35"/>
      <c r="BC36" s="34"/>
      <c r="BD36" s="1"/>
      <c r="BE36" s="1"/>
      <c r="BF36" s="58">
        <v>62</v>
      </c>
      <c r="BG36" s="10">
        <v>1</v>
      </c>
      <c r="BH36" s="11">
        <v>0</v>
      </c>
      <c r="BI36" s="11">
        <v>0</v>
      </c>
      <c r="BJ36" s="11">
        <v>0</v>
      </c>
      <c r="BK36" s="11">
        <v>0</v>
      </c>
      <c r="BL36" s="12">
        <v>1</v>
      </c>
      <c r="BM36" s="53">
        <v>33</v>
      </c>
      <c r="BN36" s="35"/>
    </row>
    <row r="37" spans="2:66" ht="17.25" customHeight="1">
      <c r="D37" s="81" t="s">
        <v>72</v>
      </c>
      <c r="AA37" s="34"/>
      <c r="AB37" s="1"/>
      <c r="AC37" s="1"/>
      <c r="AD37" s="57">
        <v>63</v>
      </c>
      <c r="AE37" s="10">
        <v>1</v>
      </c>
      <c r="AF37" s="11">
        <v>0</v>
      </c>
      <c r="AG37" s="11">
        <v>0</v>
      </c>
      <c r="AH37" s="11">
        <v>0</v>
      </c>
      <c r="AI37" s="11">
        <v>0</v>
      </c>
      <c r="AJ37" s="12">
        <v>0</v>
      </c>
      <c r="AK37" s="56">
        <v>32</v>
      </c>
      <c r="AL37" s="35"/>
      <c r="AM37" s="34"/>
      <c r="AO37" s="34"/>
      <c r="AP37" s="1"/>
      <c r="AQ37" s="1"/>
      <c r="AR37" s="58">
        <v>42</v>
      </c>
      <c r="AS37" s="10">
        <v>1</v>
      </c>
      <c r="AT37" s="11">
        <v>1</v>
      </c>
      <c r="AU37" s="11">
        <v>1</v>
      </c>
      <c r="AV37" s="11">
        <v>1</v>
      </c>
      <c r="AW37" s="11">
        <v>1</v>
      </c>
      <c r="AX37" s="12">
        <v>1</v>
      </c>
      <c r="AY37" s="56">
        <v>63</v>
      </c>
      <c r="AZ37" s="35"/>
      <c r="BC37" s="34"/>
      <c r="BD37" s="1"/>
      <c r="BE37" s="1"/>
      <c r="BF37" s="57">
        <v>63</v>
      </c>
      <c r="BG37" s="10">
        <v>1</v>
      </c>
      <c r="BH37" s="11">
        <v>0</v>
      </c>
      <c r="BI37" s="11">
        <v>0</v>
      </c>
      <c r="BJ37" s="11">
        <v>0</v>
      </c>
      <c r="BK37" s="11">
        <v>0</v>
      </c>
      <c r="BL37" s="12">
        <v>0</v>
      </c>
      <c r="BM37" s="56">
        <v>32</v>
      </c>
      <c r="BN37" s="35"/>
    </row>
    <row r="38" spans="2:66" ht="17.25" customHeight="1">
      <c r="D38" s="81" t="s">
        <v>67</v>
      </c>
      <c r="AA38" s="34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35"/>
      <c r="AM38" s="34"/>
      <c r="AO38" s="34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35"/>
      <c r="BC38" s="34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35"/>
    </row>
    <row r="39" spans="2:66" ht="17.25" customHeight="1">
      <c r="D39" s="82" t="s">
        <v>68</v>
      </c>
      <c r="AA39" s="34"/>
      <c r="AB39" s="25"/>
      <c r="AC39" s="25"/>
      <c r="AD39" s="11">
        <v>1</v>
      </c>
      <c r="AE39" s="47">
        <f>COUNTIF(AE6:AJ31,"1")</f>
        <v>97</v>
      </c>
      <c r="AF39" s="68"/>
      <c r="AG39" s="49">
        <f>COUNTIF(AE32:AJ37,"1")</f>
        <v>15</v>
      </c>
      <c r="AH39" s="69"/>
      <c r="AI39" s="70">
        <f>SUM(AE39,AG39)</f>
        <v>112</v>
      </c>
      <c r="AK39" s="25"/>
      <c r="AL39" s="35"/>
      <c r="AM39" s="34"/>
      <c r="AO39" s="34"/>
      <c r="AP39" s="25"/>
      <c r="AQ39" s="25"/>
      <c r="AR39" s="11">
        <v>1</v>
      </c>
      <c r="AS39" s="47">
        <f>COUNTIF(AS6:AX31,"1")</f>
        <v>83</v>
      </c>
      <c r="AT39" s="68"/>
      <c r="AU39" s="49">
        <f>COUNTIF(AS32:AX37,"1")</f>
        <v>29</v>
      </c>
      <c r="AV39" s="69"/>
      <c r="AW39" s="70">
        <f>SUM(AS39,AU39)</f>
        <v>112</v>
      </c>
      <c r="AX39" s="25"/>
      <c r="AY39" s="25"/>
      <c r="AZ39" s="35"/>
      <c r="BC39" s="34"/>
      <c r="BD39" s="25"/>
      <c r="BE39" s="25"/>
      <c r="BF39" s="11">
        <v>1</v>
      </c>
      <c r="BG39" s="47">
        <f>COUNTIF(BG6:BL31,"1")</f>
        <v>97</v>
      </c>
      <c r="BH39" s="68"/>
      <c r="BI39" s="49">
        <f>COUNTIF(BG32:BL37,"1")</f>
        <v>15</v>
      </c>
      <c r="BJ39" s="69"/>
      <c r="BK39" s="70">
        <f>SUM(BG39,BI39)</f>
        <v>112</v>
      </c>
      <c r="BM39" s="25"/>
      <c r="BN39" s="35"/>
    </row>
    <row r="40" spans="2:66" ht="17.25" customHeight="1" thickBot="1">
      <c r="D40" s="81" t="s">
        <v>147</v>
      </c>
      <c r="AA40" s="34"/>
      <c r="AB40" s="25"/>
      <c r="AC40" s="25"/>
      <c r="AD40" s="71">
        <v>0</v>
      </c>
      <c r="AE40" s="48">
        <f>COUNTIF(AE6:AJ31,"0")</f>
        <v>59</v>
      </c>
      <c r="AF40" s="72"/>
      <c r="AG40" s="50">
        <f>COUNTIF(AE32:AJ37,"0")</f>
        <v>21</v>
      </c>
      <c r="AH40" s="73"/>
      <c r="AI40" s="74">
        <f>SUM(AE40,AG40)</f>
        <v>80</v>
      </c>
      <c r="AK40" s="25"/>
      <c r="AL40" s="35"/>
      <c r="AM40" s="34"/>
      <c r="AO40" s="34"/>
      <c r="AP40" s="25"/>
      <c r="AQ40" s="25"/>
      <c r="AR40" s="71">
        <v>0</v>
      </c>
      <c r="AS40" s="48">
        <f>COUNTIF(AS6:AX31,"0")</f>
        <v>73</v>
      </c>
      <c r="AT40" s="72"/>
      <c r="AU40" s="50">
        <f>COUNTIF(AS32:AX37,"0")</f>
        <v>7</v>
      </c>
      <c r="AV40" s="73"/>
      <c r="AW40" s="74">
        <f>SUM(AS40,AU40)</f>
        <v>80</v>
      </c>
      <c r="AX40" s="25"/>
      <c r="AY40" s="25"/>
      <c r="AZ40" s="35"/>
      <c r="BC40" s="34"/>
      <c r="BD40" s="25"/>
      <c r="BE40" s="25"/>
      <c r="BF40" s="71">
        <v>0</v>
      </c>
      <c r="BG40" s="48">
        <f>COUNTIF(BG6:BL31,"0")</f>
        <v>59</v>
      </c>
      <c r="BH40" s="72"/>
      <c r="BI40" s="50">
        <f>COUNTIF(BG32:BL37,"0")</f>
        <v>21</v>
      </c>
      <c r="BJ40" s="73"/>
      <c r="BK40" s="74">
        <f>SUM(BG40,BI40)</f>
        <v>80</v>
      </c>
      <c r="BM40" s="25"/>
      <c r="BN40" s="35"/>
    </row>
    <row r="41" spans="2:66" ht="17.25" customHeight="1" thickTop="1">
      <c r="D41" s="81" t="s">
        <v>70</v>
      </c>
      <c r="AA41" s="34"/>
      <c r="AB41" s="25"/>
      <c r="AC41" s="25"/>
      <c r="AD41" s="25"/>
      <c r="AE41" s="75">
        <f>SUM(AE39:AE40)</f>
        <v>156</v>
      </c>
      <c r="AF41" s="65"/>
      <c r="AG41" s="66">
        <f>SUM(AG39:AG40)</f>
        <v>36</v>
      </c>
      <c r="AH41" s="67"/>
      <c r="AI41" s="76">
        <f>SUM(AI39:AI40)</f>
        <v>192</v>
      </c>
      <c r="AK41" s="25"/>
      <c r="AL41" s="35"/>
      <c r="AM41" s="34"/>
      <c r="AO41" s="34"/>
      <c r="AP41" s="25"/>
      <c r="AQ41" s="25"/>
      <c r="AR41" s="25"/>
      <c r="AS41" s="75">
        <f>SUM(AS39:AS40)</f>
        <v>156</v>
      </c>
      <c r="AT41" s="65"/>
      <c r="AU41" s="66">
        <f>SUM(AU39:AU40)</f>
        <v>36</v>
      </c>
      <c r="AV41" s="67"/>
      <c r="AW41" s="76">
        <f>SUM(AW39:AW40)</f>
        <v>192</v>
      </c>
      <c r="AX41" s="25"/>
      <c r="AY41" s="25"/>
      <c r="AZ41" s="35"/>
      <c r="BC41" s="34"/>
      <c r="BD41" s="25"/>
      <c r="BE41" s="25"/>
      <c r="BF41" s="25"/>
      <c r="BG41" s="75">
        <f>SUM(BG39:BG40)</f>
        <v>156</v>
      </c>
      <c r="BH41" s="65"/>
      <c r="BI41" s="66">
        <f>SUM(BI39:BI40)</f>
        <v>36</v>
      </c>
      <c r="BJ41" s="67"/>
      <c r="BK41" s="76">
        <f>SUM(BK39:BK40)</f>
        <v>192</v>
      </c>
      <c r="BM41" s="25"/>
      <c r="BN41" s="35"/>
    </row>
    <row r="42" spans="2:66" ht="17.25" customHeight="1">
      <c r="D42" s="81" t="s">
        <v>69</v>
      </c>
      <c r="AA42" s="34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35"/>
      <c r="AM42" s="34"/>
      <c r="AO42" s="34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35"/>
      <c r="BC42" s="34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35"/>
    </row>
    <row r="43" spans="2:66" ht="17.25" customHeight="1">
      <c r="AA43" s="34"/>
      <c r="AB43" s="25"/>
      <c r="AC43" s="25"/>
      <c r="AD43" s="25"/>
      <c r="AF43" s="25"/>
      <c r="AH43" s="46"/>
      <c r="AI43" s="25"/>
      <c r="AK43" s="25"/>
      <c r="AL43" s="35"/>
      <c r="AM43" s="34"/>
      <c r="AO43" s="34"/>
      <c r="AP43" s="25"/>
      <c r="AQ43" s="25"/>
      <c r="AR43" s="25"/>
      <c r="AT43" s="25"/>
      <c r="AU43" s="25"/>
      <c r="AV43" s="46"/>
      <c r="AW43" s="25"/>
      <c r="AY43" s="25"/>
      <c r="AZ43" s="35"/>
      <c r="BC43" s="34"/>
      <c r="BD43" s="25"/>
      <c r="BE43" s="25"/>
      <c r="BF43" s="25"/>
      <c r="BH43" s="25"/>
      <c r="BJ43" s="46"/>
      <c r="BK43" s="25"/>
      <c r="BM43" s="25"/>
      <c r="BN43" s="35"/>
    </row>
    <row r="44" spans="2:66" ht="17.25" customHeight="1">
      <c r="B44" s="22">
        <v>5</v>
      </c>
      <c r="D44" s="4" t="s">
        <v>41</v>
      </c>
      <c r="AA44" s="34"/>
      <c r="AB44" s="25"/>
      <c r="AC44" s="25"/>
      <c r="AD44" s="25"/>
      <c r="AF44" s="25"/>
      <c r="AH44" s="46"/>
      <c r="AI44" s="25"/>
      <c r="AK44" s="25"/>
      <c r="AL44" s="35"/>
      <c r="AM44" s="34"/>
      <c r="AO44" s="34"/>
      <c r="AP44" s="25"/>
      <c r="AQ44" s="25"/>
      <c r="AR44" s="25"/>
      <c r="AT44" s="25"/>
      <c r="AU44" s="25"/>
      <c r="AV44" s="46"/>
      <c r="AW44" s="25"/>
      <c r="AY44" s="25"/>
      <c r="AZ44" s="35"/>
      <c r="BC44" s="34"/>
      <c r="BD44" s="25"/>
      <c r="BE44" s="25"/>
      <c r="BF44" s="25"/>
      <c r="BH44" s="25"/>
      <c r="BJ44" s="46"/>
      <c r="BK44" s="25"/>
      <c r="BM44" s="25"/>
      <c r="BN44" s="35"/>
    </row>
    <row r="45" spans="2:66" ht="17.25" customHeight="1">
      <c r="D45" s="4" t="s">
        <v>42</v>
      </c>
      <c r="AA45" s="34"/>
      <c r="AB45" s="25"/>
      <c r="AC45" s="25"/>
      <c r="AD45" s="25"/>
      <c r="AF45" s="25"/>
      <c r="AH45" s="46"/>
      <c r="AI45" s="25"/>
      <c r="AK45" s="25"/>
      <c r="AL45" s="35"/>
      <c r="AM45" s="34"/>
      <c r="AO45" s="34"/>
      <c r="AP45" s="25"/>
      <c r="AQ45" s="25"/>
      <c r="AR45" s="25"/>
      <c r="AT45" s="25"/>
      <c r="AU45" s="25"/>
      <c r="AV45" s="46"/>
      <c r="AW45" s="25"/>
      <c r="AY45" s="25"/>
      <c r="AZ45" s="35"/>
      <c r="BC45" s="34"/>
      <c r="BD45" s="25"/>
      <c r="BE45" s="25"/>
      <c r="BF45" s="25"/>
      <c r="BH45" s="25"/>
      <c r="BJ45" s="46"/>
      <c r="BK45" s="25"/>
      <c r="BM45" s="25"/>
      <c r="BN45" s="35"/>
    </row>
    <row r="46" spans="2:66" ht="17.25" customHeight="1">
      <c r="D46" s="81" t="s">
        <v>85</v>
      </c>
      <c r="AA46" s="34"/>
      <c r="AB46" s="25"/>
      <c r="AC46" s="25"/>
      <c r="AD46" s="25"/>
      <c r="AF46" s="25"/>
      <c r="AH46" s="46"/>
      <c r="AI46" s="25"/>
      <c r="AK46" s="25"/>
      <c r="AL46" s="35"/>
      <c r="AM46" s="34"/>
      <c r="AO46" s="34"/>
      <c r="AP46" s="25"/>
      <c r="AQ46" s="25"/>
      <c r="AR46" s="25"/>
      <c r="AT46" s="25"/>
      <c r="AU46" s="25"/>
      <c r="AV46" s="46"/>
      <c r="AW46" s="25"/>
      <c r="AY46" s="25"/>
      <c r="AZ46" s="35"/>
      <c r="BC46" s="34"/>
      <c r="BD46" s="25"/>
      <c r="BE46" s="25"/>
      <c r="BF46" s="25"/>
      <c r="BH46" s="25"/>
      <c r="BJ46" s="46"/>
      <c r="BK46" s="25"/>
      <c r="BM46" s="25"/>
      <c r="BN46" s="35"/>
    </row>
    <row r="47" spans="2:66" ht="17.25" customHeight="1" thickBot="1">
      <c r="D47" s="81" t="s">
        <v>132</v>
      </c>
      <c r="AA47" s="36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8"/>
      <c r="AM47" s="34"/>
      <c r="AO47" s="36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8"/>
      <c r="BC47" s="36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8"/>
    </row>
    <row r="48" spans="2:66" ht="17.25" customHeight="1">
      <c r="D48" s="81" t="s">
        <v>133</v>
      </c>
      <c r="AO48" s="44"/>
      <c r="AP48" s="45"/>
      <c r="AQ48" s="43"/>
    </row>
    <row r="49" spans="2:43" ht="17.25" customHeight="1">
      <c r="D49" s="81" t="s">
        <v>148</v>
      </c>
      <c r="AO49" s="44"/>
      <c r="AP49" s="45"/>
      <c r="AQ49" s="43"/>
    </row>
    <row r="50" spans="2:43" ht="17.25" customHeight="1">
      <c r="D50" s="81" t="s">
        <v>86</v>
      </c>
      <c r="AO50" s="44"/>
      <c r="AP50" s="45"/>
      <c r="AQ50" s="43"/>
    </row>
    <row r="51" spans="2:43" ht="17.25" customHeight="1">
      <c r="D51" s="81" t="s">
        <v>87</v>
      </c>
      <c r="AO51" s="44"/>
      <c r="AP51" s="45"/>
      <c r="AQ51" s="43"/>
    </row>
    <row r="52" spans="2:43" ht="17.25" customHeight="1">
      <c r="D52" s="81" t="s">
        <v>88</v>
      </c>
      <c r="AO52" s="44"/>
      <c r="AP52" s="45"/>
      <c r="AQ52" s="43"/>
    </row>
    <row r="53" spans="2:43" ht="17.25" customHeight="1">
      <c r="D53" s="81" t="s">
        <v>89</v>
      </c>
      <c r="AO53" s="44"/>
      <c r="AP53" s="45"/>
      <c r="AQ53" s="43"/>
    </row>
    <row r="54" spans="2:43" ht="17.25" customHeight="1">
      <c r="D54" s="81" t="s">
        <v>90</v>
      </c>
      <c r="AO54" s="44"/>
      <c r="AP54" s="45"/>
      <c r="AQ54" s="43"/>
    </row>
    <row r="55" spans="2:43" ht="17.25" customHeight="1">
      <c r="D55" s="81" t="s">
        <v>135</v>
      </c>
      <c r="AO55" s="44"/>
      <c r="AP55" s="45"/>
      <c r="AQ55" s="43"/>
    </row>
    <row r="56" spans="2:43" ht="17.25" customHeight="1">
      <c r="D56" s="81" t="s">
        <v>134</v>
      </c>
      <c r="AO56" s="44"/>
      <c r="AP56" s="45"/>
      <c r="AQ56" s="43"/>
    </row>
    <row r="57" spans="2:43" ht="17.25" customHeight="1">
      <c r="D57" s="81" t="s">
        <v>91</v>
      </c>
      <c r="AO57" s="44"/>
      <c r="AP57" s="45"/>
      <c r="AQ57" s="43"/>
    </row>
    <row r="58" spans="2:43" ht="17.25" customHeight="1">
      <c r="AO58" s="44"/>
      <c r="AP58" s="45"/>
      <c r="AQ58" s="43"/>
    </row>
    <row r="59" spans="2:43" ht="17.25" customHeight="1">
      <c r="B59" s="22">
        <v>6</v>
      </c>
      <c r="D59" s="4" t="s">
        <v>43</v>
      </c>
      <c r="AO59" s="44"/>
      <c r="AP59" s="45"/>
      <c r="AQ59" s="43"/>
    </row>
    <row r="60" spans="2:43" ht="17.25" customHeight="1">
      <c r="D60" s="4" t="s">
        <v>44</v>
      </c>
      <c r="AO60" s="44"/>
      <c r="AP60" s="45"/>
      <c r="AQ60" s="43"/>
    </row>
    <row r="61" spans="2:43" ht="17.25" customHeight="1">
      <c r="D61" s="81" t="s">
        <v>149</v>
      </c>
      <c r="AO61" s="44"/>
      <c r="AP61" s="45"/>
      <c r="AQ61" s="43"/>
    </row>
    <row r="62" spans="2:43" ht="17.25" customHeight="1">
      <c r="D62" s="81" t="s">
        <v>150</v>
      </c>
      <c r="AO62" s="44"/>
      <c r="AP62" s="45"/>
      <c r="AQ62" s="43"/>
    </row>
    <row r="63" spans="2:43" ht="17.25" customHeight="1">
      <c r="D63" s="4" t="s">
        <v>45</v>
      </c>
      <c r="AO63" s="44"/>
      <c r="AP63" s="45"/>
      <c r="AQ63" s="43"/>
    </row>
    <row r="64" spans="2:43" ht="17.25" customHeight="1">
      <c r="D64" s="81" t="s">
        <v>101</v>
      </c>
      <c r="AO64" s="44"/>
      <c r="AP64" s="45"/>
      <c r="AQ64" s="43"/>
    </row>
    <row r="65" spans="2:43" ht="17.25" customHeight="1">
      <c r="D65" s="81" t="s">
        <v>92</v>
      </c>
      <c r="AO65" s="44"/>
      <c r="AP65" s="45"/>
      <c r="AQ65" s="43"/>
    </row>
    <row r="66" spans="2:43" ht="17.25" customHeight="1">
      <c r="D66" s="81"/>
      <c r="AO66" s="44"/>
      <c r="AP66" s="45"/>
      <c r="AQ66" s="43"/>
    </row>
    <row r="67" spans="2:43" ht="17.25" customHeight="1">
      <c r="B67" s="22">
        <v>7</v>
      </c>
      <c r="D67" s="4" t="s">
        <v>46</v>
      </c>
      <c r="AO67" s="44"/>
      <c r="AP67" s="45"/>
      <c r="AQ67" s="43"/>
    </row>
    <row r="68" spans="2:43" ht="17.25" customHeight="1">
      <c r="D68" s="4" t="s">
        <v>47</v>
      </c>
      <c r="AO68" s="44"/>
      <c r="AP68" s="45"/>
      <c r="AQ68" s="43"/>
    </row>
    <row r="69" spans="2:43" ht="17.25" customHeight="1">
      <c r="D69" s="81" t="s">
        <v>114</v>
      </c>
      <c r="AO69" s="44"/>
      <c r="AP69" s="45"/>
      <c r="AQ69" s="43"/>
    </row>
    <row r="70" spans="2:43" ht="17.25" customHeight="1">
      <c r="D70" s="81" t="s">
        <v>151</v>
      </c>
      <c r="AO70" s="44"/>
      <c r="AP70" s="45"/>
      <c r="AQ70" s="43"/>
    </row>
    <row r="71" spans="2:43" ht="17.25" customHeight="1">
      <c r="AO71" s="44"/>
      <c r="AP71" s="45"/>
      <c r="AQ71" s="43"/>
    </row>
    <row r="72" spans="2:43" ht="17.25" customHeight="1">
      <c r="B72" s="22">
        <v>8</v>
      </c>
      <c r="D72" s="4" t="s">
        <v>48</v>
      </c>
      <c r="AO72" s="44"/>
      <c r="AP72" s="45"/>
      <c r="AQ72" s="43"/>
    </row>
    <row r="73" spans="2:43" ht="17.25" customHeight="1">
      <c r="D73" s="4" t="s">
        <v>49</v>
      </c>
      <c r="AO73" s="44"/>
      <c r="AP73" s="45"/>
      <c r="AQ73" s="43"/>
    </row>
    <row r="74" spans="2:43" ht="17.25" customHeight="1">
      <c r="D74" s="4" t="s">
        <v>50</v>
      </c>
      <c r="AO74" s="44"/>
      <c r="AP74" s="45"/>
      <c r="AQ74" s="43"/>
    </row>
    <row r="75" spans="2:43" ht="17.25" customHeight="1">
      <c r="D75" s="4" t="s">
        <v>51</v>
      </c>
      <c r="AO75" s="44"/>
      <c r="AP75" s="45"/>
      <c r="AQ75" s="43"/>
    </row>
    <row r="76" spans="2:43" ht="17.25" customHeight="1">
      <c r="D76" s="81" t="s">
        <v>74</v>
      </c>
      <c r="AO76" s="44"/>
      <c r="AP76" s="45"/>
      <c r="AQ76" s="43"/>
    </row>
    <row r="77" spans="2:43" ht="17.25" customHeight="1">
      <c r="D77" s="81" t="s">
        <v>115</v>
      </c>
      <c r="AO77" s="44"/>
      <c r="AP77" s="45"/>
      <c r="AQ77" s="43"/>
    </row>
    <row r="78" spans="2:43" ht="17.25" customHeight="1">
      <c r="D78" s="81" t="s">
        <v>75</v>
      </c>
      <c r="AO78" s="44"/>
      <c r="AP78" s="45"/>
      <c r="AQ78" s="43"/>
    </row>
    <row r="79" spans="2:43" ht="17.25" customHeight="1">
      <c r="D79" s="81" t="s">
        <v>76</v>
      </c>
      <c r="AO79" s="44"/>
      <c r="AP79" s="45"/>
      <c r="AQ79" s="43"/>
    </row>
    <row r="80" spans="2:43" ht="17.25" customHeight="1">
      <c r="D80" s="81" t="s">
        <v>77</v>
      </c>
      <c r="AO80" s="44"/>
      <c r="AP80" s="45"/>
      <c r="AQ80" s="43"/>
    </row>
    <row r="81" spans="2:43" ht="17.25" customHeight="1">
      <c r="D81" s="81" t="s">
        <v>152</v>
      </c>
      <c r="AO81" s="44"/>
      <c r="AP81" s="45"/>
      <c r="AQ81" s="43"/>
    </row>
    <row r="82" spans="2:43" ht="17.25" customHeight="1">
      <c r="D82" s="81" t="s">
        <v>78</v>
      </c>
      <c r="AO82" s="44"/>
      <c r="AP82" s="45"/>
      <c r="AQ82" s="43"/>
    </row>
    <row r="83" spans="2:43" ht="17.25" customHeight="1">
      <c r="D83" s="81" t="s">
        <v>79</v>
      </c>
      <c r="AO83" s="44"/>
      <c r="AP83" s="45"/>
      <c r="AQ83" s="43"/>
    </row>
    <row r="84" spans="2:43" ht="17.25" customHeight="1">
      <c r="D84" s="81" t="s">
        <v>80</v>
      </c>
      <c r="AO84" s="44"/>
      <c r="AP84" s="45"/>
      <c r="AQ84" s="43"/>
    </row>
    <row r="85" spans="2:43" ht="17.25" customHeight="1">
      <c r="D85" s="81" t="s">
        <v>153</v>
      </c>
      <c r="AO85" s="44"/>
      <c r="AP85" s="45"/>
      <c r="AQ85" s="43"/>
    </row>
    <row r="86" spans="2:43" ht="17.25" customHeight="1">
      <c r="D86" s="81" t="s">
        <v>102</v>
      </c>
      <c r="AO86" s="44"/>
      <c r="AP86" s="45"/>
      <c r="AQ86" s="43"/>
    </row>
    <row r="87" spans="2:43" ht="17.25" customHeight="1">
      <c r="D87" s="81" t="s">
        <v>116</v>
      </c>
      <c r="AO87" s="44"/>
      <c r="AP87" s="45"/>
      <c r="AQ87" s="43"/>
    </row>
    <row r="88" spans="2:43" ht="17.25" customHeight="1">
      <c r="D88" s="81" t="s">
        <v>103</v>
      </c>
      <c r="AO88" s="44"/>
      <c r="AP88" s="45"/>
      <c r="AQ88" s="43"/>
    </row>
    <row r="89" spans="2:43" ht="17.25" customHeight="1">
      <c r="D89" s="81" t="s">
        <v>136</v>
      </c>
      <c r="AO89" s="44"/>
      <c r="AP89" s="45"/>
      <c r="AQ89" s="43"/>
    </row>
    <row r="90" spans="2:43" ht="17.25" customHeight="1">
      <c r="D90" s="81" t="s">
        <v>104</v>
      </c>
      <c r="AO90" s="44"/>
      <c r="AP90" s="45"/>
      <c r="AQ90" s="43"/>
    </row>
    <row r="91" spans="2:43" ht="17.25" customHeight="1">
      <c r="D91" s="81" t="s">
        <v>117</v>
      </c>
      <c r="AO91" s="25"/>
      <c r="AP91" s="45"/>
      <c r="AQ91" s="43"/>
    </row>
    <row r="92" spans="2:43" ht="17.25" customHeight="1">
      <c r="D92" s="81"/>
      <c r="AO92" s="25"/>
      <c r="AP92" s="43"/>
      <c r="AQ92" s="43"/>
    </row>
    <row r="93" spans="2:43" ht="17.25" customHeight="1">
      <c r="B93" s="22">
        <v>9</v>
      </c>
      <c r="D93" s="81" t="s">
        <v>118</v>
      </c>
    </row>
    <row r="94" spans="2:43" ht="17.25" customHeight="1">
      <c r="D94" s="81" t="s">
        <v>119</v>
      </c>
    </row>
    <row r="95" spans="2:43" ht="17.25" customHeight="1">
      <c r="D95" s="4" t="s">
        <v>52</v>
      </c>
    </row>
    <row r="96" spans="2:43" ht="17.25" customHeight="1">
      <c r="D96" s="81" t="s">
        <v>93</v>
      </c>
    </row>
    <row r="97" spans="2:4" ht="17.25" customHeight="1">
      <c r="D97" s="81" t="s">
        <v>137</v>
      </c>
    </row>
    <row r="98" spans="2:4" ht="17.25" customHeight="1">
      <c r="D98" s="81" t="s">
        <v>94</v>
      </c>
    </row>
    <row r="99" spans="2:4" ht="17.25" customHeight="1">
      <c r="D99" s="81" t="s">
        <v>95</v>
      </c>
    </row>
    <row r="100" spans="2:4" ht="17.25" customHeight="1">
      <c r="D100" s="81" t="s">
        <v>154</v>
      </c>
    </row>
    <row r="101" spans="2:4" ht="17.25" customHeight="1">
      <c r="D101" s="81" t="s">
        <v>155</v>
      </c>
    </row>
    <row r="102" spans="2:4" ht="17.25" customHeight="1">
      <c r="D102" s="81" t="s">
        <v>105</v>
      </c>
    </row>
    <row r="104" spans="2:4" ht="17.25" customHeight="1">
      <c r="B104" s="22">
        <v>10</v>
      </c>
      <c r="D104" s="81" t="s">
        <v>81</v>
      </c>
    </row>
    <row r="105" spans="2:4" ht="17.25" customHeight="1">
      <c r="D105" s="81" t="s">
        <v>106</v>
      </c>
    </row>
    <row r="106" spans="2:4" ht="17.25" customHeight="1">
      <c r="D106" s="84" t="s">
        <v>53</v>
      </c>
    </row>
    <row r="107" spans="2:4" ht="17.25" customHeight="1">
      <c r="D107" s="81" t="s">
        <v>107</v>
      </c>
    </row>
    <row r="108" spans="2:4" ht="17.25" customHeight="1">
      <c r="D108" s="4" t="s">
        <v>54</v>
      </c>
    </row>
    <row r="109" spans="2:4" ht="17.25" customHeight="1">
      <c r="D109" s="81" t="s">
        <v>120</v>
      </c>
    </row>
    <row r="110" spans="2:4" ht="17.25" customHeight="1">
      <c r="D110" s="81" t="s">
        <v>121</v>
      </c>
    </row>
    <row r="111" spans="2:4" ht="17.25" customHeight="1">
      <c r="D111" s="81" t="s">
        <v>96</v>
      </c>
    </row>
    <row r="112" spans="2:4" ht="17.25" customHeight="1">
      <c r="D112" s="81" t="s">
        <v>122</v>
      </c>
    </row>
    <row r="113" spans="2:4" ht="17.25" customHeight="1">
      <c r="D113" s="81" t="s">
        <v>124</v>
      </c>
    </row>
    <row r="114" spans="2:4" ht="17.25" customHeight="1">
      <c r="D114" s="81" t="s">
        <v>123</v>
      </c>
    </row>
    <row r="116" spans="2:4" ht="17.25" customHeight="1">
      <c r="B116" s="22">
        <v>11</v>
      </c>
      <c r="D116" s="4" t="s">
        <v>55</v>
      </c>
    </row>
    <row r="117" spans="2:4" ht="17.25" customHeight="1">
      <c r="D117" s="81" t="s">
        <v>138</v>
      </c>
    </row>
    <row r="118" spans="2:4" ht="17.25" customHeight="1">
      <c r="D118" s="81" t="s">
        <v>139</v>
      </c>
    </row>
    <row r="119" spans="2:4" ht="17.25" customHeight="1">
      <c r="D119" s="81" t="s">
        <v>140</v>
      </c>
    </row>
    <row r="120" spans="2:4" ht="17.25" customHeight="1">
      <c r="D120" s="81" t="s">
        <v>141</v>
      </c>
    </row>
    <row r="121" spans="2:4" ht="17.25" customHeight="1">
      <c r="D121" s="81" t="s">
        <v>156</v>
      </c>
    </row>
    <row r="123" spans="2:4" ht="17.25" customHeight="1">
      <c r="D123" s="86" t="s">
        <v>142</v>
      </c>
    </row>
    <row r="124" spans="2:4" ht="17.25" customHeight="1">
      <c r="D124" s="4" t="s">
        <v>56</v>
      </c>
    </row>
    <row r="126" spans="2:4" ht="17.25" customHeight="1">
      <c r="B126" s="22">
        <v>12</v>
      </c>
      <c r="D126" s="4" t="s">
        <v>57</v>
      </c>
    </row>
    <row r="127" spans="2:4" ht="17.25" customHeight="1">
      <c r="D127" s="81" t="s">
        <v>83</v>
      </c>
    </row>
    <row r="128" spans="2:4" ht="17.25" customHeight="1">
      <c r="D128" s="81" t="s">
        <v>82</v>
      </c>
    </row>
    <row r="130" spans="4:10" ht="17.25" customHeight="1">
      <c r="D130" s="81" t="s">
        <v>97</v>
      </c>
    </row>
    <row r="131" spans="4:10" ht="17.25" customHeight="1">
      <c r="D131" s="81" t="s">
        <v>98</v>
      </c>
    </row>
    <row r="132" spans="4:10" ht="17.25" customHeight="1">
      <c r="D132" s="81" t="s">
        <v>143</v>
      </c>
    </row>
    <row r="133" spans="4:10" ht="17.25" customHeight="1">
      <c r="D133" s="81" t="s">
        <v>145</v>
      </c>
    </row>
    <row r="134" spans="4:10" ht="17.25" customHeight="1">
      <c r="D134" s="81" t="s">
        <v>144</v>
      </c>
    </row>
    <row r="136" spans="4:10" ht="17.25" customHeight="1">
      <c r="J136" s="4" t="s">
        <v>58</v>
      </c>
    </row>
    <row r="137" spans="4:10" ht="17.25" customHeight="1">
      <c r="J137" s="81" t="s">
        <v>126</v>
      </c>
    </row>
    <row r="138" spans="4:10" ht="17.25" customHeight="1">
      <c r="J138" s="81" t="s">
        <v>125</v>
      </c>
    </row>
    <row r="139" spans="4:10" ht="17.25" customHeight="1">
      <c r="J139" s="4" t="s">
        <v>59</v>
      </c>
    </row>
    <row r="141" spans="4:10" ht="17.25" customHeight="1">
      <c r="D141" s="85" t="s">
        <v>127</v>
      </c>
    </row>
  </sheetData>
  <sortState ref="BD4:BM35">
    <sortCondition ref="BD4:BD35"/>
  </sortState>
  <conditionalFormatting sqref="AE6:AJ37 AD39:AD40 AN5:BJ5 AR39:AR40 AS6:AX37 BG6:BL37 BF39:BF40">
    <cfRule type="cellIs" dxfId="0" priority="5" operator="equal">
      <formula>0</formula>
    </cfRule>
  </conditionalFormatting>
  <pageMargins left="0.25" right="0.25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END_JUNE_2014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G. ELLIS</dc:creator>
  <cp:lastModifiedBy>CARL G. ELLIS</cp:lastModifiedBy>
  <cp:lastPrinted>2010-04-30T17:13:04Z</cp:lastPrinted>
  <dcterms:created xsi:type="dcterms:W3CDTF">2009-05-24T00:52:15Z</dcterms:created>
  <dcterms:modified xsi:type="dcterms:W3CDTF">2014-06-23T07:11:30Z</dcterms:modified>
</cp:coreProperties>
</file>