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345" windowWidth="20775" windowHeight="9420" tabRatio="184" activeTab="1"/>
  </bookViews>
  <sheets>
    <sheet name="Dankuka" sheetId="11" r:id="rId1"/>
    <sheet name="Sheet1" sheetId="10" r:id="rId2"/>
  </sheets>
  <definedNames>
    <definedName name="DANKUc1" localSheetId="1">Sheet1!$AH$24:$DZ$24</definedName>
    <definedName name="DANKUc2" localSheetId="1">Sheet1!$AH$44:$BG$44</definedName>
    <definedName name="DANKUp1" localSheetId="1">Sheet1!$AH$34:$DZ$34</definedName>
    <definedName name="DANKUp2" localSheetId="1">Sheet1!$AH$54:$BJ$54</definedName>
  </definedNames>
  <calcPr calcId="125725"/>
</workbook>
</file>

<file path=xl/calcChain.xml><?xml version="1.0" encoding="utf-8"?>
<calcChain xmlns="http://schemas.openxmlformats.org/spreadsheetml/2006/main">
  <c r="BP15" i="10"/>
  <c r="BN15"/>
  <c r="BJ15"/>
  <c r="B14"/>
  <c r="AD11"/>
  <c r="AC11"/>
  <c r="AC14" s="1"/>
  <c r="AB69"/>
  <c r="AA69"/>
  <c r="Z69"/>
  <c r="Y69"/>
  <c r="X69"/>
  <c r="W69"/>
  <c r="V69"/>
  <c r="U69"/>
  <c r="T69"/>
  <c r="S69"/>
  <c r="R69"/>
  <c r="Q69"/>
  <c r="P69"/>
  <c r="O69"/>
  <c r="N69"/>
  <c r="M69"/>
  <c r="L69"/>
  <c r="K69"/>
  <c r="J69"/>
  <c r="I69"/>
  <c r="H69"/>
  <c r="G69"/>
  <c r="F69"/>
  <c r="E69"/>
  <c r="D69"/>
  <c r="C69"/>
  <c r="AD6"/>
  <c r="C55"/>
  <c r="BS15"/>
  <c r="BR15"/>
  <c r="BX14"/>
  <c r="BX8"/>
  <c r="BX7"/>
  <c r="C25"/>
  <c r="AF21"/>
  <c r="BE21"/>
  <c r="BD21"/>
  <c r="BC21"/>
  <c r="BB21"/>
  <c r="BA21"/>
  <c r="AZ21"/>
  <c r="AY21"/>
  <c r="AX21"/>
  <c r="AW21"/>
  <c r="AV21"/>
  <c r="AU21"/>
  <c r="AT21"/>
  <c r="AS21"/>
  <c r="AR21"/>
  <c r="AQ21"/>
  <c r="AP21"/>
  <c r="AO21"/>
  <c r="AN21"/>
  <c r="AM21"/>
  <c r="AL21"/>
  <c r="AK21"/>
  <c r="AJ21"/>
  <c r="AI21"/>
  <c r="AH21"/>
  <c r="AG21"/>
  <c r="A5"/>
  <c r="AC3"/>
  <c r="AB45"/>
  <c r="AA45"/>
  <c r="Z45"/>
  <c r="Y45"/>
  <c r="X45"/>
  <c r="W45"/>
  <c r="V45"/>
  <c r="U45"/>
  <c r="T45"/>
  <c r="S45"/>
  <c r="R45"/>
  <c r="Q45"/>
  <c r="P45"/>
  <c r="O45"/>
  <c r="N45"/>
  <c r="M45"/>
  <c r="L45"/>
  <c r="K45"/>
  <c r="J45"/>
  <c r="I45"/>
  <c r="H45"/>
  <c r="G45"/>
  <c r="F45"/>
  <c r="E45"/>
  <c r="D45"/>
  <c r="C45"/>
  <c r="AB55"/>
  <c r="AA55"/>
  <c r="Z55"/>
  <c r="Y55"/>
  <c r="X55"/>
  <c r="W55"/>
  <c r="V55"/>
  <c r="U55"/>
  <c r="T55"/>
  <c r="S55"/>
  <c r="R55"/>
  <c r="Q55"/>
  <c r="P55"/>
  <c r="O55"/>
  <c r="N55"/>
  <c r="M55"/>
  <c r="L55"/>
  <c r="K55"/>
  <c r="J55"/>
  <c r="I55"/>
  <c r="H55"/>
  <c r="G55"/>
  <c r="F55"/>
  <c r="E55"/>
  <c r="D55"/>
  <c r="AB35"/>
  <c r="AA35"/>
  <c r="Z35"/>
  <c r="Y35"/>
  <c r="X35"/>
  <c r="W35"/>
  <c r="V35"/>
  <c r="U35"/>
  <c r="T35"/>
  <c r="S35"/>
  <c r="R35"/>
  <c r="Q35"/>
  <c r="P35"/>
  <c r="O35"/>
  <c r="N35"/>
  <c r="M35"/>
  <c r="L35"/>
  <c r="K35"/>
  <c r="J35"/>
  <c r="I35"/>
  <c r="H35"/>
  <c r="G35"/>
  <c r="F35"/>
  <c r="E35"/>
  <c r="D35"/>
  <c r="C35"/>
  <c r="AC6"/>
  <c r="AC5"/>
  <c r="AC15" l="1"/>
  <c r="BW15"/>
  <c r="BF21"/>
  <c r="AC10"/>
  <c r="AD45"/>
  <c r="D46"/>
  <c r="D47" s="1"/>
  <c r="F46"/>
  <c r="F47" s="1"/>
  <c r="H46"/>
  <c r="H47" s="1"/>
  <c r="J46"/>
  <c r="J47" s="1"/>
  <c r="L46"/>
  <c r="L47" s="1"/>
  <c r="N46"/>
  <c r="N47" s="1"/>
  <c r="P46"/>
  <c r="P47" s="1"/>
  <c r="R46"/>
  <c r="R47" s="1"/>
  <c r="T46"/>
  <c r="T47" s="1"/>
  <c r="V46"/>
  <c r="V47" s="1"/>
  <c r="X46"/>
  <c r="X47" s="1"/>
  <c r="Z46"/>
  <c r="Z47" s="1"/>
  <c r="AB46"/>
  <c r="AB47" s="1"/>
  <c r="AC45"/>
  <c r="C46"/>
  <c r="E46"/>
  <c r="E47" s="1"/>
  <c r="G46"/>
  <c r="G47" s="1"/>
  <c r="I46"/>
  <c r="I47" s="1"/>
  <c r="K46"/>
  <c r="K47" s="1"/>
  <c r="M46"/>
  <c r="M47" s="1"/>
  <c r="O46"/>
  <c r="O47" s="1"/>
  <c r="Q46"/>
  <c r="Q47" s="1"/>
  <c r="S46"/>
  <c r="S47" s="1"/>
  <c r="U46"/>
  <c r="U47" s="1"/>
  <c r="W46"/>
  <c r="W47" s="1"/>
  <c r="Y46"/>
  <c r="Y47" s="1"/>
  <c r="AA46"/>
  <c r="AA47" s="1"/>
  <c r="AD35"/>
  <c r="AD55"/>
  <c r="AC55"/>
  <c r="C56"/>
  <c r="C57" s="1"/>
  <c r="E56"/>
  <c r="E57" s="1"/>
  <c r="G56"/>
  <c r="G57" s="1"/>
  <c r="I56"/>
  <c r="I57" s="1"/>
  <c r="K56"/>
  <c r="K57" s="1"/>
  <c r="M56"/>
  <c r="M57" s="1"/>
  <c r="O56"/>
  <c r="O57" s="1"/>
  <c r="Q56"/>
  <c r="Q57" s="1"/>
  <c r="S56"/>
  <c r="S57" s="1"/>
  <c r="U56"/>
  <c r="U57" s="1"/>
  <c r="W56"/>
  <c r="W57" s="1"/>
  <c r="Y56"/>
  <c r="Y57" s="1"/>
  <c r="AA56"/>
  <c r="AA57" s="1"/>
  <c r="D56"/>
  <c r="D57" s="1"/>
  <c r="F56"/>
  <c r="F57" s="1"/>
  <c r="H56"/>
  <c r="H57" s="1"/>
  <c r="J56"/>
  <c r="J57" s="1"/>
  <c r="L56"/>
  <c r="L57" s="1"/>
  <c r="N56"/>
  <c r="N57" s="1"/>
  <c r="P56"/>
  <c r="P57" s="1"/>
  <c r="R56"/>
  <c r="R57" s="1"/>
  <c r="T56"/>
  <c r="T57" s="1"/>
  <c r="V56"/>
  <c r="V57" s="1"/>
  <c r="X56"/>
  <c r="X57" s="1"/>
  <c r="Z56"/>
  <c r="Z57" s="1"/>
  <c r="AB56"/>
  <c r="AB57" s="1"/>
  <c r="AC35"/>
  <c r="C36"/>
  <c r="C37" s="1"/>
  <c r="E36"/>
  <c r="E37" s="1"/>
  <c r="G36"/>
  <c r="G37" s="1"/>
  <c r="I36"/>
  <c r="I37" s="1"/>
  <c r="K36"/>
  <c r="K37" s="1"/>
  <c r="M36"/>
  <c r="M37" s="1"/>
  <c r="O36"/>
  <c r="O37" s="1"/>
  <c r="Q36"/>
  <c r="Q37" s="1"/>
  <c r="S36"/>
  <c r="S37" s="1"/>
  <c r="U36"/>
  <c r="U37" s="1"/>
  <c r="W36"/>
  <c r="W37" s="1"/>
  <c r="Y36"/>
  <c r="Y37" s="1"/>
  <c r="AA36"/>
  <c r="AA37" s="1"/>
  <c r="D36"/>
  <c r="D37" s="1"/>
  <c r="F36"/>
  <c r="F37" s="1"/>
  <c r="H36"/>
  <c r="H37" s="1"/>
  <c r="J36"/>
  <c r="J37" s="1"/>
  <c r="L36"/>
  <c r="L37" s="1"/>
  <c r="N36"/>
  <c r="N37" s="1"/>
  <c r="P36"/>
  <c r="P37" s="1"/>
  <c r="R36"/>
  <c r="R37" s="1"/>
  <c r="T36"/>
  <c r="T37" s="1"/>
  <c r="V36"/>
  <c r="V37" s="1"/>
  <c r="X36"/>
  <c r="X37" s="1"/>
  <c r="Z36"/>
  <c r="Z37" s="1"/>
  <c r="AB36"/>
  <c r="AB37" s="1"/>
  <c r="AC49" l="1"/>
  <c r="AC48"/>
  <c r="AC44"/>
  <c r="AC46"/>
  <c r="AD46"/>
  <c r="C47"/>
  <c r="AC47" s="1"/>
  <c r="AD56"/>
  <c r="AC56"/>
  <c r="AC57"/>
  <c r="AC54"/>
  <c r="AC59"/>
  <c r="AC58"/>
  <c r="AD36"/>
  <c r="AC36"/>
  <c r="AC37"/>
  <c r="AC34"/>
  <c r="AC39"/>
  <c r="AC38"/>
  <c r="AC50" l="1"/>
  <c r="AC60"/>
  <c r="AC40"/>
  <c r="AB25" l="1"/>
  <c r="AA25"/>
  <c r="Z25"/>
  <c r="Y25"/>
  <c r="X25"/>
  <c r="W25"/>
  <c r="V25"/>
  <c r="U25"/>
  <c r="U26" s="1"/>
  <c r="U27" s="1"/>
  <c r="T25"/>
  <c r="T26" s="1"/>
  <c r="T27" s="1"/>
  <c r="S25"/>
  <c r="S26" s="1"/>
  <c r="S27" s="1"/>
  <c r="R25"/>
  <c r="Q25"/>
  <c r="Q26" s="1"/>
  <c r="Q27" s="1"/>
  <c r="P25"/>
  <c r="P26" s="1"/>
  <c r="P27" s="1"/>
  <c r="O25"/>
  <c r="O26" s="1"/>
  <c r="O27" s="1"/>
  <c r="N25"/>
  <c r="M25"/>
  <c r="M26" s="1"/>
  <c r="M27" s="1"/>
  <c r="L25"/>
  <c r="L26" s="1"/>
  <c r="L27" s="1"/>
  <c r="K25"/>
  <c r="K26" s="1"/>
  <c r="K27" s="1"/>
  <c r="J25"/>
  <c r="I25"/>
  <c r="I26" s="1"/>
  <c r="I27" s="1"/>
  <c r="H25"/>
  <c r="H26" s="1"/>
  <c r="H27" s="1"/>
  <c r="G25"/>
  <c r="G26" s="1"/>
  <c r="G27" s="1"/>
  <c r="F25"/>
  <c r="E25"/>
  <c r="E26" s="1"/>
  <c r="E27" s="1"/>
  <c r="D25"/>
  <c r="D26" s="1"/>
  <c r="D27" s="1"/>
  <c r="C26"/>
  <c r="C27" s="1"/>
  <c r="AB26"/>
  <c r="AB27" s="1"/>
  <c r="AA26"/>
  <c r="AA27" s="1"/>
  <c r="Z26"/>
  <c r="Z27" s="1"/>
  <c r="Y26"/>
  <c r="Y27" s="1"/>
  <c r="X26"/>
  <c r="X27" s="1"/>
  <c r="W26"/>
  <c r="W27" s="1"/>
  <c r="V26"/>
  <c r="V27" s="1"/>
  <c r="R26"/>
  <c r="R27" s="1"/>
  <c r="N26"/>
  <c r="N27" s="1"/>
  <c r="J26"/>
  <c r="J27" s="1"/>
  <c r="F26"/>
  <c r="F27" s="1"/>
  <c r="AD25" l="1"/>
  <c r="AC25"/>
  <c r="AC29" s="1"/>
  <c r="AC27"/>
  <c r="AD26"/>
  <c r="AC26"/>
  <c r="AB12"/>
  <c r="AB13" s="1"/>
  <c r="AB14" s="1"/>
  <c r="AB16" s="1"/>
  <c r="AA12"/>
  <c r="AA13" s="1"/>
  <c r="AA14" s="1"/>
  <c r="AA16" s="1"/>
  <c r="Z12"/>
  <c r="Z13" s="1"/>
  <c r="Z14" s="1"/>
  <c r="Z16" s="1"/>
  <c r="Y12"/>
  <c r="Y13" s="1"/>
  <c r="Y14" s="1"/>
  <c r="Y16" s="1"/>
  <c r="X12"/>
  <c r="X13" s="1"/>
  <c r="X14" s="1"/>
  <c r="X16" s="1"/>
  <c r="W12"/>
  <c r="W13" s="1"/>
  <c r="W14" s="1"/>
  <c r="W16" s="1"/>
  <c r="V12"/>
  <c r="V13" s="1"/>
  <c r="V14" s="1"/>
  <c r="V16" s="1"/>
  <c r="U12"/>
  <c r="U13" s="1"/>
  <c r="U14" s="1"/>
  <c r="U16" s="1"/>
  <c r="T12"/>
  <c r="T13" s="1"/>
  <c r="T14" s="1"/>
  <c r="T16" s="1"/>
  <c r="S12"/>
  <c r="S13" s="1"/>
  <c r="S14" s="1"/>
  <c r="S16" s="1"/>
  <c r="R12"/>
  <c r="R13" s="1"/>
  <c r="R14" s="1"/>
  <c r="R16" s="1"/>
  <c r="Q12"/>
  <c r="Q13" s="1"/>
  <c r="Q14" s="1"/>
  <c r="Q16" s="1"/>
  <c r="P12"/>
  <c r="P13" s="1"/>
  <c r="P14" s="1"/>
  <c r="P16" s="1"/>
  <c r="O12"/>
  <c r="O13" s="1"/>
  <c r="O14" s="1"/>
  <c r="O16" s="1"/>
  <c r="N12"/>
  <c r="N13" s="1"/>
  <c r="N14" s="1"/>
  <c r="N16" s="1"/>
  <c r="M12"/>
  <c r="M13" s="1"/>
  <c r="L12"/>
  <c r="L13" s="1"/>
  <c r="L14" s="1"/>
  <c r="L16" s="1"/>
  <c r="K12"/>
  <c r="K13" s="1"/>
  <c r="K14" s="1"/>
  <c r="K16" s="1"/>
  <c r="J12"/>
  <c r="J13" s="1"/>
  <c r="J14" s="1"/>
  <c r="J16" s="1"/>
  <c r="I12"/>
  <c r="I13" s="1"/>
  <c r="I14" s="1"/>
  <c r="I16" s="1"/>
  <c r="H12"/>
  <c r="H13" s="1"/>
  <c r="H14" s="1"/>
  <c r="H16" s="1"/>
  <c r="G12"/>
  <c r="G13" s="1"/>
  <c r="G14" s="1"/>
  <c r="G16" s="1"/>
  <c r="F12"/>
  <c r="F13" s="1"/>
  <c r="F14" s="1"/>
  <c r="F16" s="1"/>
  <c r="E12"/>
  <c r="E13" s="1"/>
  <c r="E14" s="1"/>
  <c r="D12"/>
  <c r="D13" s="1"/>
  <c r="D14" s="1"/>
  <c r="C12"/>
  <c r="AD12" s="1"/>
  <c r="AC4"/>
  <c r="AC8"/>
  <c r="AC2"/>
  <c r="AC12" l="1"/>
  <c r="C13"/>
  <c r="AC28"/>
  <c r="AC30" s="1"/>
  <c r="D16"/>
  <c r="D15"/>
  <c r="M14"/>
  <c r="M16" s="1"/>
  <c r="F15"/>
  <c r="H15"/>
  <c r="J15"/>
  <c r="L15"/>
  <c r="N15"/>
  <c r="P15"/>
  <c r="R15"/>
  <c r="T15"/>
  <c r="V15"/>
  <c r="X15"/>
  <c r="Z15"/>
  <c r="AB15"/>
  <c r="E16"/>
  <c r="E15"/>
  <c r="G15"/>
  <c r="I15"/>
  <c r="K15"/>
  <c r="M15"/>
  <c r="O15"/>
  <c r="Q15"/>
  <c r="S15"/>
  <c r="U15"/>
  <c r="W15"/>
  <c r="Y15"/>
  <c r="AA15"/>
  <c r="AC24"/>
  <c r="C14" l="1"/>
  <c r="AC13"/>
  <c r="AC16"/>
  <c r="C16" l="1"/>
  <c r="C15"/>
  <c r="B2"/>
  <c r="B4" l="1"/>
  <c r="B16"/>
  <c r="B15"/>
  <c r="B3"/>
</calcChain>
</file>

<file path=xl/sharedStrings.xml><?xml version="1.0" encoding="utf-8"?>
<sst xmlns="http://schemas.openxmlformats.org/spreadsheetml/2006/main" count="1046" uniqueCount="129">
  <si>
    <t>K</t>
  </si>
  <si>
    <t>R</t>
  </si>
  <si>
    <t>Y</t>
  </si>
  <si>
    <t>P</t>
  </si>
  <si>
    <t>T</t>
  </si>
  <si>
    <t>O</t>
  </si>
  <si>
    <t>S</t>
  </si>
  <si>
    <t>B</t>
  </si>
  <si>
    <t>U</t>
  </si>
  <si>
    <t>X</t>
  </si>
  <si>
    <t>G</t>
  </si>
  <si>
    <t>H</t>
  </si>
  <si>
    <t>L</t>
  </si>
  <si>
    <t>I</t>
  </si>
  <si>
    <t>F</t>
  </si>
  <si>
    <t>W</t>
  </si>
  <si>
    <t>V</t>
  </si>
  <si>
    <t>Q</t>
  </si>
  <si>
    <t>N</t>
  </si>
  <si>
    <t>J</t>
  </si>
  <si>
    <t>E</t>
  </si>
  <si>
    <t>Z</t>
  </si>
  <si>
    <t>A</t>
  </si>
  <si>
    <t>D</t>
  </si>
  <si>
    <t>M</t>
  </si>
  <si>
    <t>C</t>
  </si>
  <si>
    <t>f</t>
  </si>
  <si>
    <t>(97+71) * 2 =</t>
  </si>
  <si>
    <t>Letters</t>
  </si>
  <si>
    <t>(f-1)</t>
  </si>
  <si>
    <t>f*(f-1)</t>
  </si>
  <si>
    <t>P1⇿Q3</t>
  </si>
  <si>
    <t>ΔIC</t>
  </si>
  <si>
    <t>E1⇿Q2</t>
  </si>
  <si>
    <t>E1⇿P3</t>
  </si>
  <si>
    <t>e</t>
  </si>
  <si>
    <t>q</t>
  </si>
  <si>
    <t>o</t>
  </si>
  <si>
    <t>s</t>
  </si>
  <si>
    <t>u</t>
  </si>
  <si>
    <t>K4</t>
  </si>
  <si>
    <t>b</t>
  </si>
  <si>
    <t>t</t>
  </si>
  <si>
    <t>w</t>
  </si>
  <si>
    <t>n</t>
  </si>
  <si>
    <t>l</t>
  </si>
  <si>
    <t>h</t>
  </si>
  <si>
    <t>a</t>
  </si>
  <si>
    <t>d</t>
  </si>
  <si>
    <t>i</t>
  </si>
  <si>
    <t>g</t>
  </si>
  <si>
    <t>c</t>
  </si>
  <si>
    <t>y</t>
  </si>
  <si>
    <t>v</t>
  </si>
  <si>
    <t>p</t>
  </si>
  <si>
    <t>?</t>
  </si>
  <si>
    <t>r</t>
  </si>
  <si>
    <t>m</t>
  </si>
  <si>
    <t>x</t>
  </si>
  <si>
    <t>k</t>
  </si>
  <si>
    <t>Rob,</t>
  </si>
  <si>
    <t>Cheers!</t>
  </si>
  <si>
    <t>Dan</t>
  </si>
  <si>
    <t xml:space="preserve">There's one non-programming item in your responses that I want to address......and </t>
  </si>
  <si>
    <t>also use as a disclosure for my current efforts ;)</t>
  </si>
  <si>
    <t xml:space="preserve">"But that's no different than a one-time pad: all 97-letter solutions are possible. But </t>
  </si>
  <si>
    <t>since Sanborn and Scheidt believe K4 is solvable, it can't be a one time pad."</t>
  </si>
  <si>
    <t xml:space="preserve">True if the OTP has actually been held secret, not true if it is hidden within KRYPTOS </t>
  </si>
  <si>
    <t>awaiting discovery.</t>
  </si>
  <si>
    <t xml:space="preserve">My current efforts revolve around OTP because of the raised YAR, the NOVA </t>
  </si>
  <si>
    <t xml:space="preserve">disclosure of the K3 PT in a 42 col X 8 row format with the appended "P"s and "C"s, </t>
  </si>
  <si>
    <t>ing the disclosure of the misspellings in the NYT.</t>
  </si>
  <si>
    <t>and an extremely simple approach to the meaning behind the misspellings after see-</t>
  </si>
  <si>
    <t xml:space="preserve">First, the misspelling of IQLUSION. I'm viewing this as the simplest of hints; if you </t>
  </si>
  <si>
    <t xml:space="preserve">have the correct PT, the correct CT, and the correct method then you can derive the </t>
  </si>
  <si>
    <t>correct key which in this case was actually PALIMPCEST in lieu of PALIMPSEST.</t>
  </si>
  <si>
    <t xml:space="preserve">that presentation format coupled with the first item above is that a key (which would </t>
  </si>
  <si>
    <t>be in the form of OTP) can be derived from this table if the correct method is known.</t>
  </si>
  <si>
    <t xml:space="preserve">Third, the misspelling of GRUUND. I'm viewing this also as the simplest of hints; if you </t>
  </si>
  <si>
    <t xml:space="preserve">have the correct PT, the correct CT, and the correct key then you can derive the </t>
  </si>
  <si>
    <t xml:space="preserve">correct methodology. In this particular case, t he U will convert to an O if the Beaufort </t>
  </si>
  <si>
    <t>as stated above, but not necessarily using standard vig</t>
  </si>
  <si>
    <t>﻿</t>
  </si>
  <si>
    <t>- Carl Ellis</t>
  </si>
  <si>
    <t xml:space="preserve">Thank you, Carl, but my post does specify the 97 characters I'm focusing </t>
  </si>
  <si>
    <t>on -- the 35 preceding the Y + the 33 preceding the A + the 29 preceding the R.</t>
  </si>
  <si>
    <t>Probably hasn't escaped you, tho I hadn't noticed it until a couple months ago: When you</t>
  </si>
  <si>
    <t xml:space="preserve">run the basic IC test on K4, the sum of all the occurrences is, of course, 97, and the sum </t>
  </si>
  <si>
    <t xml:space="preserve">of frequencies-less-one is thus necessarily 26 less, or 71, and these add to 168. Nothing </t>
  </si>
  <si>
    <t xml:space="preserve">remarkable so far, but the sum of [frequencies x frequencies-less-one] is 336, and while </t>
  </si>
  <si>
    <t xml:space="preserve">altering the distribution of letters/frequencies will not change the 97+(97-26) = 168, the </t>
  </si>
  <si>
    <t xml:space="preserve">336 is very specific to the the actual numerical distribution of K4. (see attached) </t>
  </si>
  <si>
    <t xml:space="preserve">I hypothesize that J. S. built Kryptos "backward" from K4, using its numerical characteristics </t>
  </si>
  <si>
    <t xml:space="preserve">to develop K3, K3's for K2, &amp;c. No idea how that might help, or how to pick out the 71 letters </t>
  </si>
  <si>
    <t>to eliminate for your OTP key, just inviting your notice, in case you missed it.</t>
  </si>
  <si>
    <t xml:space="preserve">(Sent direct as well as to group so the Excel attachment gets to Dan. Can upload it if anyone </t>
  </si>
  <si>
    <t xml:space="preserve">wants it.) </t>
  </si>
  <si>
    <t>immediately preceding the raised YAR. Obviously can be a coincidence, but I like it.</t>
  </si>
  <si>
    <t xml:space="preserve">the R is in position 30 of the first "C" line i.e. there are 35+33+29=97 characters </t>
  </si>
  <si>
    <t xml:space="preserve">Finally, this approach generates a 168 character OTP of which we only need 97 -- </t>
  </si>
  <si>
    <t xml:space="preserve">and that takes me to the raised YAR. Within the K3 PT presentation format the Y is </t>
  </si>
  <si>
    <t xml:space="preserve">in position 36 of the fourth "C" line, the A is in position 34 of the second "C" line and </t>
  </si>
  <si>
    <t xml:space="preserve">variation is used.  My inference is that the OTP can be derived from the K3 presentation </t>
  </si>
  <si>
    <r>
      <t xml:space="preserve">The solution space is extremely large due </t>
    </r>
    <r>
      <rPr>
        <sz val="11"/>
        <color theme="3" tint="0.39997558519241921"/>
        <rFont val="Verdana"/>
        <family val="2"/>
      </rPr>
      <t>to</t>
    </r>
    <r>
      <rPr>
        <sz val="11"/>
        <color theme="1"/>
        <rFont val="Verdana"/>
        <family val="2"/>
      </rPr>
      <t xml:space="preserve"> the possibility that the YAR pieces are </t>
    </r>
  </si>
  <si>
    <t xml:space="preserve">in a different order, there are multiple variations of vig decoding, the possibility of </t>
  </si>
  <si>
    <t xml:space="preserve">transposition in multiple steps along the way, etc etc and so thought I would give </t>
  </si>
  <si>
    <t xml:space="preserve">this to the forum should someone (especially someone with programming skills) </t>
  </si>
  <si>
    <t>like the concept and decide to tackle it.</t>
  </si>
  <si>
    <t xml:space="preserve">Second, the K3 PT worksheet shows us the rows labeled P &amp; C. My inference� from </t>
  </si>
  <si>
    <t>dankuda@q.com &lt;dankuda@q.com&gt;</t>
  </si>
  <si>
    <t>Friday, May 27, 2011 7:50 PM</t>
  </si>
  <si>
    <t>Dankuda-p1</t>
  </si>
  <si>
    <t>Dankuda-p2</t>
  </si>
  <si>
    <r>
      <t>Σ</t>
    </r>
    <r>
      <rPr>
        <b/>
        <vertAlign val="subscript"/>
        <sz val="12"/>
        <color theme="5"/>
        <rFont val="Calibri"/>
        <family val="2"/>
      </rPr>
      <t>1-26</t>
    </r>
    <r>
      <rPr>
        <b/>
        <sz val="12"/>
        <color theme="5"/>
        <rFont val="Calibri"/>
        <family val="2"/>
      </rPr>
      <t>[f</t>
    </r>
    <r>
      <rPr>
        <b/>
        <vertAlign val="subscript"/>
        <sz val="12"/>
        <color theme="5"/>
        <rFont val="Calibri"/>
        <family val="2"/>
      </rPr>
      <t>n</t>
    </r>
    <r>
      <rPr>
        <b/>
        <sz val="12"/>
        <color theme="5"/>
        <rFont val="Calibri"/>
        <family val="2"/>
      </rPr>
      <t>*(f</t>
    </r>
    <r>
      <rPr>
        <b/>
        <vertAlign val="subscript"/>
        <sz val="12"/>
        <color theme="5"/>
        <rFont val="Calibri"/>
        <family val="2"/>
      </rPr>
      <t>n</t>
    </r>
    <r>
      <rPr>
        <b/>
        <sz val="12"/>
        <color theme="5"/>
        <rFont val="Calibri"/>
        <family val="2"/>
      </rPr>
      <t>-1)]  =  [Σ</t>
    </r>
    <r>
      <rPr>
        <b/>
        <vertAlign val="subscript"/>
        <sz val="12"/>
        <color theme="5"/>
        <rFont val="Calibri"/>
        <family val="2"/>
      </rPr>
      <t>1-26</t>
    </r>
    <r>
      <rPr>
        <b/>
        <sz val="12"/>
        <color theme="5"/>
        <rFont val="Calibri"/>
        <family val="2"/>
      </rPr>
      <t>(f</t>
    </r>
    <r>
      <rPr>
        <b/>
        <vertAlign val="subscript"/>
        <sz val="12"/>
        <color theme="5"/>
        <rFont val="Calibri"/>
        <family val="2"/>
      </rPr>
      <t>n</t>
    </r>
    <r>
      <rPr>
        <b/>
        <sz val="12"/>
        <color theme="5"/>
        <rFont val="Calibri"/>
        <family val="2"/>
      </rPr>
      <t>) + Σ</t>
    </r>
    <r>
      <rPr>
        <b/>
        <vertAlign val="subscript"/>
        <sz val="12"/>
        <color theme="5"/>
        <rFont val="Calibri"/>
        <family val="2"/>
      </rPr>
      <t>1-26</t>
    </r>
    <r>
      <rPr>
        <b/>
        <sz val="12"/>
        <color theme="5"/>
        <rFont val="Calibri"/>
        <family val="2"/>
      </rPr>
      <t>(f</t>
    </r>
    <r>
      <rPr>
        <b/>
        <vertAlign val="subscript"/>
        <sz val="12"/>
        <color theme="5"/>
        <rFont val="Calibri"/>
        <family val="2"/>
      </rPr>
      <t>n</t>
    </r>
    <r>
      <rPr>
        <b/>
        <sz val="12"/>
        <color theme="5"/>
        <rFont val="Calibri"/>
        <family val="2"/>
      </rPr>
      <t>-1)] * 2</t>
    </r>
  </si>
  <si>
    <r>
      <rPr>
        <b/>
        <i/>
        <sz val="12"/>
        <color rgb="FFFF0000"/>
        <rFont val="Calibri"/>
        <family val="2"/>
      </rPr>
      <t>NOT</t>
    </r>
    <r>
      <rPr>
        <b/>
        <sz val="12"/>
        <color rgb="FFFF0000"/>
        <rFont val="Calibri"/>
        <family val="2"/>
      </rPr>
      <t xml:space="preserve"> </t>
    </r>
    <r>
      <rPr>
        <sz val="12"/>
        <color rgb="FFFF0000"/>
        <rFont val="Calibri"/>
        <family val="2"/>
      </rPr>
      <t>usually, just here.</t>
    </r>
  </si>
  <si>
    <t>Φobserved</t>
  </si>
  <si>
    <t>Φrandom</t>
  </si>
  <si>
    <t>Φplain</t>
  </si>
  <si>
    <t>DANKUc1</t>
  </si>
  <si>
    <t>DANKUp1</t>
  </si>
  <si>
    <t>Dankuda-c2</t>
  </si>
  <si>
    <t>Dankuda-c1</t>
  </si>
  <si>
    <t>DANKUc2</t>
  </si>
  <si>
    <t>DANKUp2</t>
  </si>
  <si>
    <r>
      <t xml:space="preserve">From: </t>
    </r>
    <r>
      <rPr>
        <sz val="8"/>
        <color theme="4"/>
        <rFont val="Verdana"/>
        <family val="2"/>
      </rPr>
      <t>"Meg/Carl Ellis" &lt;megellis1@tds.net&gt;</t>
    </r>
  </si>
  <si>
    <r>
      <t xml:space="preserve">To: </t>
    </r>
    <r>
      <rPr>
        <sz val="8"/>
        <color theme="4"/>
        <rFont val="Verdana"/>
        <family val="2"/>
      </rPr>
      <t>Kryptos@yahoogroups.com, dankuda@q.com</t>
    </r>
  </si>
  <si>
    <r>
      <t xml:space="preserve">Sent: </t>
    </r>
    <r>
      <rPr>
        <sz val="8"/>
        <color theme="4"/>
        <rFont val="Verdana"/>
        <family val="2"/>
      </rPr>
      <t>Friday, May 27, 2011 9:49:02 PM</t>
    </r>
  </si>
  <si>
    <r>
      <t xml:space="preserve">Subject: </t>
    </r>
    <r>
      <rPr>
        <sz val="8"/>
        <color theme="4"/>
        <rFont val="Verdana"/>
        <family val="2"/>
      </rPr>
      <t>Re: [Kryptos] Re: VSolver a brute force vigenere solver.</t>
    </r>
  </si>
  <si>
    <t>E2@178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</si>
</sst>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0.000"/>
    <numFmt numFmtId="165" formatCode="_(* #,##0.000_);_(* \(#,##0.000\);_(* &quot;-&quot;???_);_(@_)"/>
    <numFmt numFmtId="166" formatCode="0.000000000000000"/>
    <numFmt numFmtId="167" formatCode="0.000000"/>
  </numFmts>
  <fonts count="7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10"/>
      <name val="Verdana"/>
      <family val="2"/>
    </font>
    <font>
      <sz val="10"/>
      <color theme="1"/>
      <name val="Verdana"/>
      <family val="2"/>
    </font>
    <font>
      <sz val="12"/>
      <color rgb="FF000000"/>
      <name val="Verdana"/>
      <family val="2"/>
    </font>
    <font>
      <sz val="10"/>
      <color rgb="FF000000"/>
      <name val="Verdana"/>
      <family val="2"/>
    </font>
    <font>
      <sz val="11"/>
      <name val="Verdana"/>
      <family val="2"/>
    </font>
    <font>
      <sz val="11"/>
      <color theme="3" tint="0.39997558519241921"/>
      <name val="Verdana"/>
      <family val="2"/>
    </font>
    <font>
      <sz val="8"/>
      <color theme="3" tint="0.39997558519241921"/>
      <name val="Verdana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8"/>
      <color rgb="FF00B050"/>
      <name val="Calibri"/>
      <family val="2"/>
    </font>
    <font>
      <i/>
      <sz val="8"/>
      <color theme="3" tint="0.39997558519241921"/>
      <name val="Calibri"/>
      <family val="2"/>
    </font>
    <font>
      <sz val="9"/>
      <color theme="1"/>
      <name val="Calibri"/>
      <family val="2"/>
    </font>
    <font>
      <b/>
      <sz val="12"/>
      <color theme="5"/>
      <name val="Calibri"/>
      <family val="2"/>
    </font>
    <font>
      <b/>
      <sz val="11"/>
      <color rgb="FFC00000"/>
      <name val="Calibri"/>
      <family val="2"/>
    </font>
    <font>
      <i/>
      <sz val="12"/>
      <color indexed="60"/>
      <name val="Calibri"/>
      <family val="2"/>
    </font>
    <font>
      <i/>
      <sz val="12"/>
      <color theme="6" tint="-0.249977111117893"/>
      <name val="Calibri"/>
      <family val="2"/>
    </font>
    <font>
      <b/>
      <i/>
      <sz val="12"/>
      <color indexed="60"/>
      <name val="Calibri"/>
      <family val="2"/>
    </font>
    <font>
      <sz val="12"/>
      <color theme="1"/>
      <name val="Calibri"/>
      <family val="2"/>
    </font>
    <font>
      <b/>
      <vertAlign val="subscript"/>
      <sz val="12"/>
      <color theme="5"/>
      <name val="Calibri"/>
      <family val="2"/>
    </font>
    <font>
      <b/>
      <sz val="12"/>
      <color rgb="FFFF0000"/>
      <name val="Calibri"/>
      <family val="2"/>
    </font>
    <font>
      <b/>
      <i/>
      <sz val="12"/>
      <color rgb="FFFF0000"/>
      <name val="Calibri"/>
      <family val="2"/>
    </font>
    <font>
      <sz val="12"/>
      <color rgb="FFFF0000"/>
      <name val="Calibri"/>
      <family val="2"/>
    </font>
    <font>
      <sz val="12"/>
      <color theme="8" tint="-0.249977111117893"/>
      <name val="Calibri"/>
      <family val="2"/>
    </font>
    <font>
      <sz val="12"/>
      <name val="Calibri"/>
      <family val="2"/>
    </font>
    <font>
      <b/>
      <sz val="12"/>
      <color rgb="FF00B050"/>
      <name val="Calibri"/>
      <family val="2"/>
    </font>
    <font>
      <b/>
      <sz val="12"/>
      <color theme="8" tint="-0.249977111117893"/>
      <name val="Calibri"/>
      <family val="2"/>
    </font>
    <font>
      <sz val="12"/>
      <color rgb="FF008000"/>
      <name val="Calibri"/>
      <family val="2"/>
    </font>
    <font>
      <i/>
      <sz val="12"/>
      <color rgb="FF008000"/>
      <name val="Calibri"/>
      <family val="2"/>
    </font>
    <font>
      <sz val="12"/>
      <color theme="9" tint="-0.499984740745262"/>
      <name val="Calibri"/>
      <family val="2"/>
    </font>
    <font>
      <b/>
      <sz val="12"/>
      <color theme="9" tint="-0.499984740745262"/>
      <name val="Calibri"/>
      <family val="2"/>
    </font>
    <font>
      <sz val="12"/>
      <color theme="6" tint="-0.249977111117893"/>
      <name val="Calibri"/>
      <family val="2"/>
    </font>
    <font>
      <b/>
      <sz val="12"/>
      <color theme="3" tint="0.39997558519241921"/>
      <name val="Calibri"/>
      <family val="2"/>
    </font>
    <font>
      <u val="doubleAccounting"/>
      <sz val="10"/>
      <color theme="1"/>
      <name val="Calibri"/>
      <family val="2"/>
    </font>
    <font>
      <sz val="10"/>
      <name val="Calibri"/>
      <family val="2"/>
    </font>
    <font>
      <i/>
      <sz val="10"/>
      <color rgb="FF008000"/>
      <name val="Calibri"/>
      <family val="2"/>
    </font>
    <font>
      <i/>
      <sz val="10"/>
      <color indexed="60"/>
      <name val="Calibri"/>
      <family val="2"/>
    </font>
    <font>
      <sz val="9"/>
      <name val="Calibri"/>
      <family val="2"/>
    </font>
    <font>
      <i/>
      <sz val="9"/>
      <color theme="8" tint="-0.249977111117893"/>
      <name val="Calibri"/>
      <family val="2"/>
    </font>
    <font>
      <i/>
      <sz val="9"/>
      <color rgb="FF008000"/>
      <name val="Calibri"/>
      <family val="2"/>
    </font>
    <font>
      <b/>
      <sz val="9"/>
      <color theme="5"/>
      <name val="Calibri"/>
      <family val="2"/>
    </font>
    <font>
      <b/>
      <sz val="9"/>
      <color rgb="FF9900FF"/>
      <name val="Calibri"/>
      <family val="2"/>
    </font>
    <font>
      <b/>
      <sz val="9"/>
      <color rgb="FF0070C0"/>
      <name val="Calibri"/>
      <family val="2"/>
    </font>
    <font>
      <i/>
      <sz val="9"/>
      <color indexed="60"/>
      <name val="Calibri"/>
      <family val="2"/>
    </font>
    <font>
      <i/>
      <sz val="12"/>
      <color rgb="FF00B050"/>
      <name val="Calibri"/>
      <family val="2"/>
    </font>
    <font>
      <sz val="12"/>
      <color rgb="FF00B050"/>
      <name val="Calibri"/>
      <family val="2"/>
    </font>
    <font>
      <sz val="10"/>
      <color rgb="FF00B050"/>
      <name val="Calibri"/>
      <family val="2"/>
    </font>
    <font>
      <sz val="10"/>
      <color theme="5"/>
      <name val="Calibri"/>
      <family val="2"/>
    </font>
    <font>
      <sz val="10"/>
      <color theme="8" tint="-0.249977111117893"/>
      <name val="Calibri"/>
      <family val="2"/>
    </font>
    <font>
      <sz val="10"/>
      <color rgb="FF008000"/>
      <name val="Calibri"/>
      <family val="2"/>
    </font>
    <font>
      <sz val="10"/>
      <color rgb="FF9900FF"/>
      <name val="Calibri"/>
      <family val="2"/>
    </font>
    <font>
      <sz val="10"/>
      <color rgb="FF0070C0"/>
      <name val="Calibri"/>
      <family val="2"/>
    </font>
    <font>
      <b/>
      <i/>
      <sz val="12"/>
      <color rgb="FF993300"/>
      <name val="Calibri"/>
      <family val="2"/>
    </font>
    <font>
      <i/>
      <sz val="12"/>
      <color rgb="FF993300"/>
      <name val="Calibri"/>
      <family val="2"/>
    </font>
    <font>
      <i/>
      <sz val="10"/>
      <color rgb="FF993300"/>
      <name val="Calibri"/>
      <family val="2"/>
    </font>
    <font>
      <i/>
      <sz val="9"/>
      <color rgb="FF993300"/>
      <name val="Calibri"/>
      <family val="2"/>
    </font>
    <font>
      <b/>
      <i/>
      <sz val="12"/>
      <color rgb="FF008000"/>
      <name val="Calibri"/>
      <family val="2"/>
    </font>
    <font>
      <i/>
      <sz val="12"/>
      <color theme="4"/>
      <name val="Calibri"/>
      <family val="2"/>
    </font>
    <font>
      <sz val="12"/>
      <color theme="4"/>
      <name val="Calibri"/>
      <family val="2"/>
    </font>
    <font>
      <b/>
      <sz val="12"/>
      <color theme="4"/>
      <name val="Calibri"/>
      <family val="2"/>
    </font>
    <font>
      <b/>
      <sz val="8"/>
      <color theme="4"/>
      <name val="Calibri"/>
      <family val="2"/>
    </font>
    <font>
      <b/>
      <sz val="11"/>
      <color rgb="FF008000"/>
      <name val="Calibri"/>
      <family val="2"/>
    </font>
    <font>
      <sz val="11"/>
      <color rgb="FF008000"/>
      <name val="Calibri"/>
      <family val="2"/>
    </font>
    <font>
      <b/>
      <sz val="12"/>
      <color rgb="FF993300"/>
      <name val="Calibri"/>
      <family val="2"/>
    </font>
    <font>
      <sz val="12"/>
      <color rgb="FF993300"/>
      <name val="Calibri"/>
      <family val="2"/>
    </font>
    <font>
      <b/>
      <i/>
      <sz val="12"/>
      <color rgb="FF00B050"/>
      <name val="Calibri"/>
      <family val="2"/>
    </font>
    <font>
      <sz val="10"/>
      <color theme="4"/>
      <name val="Calibri"/>
      <family val="2"/>
    </font>
    <font>
      <sz val="11"/>
      <color theme="4"/>
      <name val="Calibri"/>
      <family val="2"/>
    </font>
    <font>
      <b/>
      <sz val="8"/>
      <color theme="4"/>
      <name val="Verdana"/>
      <family val="2"/>
    </font>
    <font>
      <sz val="8"/>
      <color theme="4"/>
      <name val="Verdana"/>
      <family val="2"/>
    </font>
  </fonts>
  <fills count="21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AFFFAF"/>
        <bgColor indexed="64"/>
      </patternFill>
    </fill>
    <fill>
      <patternFill patternType="lightUp">
        <fgColor theme="2" tint="-0.499984740745262"/>
        <bgColor rgb="FFAFFFAF"/>
      </patternFill>
    </fill>
    <fill>
      <patternFill patternType="solid">
        <fgColor rgb="FFCCCC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lightDown">
        <fgColor rgb="FF00B0F0"/>
        <bgColor rgb="FFAFFFAF"/>
      </patternFill>
    </fill>
  </fills>
  <borders count="55">
    <border>
      <left/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 style="dashed">
        <color indexed="64"/>
      </bottom>
      <diagonal/>
    </border>
    <border>
      <left/>
      <right/>
      <top/>
      <bottom style="dashed">
        <color auto="1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17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17"/>
      </top>
      <bottom style="hair">
        <color indexed="17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17"/>
      </top>
      <bottom style="hair">
        <color indexed="64"/>
      </bottom>
      <diagonal/>
    </border>
    <border>
      <left style="thin">
        <color auto="1"/>
      </left>
      <right/>
      <top style="hair">
        <color indexed="17"/>
      </top>
      <bottom/>
      <diagonal/>
    </border>
    <border>
      <left/>
      <right style="thin">
        <color auto="1"/>
      </right>
      <top style="hair">
        <color indexed="17"/>
      </top>
      <bottom style="hair">
        <color indexed="64"/>
      </bottom>
      <diagonal/>
    </border>
    <border>
      <left style="thin">
        <color auto="1"/>
      </left>
      <right/>
      <top style="hair">
        <color indexed="17"/>
      </top>
      <bottom style="hair">
        <color indexed="17"/>
      </bottom>
      <diagonal/>
    </border>
    <border>
      <left style="thin">
        <color auto="1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indexed="64"/>
      </left>
      <right/>
      <top style="hair">
        <color indexed="17"/>
      </top>
      <bottom style="hair">
        <color indexed="64"/>
      </bottom>
      <diagonal/>
    </border>
    <border>
      <left/>
      <right/>
      <top style="double">
        <color theme="2" tint="-0.499984740745262"/>
      </top>
      <bottom/>
      <diagonal/>
    </border>
    <border>
      <left/>
      <right/>
      <top style="double">
        <color theme="6" tint="-0.24994659260841701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/>
      <bottom/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 style="medium">
        <color rgb="FF00B050"/>
      </left>
      <right/>
      <top style="medium">
        <color theme="4"/>
      </top>
      <bottom/>
      <diagonal/>
    </border>
    <border>
      <left/>
      <right style="medium">
        <color rgb="FF00B050"/>
      </right>
      <top style="medium">
        <color theme="4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/>
      <right style="hair">
        <color indexed="17"/>
      </right>
      <top/>
      <bottom/>
      <diagonal/>
    </border>
    <border>
      <left style="hair">
        <color indexed="17"/>
      </left>
      <right/>
      <top/>
      <bottom/>
      <diagonal/>
    </border>
    <border>
      <left/>
      <right style="hair">
        <color indexed="17"/>
      </right>
      <top/>
      <bottom style="hair">
        <color indexed="64"/>
      </bottom>
      <diagonal/>
    </border>
    <border>
      <left style="hair">
        <color indexed="17"/>
      </left>
      <right/>
      <top/>
      <bottom style="hair">
        <color indexed="17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hair">
        <color indexed="17"/>
      </right>
      <top style="hair">
        <color indexed="64"/>
      </top>
      <bottom/>
      <diagonal/>
    </border>
    <border>
      <left/>
      <right style="hair">
        <color indexed="64"/>
      </right>
      <top style="thin">
        <color auto="1"/>
      </top>
      <bottom/>
      <diagonal/>
    </border>
    <border>
      <left style="hair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92">
    <xf numFmtId="0" fontId="0" fillId="0" borderId="0" xfId="0"/>
    <xf numFmtId="0" fontId="2" fillId="0" borderId="0" xfId="0" applyFont="1" applyFill="1" applyBorder="1"/>
    <xf numFmtId="0" fontId="1" fillId="0" borderId="0" xfId="0" applyFont="1" applyFill="1" applyBorder="1"/>
    <xf numFmtId="0" fontId="8" fillId="0" borderId="0" xfId="0" applyFont="1" applyFill="1" applyBorder="1"/>
    <xf numFmtId="0" fontId="9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9" fillId="0" borderId="0" xfId="0" applyFont="1"/>
    <xf numFmtId="0" fontId="12" fillId="0" borderId="0" xfId="0" applyFont="1" applyAlignment="1">
      <alignment horizontal="center"/>
    </xf>
    <xf numFmtId="0" fontId="13" fillId="13" borderId="2" xfId="0" applyFont="1" applyFill="1" applyBorder="1" applyAlignment="1">
      <alignment horizontal="center"/>
    </xf>
    <xf numFmtId="0" fontId="13" fillId="13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13" borderId="22" xfId="0" applyFont="1" applyFill="1" applyBorder="1" applyAlignment="1">
      <alignment horizontal="center"/>
    </xf>
    <xf numFmtId="0" fontId="13" fillId="0" borderId="23" xfId="0" applyFont="1" applyBorder="1" applyAlignment="1">
      <alignment horizontal="center"/>
    </xf>
    <xf numFmtId="0" fontId="13" fillId="0" borderId="24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6" fillId="0" borderId="21" xfId="0" applyFont="1" applyBorder="1" applyAlignment="1">
      <alignment horizontal="center" vertical="center"/>
    </xf>
    <xf numFmtId="0" fontId="16" fillId="0" borderId="21" xfId="0" applyFont="1" applyFill="1" applyBorder="1" applyAlignment="1">
      <alignment horizontal="center" vertical="center"/>
    </xf>
    <xf numFmtId="166" fontId="11" fillId="14" borderId="0" xfId="0" applyNumberFormat="1" applyFont="1" applyFill="1"/>
    <xf numFmtId="0" fontId="19" fillId="0" borderId="0" xfId="0" applyFont="1" applyAlignment="1">
      <alignment horizontal="left"/>
    </xf>
    <xf numFmtId="0" fontId="19" fillId="0" borderId="0" xfId="0" applyFont="1"/>
    <xf numFmtId="0" fontId="14" fillId="0" borderId="0" xfId="0" applyFont="1"/>
    <xf numFmtId="0" fontId="21" fillId="0" borderId="0" xfId="0" applyFont="1"/>
    <xf numFmtId="1" fontId="24" fillId="0" borderId="0" xfId="0" applyNumberFormat="1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right"/>
    </xf>
    <xf numFmtId="0" fontId="25" fillId="3" borderId="12" xfId="0" applyFont="1" applyFill="1" applyBorder="1" applyAlignment="1">
      <alignment horizontal="center" vertical="center"/>
    </xf>
    <xf numFmtId="0" fontId="25" fillId="3" borderId="11" xfId="0" applyFont="1" applyFill="1" applyBorder="1" applyAlignment="1">
      <alignment horizontal="center" vertical="center"/>
    </xf>
    <xf numFmtId="0" fontId="26" fillId="3" borderId="3" xfId="0" applyFont="1" applyFill="1" applyBorder="1" applyAlignment="1">
      <alignment horizontal="right" vertical="center"/>
    </xf>
    <xf numFmtId="0" fontId="26" fillId="3" borderId="4" xfId="0" applyFont="1" applyFill="1" applyBorder="1" applyAlignment="1">
      <alignment horizontal="center"/>
    </xf>
    <xf numFmtId="0" fontId="24" fillId="0" borderId="0" xfId="0" applyFont="1" applyAlignment="1">
      <alignment horizontal="right"/>
    </xf>
    <xf numFmtId="0" fontId="27" fillId="3" borderId="6" xfId="0" applyFont="1" applyFill="1" applyBorder="1" applyAlignment="1">
      <alignment horizontal="right" vertical="center"/>
    </xf>
    <xf numFmtId="0" fontId="28" fillId="3" borderId="1" xfId="0" applyFont="1" applyFill="1" applyBorder="1" applyAlignment="1">
      <alignment horizontal="right" vertical="center"/>
    </xf>
    <xf numFmtId="1" fontId="28" fillId="2" borderId="7" xfId="0" applyNumberFormat="1" applyFont="1" applyFill="1" applyBorder="1" applyAlignment="1">
      <alignment horizontal="center" vertical="center"/>
    </xf>
    <xf numFmtId="0" fontId="25" fillId="3" borderId="14" xfId="0" applyFont="1" applyFill="1" applyBorder="1" applyAlignment="1">
      <alignment horizontal="right" vertical="center"/>
    </xf>
    <xf numFmtId="0" fontId="25" fillId="6" borderId="11" xfId="0" applyFont="1" applyFill="1" applyBorder="1" applyAlignment="1">
      <alignment horizontal="center" vertical="center"/>
    </xf>
    <xf numFmtId="164" fontId="30" fillId="0" borderId="9" xfId="0" applyNumberFormat="1" applyFont="1" applyBorder="1" applyAlignment="1">
      <alignment horizontal="center"/>
    </xf>
    <xf numFmtId="1" fontId="30" fillId="8" borderId="16" xfId="0" applyNumberFormat="1" applyFont="1" applyFill="1" applyBorder="1" applyAlignment="1">
      <alignment horizontal="center" vertical="center"/>
    </xf>
    <xf numFmtId="0" fontId="30" fillId="8" borderId="16" xfId="0" applyFont="1" applyFill="1" applyBorder="1" applyAlignment="1">
      <alignment horizontal="center" vertical="center"/>
    </xf>
    <xf numFmtId="0" fontId="30" fillId="8" borderId="18" xfId="0" applyFont="1" applyFill="1" applyBorder="1" applyAlignment="1">
      <alignment horizontal="center" vertical="center"/>
    </xf>
    <xf numFmtId="1" fontId="30" fillId="8" borderId="18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right"/>
    </xf>
    <xf numFmtId="0" fontId="32" fillId="0" borderId="0" xfId="0" applyFont="1"/>
    <xf numFmtId="1" fontId="33" fillId="0" borderId="0" xfId="0" applyNumberFormat="1" applyFont="1" applyBorder="1"/>
    <xf numFmtId="1" fontId="31" fillId="11" borderId="15" xfId="0" applyNumberFormat="1" applyFont="1" applyFill="1" applyBorder="1" applyAlignment="1">
      <alignment horizontal="center"/>
    </xf>
    <xf numFmtId="0" fontId="34" fillId="0" borderId="0" xfId="0" applyFont="1" applyAlignment="1">
      <alignment horizontal="center"/>
    </xf>
    <xf numFmtId="1" fontId="30" fillId="8" borderId="8" xfId="0" applyNumberFormat="1" applyFont="1" applyFill="1" applyBorder="1" applyAlignment="1">
      <alignment horizontal="center" vertical="center"/>
    </xf>
    <xf numFmtId="1" fontId="30" fillId="8" borderId="27" xfId="0" applyNumberFormat="1" applyFont="1" applyFill="1" applyBorder="1" applyAlignment="1">
      <alignment horizontal="center" vertical="center"/>
    </xf>
    <xf numFmtId="0" fontId="16" fillId="9" borderId="21" xfId="0" applyFont="1" applyFill="1" applyBorder="1" applyAlignment="1">
      <alignment horizontal="center" vertical="center"/>
    </xf>
    <xf numFmtId="0" fontId="9" fillId="16" borderId="29" xfId="0" applyFont="1" applyFill="1" applyBorder="1" applyAlignment="1">
      <alignment horizontal="center"/>
    </xf>
    <xf numFmtId="0" fontId="9" fillId="17" borderId="29" xfId="0" applyFont="1" applyFill="1" applyBorder="1" applyAlignment="1">
      <alignment horizontal="center"/>
    </xf>
    <xf numFmtId="0" fontId="10" fillId="0" borderId="0" xfId="0" applyFont="1"/>
    <xf numFmtId="0" fontId="13" fillId="0" borderId="0" xfId="0" applyFont="1"/>
    <xf numFmtId="0" fontId="38" fillId="3" borderId="13" xfId="0" applyFont="1" applyFill="1" applyBorder="1" applyAlignment="1">
      <alignment horizontal="center" vertical="center"/>
    </xf>
    <xf numFmtId="0" fontId="38" fillId="3" borderId="5" xfId="0" applyFont="1" applyFill="1" applyBorder="1" applyAlignment="1">
      <alignment horizontal="center" vertical="center"/>
    </xf>
    <xf numFmtId="0" fontId="39" fillId="5" borderId="5" xfId="0" applyFont="1" applyFill="1" applyBorder="1" applyAlignment="1">
      <alignment horizontal="center" vertical="center"/>
    </xf>
    <xf numFmtId="0" fontId="40" fillId="5" borderId="5" xfId="0" applyFont="1" applyFill="1" applyBorder="1" applyAlignment="1">
      <alignment horizontal="center" vertical="center"/>
    </xf>
    <xf numFmtId="0" fontId="41" fillId="3" borderId="5" xfId="0" applyFont="1" applyFill="1" applyBorder="1" applyAlignment="1">
      <alignment horizontal="center" vertical="center"/>
    </xf>
    <xf numFmtId="0" fontId="42" fillId="3" borderId="8" xfId="0" applyFont="1" applyFill="1" applyBorder="1" applyAlignment="1">
      <alignment horizontal="center" vertical="center"/>
    </xf>
    <xf numFmtId="0" fontId="43" fillId="3" borderId="10" xfId="0" applyFont="1" applyFill="1" applyBorder="1" applyAlignment="1">
      <alignment horizontal="center" vertical="center"/>
    </xf>
    <xf numFmtId="0" fontId="41" fillId="3" borderId="2" xfId="0" applyFont="1" applyFill="1" applyBorder="1" applyAlignment="1">
      <alignment horizontal="center" vertical="center"/>
    </xf>
    <xf numFmtId="0" fontId="9" fillId="18" borderId="0" xfId="0" applyFont="1" applyFill="1" applyAlignment="1">
      <alignment horizontal="center"/>
    </xf>
    <xf numFmtId="0" fontId="9" fillId="18" borderId="28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center" vertical="center"/>
    </xf>
    <xf numFmtId="0" fontId="32" fillId="0" borderId="0" xfId="0" applyFont="1" applyFill="1" applyBorder="1"/>
    <xf numFmtId="0" fontId="47" fillId="15" borderId="0" xfId="0" applyFont="1" applyFill="1"/>
    <xf numFmtId="0" fontId="10" fillId="11" borderId="0" xfId="0" applyFont="1" applyFill="1" applyAlignment="1">
      <alignment horizontal="right"/>
    </xf>
    <xf numFmtId="0" fontId="10" fillId="0" borderId="11" xfId="0" applyFont="1" applyBorder="1"/>
    <xf numFmtId="165" fontId="51" fillId="4" borderId="17" xfId="0" applyNumberFormat="1" applyFont="1" applyFill="1" applyBorder="1" applyAlignment="1">
      <alignment horizontal="center" vertical="center"/>
    </xf>
    <xf numFmtId="165" fontId="52" fillId="4" borderId="19" xfId="0" applyNumberFormat="1" applyFont="1" applyFill="1" applyBorder="1" applyAlignment="1">
      <alignment horizontal="center" vertical="center"/>
    </xf>
    <xf numFmtId="165" fontId="48" fillId="4" borderId="20" xfId="0" applyNumberFormat="1" applyFont="1" applyFill="1" applyBorder="1" applyAlignment="1">
      <alignment horizontal="center" vertical="center"/>
    </xf>
    <xf numFmtId="167" fontId="47" fillId="14" borderId="0" xfId="0" applyNumberFormat="1" applyFont="1" applyFill="1"/>
    <xf numFmtId="43" fontId="35" fillId="4" borderId="0" xfId="0" applyNumberFormat="1" applyFont="1" applyFill="1" applyBorder="1" applyAlignment="1">
      <alignment horizontal="center" vertical="center"/>
    </xf>
    <xf numFmtId="1" fontId="31" fillId="0" borderId="0" xfId="0" applyNumberFormat="1" applyFont="1" applyFill="1" applyBorder="1"/>
    <xf numFmtId="0" fontId="13" fillId="0" borderId="0" xfId="0" applyFont="1" applyAlignment="1">
      <alignment horizontal="right"/>
    </xf>
    <xf numFmtId="0" fontId="18" fillId="2" borderId="21" xfId="0" applyFont="1" applyFill="1" applyBorder="1" applyAlignment="1">
      <alignment horizontal="center" vertical="center"/>
    </xf>
    <xf numFmtId="0" fontId="16" fillId="19" borderId="21" xfId="0" applyFont="1" applyFill="1" applyBorder="1" applyAlignment="1">
      <alignment horizontal="center" vertical="center"/>
    </xf>
    <xf numFmtId="0" fontId="53" fillId="2" borderId="21" xfId="0" applyFont="1" applyFill="1" applyBorder="1" applyAlignment="1">
      <alignment horizontal="center" vertical="center"/>
    </xf>
    <xf numFmtId="0" fontId="54" fillId="11" borderId="21" xfId="0" applyFont="1" applyFill="1" applyBorder="1" applyAlignment="1">
      <alignment horizontal="center" vertical="center"/>
    </xf>
    <xf numFmtId="0" fontId="55" fillId="11" borderId="21" xfId="0" applyFont="1" applyFill="1" applyBorder="1" applyAlignment="1">
      <alignment horizontal="center" vertical="center"/>
    </xf>
    <xf numFmtId="0" fontId="56" fillId="11" borderId="21" xfId="0" applyFont="1" applyFill="1" applyBorder="1" applyAlignment="1">
      <alignment horizontal="center" vertical="center"/>
    </xf>
    <xf numFmtId="0" fontId="54" fillId="19" borderId="21" xfId="0" applyFont="1" applyFill="1" applyBorder="1" applyAlignment="1">
      <alignment horizontal="center" vertical="center"/>
    </xf>
    <xf numFmtId="0" fontId="29" fillId="11" borderId="21" xfId="0" applyFont="1" applyFill="1" applyBorder="1" applyAlignment="1">
      <alignment horizontal="center" vertical="center"/>
    </xf>
    <xf numFmtId="0" fontId="36" fillId="11" borderId="21" xfId="0" applyFont="1" applyFill="1" applyBorder="1" applyAlignment="1">
      <alignment horizontal="center" vertical="center"/>
    </xf>
    <xf numFmtId="0" fontId="40" fillId="11" borderId="21" xfId="0" applyFont="1" applyFill="1" applyBorder="1" applyAlignment="1">
      <alignment horizontal="center" vertical="center"/>
    </xf>
    <xf numFmtId="0" fontId="57" fillId="2" borderId="21" xfId="0" applyFont="1" applyFill="1" applyBorder="1" applyAlignment="1">
      <alignment horizontal="center" vertical="center"/>
    </xf>
    <xf numFmtId="0" fontId="36" fillId="2" borderId="21" xfId="0" applyFont="1" applyFill="1" applyBorder="1" applyAlignment="1">
      <alignment horizontal="center" vertical="center"/>
    </xf>
    <xf numFmtId="0" fontId="29" fillId="19" borderId="21" xfId="0" applyFont="1" applyFill="1" applyBorder="1" applyAlignment="1">
      <alignment horizontal="center" vertical="center"/>
    </xf>
    <xf numFmtId="0" fontId="36" fillId="19" borderId="21" xfId="0" applyFont="1" applyFill="1" applyBorder="1" applyAlignment="1">
      <alignment horizontal="center" vertical="center"/>
    </xf>
    <xf numFmtId="0" fontId="29" fillId="0" borderId="21" xfId="0" applyFont="1" applyFill="1" applyBorder="1" applyAlignment="1">
      <alignment horizontal="center" vertical="center"/>
    </xf>
    <xf numFmtId="0" fontId="58" fillId="0" borderId="0" xfId="0" applyFont="1" applyAlignment="1">
      <alignment horizontal="center"/>
    </xf>
    <xf numFmtId="0" fontId="58" fillId="0" borderId="21" xfId="0" applyFont="1" applyFill="1" applyBorder="1" applyAlignment="1">
      <alignment horizontal="center" vertical="center"/>
    </xf>
    <xf numFmtId="0" fontId="58" fillId="0" borderId="0" xfId="0" applyFont="1" applyFill="1" applyBorder="1" applyAlignment="1">
      <alignment horizontal="center" vertical="center"/>
    </xf>
    <xf numFmtId="0" fontId="59" fillId="0" borderId="0" xfId="0" applyFont="1"/>
    <xf numFmtId="0" fontId="59" fillId="0" borderId="0" xfId="0" applyFont="1" applyFill="1" applyBorder="1"/>
    <xf numFmtId="0" fontId="60" fillId="3" borderId="7" xfId="0" applyFont="1" applyFill="1" applyBorder="1" applyAlignment="1">
      <alignment horizontal="center"/>
    </xf>
    <xf numFmtId="1" fontId="59" fillId="0" borderId="26" xfId="0" applyNumberFormat="1" applyFont="1" applyFill="1" applyBorder="1" applyAlignment="1">
      <alignment horizontal="center"/>
    </xf>
    <xf numFmtId="1" fontId="61" fillId="0" borderId="0" xfId="0" applyNumberFormat="1" applyFont="1"/>
    <xf numFmtId="0" fontId="60" fillId="3" borderId="0" xfId="0" applyFont="1" applyFill="1" applyBorder="1" applyAlignment="1">
      <alignment horizontal="center"/>
    </xf>
    <xf numFmtId="0" fontId="59" fillId="0" borderId="0" xfId="0" applyFont="1" applyBorder="1"/>
    <xf numFmtId="0" fontId="62" fillId="0" borderId="0" xfId="0" applyFont="1" applyAlignment="1">
      <alignment horizontal="center"/>
    </xf>
    <xf numFmtId="0" fontId="29" fillId="0" borderId="21" xfId="0" applyFont="1" applyBorder="1" applyAlignment="1">
      <alignment horizontal="center" vertical="center"/>
    </xf>
    <xf numFmtId="0" fontId="29" fillId="2" borderId="21" xfId="0" applyFont="1" applyFill="1" applyBorder="1" applyAlignment="1">
      <alignment horizontal="center" vertical="center"/>
    </xf>
    <xf numFmtId="0" fontId="29" fillId="10" borderId="21" xfId="0" applyFont="1" applyFill="1" applyBorder="1" applyAlignment="1">
      <alignment horizontal="center" vertical="center"/>
    </xf>
    <xf numFmtId="0" fontId="63" fillId="7" borderId="0" xfId="0" applyFont="1" applyFill="1" applyAlignment="1">
      <alignment horizontal="center"/>
    </xf>
    <xf numFmtId="0" fontId="29" fillId="12" borderId="21" xfId="0" applyFont="1" applyFill="1" applyBorder="1" applyAlignment="1">
      <alignment horizontal="center" vertical="center"/>
    </xf>
    <xf numFmtId="0" fontId="9" fillId="10" borderId="0" xfId="0" applyFont="1" applyFill="1" applyAlignment="1">
      <alignment horizontal="right"/>
    </xf>
    <xf numFmtId="0" fontId="9" fillId="12" borderId="0" xfId="0" applyFont="1" applyFill="1" applyAlignment="1">
      <alignment horizontal="left"/>
    </xf>
    <xf numFmtId="0" fontId="9" fillId="20" borderId="29" xfId="0" applyFont="1" applyFill="1" applyBorder="1" applyAlignment="1">
      <alignment horizontal="center"/>
    </xf>
    <xf numFmtId="1" fontId="31" fillId="0" borderId="11" xfId="0" applyNumberFormat="1" applyFont="1" applyFill="1" applyBorder="1"/>
    <xf numFmtId="0" fontId="64" fillId="3" borderId="3" xfId="0" applyFont="1" applyFill="1" applyBorder="1" applyAlignment="1">
      <alignment horizontal="right" vertical="center"/>
    </xf>
    <xf numFmtId="0" fontId="64" fillId="3" borderId="4" xfId="0" applyFont="1" applyFill="1" applyBorder="1" applyAlignment="1">
      <alignment horizontal="center"/>
    </xf>
    <xf numFmtId="0" fontId="65" fillId="3" borderId="1" xfId="0" applyFont="1" applyFill="1" applyBorder="1" applyAlignment="1">
      <alignment horizontal="right" vertical="center"/>
    </xf>
    <xf numFmtId="1" fontId="64" fillId="0" borderId="11" xfId="0" applyNumberFormat="1" applyFont="1" applyFill="1" applyBorder="1"/>
    <xf numFmtId="0" fontId="46" fillId="0" borderId="0" xfId="0" applyFont="1" applyAlignment="1">
      <alignment horizontal="right"/>
    </xf>
    <xf numFmtId="0" fontId="65" fillId="0" borderId="0" xfId="0" applyFont="1" applyAlignment="1">
      <alignment horizontal="right"/>
    </xf>
    <xf numFmtId="1" fontId="26" fillId="0" borderId="11" xfId="0" applyNumberFormat="1" applyFont="1" applyFill="1" applyBorder="1"/>
    <xf numFmtId="0" fontId="45" fillId="11" borderId="21" xfId="0" applyFont="1" applyFill="1" applyBorder="1" applyAlignment="1">
      <alignment horizontal="center" vertical="center"/>
    </xf>
    <xf numFmtId="0" fontId="66" fillId="2" borderId="21" xfId="0" applyFont="1" applyFill="1" applyBorder="1" applyAlignment="1">
      <alignment horizontal="center" vertical="center"/>
    </xf>
    <xf numFmtId="0" fontId="45" fillId="19" borderId="21" xfId="0" applyFont="1" applyFill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/>
    </xf>
    <xf numFmtId="0" fontId="16" fillId="11" borderId="21" xfId="0" applyFont="1" applyFill="1" applyBorder="1" applyAlignment="1">
      <alignment horizontal="center" vertical="center"/>
    </xf>
    <xf numFmtId="0" fontId="37" fillId="11" borderId="21" xfId="0" applyFont="1" applyFill="1" applyBorder="1" applyAlignment="1">
      <alignment horizontal="center" vertical="center"/>
    </xf>
    <xf numFmtId="0" fontId="44" fillId="11" borderId="21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1" fontId="26" fillId="0" borderId="0" xfId="0" applyNumberFormat="1" applyFont="1" applyFill="1" applyBorder="1"/>
    <xf numFmtId="1" fontId="64" fillId="0" borderId="0" xfId="0" applyNumberFormat="1" applyFont="1" applyFill="1" applyBorder="1"/>
    <xf numFmtId="0" fontId="67" fillId="0" borderId="30" xfId="0" applyFont="1" applyFill="1" applyBorder="1" applyAlignment="1">
      <alignment horizontal="center"/>
    </xf>
    <xf numFmtId="0" fontId="68" fillId="0" borderId="21" xfId="0" applyFont="1" applyFill="1" applyBorder="1" applyAlignment="1">
      <alignment horizontal="center"/>
    </xf>
    <xf numFmtId="0" fontId="68" fillId="0" borderId="9" xfId="0" applyFont="1" applyFill="1" applyBorder="1" applyAlignment="1">
      <alignment horizontal="center"/>
    </xf>
    <xf numFmtId="0" fontId="59" fillId="0" borderId="13" xfId="0" applyFont="1" applyFill="1" applyBorder="1" applyAlignment="1">
      <alignment horizontal="center"/>
    </xf>
    <xf numFmtId="0" fontId="59" fillId="0" borderId="14" xfId="0" applyFont="1" applyFill="1" applyBorder="1" applyAlignment="1">
      <alignment horizontal="center"/>
    </xf>
    <xf numFmtId="0" fontId="59" fillId="0" borderId="12" xfId="0" applyFont="1" applyFill="1" applyBorder="1" applyAlignment="1">
      <alignment horizontal="center"/>
    </xf>
    <xf numFmtId="164" fontId="48" fillId="7" borderId="0" xfId="0" applyNumberFormat="1" applyFont="1" applyFill="1" applyAlignment="1">
      <alignment horizontal="right"/>
    </xf>
    <xf numFmtId="0" fontId="2" fillId="8" borderId="31" xfId="0" applyFont="1" applyFill="1" applyBorder="1"/>
    <xf numFmtId="0" fontId="6" fillId="8" borderId="32" xfId="0" applyFont="1" applyFill="1" applyBorder="1"/>
    <xf numFmtId="0" fontId="2" fillId="8" borderId="32" xfId="0" applyFont="1" applyFill="1" applyBorder="1"/>
    <xf numFmtId="0" fontId="2" fillId="8" borderId="33" xfId="0" applyFont="1" applyFill="1" applyBorder="1"/>
    <xf numFmtId="0" fontId="8" fillId="8" borderId="34" xfId="0" applyFont="1" applyFill="1" applyBorder="1"/>
    <xf numFmtId="0" fontId="8" fillId="8" borderId="0" xfId="0" applyFont="1" applyFill="1" applyBorder="1"/>
    <xf numFmtId="0" fontId="8" fillId="8" borderId="0" xfId="0" applyFont="1" applyFill="1" applyBorder="1" applyAlignment="1">
      <alignment horizontal="right"/>
    </xf>
    <xf numFmtId="0" fontId="8" fillId="8" borderId="35" xfId="0" applyFont="1" applyFill="1" applyBorder="1"/>
    <xf numFmtId="0" fontId="2" fillId="8" borderId="34" xfId="0" applyFont="1" applyFill="1" applyBorder="1"/>
    <xf numFmtId="0" fontId="6" fillId="8" borderId="0" xfId="0" applyFont="1" applyFill="1" applyBorder="1"/>
    <xf numFmtId="0" fontId="2" fillId="8" borderId="0" xfId="0" applyFont="1" applyFill="1" applyBorder="1"/>
    <xf numFmtId="0" fontId="2" fillId="8" borderId="35" xfId="0" applyFont="1" applyFill="1" applyBorder="1"/>
    <xf numFmtId="0" fontId="1" fillId="8" borderId="0" xfId="0" applyFont="1" applyFill="1" applyBorder="1"/>
    <xf numFmtId="0" fontId="1" fillId="8" borderId="0" xfId="0" applyNumberFormat="1" applyFont="1" applyFill="1" applyBorder="1"/>
    <xf numFmtId="0" fontId="2" fillId="8" borderId="36" xfId="0" applyFont="1" applyFill="1" applyBorder="1"/>
    <xf numFmtId="0" fontId="2" fillId="8" borderId="37" xfId="0" applyFont="1" applyFill="1" applyBorder="1"/>
    <xf numFmtId="0" fontId="2" fillId="8" borderId="38" xfId="0" applyFont="1" applyFill="1" applyBorder="1"/>
    <xf numFmtId="0" fontId="2" fillId="15" borderId="31" xfId="0" applyFont="1" applyFill="1" applyBorder="1"/>
    <xf numFmtId="0" fontId="2" fillId="15" borderId="32" xfId="0" applyFont="1" applyFill="1" applyBorder="1"/>
    <xf numFmtId="0" fontId="2" fillId="15" borderId="33" xfId="0" applyFont="1" applyFill="1" applyBorder="1"/>
    <xf numFmtId="0" fontId="2" fillId="15" borderId="34" xfId="0" applyFont="1" applyFill="1" applyBorder="1"/>
    <xf numFmtId="0" fontId="2" fillId="15" borderId="0" xfId="0" applyFont="1" applyFill="1" applyBorder="1"/>
    <xf numFmtId="0" fontId="2" fillId="15" borderId="35" xfId="0" applyFont="1" applyFill="1" applyBorder="1"/>
    <xf numFmtId="0" fontId="4" fillId="15" borderId="0" xfId="0" applyFont="1" applyFill="1" applyBorder="1"/>
    <xf numFmtId="0" fontId="1" fillId="15" borderId="0" xfId="0" applyFont="1" applyFill="1" applyBorder="1"/>
    <xf numFmtId="0" fontId="2" fillId="15" borderId="36" xfId="0" applyFont="1" applyFill="1" applyBorder="1"/>
    <xf numFmtId="0" fontId="1" fillId="15" borderId="37" xfId="0" applyFont="1" applyFill="1" applyBorder="1"/>
    <xf numFmtId="0" fontId="2" fillId="15" borderId="37" xfId="0" applyFont="1" applyFill="1" applyBorder="1"/>
    <xf numFmtId="0" fontId="2" fillId="15" borderId="38" xfId="0" applyFont="1" applyFill="1" applyBorder="1"/>
    <xf numFmtId="0" fontId="2" fillId="15" borderId="39" xfId="0" applyFont="1" applyFill="1" applyBorder="1"/>
    <xf numFmtId="0" fontId="1" fillId="15" borderId="32" xfId="0" applyFont="1" applyFill="1" applyBorder="1"/>
    <xf numFmtId="0" fontId="2" fillId="15" borderId="40" xfId="0" applyFont="1" applyFill="1" applyBorder="1"/>
    <xf numFmtId="0" fontId="2" fillId="15" borderId="41" xfId="0" applyFont="1" applyFill="1" applyBorder="1"/>
    <xf numFmtId="0" fontId="2" fillId="15" borderId="42" xfId="0" applyFont="1" applyFill="1" applyBorder="1"/>
    <xf numFmtId="0" fontId="5" fillId="15" borderId="0" xfId="0" applyFont="1" applyFill="1" applyBorder="1"/>
    <xf numFmtId="0" fontId="3" fillId="15" borderId="0" xfId="0" applyNumberFormat="1" applyFont="1" applyFill="1" applyBorder="1"/>
    <xf numFmtId="0" fontId="3" fillId="15" borderId="0" xfId="0" applyFont="1" applyFill="1" applyBorder="1"/>
    <xf numFmtId="0" fontId="2" fillId="15" borderId="43" xfId="0" applyFont="1" applyFill="1" applyBorder="1"/>
    <xf numFmtId="0" fontId="2" fillId="15" borderId="44" xfId="0" applyFont="1" applyFill="1" applyBorder="1"/>
    <xf numFmtId="0" fontId="2" fillId="15" borderId="45" xfId="0" applyFont="1" applyFill="1" applyBorder="1"/>
    <xf numFmtId="0" fontId="69" fillId="15" borderId="0" xfId="0" applyFont="1" applyFill="1" applyBorder="1"/>
    <xf numFmtId="0" fontId="10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9" fillId="11" borderId="0" xfId="0" applyFont="1" applyFill="1" applyAlignment="1">
      <alignment horizontal="center"/>
    </xf>
    <xf numFmtId="1" fontId="24" fillId="0" borderId="46" xfId="0" applyNumberFormat="1" applyFont="1" applyFill="1" applyBorder="1" applyAlignment="1">
      <alignment horizontal="center"/>
    </xf>
    <xf numFmtId="165" fontId="49" fillId="4" borderId="47" xfId="0" applyNumberFormat="1" applyFont="1" applyFill="1" applyBorder="1" applyAlignment="1">
      <alignment horizontal="center" vertical="center"/>
    </xf>
    <xf numFmtId="1" fontId="28" fillId="2" borderId="48" xfId="0" applyNumberFormat="1" applyFont="1" applyFill="1" applyBorder="1" applyAlignment="1">
      <alignment horizontal="center" vertical="center"/>
    </xf>
    <xf numFmtId="165" fontId="50" fillId="4" borderId="47" xfId="0" applyNumberFormat="1" applyFont="1" applyFill="1" applyBorder="1" applyAlignment="1">
      <alignment horizontal="center" vertical="center"/>
    </xf>
    <xf numFmtId="165" fontId="48" fillId="4" borderId="49" xfId="0" applyNumberFormat="1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/>
    </xf>
    <xf numFmtId="1" fontId="30" fillId="8" borderId="52" xfId="0" applyNumberFormat="1" applyFont="1" applyFill="1" applyBorder="1" applyAlignment="1">
      <alignment horizontal="center" vertical="center"/>
    </xf>
    <xf numFmtId="1" fontId="30" fillId="8" borderId="53" xfId="0" applyNumberFormat="1" applyFont="1" applyFill="1" applyBorder="1" applyAlignment="1">
      <alignment horizontal="center" vertical="center"/>
    </xf>
    <xf numFmtId="1" fontId="30" fillId="8" borderId="54" xfId="0" applyNumberFormat="1" applyFont="1" applyFill="1" applyBorder="1" applyAlignment="1">
      <alignment horizontal="center" vertical="center"/>
    </xf>
    <xf numFmtId="0" fontId="30" fillId="8" borderId="54" xfId="0" applyFont="1" applyFill="1" applyBorder="1" applyAlignment="1">
      <alignment horizontal="center" vertical="center"/>
    </xf>
    <xf numFmtId="0" fontId="30" fillId="8" borderId="5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CC"/>
      <color rgb="FF993300"/>
      <color rgb="FF008000"/>
      <color rgb="FFCCCC00"/>
      <color rgb="FFFBC99F"/>
      <color rgb="FFAFFFAF"/>
      <color rgb="FF99FF99"/>
      <color rgb="FFFFFF99"/>
      <color rgb="FF9933FF"/>
      <color rgb="FF0066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78"/>
  <sheetViews>
    <sheetView showGridLines="0" zoomScaleNormal="100" workbookViewId="0"/>
  </sheetViews>
  <sheetFormatPr defaultColWidth="3.85546875" defaultRowHeight="14.25"/>
  <cols>
    <col min="1" max="42" width="3.85546875" style="1"/>
    <col min="43" max="16384" width="3.85546875" style="2"/>
  </cols>
  <sheetData>
    <row r="1" spans="1:26">
      <c r="A1" s="137"/>
      <c r="B1" s="138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40"/>
    </row>
    <row r="2" spans="1:26" s="3" customFormat="1" ht="10.5">
      <c r="A2" s="141"/>
      <c r="B2" s="142" t="s">
        <v>109</v>
      </c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3" t="s">
        <v>110</v>
      </c>
      <c r="Z2" s="144"/>
    </row>
    <row r="3" spans="1:26">
      <c r="A3" s="145"/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8"/>
    </row>
    <row r="4" spans="1:26">
      <c r="A4" s="145"/>
      <c r="B4" s="149" t="s">
        <v>60</v>
      </c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8"/>
    </row>
    <row r="5" spans="1:26">
      <c r="A5" s="145"/>
      <c r="B5" s="149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8"/>
    </row>
    <row r="6" spans="1:26">
      <c r="A6" s="145"/>
      <c r="B6" s="149" t="s">
        <v>63</v>
      </c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8"/>
    </row>
    <row r="7" spans="1:26">
      <c r="A7" s="145"/>
      <c r="B7" s="149" t="s">
        <v>64</v>
      </c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8"/>
    </row>
    <row r="8" spans="1:26">
      <c r="A8" s="145"/>
      <c r="B8" s="149"/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8"/>
    </row>
    <row r="9" spans="1:26">
      <c r="A9" s="145"/>
      <c r="B9" s="149" t="s">
        <v>65</v>
      </c>
      <c r="C9" s="147"/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8"/>
    </row>
    <row r="10" spans="1:26">
      <c r="A10" s="145"/>
      <c r="B10" s="149" t="s">
        <v>66</v>
      </c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8"/>
    </row>
    <row r="11" spans="1:26">
      <c r="A11" s="145"/>
      <c r="B11" s="149"/>
      <c r="C11" s="147"/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8"/>
    </row>
    <row r="12" spans="1:26">
      <c r="A12" s="145"/>
      <c r="B12" s="149" t="s">
        <v>67</v>
      </c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8"/>
    </row>
    <row r="13" spans="1:26">
      <c r="A13" s="145"/>
      <c r="B13" s="149" t="s">
        <v>68</v>
      </c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8"/>
    </row>
    <row r="14" spans="1:26">
      <c r="A14" s="145"/>
      <c r="B14" s="149"/>
      <c r="C14" s="14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8"/>
    </row>
    <row r="15" spans="1:26">
      <c r="A15" s="145"/>
      <c r="B15" s="149" t="s">
        <v>69</v>
      </c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8"/>
    </row>
    <row r="16" spans="1:26">
      <c r="A16" s="145"/>
      <c r="B16" s="149" t="s">
        <v>70</v>
      </c>
      <c r="C16" s="147"/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8"/>
    </row>
    <row r="17" spans="1:26">
      <c r="A17" s="145"/>
      <c r="B17" s="149" t="s">
        <v>72</v>
      </c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8"/>
    </row>
    <row r="18" spans="1:26">
      <c r="A18" s="145"/>
      <c r="B18" s="149" t="s">
        <v>71</v>
      </c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8"/>
    </row>
    <row r="19" spans="1:26">
      <c r="A19" s="145"/>
      <c r="B19" s="149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8"/>
    </row>
    <row r="20" spans="1:26">
      <c r="A20" s="145"/>
      <c r="B20" s="149" t="s">
        <v>73</v>
      </c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8"/>
    </row>
    <row r="21" spans="1:26">
      <c r="A21" s="145"/>
      <c r="B21" s="149" t="s">
        <v>74</v>
      </c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8"/>
    </row>
    <row r="22" spans="1:26">
      <c r="A22" s="145"/>
      <c r="B22" s="149" t="s">
        <v>75</v>
      </c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8"/>
    </row>
    <row r="23" spans="1:26">
      <c r="A23" s="145"/>
      <c r="B23" s="149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8"/>
    </row>
    <row r="24" spans="1:26">
      <c r="A24" s="145"/>
      <c r="B24" s="149" t="s">
        <v>108</v>
      </c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8"/>
    </row>
    <row r="25" spans="1:26">
      <c r="A25" s="145"/>
      <c r="B25" s="149" t="s">
        <v>76</v>
      </c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8"/>
    </row>
    <row r="26" spans="1:26">
      <c r="A26" s="145"/>
      <c r="B26" s="149" t="s">
        <v>77</v>
      </c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8"/>
    </row>
    <row r="27" spans="1:26">
      <c r="A27" s="145"/>
      <c r="B27" s="149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8"/>
    </row>
    <row r="28" spans="1:26">
      <c r="A28" s="145"/>
      <c r="B28" s="149" t="s">
        <v>78</v>
      </c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8"/>
    </row>
    <row r="29" spans="1:26">
      <c r="A29" s="145"/>
      <c r="B29" s="150" t="s">
        <v>79</v>
      </c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8"/>
    </row>
    <row r="30" spans="1:26">
      <c r="A30" s="145"/>
      <c r="B30" s="149" t="s">
        <v>80</v>
      </c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8"/>
    </row>
    <row r="31" spans="1:26">
      <c r="A31" s="145"/>
      <c r="B31" s="149" t="s">
        <v>102</v>
      </c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8"/>
    </row>
    <row r="32" spans="1:26">
      <c r="A32" s="145"/>
      <c r="B32" s="149" t="s">
        <v>81</v>
      </c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8"/>
    </row>
    <row r="33" spans="1:26">
      <c r="A33" s="145"/>
      <c r="B33" s="149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8"/>
    </row>
    <row r="34" spans="1:26">
      <c r="A34" s="145"/>
      <c r="B34" s="149" t="s">
        <v>99</v>
      </c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8"/>
    </row>
    <row r="35" spans="1:26">
      <c r="A35" s="145"/>
      <c r="B35" s="150" t="s">
        <v>100</v>
      </c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8"/>
    </row>
    <row r="36" spans="1:26">
      <c r="A36" s="145"/>
      <c r="B36" s="149" t="s">
        <v>101</v>
      </c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8"/>
    </row>
    <row r="37" spans="1:26">
      <c r="A37" s="145"/>
      <c r="B37" s="146" t="s">
        <v>98</v>
      </c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8"/>
    </row>
    <row r="38" spans="1:26">
      <c r="A38" s="145"/>
      <c r="B38" s="149" t="s">
        <v>97</v>
      </c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8"/>
    </row>
    <row r="39" spans="1:26">
      <c r="A39" s="145"/>
      <c r="B39" s="149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8"/>
    </row>
    <row r="40" spans="1:26">
      <c r="A40" s="145"/>
      <c r="B40" s="149" t="s">
        <v>103</v>
      </c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8"/>
    </row>
    <row r="41" spans="1:26">
      <c r="A41" s="145"/>
      <c r="B41" s="150" t="s">
        <v>104</v>
      </c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8"/>
    </row>
    <row r="42" spans="1:26">
      <c r="A42" s="145"/>
      <c r="B42" s="149" t="s">
        <v>105</v>
      </c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8"/>
    </row>
    <row r="43" spans="1:26">
      <c r="A43" s="145"/>
      <c r="B43" s="149" t="s">
        <v>106</v>
      </c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8"/>
    </row>
    <row r="44" spans="1:26">
      <c r="A44" s="145"/>
      <c r="B44" s="149" t="s">
        <v>107</v>
      </c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8"/>
    </row>
    <row r="45" spans="1:26">
      <c r="A45" s="145"/>
      <c r="B45" s="146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8"/>
    </row>
    <row r="46" spans="1:26">
      <c r="A46" s="145"/>
      <c r="B46" s="149" t="s">
        <v>61</v>
      </c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8"/>
    </row>
    <row r="47" spans="1:26">
      <c r="A47" s="145"/>
      <c r="B47" s="149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8"/>
    </row>
    <row r="48" spans="1:26">
      <c r="A48" s="145"/>
      <c r="B48" s="149" t="s">
        <v>62</v>
      </c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8"/>
    </row>
    <row r="49" spans="1:26">
      <c r="A49" s="145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8"/>
    </row>
    <row r="50" spans="1:26" ht="15" thickBot="1">
      <c r="A50" s="151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3"/>
    </row>
    <row r="51" spans="1:26">
      <c r="A51" s="154"/>
      <c r="B51" s="155"/>
      <c r="C51" s="155"/>
      <c r="D51" s="155"/>
      <c r="E51" s="155"/>
      <c r="F51" s="155"/>
      <c r="G51" s="155"/>
      <c r="H51" s="155"/>
      <c r="I51" s="155"/>
      <c r="J51" s="155"/>
      <c r="K51" s="155"/>
      <c r="L51" s="155"/>
      <c r="M51" s="155"/>
      <c r="N51" s="155"/>
      <c r="O51" s="155"/>
      <c r="P51" s="155"/>
      <c r="Q51" s="155"/>
      <c r="R51" s="155"/>
      <c r="S51" s="155"/>
      <c r="T51" s="155"/>
      <c r="U51" s="155"/>
      <c r="V51" s="155"/>
      <c r="W51" s="155"/>
      <c r="X51" s="155"/>
      <c r="Y51" s="155"/>
      <c r="Z51" s="156"/>
    </row>
    <row r="52" spans="1:26">
      <c r="A52" s="157"/>
      <c r="B52" s="158"/>
      <c r="C52" s="158"/>
      <c r="D52" s="158"/>
      <c r="E52" s="158"/>
      <c r="F52" s="158"/>
      <c r="G52" s="158"/>
      <c r="H52" s="158"/>
      <c r="I52" s="158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58"/>
      <c r="Z52" s="159"/>
    </row>
    <row r="53" spans="1:26" ht="15">
      <c r="A53" s="157"/>
      <c r="B53" s="160" t="s">
        <v>84</v>
      </c>
      <c r="C53" s="158"/>
      <c r="D53" s="158"/>
      <c r="E53" s="158"/>
      <c r="F53" s="158"/>
      <c r="G53" s="158"/>
      <c r="H53" s="158"/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158"/>
      <c r="Z53" s="159"/>
    </row>
    <row r="54" spans="1:26">
      <c r="A54" s="157"/>
      <c r="B54" s="161" t="s">
        <v>85</v>
      </c>
      <c r="C54" s="158"/>
      <c r="D54" s="158"/>
      <c r="E54" s="158"/>
      <c r="F54" s="158"/>
      <c r="G54" s="158"/>
      <c r="H54" s="158"/>
      <c r="I54" s="158"/>
      <c r="J54" s="158"/>
      <c r="K54" s="158"/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58"/>
      <c r="Z54" s="159"/>
    </row>
    <row r="55" spans="1:26" ht="15" thickBot="1">
      <c r="A55" s="162"/>
      <c r="B55" s="163"/>
      <c r="C55" s="164"/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5"/>
    </row>
    <row r="56" spans="1:26">
      <c r="A56" s="166"/>
      <c r="B56" s="167"/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5"/>
      <c r="O56" s="155"/>
      <c r="P56" s="155"/>
      <c r="Q56" s="155"/>
      <c r="R56" s="155"/>
      <c r="S56" s="155"/>
      <c r="T56" s="155"/>
      <c r="U56" s="155"/>
      <c r="V56" s="155"/>
      <c r="W56" s="155"/>
      <c r="X56" s="155"/>
      <c r="Y56" s="155"/>
      <c r="Z56" s="168"/>
    </row>
    <row r="57" spans="1:26">
      <c r="A57" s="169"/>
      <c r="B57" s="177" t="s">
        <v>124</v>
      </c>
      <c r="C57" s="158"/>
      <c r="D57" s="158"/>
      <c r="E57" s="158"/>
      <c r="F57" s="158"/>
      <c r="G57" s="158"/>
      <c r="H57" s="158"/>
      <c r="I57" s="158"/>
      <c r="J57" s="158"/>
      <c r="K57" s="158"/>
      <c r="L57" s="158"/>
      <c r="M57" s="158"/>
      <c r="N57" s="158"/>
      <c r="O57" s="158"/>
      <c r="P57" s="158"/>
      <c r="Q57" s="158"/>
      <c r="R57" s="158"/>
      <c r="S57" s="158"/>
      <c r="T57" s="158"/>
      <c r="U57" s="158"/>
      <c r="V57" s="158"/>
      <c r="W57" s="158"/>
      <c r="X57" s="158"/>
      <c r="Y57" s="158"/>
      <c r="Z57" s="170"/>
    </row>
    <row r="58" spans="1:26">
      <c r="A58" s="169"/>
      <c r="B58" s="177" t="s">
        <v>125</v>
      </c>
      <c r="C58" s="158"/>
      <c r="D58" s="158"/>
      <c r="E58" s="158"/>
      <c r="F58" s="158"/>
      <c r="G58" s="158"/>
      <c r="H58" s="158"/>
      <c r="I58" s="158"/>
      <c r="J58" s="158"/>
      <c r="K58" s="158"/>
      <c r="L58" s="158"/>
      <c r="M58" s="158"/>
      <c r="N58" s="158"/>
      <c r="O58" s="158"/>
      <c r="P58" s="158"/>
      <c r="Q58" s="158"/>
      <c r="R58" s="158"/>
      <c r="S58" s="158"/>
      <c r="T58" s="158"/>
      <c r="U58" s="158"/>
      <c r="V58" s="158"/>
      <c r="W58" s="158"/>
      <c r="X58" s="158"/>
      <c r="Y58" s="158"/>
      <c r="Z58" s="170"/>
    </row>
    <row r="59" spans="1:26">
      <c r="A59" s="169"/>
      <c r="B59" s="177" t="s">
        <v>126</v>
      </c>
      <c r="C59" s="158"/>
      <c r="D59" s="158"/>
      <c r="E59" s="158"/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/>
      <c r="Z59" s="170"/>
    </row>
    <row r="60" spans="1:26">
      <c r="A60" s="169"/>
      <c r="B60" s="177" t="s">
        <v>127</v>
      </c>
      <c r="C60" s="158"/>
      <c r="D60" s="158"/>
      <c r="E60" s="158"/>
      <c r="F60" s="158"/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58"/>
      <c r="Z60" s="170"/>
    </row>
    <row r="61" spans="1:26">
      <c r="A61" s="169"/>
      <c r="B61" s="161"/>
      <c r="C61" s="158"/>
      <c r="D61" s="158"/>
      <c r="E61" s="158"/>
      <c r="F61" s="158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158"/>
      <c r="Z61" s="170"/>
    </row>
    <row r="62" spans="1:26" ht="15">
      <c r="A62" s="169"/>
      <c r="B62" s="160" t="s">
        <v>82</v>
      </c>
      <c r="C62" s="158"/>
      <c r="D62" s="158"/>
      <c r="E62" s="158"/>
      <c r="F62" s="158"/>
      <c r="G62" s="158"/>
      <c r="H62" s="158"/>
      <c r="I62" s="158"/>
      <c r="J62" s="158"/>
      <c r="K62" s="158"/>
      <c r="L62" s="158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  <c r="Y62" s="158"/>
      <c r="Z62" s="170"/>
    </row>
    <row r="63" spans="1:26">
      <c r="A63" s="169"/>
      <c r="B63" s="171" t="s">
        <v>86</v>
      </c>
      <c r="C63" s="158"/>
      <c r="D63" s="158"/>
      <c r="E63" s="158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58"/>
      <c r="Z63" s="170"/>
    </row>
    <row r="64" spans="1:26">
      <c r="A64" s="169"/>
      <c r="B64" s="172" t="s">
        <v>87</v>
      </c>
      <c r="C64" s="158"/>
      <c r="D64" s="158"/>
      <c r="E64" s="158"/>
      <c r="F64" s="158"/>
      <c r="G64" s="158"/>
      <c r="H64" s="158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58"/>
      <c r="Z64" s="170"/>
    </row>
    <row r="65" spans="1:26">
      <c r="A65" s="169"/>
      <c r="B65" s="172" t="s">
        <v>88</v>
      </c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58"/>
      <c r="Z65" s="170"/>
    </row>
    <row r="66" spans="1:26">
      <c r="A66" s="169"/>
      <c r="B66" s="172" t="s">
        <v>89</v>
      </c>
      <c r="C66" s="158"/>
      <c r="D66" s="158"/>
      <c r="E66" s="158"/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  <c r="Z66" s="170"/>
    </row>
    <row r="67" spans="1:26">
      <c r="A67" s="169"/>
      <c r="B67" s="158" t="s">
        <v>90</v>
      </c>
      <c r="C67" s="158"/>
      <c r="D67" s="158"/>
      <c r="E67" s="158"/>
      <c r="F67" s="158"/>
      <c r="G67" s="158"/>
      <c r="H67" s="158"/>
      <c r="I67" s="158"/>
      <c r="J67" s="158"/>
      <c r="K67" s="158"/>
      <c r="L67" s="158"/>
      <c r="M67" s="158"/>
      <c r="N67" s="158"/>
      <c r="O67" s="158"/>
      <c r="P67" s="158"/>
      <c r="Q67" s="158"/>
      <c r="R67" s="158"/>
      <c r="S67" s="158"/>
      <c r="T67" s="158"/>
      <c r="U67" s="158"/>
      <c r="V67" s="158"/>
      <c r="W67" s="158"/>
      <c r="X67" s="158"/>
      <c r="Y67" s="158"/>
      <c r="Z67" s="170"/>
    </row>
    <row r="68" spans="1:26">
      <c r="A68" s="169"/>
      <c r="B68" s="173" t="s">
        <v>91</v>
      </c>
      <c r="C68" s="158"/>
      <c r="D68" s="158"/>
      <c r="E68" s="158"/>
      <c r="F68" s="158"/>
      <c r="G68" s="158"/>
      <c r="H68" s="158"/>
      <c r="I68" s="158"/>
      <c r="J68" s="158"/>
      <c r="K68" s="158"/>
      <c r="L68" s="158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8"/>
      <c r="X68" s="158"/>
      <c r="Y68" s="158"/>
      <c r="Z68" s="170"/>
    </row>
    <row r="69" spans="1:26">
      <c r="A69" s="169"/>
      <c r="B69" s="173"/>
      <c r="C69" s="158"/>
      <c r="D69" s="158"/>
      <c r="E69" s="158"/>
      <c r="F69" s="158"/>
      <c r="G69" s="158"/>
      <c r="H69" s="158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58"/>
      <c r="Z69" s="170"/>
    </row>
    <row r="70" spans="1:26">
      <c r="A70" s="169"/>
      <c r="B70" s="171" t="s">
        <v>92</v>
      </c>
      <c r="C70" s="158"/>
      <c r="D70" s="158"/>
      <c r="E70" s="158"/>
      <c r="F70" s="158"/>
      <c r="G70" s="158"/>
      <c r="H70" s="158"/>
      <c r="I70" s="158"/>
      <c r="J70" s="158"/>
      <c r="K70" s="158"/>
      <c r="L70" s="158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  <c r="Y70" s="158"/>
      <c r="Z70" s="170"/>
    </row>
    <row r="71" spans="1:26">
      <c r="A71" s="169"/>
      <c r="B71" s="173" t="s">
        <v>93</v>
      </c>
      <c r="C71" s="158"/>
      <c r="D71" s="158"/>
      <c r="E71" s="158"/>
      <c r="F71" s="158"/>
      <c r="G71" s="158"/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58"/>
      <c r="Z71" s="170"/>
    </row>
    <row r="72" spans="1:26">
      <c r="A72" s="169"/>
      <c r="B72" s="173" t="s">
        <v>94</v>
      </c>
      <c r="C72" s="158"/>
      <c r="D72" s="158"/>
      <c r="E72" s="158"/>
      <c r="F72" s="158"/>
      <c r="G72" s="158"/>
      <c r="H72" s="158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58"/>
      <c r="Y72" s="158"/>
      <c r="Z72" s="170"/>
    </row>
    <row r="73" spans="1:26">
      <c r="A73" s="169"/>
      <c r="B73" s="158"/>
      <c r="C73" s="158"/>
      <c r="D73" s="158"/>
      <c r="E73" s="158"/>
      <c r="F73" s="158"/>
      <c r="G73" s="158"/>
      <c r="H73" s="158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58"/>
      <c r="Z73" s="170"/>
    </row>
    <row r="74" spans="1:26">
      <c r="A74" s="169"/>
      <c r="B74" s="171" t="s">
        <v>83</v>
      </c>
      <c r="C74" s="158"/>
      <c r="D74" s="158"/>
      <c r="E74" s="158"/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58"/>
      <c r="Z74" s="170"/>
    </row>
    <row r="75" spans="1:26">
      <c r="A75" s="169"/>
      <c r="B75" s="161"/>
      <c r="C75" s="158"/>
      <c r="D75" s="158"/>
      <c r="E75" s="158"/>
      <c r="F75" s="158"/>
      <c r="G75" s="158"/>
      <c r="H75" s="158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58"/>
      <c r="Z75" s="170"/>
    </row>
    <row r="76" spans="1:26">
      <c r="A76" s="169"/>
      <c r="B76" s="171" t="s">
        <v>95</v>
      </c>
      <c r="C76" s="158"/>
      <c r="D76" s="158"/>
      <c r="E76" s="158"/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58"/>
      <c r="Z76" s="170"/>
    </row>
    <row r="77" spans="1:26">
      <c r="A77" s="169"/>
      <c r="B77" s="158" t="s">
        <v>96</v>
      </c>
      <c r="C77" s="158"/>
      <c r="D77" s="158"/>
      <c r="E77" s="158"/>
      <c r="F77" s="158"/>
      <c r="G77" s="158"/>
      <c r="H77" s="158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58"/>
      <c r="Z77" s="170"/>
    </row>
    <row r="78" spans="1:26" ht="15" thickBot="1">
      <c r="A78" s="174"/>
      <c r="B78" s="175"/>
      <c r="C78" s="175"/>
      <c r="D78" s="175"/>
      <c r="E78" s="175"/>
      <c r="F78" s="175"/>
      <c r="G78" s="175"/>
      <c r="H78" s="175"/>
      <c r="I78" s="175"/>
      <c r="J78" s="175"/>
      <c r="K78" s="175"/>
      <c r="L78" s="175"/>
      <c r="M78" s="175"/>
      <c r="N78" s="175"/>
      <c r="O78" s="175"/>
      <c r="P78" s="175"/>
      <c r="Q78" s="175"/>
      <c r="R78" s="175"/>
      <c r="S78" s="175"/>
      <c r="T78" s="175"/>
      <c r="U78" s="175"/>
      <c r="V78" s="175"/>
      <c r="W78" s="175"/>
      <c r="X78" s="175"/>
      <c r="Y78" s="175"/>
      <c r="Z78" s="176"/>
    </row>
  </sheetData>
  <pageMargins left="0.25" right="0.25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DZ93"/>
  <sheetViews>
    <sheetView showGridLines="0" tabSelected="1" zoomScaleNormal="100" workbookViewId="0"/>
  </sheetViews>
  <sheetFormatPr defaultColWidth="4.7109375" defaultRowHeight="15"/>
  <cols>
    <col min="1" max="1" width="15.7109375" style="4" customWidth="1"/>
    <col min="2" max="2" width="8.7109375" style="4" customWidth="1"/>
    <col min="3" max="3" width="4.7109375" style="5" customWidth="1"/>
    <col min="4" max="28" width="4.7109375" style="6" customWidth="1"/>
    <col min="29" max="29" width="8.7109375" style="51" customWidth="1"/>
    <col min="30" max="30" width="8.7109375" style="52" customWidth="1"/>
    <col min="31" max="31" width="4.7109375" style="6" customWidth="1"/>
    <col min="32" max="32" width="4.7109375" style="6"/>
    <col min="33" max="88" width="3.85546875" style="6" customWidth="1"/>
    <col min="89" max="16384" width="4.7109375" style="6"/>
  </cols>
  <sheetData>
    <row r="2" spans="1:76" ht="15.75">
      <c r="A2" s="36" t="s">
        <v>31</v>
      </c>
      <c r="B2" s="44">
        <f>SUM(C14:AB14)</f>
        <v>239</v>
      </c>
      <c r="AC2" s="65">
        <f>97*71</f>
        <v>6887</v>
      </c>
      <c r="AD2" s="6"/>
    </row>
    <row r="3" spans="1:76" ht="15.75">
      <c r="A3" s="36" t="s">
        <v>33</v>
      </c>
      <c r="B3" s="44">
        <f>SUM(C15:AB15)</f>
        <v>168</v>
      </c>
      <c r="AC3" s="71">
        <f>97/71</f>
        <v>1.3661971830985915</v>
      </c>
      <c r="AD3" s="6"/>
      <c r="AG3" s="8" t="s">
        <v>0</v>
      </c>
      <c r="AH3" s="9" t="s">
        <v>6</v>
      </c>
      <c r="AI3" s="9" t="s">
        <v>4</v>
      </c>
      <c r="AJ3" s="10" t="s">
        <v>8</v>
      </c>
      <c r="AK3" s="10" t="s">
        <v>7</v>
      </c>
      <c r="AL3" s="9" t="s">
        <v>5</v>
      </c>
      <c r="AM3" s="10" t="s">
        <v>15</v>
      </c>
      <c r="AN3" s="10" t="s">
        <v>22</v>
      </c>
      <c r="AO3" s="10" t="s">
        <v>14</v>
      </c>
      <c r="AP3" s="10" t="s">
        <v>10</v>
      </c>
      <c r="AQ3" s="10" t="s">
        <v>13</v>
      </c>
      <c r="AR3" s="10" t="s">
        <v>12</v>
      </c>
      <c r="AS3" s="10" t="s">
        <v>17</v>
      </c>
      <c r="AT3" s="9" t="s">
        <v>1</v>
      </c>
      <c r="AU3" s="10" t="s">
        <v>21</v>
      </c>
      <c r="AV3" s="10" t="s">
        <v>23</v>
      </c>
      <c r="AW3" s="10" t="s">
        <v>19</v>
      </c>
      <c r="AX3" s="10" t="s">
        <v>18</v>
      </c>
      <c r="AY3" s="9" t="s">
        <v>3</v>
      </c>
      <c r="AZ3" s="10" t="s">
        <v>25</v>
      </c>
      <c r="BA3" s="10" t="s">
        <v>20</v>
      </c>
      <c r="BB3" s="10" t="s">
        <v>11</v>
      </c>
      <c r="BC3" s="10" t="s">
        <v>16</v>
      </c>
      <c r="BD3" s="10" t="s">
        <v>9</v>
      </c>
      <c r="BE3" s="10" t="s">
        <v>24</v>
      </c>
      <c r="BF3" s="11" t="s">
        <v>2</v>
      </c>
    </row>
    <row r="4" spans="1:76" ht="15.75">
      <c r="A4" s="36" t="s">
        <v>34</v>
      </c>
      <c r="B4" s="44">
        <f>SUM(C16:AB16)</f>
        <v>142</v>
      </c>
      <c r="AC4" s="71">
        <f>71/97</f>
        <v>0.73195876288659789</v>
      </c>
      <c r="AD4" s="6"/>
      <c r="AG4" s="12">
        <v>8</v>
      </c>
      <c r="AH4" s="13">
        <v>6</v>
      </c>
      <c r="AI4" s="13">
        <v>6</v>
      </c>
      <c r="AJ4" s="13">
        <v>6</v>
      </c>
      <c r="AK4" s="13">
        <v>5</v>
      </c>
      <c r="AL4" s="13">
        <v>5</v>
      </c>
      <c r="AM4" s="13">
        <v>5</v>
      </c>
      <c r="AN4" s="13">
        <v>4</v>
      </c>
      <c r="AO4" s="13">
        <v>4</v>
      </c>
      <c r="AP4" s="13">
        <v>4</v>
      </c>
      <c r="AQ4" s="13">
        <v>4</v>
      </c>
      <c r="AR4" s="13">
        <v>4</v>
      </c>
      <c r="AS4" s="13">
        <v>4</v>
      </c>
      <c r="AT4" s="13">
        <v>4</v>
      </c>
      <c r="AU4" s="13">
        <v>4</v>
      </c>
      <c r="AV4" s="13">
        <v>3</v>
      </c>
      <c r="AW4" s="13">
        <v>3</v>
      </c>
      <c r="AX4" s="13">
        <v>3</v>
      </c>
      <c r="AY4" s="13">
        <v>3</v>
      </c>
      <c r="AZ4" s="13">
        <v>2</v>
      </c>
      <c r="BA4" s="13">
        <v>2</v>
      </c>
      <c r="BB4" s="13">
        <v>2</v>
      </c>
      <c r="BC4" s="13">
        <v>2</v>
      </c>
      <c r="BD4" s="13">
        <v>2</v>
      </c>
      <c r="BE4" s="13">
        <v>1</v>
      </c>
      <c r="BF4" s="14">
        <v>1</v>
      </c>
    </row>
    <row r="5" spans="1:76" ht="16.5">
      <c r="A5" s="18">
        <f>4/7</f>
        <v>0.5714285714285714</v>
      </c>
      <c r="B5" s="45">
        <v>571428</v>
      </c>
      <c r="AC5" s="66">
        <f>97*433</f>
        <v>42001</v>
      </c>
      <c r="AD5" s="178" t="s">
        <v>128</v>
      </c>
    </row>
    <row r="6" spans="1:76" ht="15.75" thickBot="1">
      <c r="B6" s="6"/>
      <c r="C6" s="6"/>
      <c r="AC6" s="66">
        <f>97*866</f>
        <v>84002</v>
      </c>
      <c r="AD6" s="66">
        <f>1728/97</f>
        <v>17.814432989690722</v>
      </c>
      <c r="AG6" s="7">
        <v>1</v>
      </c>
      <c r="AH6" s="7">
        <v>2</v>
      </c>
      <c r="AI6" s="7">
        <v>3</v>
      </c>
      <c r="AJ6" s="7">
        <v>4</v>
      </c>
      <c r="AK6" s="7">
        <v>5</v>
      </c>
      <c r="AL6" s="7">
        <v>6</v>
      </c>
      <c r="AM6" s="7">
        <v>7</v>
      </c>
      <c r="AN6" s="7">
        <v>8</v>
      </c>
      <c r="AO6" s="7">
        <v>9</v>
      </c>
      <c r="AP6" s="7">
        <v>10</v>
      </c>
      <c r="AQ6" s="7">
        <v>11</v>
      </c>
      <c r="AR6" s="7">
        <v>12</v>
      </c>
      <c r="AS6" s="7">
        <v>13</v>
      </c>
      <c r="AT6" s="7">
        <v>14</v>
      </c>
      <c r="AU6" s="7">
        <v>15</v>
      </c>
      <c r="AV6" s="7">
        <v>16</v>
      </c>
      <c r="AW6" s="7">
        <v>17</v>
      </c>
      <c r="AX6" s="7">
        <v>18</v>
      </c>
      <c r="AY6" s="7">
        <v>19</v>
      </c>
      <c r="AZ6" s="7">
        <v>20</v>
      </c>
      <c r="BA6" s="7">
        <v>21</v>
      </c>
      <c r="BB6" s="7">
        <v>22</v>
      </c>
      <c r="BC6" s="7">
        <v>23</v>
      </c>
      <c r="BD6" s="7">
        <v>24</v>
      </c>
      <c r="BE6" s="7">
        <v>25</v>
      </c>
      <c r="BF6" s="7">
        <v>26</v>
      </c>
      <c r="BG6" s="7">
        <v>27</v>
      </c>
      <c r="BH6" s="7">
        <v>28</v>
      </c>
      <c r="BI6" s="7">
        <v>29</v>
      </c>
      <c r="BJ6" s="7">
        <v>30</v>
      </c>
      <c r="BK6" s="7">
        <v>31</v>
      </c>
      <c r="BL6" s="7">
        <v>32</v>
      </c>
      <c r="BM6" s="7">
        <v>33</v>
      </c>
      <c r="BN6" s="7">
        <v>34</v>
      </c>
      <c r="BO6" s="7">
        <v>35</v>
      </c>
      <c r="BP6" s="7">
        <v>36</v>
      </c>
      <c r="BQ6" s="7">
        <v>37</v>
      </c>
      <c r="BR6" s="7">
        <v>38</v>
      </c>
      <c r="BS6" s="7">
        <v>39</v>
      </c>
      <c r="BT6" s="7">
        <v>40</v>
      </c>
      <c r="BU6" s="7">
        <v>41</v>
      </c>
      <c r="BV6" s="7">
        <v>42</v>
      </c>
      <c r="BW6" s="7"/>
      <c r="BX6" s="7"/>
    </row>
    <row r="7" spans="1:76" ht="17.25" thickTop="1" thickBot="1">
      <c r="B7" s="6"/>
      <c r="C7" s="6"/>
      <c r="AF7" s="15" t="s">
        <v>3</v>
      </c>
      <c r="AG7" s="16" t="s">
        <v>38</v>
      </c>
      <c r="AH7" s="16" t="s">
        <v>45</v>
      </c>
      <c r="AI7" s="17" t="s">
        <v>37</v>
      </c>
      <c r="AJ7" s="17" t="s">
        <v>43</v>
      </c>
      <c r="AK7" s="17" t="s">
        <v>45</v>
      </c>
      <c r="AL7" s="17" t="s">
        <v>52</v>
      </c>
      <c r="AM7" s="17" t="s">
        <v>48</v>
      </c>
      <c r="AN7" s="17" t="s">
        <v>35</v>
      </c>
      <c r="AO7" s="17" t="s">
        <v>38</v>
      </c>
      <c r="AP7" s="17" t="s">
        <v>54</v>
      </c>
      <c r="AQ7" s="17" t="s">
        <v>47</v>
      </c>
      <c r="AR7" s="17" t="s">
        <v>56</v>
      </c>
      <c r="AS7" s="17" t="s">
        <v>47</v>
      </c>
      <c r="AT7" s="17" t="s">
        <v>42</v>
      </c>
      <c r="AU7" s="17" t="s">
        <v>45</v>
      </c>
      <c r="AV7" s="17" t="s">
        <v>52</v>
      </c>
      <c r="AW7" s="17" t="s">
        <v>38</v>
      </c>
      <c r="AX7" s="17" t="s">
        <v>45</v>
      </c>
      <c r="AY7" s="17" t="s">
        <v>37</v>
      </c>
      <c r="AZ7" s="17" t="s">
        <v>43</v>
      </c>
      <c r="BA7" s="17" t="s">
        <v>45</v>
      </c>
      <c r="BB7" s="17" t="s">
        <v>52</v>
      </c>
      <c r="BC7" s="17" t="s">
        <v>42</v>
      </c>
      <c r="BD7" s="17" t="s">
        <v>46</v>
      </c>
      <c r="BE7" s="17" t="s">
        <v>35</v>
      </c>
      <c r="BF7" s="17" t="s">
        <v>56</v>
      </c>
      <c r="BG7" s="17" t="s">
        <v>35</v>
      </c>
      <c r="BH7" s="17" t="s">
        <v>57</v>
      </c>
      <c r="BI7" s="48" t="s">
        <v>47</v>
      </c>
      <c r="BJ7" s="17" t="s">
        <v>49</v>
      </c>
      <c r="BK7" s="17" t="s">
        <v>44</v>
      </c>
      <c r="BL7" s="16" t="s">
        <v>38</v>
      </c>
      <c r="BM7" s="16" t="s">
        <v>37</v>
      </c>
      <c r="BN7" s="16" t="s">
        <v>26</v>
      </c>
      <c r="BO7" s="17" t="s">
        <v>54</v>
      </c>
      <c r="BP7" s="17" t="s">
        <v>47</v>
      </c>
      <c r="BQ7" s="17" t="s">
        <v>38</v>
      </c>
      <c r="BR7" s="17" t="s">
        <v>38</v>
      </c>
      <c r="BS7" s="17" t="s">
        <v>47</v>
      </c>
      <c r="BT7" s="17" t="s">
        <v>50</v>
      </c>
      <c r="BU7" s="17" t="s">
        <v>35</v>
      </c>
      <c r="BV7" s="17" t="s">
        <v>48</v>
      </c>
      <c r="BX7" s="108">
        <f>COUNTA(BQ7:BV7,BR8:BV8,BS9:BV9,BT10:BV10,BU11:BV11,BV12)</f>
        <v>21</v>
      </c>
    </row>
    <row r="8" spans="1:76" ht="19.5" thickTop="1">
      <c r="A8" s="19"/>
      <c r="B8" s="20"/>
      <c r="C8" s="21" t="s">
        <v>113</v>
      </c>
      <c r="D8" s="21"/>
      <c r="E8" s="21"/>
      <c r="F8" s="21"/>
      <c r="G8" s="21"/>
      <c r="H8" s="21"/>
      <c r="I8" s="21"/>
      <c r="K8" s="21"/>
      <c r="L8" s="22" t="s">
        <v>114</v>
      </c>
      <c r="N8" s="21"/>
      <c r="O8" s="23"/>
      <c r="P8" s="23"/>
      <c r="Q8" s="20"/>
      <c r="R8" s="21"/>
      <c r="S8" s="21"/>
      <c r="T8" s="21"/>
      <c r="U8" s="21"/>
      <c r="V8" s="21"/>
      <c r="W8" s="21"/>
      <c r="X8" s="21"/>
      <c r="Y8" s="21"/>
      <c r="Z8" s="24"/>
      <c r="AA8" s="20"/>
      <c r="AB8" s="25" t="s">
        <v>27</v>
      </c>
      <c r="AC8" s="136">
        <f>(97+71)*2</f>
        <v>336</v>
      </c>
      <c r="AF8" s="100" t="s">
        <v>25</v>
      </c>
      <c r="AG8" s="101" t="s">
        <v>35</v>
      </c>
      <c r="AH8" s="101" t="s">
        <v>41</v>
      </c>
      <c r="AI8" s="89" t="s">
        <v>56</v>
      </c>
      <c r="AJ8" s="89" t="s">
        <v>49</v>
      </c>
      <c r="AK8" s="89" t="s">
        <v>38</v>
      </c>
      <c r="AL8" s="89" t="s">
        <v>42</v>
      </c>
      <c r="AM8" s="89" t="s">
        <v>46</v>
      </c>
      <c r="AN8" s="89" t="s">
        <v>47</v>
      </c>
      <c r="AO8" s="89" t="s">
        <v>42</v>
      </c>
      <c r="AP8" s="89" t="s">
        <v>35</v>
      </c>
      <c r="AQ8" s="89" t="s">
        <v>44</v>
      </c>
      <c r="AR8" s="89" t="s">
        <v>51</v>
      </c>
      <c r="AS8" s="89" t="s">
        <v>39</v>
      </c>
      <c r="AT8" s="89" t="s">
        <v>57</v>
      </c>
      <c r="AU8" s="89" t="s">
        <v>41</v>
      </c>
      <c r="AV8" s="89" t="s">
        <v>35</v>
      </c>
      <c r="AW8" s="89" t="s">
        <v>56</v>
      </c>
      <c r="AX8" s="89" t="s">
        <v>35</v>
      </c>
      <c r="AY8" s="89" t="s">
        <v>48</v>
      </c>
      <c r="AZ8" s="89" t="s">
        <v>42</v>
      </c>
      <c r="BA8" s="89" t="s">
        <v>46</v>
      </c>
      <c r="BB8" s="89" t="s">
        <v>35</v>
      </c>
      <c r="BC8" s="102" t="s">
        <v>45</v>
      </c>
      <c r="BD8" s="89" t="s">
        <v>37</v>
      </c>
      <c r="BE8" s="89" t="s">
        <v>43</v>
      </c>
      <c r="BF8" s="89" t="s">
        <v>35</v>
      </c>
      <c r="BG8" s="89" t="s">
        <v>56</v>
      </c>
      <c r="BH8" s="89" t="s">
        <v>54</v>
      </c>
      <c r="BI8" s="89" t="s">
        <v>47</v>
      </c>
      <c r="BJ8" s="103" t="s">
        <v>56</v>
      </c>
      <c r="BK8" s="89" t="s">
        <v>42</v>
      </c>
      <c r="BL8" s="101" t="s">
        <v>37</v>
      </c>
      <c r="BM8" s="101" t="s">
        <v>26</v>
      </c>
      <c r="BN8" s="101" t="s">
        <v>42</v>
      </c>
      <c r="BO8" s="89" t="s">
        <v>46</v>
      </c>
      <c r="BP8" s="89" t="s">
        <v>35</v>
      </c>
      <c r="BQ8" s="102" t="s">
        <v>48</v>
      </c>
      <c r="BR8" s="89" t="s">
        <v>37</v>
      </c>
      <c r="BS8" s="89" t="s">
        <v>37</v>
      </c>
      <c r="BT8" s="89" t="s">
        <v>56</v>
      </c>
      <c r="BU8" s="89" t="s">
        <v>43</v>
      </c>
      <c r="BV8" s="89" t="s">
        <v>47</v>
      </c>
      <c r="BX8" s="50">
        <f>COUNTA(BK8:BV8,BO12:BV12,BQ14:BV14)</f>
        <v>26</v>
      </c>
    </row>
    <row r="9" spans="1:76" ht="15.75">
      <c r="A9" s="19"/>
      <c r="B9" s="26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67"/>
      <c r="AD9" s="53"/>
      <c r="AF9" s="15" t="s">
        <v>3</v>
      </c>
      <c r="AG9" s="16" t="s">
        <v>52</v>
      </c>
      <c r="AH9" s="16" t="s">
        <v>43</v>
      </c>
      <c r="AI9" s="17" t="s">
        <v>47</v>
      </c>
      <c r="AJ9" s="17" t="s">
        <v>38</v>
      </c>
      <c r="AK9" s="17" t="s">
        <v>56</v>
      </c>
      <c r="AL9" s="17" t="s">
        <v>35</v>
      </c>
      <c r="AM9" s="17" t="s">
        <v>57</v>
      </c>
      <c r="AN9" s="17" t="s">
        <v>37</v>
      </c>
      <c r="AO9" s="17" t="s">
        <v>53</v>
      </c>
      <c r="AP9" s="17" t="s">
        <v>35</v>
      </c>
      <c r="AQ9" s="17" t="s">
        <v>48</v>
      </c>
      <c r="AR9" s="17" t="s">
        <v>43</v>
      </c>
      <c r="AS9" s="17" t="s">
        <v>49</v>
      </c>
      <c r="AT9" s="17" t="s">
        <v>42</v>
      </c>
      <c r="AU9" s="17" t="s">
        <v>46</v>
      </c>
      <c r="AV9" s="17" t="s">
        <v>42</v>
      </c>
      <c r="AW9" s="17" t="s">
        <v>56</v>
      </c>
      <c r="AX9" s="17" t="s">
        <v>35</v>
      </c>
      <c r="AY9" s="17" t="s">
        <v>57</v>
      </c>
      <c r="AZ9" s="17" t="s">
        <v>41</v>
      </c>
      <c r="BA9" s="17" t="s">
        <v>45</v>
      </c>
      <c r="BB9" s="17" t="s">
        <v>49</v>
      </c>
      <c r="BC9" s="17" t="s">
        <v>44</v>
      </c>
      <c r="BD9" s="17" t="s">
        <v>50</v>
      </c>
      <c r="BE9" s="17" t="s">
        <v>46</v>
      </c>
      <c r="BF9" s="17" t="s">
        <v>47</v>
      </c>
      <c r="BG9" s="17" t="s">
        <v>44</v>
      </c>
      <c r="BH9" s="17" t="s">
        <v>48</v>
      </c>
      <c r="BI9" s="17" t="s">
        <v>38</v>
      </c>
      <c r="BJ9" s="17" t="s">
        <v>49</v>
      </c>
      <c r="BK9" s="48" t="s">
        <v>57</v>
      </c>
      <c r="BL9" s="16" t="s">
        <v>47</v>
      </c>
      <c r="BM9" s="16" t="s">
        <v>48</v>
      </c>
      <c r="BN9" s="16" t="s">
        <v>35</v>
      </c>
      <c r="BO9" s="17" t="s">
        <v>47</v>
      </c>
      <c r="BP9" s="17" t="s">
        <v>42</v>
      </c>
      <c r="BQ9" s="17" t="s">
        <v>49</v>
      </c>
      <c r="BR9" s="17" t="s">
        <v>44</v>
      </c>
      <c r="BS9" s="17" t="s">
        <v>52</v>
      </c>
      <c r="BT9" s="17" t="s">
        <v>41</v>
      </c>
      <c r="BU9" s="17" t="s">
        <v>56</v>
      </c>
      <c r="BV9" s="17" t="s">
        <v>35</v>
      </c>
    </row>
    <row r="10" spans="1:76" ht="15.75">
      <c r="A10" s="19"/>
      <c r="B10" s="28" t="s">
        <v>28</v>
      </c>
      <c r="C10" s="29" t="s">
        <v>22</v>
      </c>
      <c r="D10" s="29" t="s">
        <v>7</v>
      </c>
      <c r="E10" s="29" t="s">
        <v>25</v>
      </c>
      <c r="F10" s="29" t="s">
        <v>23</v>
      </c>
      <c r="G10" s="29" t="s">
        <v>20</v>
      </c>
      <c r="H10" s="29" t="s">
        <v>14</v>
      </c>
      <c r="I10" s="29" t="s">
        <v>10</v>
      </c>
      <c r="J10" s="29" t="s">
        <v>11</v>
      </c>
      <c r="K10" s="29" t="s">
        <v>13</v>
      </c>
      <c r="L10" s="29" t="s">
        <v>19</v>
      </c>
      <c r="M10" s="29" t="s">
        <v>0</v>
      </c>
      <c r="N10" s="29" t="s">
        <v>12</v>
      </c>
      <c r="O10" s="29" t="s">
        <v>24</v>
      </c>
      <c r="P10" s="29" t="s">
        <v>18</v>
      </c>
      <c r="Q10" s="29" t="s">
        <v>5</v>
      </c>
      <c r="R10" s="29" t="s">
        <v>3</v>
      </c>
      <c r="S10" s="29" t="s">
        <v>17</v>
      </c>
      <c r="T10" s="29" t="s">
        <v>1</v>
      </c>
      <c r="U10" s="29" t="s">
        <v>6</v>
      </c>
      <c r="V10" s="29" t="s">
        <v>4</v>
      </c>
      <c r="W10" s="29" t="s">
        <v>8</v>
      </c>
      <c r="X10" s="29" t="s">
        <v>16</v>
      </c>
      <c r="Y10" s="29" t="s">
        <v>15</v>
      </c>
      <c r="Z10" s="29" t="s">
        <v>9</v>
      </c>
      <c r="AA10" s="29" t="s">
        <v>2</v>
      </c>
      <c r="AB10" s="29" t="s">
        <v>21</v>
      </c>
      <c r="AC10" s="72">
        <f>AC11*(AC11-1)</f>
        <v>9312</v>
      </c>
      <c r="AD10" s="54"/>
      <c r="AF10" s="100" t="s">
        <v>25</v>
      </c>
      <c r="AG10" s="101" t="s">
        <v>47</v>
      </c>
      <c r="AH10" s="101" t="s">
        <v>51</v>
      </c>
      <c r="AI10" s="89" t="s">
        <v>46</v>
      </c>
      <c r="AJ10" s="89" t="s">
        <v>49</v>
      </c>
      <c r="AK10" s="89" t="s">
        <v>44</v>
      </c>
      <c r="AL10" s="89" t="s">
        <v>42</v>
      </c>
      <c r="AM10" s="89" t="s">
        <v>46</v>
      </c>
      <c r="AN10" s="89" t="s">
        <v>35</v>
      </c>
      <c r="AO10" s="89" t="s">
        <v>39</v>
      </c>
      <c r="AP10" s="89" t="s">
        <v>54</v>
      </c>
      <c r="AQ10" s="89" t="s">
        <v>54</v>
      </c>
      <c r="AR10" s="89" t="s">
        <v>35</v>
      </c>
      <c r="AS10" s="89" t="s">
        <v>56</v>
      </c>
      <c r="AT10" s="89" t="s">
        <v>45</v>
      </c>
      <c r="AU10" s="89" t="s">
        <v>35</v>
      </c>
      <c r="AV10" s="89" t="s">
        <v>26</v>
      </c>
      <c r="AW10" s="89" t="s">
        <v>42</v>
      </c>
      <c r="AX10" s="89" t="s">
        <v>46</v>
      </c>
      <c r="AY10" s="89" t="s">
        <v>47</v>
      </c>
      <c r="AZ10" s="89" t="s">
        <v>44</v>
      </c>
      <c r="BA10" s="89" t="s">
        <v>48</v>
      </c>
      <c r="BB10" s="89" t="s">
        <v>51</v>
      </c>
      <c r="BC10" s="89" t="s">
        <v>37</v>
      </c>
      <c r="BD10" s="89" t="s">
        <v>56</v>
      </c>
      <c r="BE10" s="102" t="s">
        <v>44</v>
      </c>
      <c r="BF10" s="89" t="s">
        <v>35</v>
      </c>
      <c r="BG10" s="89" t="s">
        <v>56</v>
      </c>
      <c r="BH10" s="89" t="s">
        <v>47</v>
      </c>
      <c r="BI10" s="89" t="s">
        <v>44</v>
      </c>
      <c r="BJ10" s="89" t="s">
        <v>48</v>
      </c>
      <c r="BK10" s="89" t="s">
        <v>42</v>
      </c>
      <c r="BL10" s="105" t="s">
        <v>46</v>
      </c>
      <c r="BM10" s="101" t="s">
        <v>35</v>
      </c>
      <c r="BN10" s="101" t="s">
        <v>44</v>
      </c>
      <c r="BO10" s="89" t="s">
        <v>43</v>
      </c>
      <c r="BP10" s="89" t="s">
        <v>49</v>
      </c>
      <c r="BQ10" s="89" t="s">
        <v>48</v>
      </c>
      <c r="BR10" s="89" t="s">
        <v>35</v>
      </c>
      <c r="BS10" s="102" t="s">
        <v>44</v>
      </c>
      <c r="BT10" s="89" t="s">
        <v>49</v>
      </c>
      <c r="BU10" s="89" t="s">
        <v>44</v>
      </c>
      <c r="BV10" s="89" t="s">
        <v>50</v>
      </c>
    </row>
    <row r="11" spans="1:76" ht="15.75">
      <c r="A11" s="30" t="s">
        <v>40</v>
      </c>
      <c r="B11" s="31" t="s">
        <v>26</v>
      </c>
      <c r="C11" s="23">
        <v>4</v>
      </c>
      <c r="D11" s="23">
        <v>5</v>
      </c>
      <c r="E11" s="23">
        <v>2</v>
      </c>
      <c r="F11" s="23">
        <v>3</v>
      </c>
      <c r="G11" s="23">
        <v>2</v>
      </c>
      <c r="H11" s="23">
        <v>4</v>
      </c>
      <c r="I11" s="23">
        <v>4</v>
      </c>
      <c r="J11" s="23">
        <v>2</v>
      </c>
      <c r="K11" s="23">
        <v>4</v>
      </c>
      <c r="L11" s="23">
        <v>3</v>
      </c>
      <c r="M11" s="23">
        <v>8</v>
      </c>
      <c r="N11" s="23">
        <v>4</v>
      </c>
      <c r="O11" s="23">
        <v>1</v>
      </c>
      <c r="P11" s="23">
        <v>3</v>
      </c>
      <c r="Q11" s="23">
        <v>5</v>
      </c>
      <c r="R11" s="23">
        <v>3</v>
      </c>
      <c r="S11" s="23">
        <v>4</v>
      </c>
      <c r="T11" s="23">
        <v>4</v>
      </c>
      <c r="U11" s="23">
        <v>6</v>
      </c>
      <c r="V11" s="23">
        <v>6</v>
      </c>
      <c r="W11" s="23">
        <v>6</v>
      </c>
      <c r="X11" s="23">
        <v>2</v>
      </c>
      <c r="Y11" s="23">
        <v>5</v>
      </c>
      <c r="Z11" s="23">
        <v>2</v>
      </c>
      <c r="AA11" s="23">
        <v>1</v>
      </c>
      <c r="AB11" s="181">
        <v>4</v>
      </c>
      <c r="AC11" s="182">
        <f>SUM(C11:AB11)</f>
        <v>97</v>
      </c>
      <c r="AD11" s="55">
        <f>COUNTIF(C11:AB11,"&gt;0")</f>
        <v>26</v>
      </c>
      <c r="AF11" s="15" t="s">
        <v>3</v>
      </c>
      <c r="AG11" s="17" t="s">
        <v>42</v>
      </c>
      <c r="AH11" s="17" t="s">
        <v>46</v>
      </c>
      <c r="AI11" s="17" t="s">
        <v>35</v>
      </c>
      <c r="AJ11" s="17" t="s">
        <v>46</v>
      </c>
      <c r="AK11" s="17" t="s">
        <v>37</v>
      </c>
      <c r="AL11" s="17" t="s">
        <v>45</v>
      </c>
      <c r="AM11" s="17" t="s">
        <v>35</v>
      </c>
      <c r="AN11" s="17" t="s">
        <v>47</v>
      </c>
      <c r="AO11" s="17" t="s">
        <v>45</v>
      </c>
      <c r="AP11" s="17" t="s">
        <v>49</v>
      </c>
      <c r="AQ11" s="17" t="s">
        <v>42</v>
      </c>
      <c r="AR11" s="17" t="s">
        <v>42</v>
      </c>
      <c r="AS11" s="17" t="s">
        <v>45</v>
      </c>
      <c r="AT11" s="17" t="s">
        <v>35</v>
      </c>
      <c r="AU11" s="17" t="s">
        <v>49</v>
      </c>
      <c r="AV11" s="17" t="s">
        <v>49</v>
      </c>
      <c r="AW11" s="17" t="s">
        <v>44</v>
      </c>
      <c r="AX11" s="16" t="s">
        <v>38</v>
      </c>
      <c r="AY11" s="16" t="s">
        <v>35</v>
      </c>
      <c r="AZ11" s="17" t="s">
        <v>56</v>
      </c>
      <c r="BA11" s="17" t="s">
        <v>42</v>
      </c>
      <c r="BB11" s="17" t="s">
        <v>35</v>
      </c>
      <c r="BC11" s="17" t="s">
        <v>48</v>
      </c>
      <c r="BD11" s="17" t="s">
        <v>42</v>
      </c>
      <c r="BE11" s="17" t="s">
        <v>46</v>
      </c>
      <c r="BF11" s="17" t="s">
        <v>35</v>
      </c>
      <c r="BG11" s="17" t="s">
        <v>51</v>
      </c>
      <c r="BH11" s="17" t="s">
        <v>47</v>
      </c>
      <c r="BI11" s="17" t="s">
        <v>44</v>
      </c>
      <c r="BJ11" s="17" t="s">
        <v>48</v>
      </c>
      <c r="BK11" s="17" t="s">
        <v>45</v>
      </c>
      <c r="BL11" s="17" t="s">
        <v>35</v>
      </c>
      <c r="BM11" s="48" t="s">
        <v>47</v>
      </c>
      <c r="BN11" s="17" t="s">
        <v>44</v>
      </c>
      <c r="BO11" s="17" t="s">
        <v>48</v>
      </c>
      <c r="BP11" s="17" t="s">
        <v>54</v>
      </c>
      <c r="BQ11" s="17" t="s">
        <v>35</v>
      </c>
      <c r="BR11" s="17" t="s">
        <v>35</v>
      </c>
      <c r="BS11" s="17" t="s">
        <v>56</v>
      </c>
      <c r="BT11" s="17" t="s">
        <v>35</v>
      </c>
      <c r="BU11" s="17" t="s">
        <v>48</v>
      </c>
      <c r="BV11" s="17" t="s">
        <v>49</v>
      </c>
    </row>
    <row r="12" spans="1:76" ht="15.75">
      <c r="A12" s="19"/>
      <c r="B12" s="32" t="s">
        <v>29</v>
      </c>
      <c r="C12" s="33">
        <f t="shared" ref="C12:AB12" si="0">C11-1</f>
        <v>3</v>
      </c>
      <c r="D12" s="33">
        <f t="shared" si="0"/>
        <v>4</v>
      </c>
      <c r="E12" s="33">
        <f t="shared" si="0"/>
        <v>1</v>
      </c>
      <c r="F12" s="33">
        <f t="shared" si="0"/>
        <v>2</v>
      </c>
      <c r="G12" s="33">
        <f t="shared" si="0"/>
        <v>1</v>
      </c>
      <c r="H12" s="33">
        <f t="shared" si="0"/>
        <v>3</v>
      </c>
      <c r="I12" s="33">
        <f t="shared" si="0"/>
        <v>3</v>
      </c>
      <c r="J12" s="33">
        <f t="shared" si="0"/>
        <v>1</v>
      </c>
      <c r="K12" s="33">
        <f t="shared" si="0"/>
        <v>3</v>
      </c>
      <c r="L12" s="33">
        <f t="shared" si="0"/>
        <v>2</v>
      </c>
      <c r="M12" s="33">
        <f t="shared" si="0"/>
        <v>7</v>
      </c>
      <c r="N12" s="33">
        <f t="shared" si="0"/>
        <v>3</v>
      </c>
      <c r="O12" s="33">
        <f t="shared" si="0"/>
        <v>0</v>
      </c>
      <c r="P12" s="33">
        <f t="shared" si="0"/>
        <v>2</v>
      </c>
      <c r="Q12" s="33">
        <f t="shared" si="0"/>
        <v>4</v>
      </c>
      <c r="R12" s="33">
        <f t="shared" si="0"/>
        <v>2</v>
      </c>
      <c r="S12" s="33">
        <f t="shared" si="0"/>
        <v>3</v>
      </c>
      <c r="T12" s="33">
        <f t="shared" si="0"/>
        <v>3</v>
      </c>
      <c r="U12" s="33">
        <f t="shared" si="0"/>
        <v>5</v>
      </c>
      <c r="V12" s="33">
        <f t="shared" si="0"/>
        <v>5</v>
      </c>
      <c r="W12" s="33">
        <f t="shared" si="0"/>
        <v>5</v>
      </c>
      <c r="X12" s="33">
        <f t="shared" si="0"/>
        <v>1</v>
      </c>
      <c r="Y12" s="33">
        <f t="shared" si="0"/>
        <v>4</v>
      </c>
      <c r="Z12" s="33">
        <f t="shared" si="0"/>
        <v>1</v>
      </c>
      <c r="AA12" s="33">
        <f t="shared" si="0"/>
        <v>0</v>
      </c>
      <c r="AB12" s="183">
        <f t="shared" si="0"/>
        <v>3</v>
      </c>
      <c r="AC12" s="184">
        <f>SUM(C12:AB12)</f>
        <v>71</v>
      </c>
      <c r="AD12" s="56">
        <f>COUNTIF(C12:AB12,"&gt;0")</f>
        <v>24</v>
      </c>
      <c r="AF12" s="100" t="s">
        <v>25</v>
      </c>
      <c r="AG12" s="101" t="s">
        <v>44</v>
      </c>
      <c r="AH12" s="101" t="s">
        <v>42</v>
      </c>
      <c r="AI12" s="89" t="s">
        <v>46</v>
      </c>
      <c r="AJ12" s="89" t="s">
        <v>35</v>
      </c>
      <c r="AK12" s="89" t="s">
        <v>46</v>
      </c>
      <c r="AL12" s="89" t="s">
        <v>37</v>
      </c>
      <c r="AM12" s="89" t="s">
        <v>42</v>
      </c>
      <c r="AN12" s="89" t="s">
        <v>47</v>
      </c>
      <c r="AO12" s="89" t="s">
        <v>49</v>
      </c>
      <c r="AP12" s="89" t="s">
        <v>56</v>
      </c>
      <c r="AQ12" s="89" t="s">
        <v>35</v>
      </c>
      <c r="AR12" s="89" t="s">
        <v>38</v>
      </c>
      <c r="AS12" s="89" t="s">
        <v>51</v>
      </c>
      <c r="AT12" s="89" t="s">
        <v>47</v>
      </c>
      <c r="AU12" s="89" t="s">
        <v>54</v>
      </c>
      <c r="AV12" s="89" t="s">
        <v>49</v>
      </c>
      <c r="AW12" s="89" t="s">
        <v>44</v>
      </c>
      <c r="AX12" s="89" t="s">
        <v>50</v>
      </c>
      <c r="AY12" s="89" t="s">
        <v>26</v>
      </c>
      <c r="AZ12" s="89" t="s">
        <v>56</v>
      </c>
      <c r="BA12" s="89" t="s">
        <v>37</v>
      </c>
      <c r="BB12" s="89" t="s">
        <v>57</v>
      </c>
      <c r="BC12" s="89" t="s">
        <v>42</v>
      </c>
      <c r="BD12" s="89" t="s">
        <v>46</v>
      </c>
      <c r="BE12" s="89" t="s">
        <v>35</v>
      </c>
      <c r="BF12" s="89" t="s">
        <v>51</v>
      </c>
      <c r="BG12" s="102" t="s">
        <v>46</v>
      </c>
      <c r="BH12" s="89" t="s">
        <v>47</v>
      </c>
      <c r="BI12" s="89" t="s">
        <v>57</v>
      </c>
      <c r="BJ12" s="89" t="s">
        <v>41</v>
      </c>
      <c r="BK12" s="89" t="s">
        <v>35</v>
      </c>
      <c r="BL12" s="101" t="s">
        <v>56</v>
      </c>
      <c r="BM12" s="101" t="s">
        <v>51</v>
      </c>
      <c r="BN12" s="103" t="s">
        <v>47</v>
      </c>
      <c r="BO12" s="89" t="s">
        <v>39</v>
      </c>
      <c r="BP12" s="89" t="s">
        <v>38</v>
      </c>
      <c r="BQ12" s="89" t="s">
        <v>35</v>
      </c>
      <c r="BR12" s="89" t="s">
        <v>48</v>
      </c>
      <c r="BS12" s="89" t="s">
        <v>42</v>
      </c>
      <c r="BT12" s="89" t="s">
        <v>46</v>
      </c>
      <c r="BU12" s="102" t="s">
        <v>35</v>
      </c>
      <c r="BV12" s="89" t="s">
        <v>26</v>
      </c>
    </row>
    <row r="13" spans="1:76" ht="16.5" thickBot="1">
      <c r="A13" s="19"/>
      <c r="B13" s="34" t="s">
        <v>30</v>
      </c>
      <c r="C13" s="35">
        <f>C11*C12</f>
        <v>12</v>
      </c>
      <c r="D13" s="35">
        <f>D11*D12</f>
        <v>20</v>
      </c>
      <c r="E13" s="35">
        <f t="shared" ref="E13:AB13" si="1">E11*E12</f>
        <v>2</v>
      </c>
      <c r="F13" s="35">
        <f t="shared" si="1"/>
        <v>6</v>
      </c>
      <c r="G13" s="35">
        <f t="shared" si="1"/>
        <v>2</v>
      </c>
      <c r="H13" s="35">
        <f>H11*H12</f>
        <v>12</v>
      </c>
      <c r="I13" s="35">
        <f t="shared" si="1"/>
        <v>12</v>
      </c>
      <c r="J13" s="35">
        <f t="shared" si="1"/>
        <v>2</v>
      </c>
      <c r="K13" s="35">
        <f t="shared" si="1"/>
        <v>12</v>
      </c>
      <c r="L13" s="35">
        <f t="shared" si="1"/>
        <v>6</v>
      </c>
      <c r="M13" s="35">
        <f t="shared" si="1"/>
        <v>56</v>
      </c>
      <c r="N13" s="35">
        <f t="shared" si="1"/>
        <v>12</v>
      </c>
      <c r="O13" s="35">
        <f t="shared" si="1"/>
        <v>0</v>
      </c>
      <c r="P13" s="35">
        <f t="shared" si="1"/>
        <v>6</v>
      </c>
      <c r="Q13" s="35">
        <f t="shared" si="1"/>
        <v>20</v>
      </c>
      <c r="R13" s="35">
        <f t="shared" si="1"/>
        <v>6</v>
      </c>
      <c r="S13" s="35">
        <f t="shared" si="1"/>
        <v>12</v>
      </c>
      <c r="T13" s="35">
        <f t="shared" si="1"/>
        <v>12</v>
      </c>
      <c r="U13" s="35">
        <f t="shared" si="1"/>
        <v>30</v>
      </c>
      <c r="V13" s="35">
        <f t="shared" si="1"/>
        <v>30</v>
      </c>
      <c r="W13" s="35">
        <f t="shared" si="1"/>
        <v>30</v>
      </c>
      <c r="X13" s="35">
        <f t="shared" si="1"/>
        <v>2</v>
      </c>
      <c r="Y13" s="35">
        <f t="shared" si="1"/>
        <v>20</v>
      </c>
      <c r="Z13" s="35">
        <f t="shared" si="1"/>
        <v>2</v>
      </c>
      <c r="AA13" s="35">
        <f t="shared" si="1"/>
        <v>0</v>
      </c>
      <c r="AB13" s="186">
        <f t="shared" si="1"/>
        <v>12</v>
      </c>
      <c r="AC13" s="185">
        <f>SUM(C13:AB13)</f>
        <v>336</v>
      </c>
      <c r="AD13" s="57" t="s">
        <v>115</v>
      </c>
      <c r="AF13" s="15" t="s">
        <v>3</v>
      </c>
      <c r="AG13" s="17" t="s">
        <v>45</v>
      </c>
      <c r="AH13" s="17" t="s">
        <v>47</v>
      </c>
      <c r="AI13" s="17" t="s">
        <v>57</v>
      </c>
      <c r="AJ13" s="17" t="s">
        <v>35</v>
      </c>
      <c r="AK13" s="17" t="s">
        <v>42</v>
      </c>
      <c r="AL13" s="17" t="s">
        <v>37</v>
      </c>
      <c r="AM13" s="17" t="s">
        <v>26</v>
      </c>
      <c r="AN13" s="17" t="s">
        <v>45</v>
      </c>
      <c r="AO13" s="17" t="s">
        <v>49</v>
      </c>
      <c r="AP13" s="17" t="s">
        <v>51</v>
      </c>
      <c r="AQ13" s="17" t="s">
        <v>59</v>
      </c>
      <c r="AR13" s="17" t="s">
        <v>35</v>
      </c>
      <c r="AS13" s="17" t="s">
        <v>56</v>
      </c>
      <c r="AT13" s="17" t="s">
        <v>41</v>
      </c>
      <c r="AU13" s="17" t="s">
        <v>39</v>
      </c>
      <c r="AV13" s="17" t="s">
        <v>42</v>
      </c>
      <c r="AW13" s="17" t="s">
        <v>54</v>
      </c>
      <c r="AX13" s="16" t="s">
        <v>56</v>
      </c>
      <c r="AY13" s="16" t="s">
        <v>35</v>
      </c>
      <c r="AZ13" s="17" t="s">
        <v>38</v>
      </c>
      <c r="BA13" s="17" t="s">
        <v>35</v>
      </c>
      <c r="BB13" s="17" t="s">
        <v>44</v>
      </c>
      <c r="BC13" s="17" t="s">
        <v>42</v>
      </c>
      <c r="BD13" s="17" t="s">
        <v>45</v>
      </c>
      <c r="BE13" s="17" t="s">
        <v>52</v>
      </c>
      <c r="BF13" s="17" t="s">
        <v>48</v>
      </c>
      <c r="BG13" s="17" t="s">
        <v>35</v>
      </c>
      <c r="BH13" s="17" t="s">
        <v>42</v>
      </c>
      <c r="BI13" s="17" t="s">
        <v>47</v>
      </c>
      <c r="BJ13" s="17" t="s">
        <v>49</v>
      </c>
      <c r="BK13" s="17" t="s">
        <v>45</v>
      </c>
      <c r="BL13" s="17" t="s">
        <v>38</v>
      </c>
      <c r="BM13" s="17" t="s">
        <v>37</v>
      </c>
      <c r="BN13" s="17" t="s">
        <v>26</v>
      </c>
      <c r="BO13" s="48" t="s">
        <v>42</v>
      </c>
      <c r="BP13" s="17" t="s">
        <v>46</v>
      </c>
      <c r="BQ13" s="17" t="s">
        <v>35</v>
      </c>
      <c r="BR13" s="17" t="s">
        <v>56</v>
      </c>
      <c r="BS13" s="17" t="s">
        <v>37</v>
      </c>
      <c r="BT13" s="17" t="s">
        <v>37</v>
      </c>
      <c r="BU13" s="17" t="s">
        <v>57</v>
      </c>
      <c r="BV13" s="17" t="s">
        <v>43</v>
      </c>
    </row>
    <row r="14" spans="1:76" ht="17.25" thickTop="1" thickBot="1">
      <c r="A14" s="6"/>
      <c r="B14" s="187">
        <f>SUM(C14:AB14)</f>
        <v>239</v>
      </c>
      <c r="C14" s="188">
        <f>C13-C11</f>
        <v>8</v>
      </c>
      <c r="D14" s="189">
        <f>D13-D11</f>
        <v>15</v>
      </c>
      <c r="E14" s="190">
        <f t="shared" ref="D14:AB15" si="2">E13-E11</f>
        <v>0</v>
      </c>
      <c r="F14" s="190">
        <f t="shared" si="2"/>
        <v>3</v>
      </c>
      <c r="G14" s="190">
        <f t="shared" si="2"/>
        <v>0</v>
      </c>
      <c r="H14" s="190">
        <f t="shared" si="2"/>
        <v>8</v>
      </c>
      <c r="I14" s="190">
        <f t="shared" si="2"/>
        <v>8</v>
      </c>
      <c r="J14" s="190">
        <f t="shared" si="2"/>
        <v>0</v>
      </c>
      <c r="K14" s="190">
        <f t="shared" si="2"/>
        <v>8</v>
      </c>
      <c r="L14" s="190">
        <f t="shared" si="2"/>
        <v>3</v>
      </c>
      <c r="M14" s="189">
        <f>M13-M11</f>
        <v>48</v>
      </c>
      <c r="N14" s="190">
        <f t="shared" si="2"/>
        <v>8</v>
      </c>
      <c r="O14" s="190">
        <f t="shared" si="2"/>
        <v>-1</v>
      </c>
      <c r="P14" s="190">
        <f t="shared" si="2"/>
        <v>3</v>
      </c>
      <c r="Q14" s="190">
        <f t="shared" si="2"/>
        <v>15</v>
      </c>
      <c r="R14" s="190">
        <f t="shared" si="2"/>
        <v>3</v>
      </c>
      <c r="S14" s="190">
        <f t="shared" si="2"/>
        <v>8</v>
      </c>
      <c r="T14" s="190">
        <f t="shared" si="2"/>
        <v>8</v>
      </c>
      <c r="U14" s="190">
        <f t="shared" si="2"/>
        <v>24</v>
      </c>
      <c r="V14" s="190">
        <f t="shared" si="2"/>
        <v>24</v>
      </c>
      <c r="W14" s="190">
        <f t="shared" si="2"/>
        <v>24</v>
      </c>
      <c r="X14" s="190">
        <f t="shared" si="2"/>
        <v>0</v>
      </c>
      <c r="Y14" s="190">
        <f t="shared" si="2"/>
        <v>15</v>
      </c>
      <c r="Z14" s="190">
        <f t="shared" si="2"/>
        <v>0</v>
      </c>
      <c r="AA14" s="190">
        <f t="shared" si="2"/>
        <v>-1</v>
      </c>
      <c r="AB14" s="191">
        <f t="shared" si="2"/>
        <v>8</v>
      </c>
      <c r="AC14" s="68">
        <f>0.0385*AC11*(AC11-1)</f>
        <v>358.512</v>
      </c>
      <c r="AD14" s="58" t="s">
        <v>116</v>
      </c>
      <c r="AF14" s="100" t="s">
        <v>25</v>
      </c>
      <c r="AG14" s="101" t="s">
        <v>49</v>
      </c>
      <c r="AH14" s="101" t="s">
        <v>42</v>
      </c>
      <c r="AI14" s="89" t="s">
        <v>46</v>
      </c>
      <c r="AJ14" s="89" t="s">
        <v>49</v>
      </c>
      <c r="AK14" s="89" t="s">
        <v>44</v>
      </c>
      <c r="AL14" s="89" t="s">
        <v>35</v>
      </c>
      <c r="AM14" s="89" t="s">
        <v>57</v>
      </c>
      <c r="AN14" s="89" t="s">
        <v>35</v>
      </c>
      <c r="AO14" s="89" t="s">
        <v>56</v>
      </c>
      <c r="AP14" s="89" t="s">
        <v>50</v>
      </c>
      <c r="AQ14" s="89" t="s">
        <v>35</v>
      </c>
      <c r="AR14" s="89" t="s">
        <v>48</v>
      </c>
      <c r="AS14" s="89" t="s">
        <v>26</v>
      </c>
      <c r="AT14" s="89" t="s">
        <v>56</v>
      </c>
      <c r="AU14" s="89" t="s">
        <v>37</v>
      </c>
      <c r="AV14" s="89" t="s">
        <v>57</v>
      </c>
      <c r="AW14" s="89" t="s">
        <v>42</v>
      </c>
      <c r="AX14" s="89" t="s">
        <v>46</v>
      </c>
      <c r="AY14" s="89" t="s">
        <v>35</v>
      </c>
      <c r="AZ14" s="89" t="s">
        <v>57</v>
      </c>
      <c r="BA14" s="89" t="s">
        <v>49</v>
      </c>
      <c r="BB14" s="89" t="s">
        <v>38</v>
      </c>
      <c r="BC14" s="89" t="s">
        <v>42</v>
      </c>
      <c r="BD14" s="89" t="s">
        <v>58</v>
      </c>
      <c r="BE14" s="89" t="s">
        <v>51</v>
      </c>
      <c r="BF14" s="89" t="s">
        <v>47</v>
      </c>
      <c r="BG14" s="89" t="s">
        <v>44</v>
      </c>
      <c r="BH14" s="89" t="s">
        <v>52</v>
      </c>
      <c r="BI14" s="102" t="s">
        <v>37</v>
      </c>
      <c r="BJ14" s="89" t="s">
        <v>39</v>
      </c>
      <c r="BK14" s="89" t="s">
        <v>38</v>
      </c>
      <c r="BL14" s="101" t="s">
        <v>35</v>
      </c>
      <c r="BM14" s="101" t="s">
        <v>35</v>
      </c>
      <c r="BN14" s="101" t="s">
        <v>47</v>
      </c>
      <c r="BO14" s="89" t="s">
        <v>44</v>
      </c>
      <c r="BP14" s="103" t="s">
        <v>52</v>
      </c>
      <c r="BQ14" s="89" t="s">
        <v>42</v>
      </c>
      <c r="BR14" s="89" t="s">
        <v>46</v>
      </c>
      <c r="BS14" s="89" t="s">
        <v>49</v>
      </c>
      <c r="BT14" s="89" t="s">
        <v>44</v>
      </c>
      <c r="BU14" s="89" t="s">
        <v>50</v>
      </c>
      <c r="BV14" s="89" t="s">
        <v>36</v>
      </c>
      <c r="BW14" s="104" t="s">
        <v>55</v>
      </c>
      <c r="BX14" s="49">
        <f>COUNTA(BJ7:BV7,BK8:BV8,BL9:BV9,BM10:BV10,BN11:BV11,BO12:BV12,BP13:BV13,BQ14:BV14,BW14)</f>
        <v>77</v>
      </c>
    </row>
    <row r="15" spans="1:76" ht="16.5" thickTop="1">
      <c r="A15" s="6"/>
      <c r="B15" s="46">
        <f>SUM(C15:AB15)</f>
        <v>168</v>
      </c>
      <c r="C15" s="47">
        <f>C14-C12</f>
        <v>5</v>
      </c>
      <c r="D15" s="38">
        <f t="shared" si="2"/>
        <v>11</v>
      </c>
      <c r="E15" s="38">
        <f t="shared" si="2"/>
        <v>-1</v>
      </c>
      <c r="F15" s="38">
        <f t="shared" si="2"/>
        <v>1</v>
      </c>
      <c r="G15" s="38">
        <f t="shared" si="2"/>
        <v>-1</v>
      </c>
      <c r="H15" s="38">
        <f t="shared" si="2"/>
        <v>5</v>
      </c>
      <c r="I15" s="38">
        <f t="shared" si="2"/>
        <v>5</v>
      </c>
      <c r="J15" s="38">
        <f t="shared" si="2"/>
        <v>-1</v>
      </c>
      <c r="K15" s="38">
        <f t="shared" si="2"/>
        <v>5</v>
      </c>
      <c r="L15" s="38">
        <f t="shared" si="2"/>
        <v>1</v>
      </c>
      <c r="M15" s="38">
        <f t="shared" si="2"/>
        <v>41</v>
      </c>
      <c r="N15" s="38">
        <f t="shared" si="2"/>
        <v>5</v>
      </c>
      <c r="O15" s="38">
        <f t="shared" si="2"/>
        <v>-1</v>
      </c>
      <c r="P15" s="38">
        <f t="shared" si="2"/>
        <v>1</v>
      </c>
      <c r="Q15" s="38">
        <f t="shared" si="2"/>
        <v>11</v>
      </c>
      <c r="R15" s="38">
        <f t="shared" si="2"/>
        <v>1</v>
      </c>
      <c r="S15" s="38">
        <f t="shared" si="2"/>
        <v>5</v>
      </c>
      <c r="T15" s="38">
        <f t="shared" si="2"/>
        <v>5</v>
      </c>
      <c r="U15" s="38">
        <f t="shared" si="2"/>
        <v>19</v>
      </c>
      <c r="V15" s="38">
        <f t="shared" si="2"/>
        <v>19</v>
      </c>
      <c r="W15" s="38">
        <f t="shared" si="2"/>
        <v>19</v>
      </c>
      <c r="X15" s="38">
        <f t="shared" si="2"/>
        <v>-1</v>
      </c>
      <c r="Y15" s="38">
        <f t="shared" si="2"/>
        <v>11</v>
      </c>
      <c r="Z15" s="38">
        <f t="shared" si="2"/>
        <v>-1</v>
      </c>
      <c r="AA15" s="38">
        <f t="shared" si="2"/>
        <v>-1</v>
      </c>
      <c r="AB15" s="39">
        <f t="shared" si="2"/>
        <v>5</v>
      </c>
      <c r="AC15" s="69">
        <f>0.0667*AC11*(AC11-1)</f>
        <v>621.11040000000003</v>
      </c>
      <c r="AD15" s="59" t="s">
        <v>117</v>
      </c>
      <c r="BJ15" s="61">
        <f>COUNTA(AG8:BI8)</f>
        <v>29</v>
      </c>
      <c r="BN15" s="61">
        <f>COUNTA(AG12:BM12)</f>
        <v>33</v>
      </c>
      <c r="BP15" s="61">
        <f>COUNTA(AG14:BO14)</f>
        <v>35</v>
      </c>
      <c r="BR15" s="106">
        <f>COUNTA(BJ8,BN12,BP14)</f>
        <v>3</v>
      </c>
      <c r="BS15" s="107">
        <f>COUNTA(BI7,BJ8,BK9,BL10,BM11,BN12,BO13,BP14)</f>
        <v>8</v>
      </c>
      <c r="BW15" s="62">
        <f>SUM(BJ15,BN15,BP15)</f>
        <v>97</v>
      </c>
    </row>
    <row r="16" spans="1:76" ht="15.75">
      <c r="A16" s="6"/>
      <c r="B16" s="46">
        <f>SUM(C16:AB16)</f>
        <v>142</v>
      </c>
      <c r="C16" s="47">
        <f>C14-C11</f>
        <v>4</v>
      </c>
      <c r="D16" s="37">
        <f t="shared" ref="D16:AB16" si="3">D14-D11</f>
        <v>10</v>
      </c>
      <c r="E16" s="37">
        <f>E14-E11</f>
        <v>-2</v>
      </c>
      <c r="F16" s="37">
        <f t="shared" si="3"/>
        <v>0</v>
      </c>
      <c r="G16" s="37">
        <f t="shared" si="3"/>
        <v>-2</v>
      </c>
      <c r="H16" s="37">
        <f t="shared" si="3"/>
        <v>4</v>
      </c>
      <c r="I16" s="37">
        <f t="shared" si="3"/>
        <v>4</v>
      </c>
      <c r="J16" s="37">
        <f t="shared" si="3"/>
        <v>-2</v>
      </c>
      <c r="K16" s="37">
        <f t="shared" si="3"/>
        <v>4</v>
      </c>
      <c r="L16" s="37">
        <f t="shared" si="3"/>
        <v>0</v>
      </c>
      <c r="M16" s="37">
        <f t="shared" si="3"/>
        <v>40</v>
      </c>
      <c r="N16" s="37">
        <f t="shared" si="3"/>
        <v>4</v>
      </c>
      <c r="O16" s="37">
        <f t="shared" si="3"/>
        <v>-2</v>
      </c>
      <c r="P16" s="37">
        <f t="shared" si="3"/>
        <v>0</v>
      </c>
      <c r="Q16" s="37">
        <f t="shared" si="3"/>
        <v>10</v>
      </c>
      <c r="R16" s="37">
        <f t="shared" si="3"/>
        <v>0</v>
      </c>
      <c r="S16" s="37">
        <f t="shared" si="3"/>
        <v>4</v>
      </c>
      <c r="T16" s="37">
        <f t="shared" si="3"/>
        <v>4</v>
      </c>
      <c r="U16" s="37">
        <f t="shared" si="3"/>
        <v>18</v>
      </c>
      <c r="V16" s="37">
        <f t="shared" si="3"/>
        <v>18</v>
      </c>
      <c r="W16" s="37">
        <f t="shared" si="3"/>
        <v>18</v>
      </c>
      <c r="X16" s="37">
        <f t="shared" si="3"/>
        <v>-2</v>
      </c>
      <c r="Y16" s="37">
        <f t="shared" si="3"/>
        <v>10</v>
      </c>
      <c r="Z16" s="37">
        <f t="shared" si="3"/>
        <v>-2</v>
      </c>
      <c r="AA16" s="37">
        <f t="shared" si="3"/>
        <v>-2</v>
      </c>
      <c r="AB16" s="40">
        <f t="shared" si="3"/>
        <v>4</v>
      </c>
      <c r="AC16" s="70">
        <f>AC13/AC14</f>
        <v>0.93720712277413309</v>
      </c>
      <c r="AD16" s="60" t="s">
        <v>32</v>
      </c>
    </row>
    <row r="17" spans="1:130" ht="15.75">
      <c r="B17" s="41"/>
      <c r="C17" s="130" t="s">
        <v>0</v>
      </c>
      <c r="D17" s="131" t="s">
        <v>6</v>
      </c>
      <c r="E17" s="131" t="s">
        <v>4</v>
      </c>
      <c r="F17" s="131" t="s">
        <v>8</v>
      </c>
      <c r="G17" s="131" t="s">
        <v>7</v>
      </c>
      <c r="H17" s="131" t="s">
        <v>5</v>
      </c>
      <c r="I17" s="131" t="s">
        <v>15</v>
      </c>
      <c r="J17" s="131" t="s">
        <v>22</v>
      </c>
      <c r="K17" s="131" t="s">
        <v>14</v>
      </c>
      <c r="L17" s="131" t="s">
        <v>10</v>
      </c>
      <c r="M17" s="131" t="s">
        <v>13</v>
      </c>
      <c r="N17" s="131" t="s">
        <v>12</v>
      </c>
      <c r="O17" s="131" t="s">
        <v>17</v>
      </c>
      <c r="P17" s="131" t="s">
        <v>1</v>
      </c>
      <c r="Q17" s="131" t="s">
        <v>21</v>
      </c>
      <c r="R17" s="131" t="s">
        <v>23</v>
      </c>
      <c r="S17" s="131" t="s">
        <v>19</v>
      </c>
      <c r="T17" s="131" t="s">
        <v>18</v>
      </c>
      <c r="U17" s="131" t="s">
        <v>3</v>
      </c>
      <c r="V17" s="131" t="s">
        <v>25</v>
      </c>
      <c r="W17" s="131" t="s">
        <v>20</v>
      </c>
      <c r="X17" s="131" t="s">
        <v>11</v>
      </c>
      <c r="Y17" s="131" t="s">
        <v>16</v>
      </c>
      <c r="Z17" s="131" t="s">
        <v>9</v>
      </c>
      <c r="AA17" s="131" t="s">
        <v>24</v>
      </c>
      <c r="AB17" s="132" t="s">
        <v>2</v>
      </c>
      <c r="AF17" s="90" t="s">
        <v>1</v>
      </c>
      <c r="AG17" s="91" t="s">
        <v>42</v>
      </c>
      <c r="AH17" s="91" t="s">
        <v>37</v>
      </c>
      <c r="AI17" s="91" t="s">
        <v>26</v>
      </c>
      <c r="AJ17" s="91" t="s">
        <v>42</v>
      </c>
      <c r="AK17" s="91" t="s">
        <v>46</v>
      </c>
      <c r="AL17" s="91" t="s">
        <v>35</v>
      </c>
      <c r="AM17" s="91" t="s">
        <v>48</v>
      </c>
      <c r="AN17" s="91" t="s">
        <v>37</v>
      </c>
      <c r="AO17" s="91" t="s">
        <v>37</v>
      </c>
      <c r="AP17" s="91" t="s">
        <v>56</v>
      </c>
      <c r="AQ17" s="91" t="s">
        <v>43</v>
      </c>
      <c r="AR17" s="91" t="s">
        <v>47</v>
      </c>
    </row>
    <row r="18" spans="1:130" ht="15.75">
      <c r="B18" s="6"/>
      <c r="C18" s="133">
        <v>8</v>
      </c>
      <c r="D18" s="134">
        <v>6</v>
      </c>
      <c r="E18" s="134">
        <v>6</v>
      </c>
      <c r="F18" s="134">
        <v>6</v>
      </c>
      <c r="G18" s="134">
        <v>5</v>
      </c>
      <c r="H18" s="134">
        <v>5</v>
      </c>
      <c r="I18" s="134">
        <v>5</v>
      </c>
      <c r="J18" s="134">
        <v>4</v>
      </c>
      <c r="K18" s="134">
        <v>4</v>
      </c>
      <c r="L18" s="134">
        <v>4</v>
      </c>
      <c r="M18" s="134">
        <v>4</v>
      </c>
      <c r="N18" s="134">
        <v>4</v>
      </c>
      <c r="O18" s="134">
        <v>4</v>
      </c>
      <c r="P18" s="134">
        <v>4</v>
      </c>
      <c r="Q18" s="134">
        <v>4</v>
      </c>
      <c r="R18" s="134">
        <v>3</v>
      </c>
      <c r="S18" s="134">
        <v>3</v>
      </c>
      <c r="T18" s="134">
        <v>3</v>
      </c>
      <c r="U18" s="134">
        <v>3</v>
      </c>
      <c r="V18" s="134">
        <v>2</v>
      </c>
      <c r="W18" s="134">
        <v>2</v>
      </c>
      <c r="X18" s="134">
        <v>2</v>
      </c>
      <c r="Y18" s="134">
        <v>2</v>
      </c>
      <c r="Z18" s="134">
        <v>2</v>
      </c>
      <c r="AA18" s="134">
        <v>1</v>
      </c>
      <c r="AB18" s="135">
        <v>1</v>
      </c>
      <c r="AF18" s="90" t="s">
        <v>22</v>
      </c>
      <c r="AG18" s="91" t="s">
        <v>39</v>
      </c>
      <c r="AH18" s="91" t="s">
        <v>38</v>
      </c>
      <c r="AI18" s="91" t="s">
        <v>35</v>
      </c>
      <c r="AJ18" s="91" t="s">
        <v>48</v>
      </c>
      <c r="AK18" s="91" t="s">
        <v>42</v>
      </c>
      <c r="AL18" s="91" t="s">
        <v>46</v>
      </c>
      <c r="AM18" s="91" t="s">
        <v>35</v>
      </c>
      <c r="AN18" s="91" t="s">
        <v>26</v>
      </c>
      <c r="AO18" s="91"/>
      <c r="AP18" s="91"/>
      <c r="AQ18" s="91"/>
      <c r="AR18" s="91"/>
    </row>
    <row r="19" spans="1:130" ht="15.75">
      <c r="B19" s="6"/>
      <c r="C19" s="6"/>
      <c r="AC19" s="6"/>
      <c r="AD19" s="6"/>
      <c r="AF19" s="90" t="s">
        <v>2</v>
      </c>
      <c r="AG19" s="91" t="s">
        <v>42</v>
      </c>
      <c r="AH19" s="91" t="s">
        <v>46</v>
      </c>
      <c r="AI19" s="91" t="s">
        <v>49</v>
      </c>
      <c r="AJ19" s="91" t="s">
        <v>44</v>
      </c>
      <c r="AK19" s="91" t="s">
        <v>50</v>
      </c>
      <c r="AL19" s="91" t="s">
        <v>36</v>
      </c>
      <c r="AM19" s="91"/>
      <c r="AN19" s="91"/>
      <c r="AO19" s="91"/>
      <c r="AP19" s="91"/>
      <c r="AQ19" s="91"/>
      <c r="AR19" s="91"/>
    </row>
    <row r="20" spans="1:130" ht="15.75">
      <c r="B20" s="6"/>
      <c r="C20" s="6"/>
      <c r="AC20" s="6"/>
      <c r="AD20" s="6"/>
      <c r="AF20" s="95" t="s">
        <v>22</v>
      </c>
      <c r="AG20" s="95" t="s">
        <v>7</v>
      </c>
      <c r="AH20" s="95" t="s">
        <v>25</v>
      </c>
      <c r="AI20" s="95" t="s">
        <v>23</v>
      </c>
      <c r="AJ20" s="95" t="s">
        <v>20</v>
      </c>
      <c r="AK20" s="95" t="s">
        <v>14</v>
      </c>
      <c r="AL20" s="95" t="s">
        <v>10</v>
      </c>
      <c r="AM20" s="95" t="s">
        <v>11</v>
      </c>
      <c r="AN20" s="95" t="s">
        <v>13</v>
      </c>
      <c r="AO20" s="95" t="s">
        <v>19</v>
      </c>
      <c r="AP20" s="95" t="s">
        <v>0</v>
      </c>
      <c r="AQ20" s="95" t="s">
        <v>12</v>
      </c>
      <c r="AR20" s="95" t="s">
        <v>24</v>
      </c>
      <c r="AS20" s="95" t="s">
        <v>18</v>
      </c>
      <c r="AT20" s="95" t="s">
        <v>5</v>
      </c>
      <c r="AU20" s="95" t="s">
        <v>3</v>
      </c>
      <c r="AV20" s="95" t="s">
        <v>17</v>
      </c>
      <c r="AW20" s="95" t="s">
        <v>1</v>
      </c>
      <c r="AX20" s="95" t="s">
        <v>6</v>
      </c>
      <c r="AY20" s="95" t="s">
        <v>4</v>
      </c>
      <c r="AZ20" s="95" t="s">
        <v>8</v>
      </c>
      <c r="BA20" s="95" t="s">
        <v>16</v>
      </c>
      <c r="BB20" s="95" t="s">
        <v>15</v>
      </c>
      <c r="BC20" s="95" t="s">
        <v>9</v>
      </c>
      <c r="BD20" s="95" t="s">
        <v>2</v>
      </c>
      <c r="BE20" s="95" t="s">
        <v>21</v>
      </c>
      <c r="BF20" s="93"/>
    </row>
    <row r="21" spans="1:130" s="20" customFormat="1" ht="15.7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96">
        <f>COUNTIF(DANKUc2,AF20)</f>
        <v>1</v>
      </c>
      <c r="AG21" s="96">
        <f t="shared" ref="AG21:BE21" si="4">COUNTIF(DANKUc2,AG20)</f>
        <v>0</v>
      </c>
      <c r="AH21" s="96">
        <f t="shared" si="4"/>
        <v>0</v>
      </c>
      <c r="AI21" s="96">
        <f t="shared" si="4"/>
        <v>2</v>
      </c>
      <c r="AJ21" s="96">
        <f t="shared" si="4"/>
        <v>3</v>
      </c>
      <c r="AK21" s="96">
        <f t="shared" si="4"/>
        <v>2</v>
      </c>
      <c r="AL21" s="96">
        <f t="shared" si="4"/>
        <v>1</v>
      </c>
      <c r="AM21" s="96">
        <f t="shared" si="4"/>
        <v>3</v>
      </c>
      <c r="AN21" s="96">
        <f t="shared" si="4"/>
        <v>1</v>
      </c>
      <c r="AO21" s="96">
        <f t="shared" si="4"/>
        <v>0</v>
      </c>
      <c r="AP21" s="96">
        <f t="shared" si="4"/>
        <v>0</v>
      </c>
      <c r="AQ21" s="96">
        <f t="shared" si="4"/>
        <v>0</v>
      </c>
      <c r="AR21" s="96">
        <f t="shared" si="4"/>
        <v>0</v>
      </c>
      <c r="AS21" s="96">
        <f t="shared" si="4"/>
        <v>1</v>
      </c>
      <c r="AT21" s="96">
        <f t="shared" si="4"/>
        <v>3</v>
      </c>
      <c r="AU21" s="96">
        <f t="shared" si="4"/>
        <v>0</v>
      </c>
      <c r="AV21" s="96">
        <f t="shared" si="4"/>
        <v>1</v>
      </c>
      <c r="AW21" s="96">
        <f t="shared" si="4"/>
        <v>1</v>
      </c>
      <c r="AX21" s="96">
        <f t="shared" si="4"/>
        <v>1</v>
      </c>
      <c r="AY21" s="96">
        <f t="shared" si="4"/>
        <v>4</v>
      </c>
      <c r="AZ21" s="96">
        <f t="shared" si="4"/>
        <v>1</v>
      </c>
      <c r="BA21" s="96">
        <f t="shared" si="4"/>
        <v>0</v>
      </c>
      <c r="BB21" s="96">
        <f t="shared" si="4"/>
        <v>1</v>
      </c>
      <c r="BC21" s="96">
        <f t="shared" si="4"/>
        <v>0</v>
      </c>
      <c r="BD21" s="96">
        <f t="shared" si="4"/>
        <v>0</v>
      </c>
      <c r="BE21" s="96">
        <f t="shared" si="4"/>
        <v>0</v>
      </c>
      <c r="BF21" s="97">
        <f>SUM(AF21:BE21)</f>
        <v>26</v>
      </c>
    </row>
    <row r="22" spans="1:130" s="20" customFormat="1" ht="15.75">
      <c r="A22" s="19"/>
      <c r="B22" s="19"/>
      <c r="C22" s="41"/>
      <c r="AC22" s="51"/>
      <c r="AD22" s="52"/>
    </row>
    <row r="23" spans="1:130" s="20" customFormat="1" ht="15.75">
      <c r="A23" s="19"/>
      <c r="B23" s="26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67"/>
      <c r="AD23" s="53"/>
      <c r="BH23" s="63"/>
      <c r="BI23" s="63"/>
      <c r="BJ23" s="64"/>
      <c r="BK23" s="64"/>
      <c r="BL23" s="64"/>
      <c r="BM23" s="64"/>
      <c r="BN23" s="64"/>
      <c r="BO23" s="64"/>
      <c r="BP23" s="64"/>
    </row>
    <row r="24" spans="1:130" s="20" customFormat="1" ht="15.75">
      <c r="A24" s="19"/>
      <c r="B24" s="28" t="s">
        <v>28</v>
      </c>
      <c r="C24" s="29" t="s">
        <v>22</v>
      </c>
      <c r="D24" s="29" t="s">
        <v>7</v>
      </c>
      <c r="E24" s="29" t="s">
        <v>25</v>
      </c>
      <c r="F24" s="29" t="s">
        <v>23</v>
      </c>
      <c r="G24" s="29" t="s">
        <v>20</v>
      </c>
      <c r="H24" s="29" t="s">
        <v>14</v>
      </c>
      <c r="I24" s="29" t="s">
        <v>10</v>
      </c>
      <c r="J24" s="29" t="s">
        <v>11</v>
      </c>
      <c r="K24" s="29" t="s">
        <v>13</v>
      </c>
      <c r="L24" s="29" t="s">
        <v>19</v>
      </c>
      <c r="M24" s="29" t="s">
        <v>0</v>
      </c>
      <c r="N24" s="29" t="s">
        <v>12</v>
      </c>
      <c r="O24" s="29" t="s">
        <v>24</v>
      </c>
      <c r="P24" s="29" t="s">
        <v>18</v>
      </c>
      <c r="Q24" s="29" t="s">
        <v>5</v>
      </c>
      <c r="R24" s="29" t="s">
        <v>3</v>
      </c>
      <c r="S24" s="29" t="s">
        <v>17</v>
      </c>
      <c r="T24" s="29" t="s">
        <v>1</v>
      </c>
      <c r="U24" s="29" t="s">
        <v>6</v>
      </c>
      <c r="V24" s="29" t="s">
        <v>4</v>
      </c>
      <c r="W24" s="29" t="s">
        <v>8</v>
      </c>
      <c r="X24" s="29" t="s">
        <v>16</v>
      </c>
      <c r="Y24" s="29" t="s">
        <v>15</v>
      </c>
      <c r="Z24" s="29" t="s">
        <v>9</v>
      </c>
      <c r="AA24" s="29" t="s">
        <v>2</v>
      </c>
      <c r="AB24" s="29" t="s">
        <v>21</v>
      </c>
      <c r="AC24" s="72">
        <f>AC25*(AC25-1)</f>
        <v>9312</v>
      </c>
      <c r="AD24" s="54"/>
      <c r="AF24" s="19"/>
      <c r="AG24" s="74" t="s">
        <v>118</v>
      </c>
      <c r="AH24" s="82" t="s">
        <v>49</v>
      </c>
      <c r="AI24" s="82" t="s">
        <v>42</v>
      </c>
      <c r="AJ24" s="82" t="s">
        <v>46</v>
      </c>
      <c r="AK24" s="82" t="s">
        <v>49</v>
      </c>
      <c r="AL24" s="82" t="s">
        <v>44</v>
      </c>
      <c r="AM24" s="82" t="s">
        <v>35</v>
      </c>
      <c r="AN24" s="82" t="s">
        <v>57</v>
      </c>
      <c r="AO24" s="82" t="s">
        <v>35</v>
      </c>
      <c r="AP24" s="82" t="s">
        <v>56</v>
      </c>
      <c r="AQ24" s="82" t="s">
        <v>50</v>
      </c>
      <c r="AR24" s="82" t="s">
        <v>35</v>
      </c>
      <c r="AS24" s="82" t="s">
        <v>48</v>
      </c>
      <c r="AT24" s="82" t="s">
        <v>26</v>
      </c>
      <c r="AU24" s="82" t="s">
        <v>56</v>
      </c>
      <c r="AV24" s="82" t="s">
        <v>37</v>
      </c>
      <c r="AW24" s="82" t="s">
        <v>57</v>
      </c>
      <c r="AX24" s="82" t="s">
        <v>42</v>
      </c>
      <c r="AY24" s="82" t="s">
        <v>46</v>
      </c>
      <c r="AZ24" s="82" t="s">
        <v>35</v>
      </c>
      <c r="BA24" s="82" t="s">
        <v>57</v>
      </c>
      <c r="BB24" s="82" t="s">
        <v>49</v>
      </c>
      <c r="BC24" s="82" t="s">
        <v>38</v>
      </c>
      <c r="BD24" s="82" t="s">
        <v>42</v>
      </c>
      <c r="BE24" s="82" t="s">
        <v>58</v>
      </c>
      <c r="BF24" s="82" t="s">
        <v>51</v>
      </c>
      <c r="BG24" s="82" t="s">
        <v>47</v>
      </c>
      <c r="BH24" s="83" t="s">
        <v>44</v>
      </c>
      <c r="BI24" s="84" t="s">
        <v>52</v>
      </c>
      <c r="BJ24" s="82" t="s">
        <v>37</v>
      </c>
      <c r="BK24" s="82" t="s">
        <v>39</v>
      </c>
      <c r="BL24" s="82" t="s">
        <v>38</v>
      </c>
      <c r="BM24" s="82" t="s">
        <v>35</v>
      </c>
      <c r="BN24" s="82" t="s">
        <v>35</v>
      </c>
      <c r="BO24" s="82" t="s">
        <v>47</v>
      </c>
      <c r="BP24" s="82" t="s">
        <v>44</v>
      </c>
      <c r="BQ24" s="85" t="s">
        <v>44</v>
      </c>
      <c r="BR24" s="85" t="s">
        <v>42</v>
      </c>
      <c r="BS24" s="85" t="s">
        <v>46</v>
      </c>
      <c r="BT24" s="85" t="s">
        <v>35</v>
      </c>
      <c r="BU24" s="85" t="s">
        <v>46</v>
      </c>
      <c r="BV24" s="85" t="s">
        <v>37</v>
      </c>
      <c r="BW24" s="85" t="s">
        <v>42</v>
      </c>
      <c r="BX24" s="85" t="s">
        <v>47</v>
      </c>
      <c r="BY24" s="85" t="s">
        <v>49</v>
      </c>
      <c r="BZ24" s="85" t="s">
        <v>56</v>
      </c>
      <c r="CA24" s="85" t="s">
        <v>35</v>
      </c>
      <c r="CB24" s="85" t="s">
        <v>38</v>
      </c>
      <c r="CC24" s="85" t="s">
        <v>51</v>
      </c>
      <c r="CD24" s="85" t="s">
        <v>47</v>
      </c>
      <c r="CE24" s="85" t="s">
        <v>54</v>
      </c>
      <c r="CF24" s="85" t="s">
        <v>49</v>
      </c>
      <c r="CG24" s="85" t="s">
        <v>44</v>
      </c>
      <c r="CH24" s="85" t="s">
        <v>50</v>
      </c>
      <c r="CI24" s="85" t="s">
        <v>26</v>
      </c>
      <c r="CJ24" s="85" t="s">
        <v>56</v>
      </c>
      <c r="CK24" s="85" t="s">
        <v>37</v>
      </c>
      <c r="CL24" s="85" t="s">
        <v>57</v>
      </c>
      <c r="CM24" s="85" t="s">
        <v>42</v>
      </c>
      <c r="CN24" s="85" t="s">
        <v>46</v>
      </c>
      <c r="CO24" s="85" t="s">
        <v>35</v>
      </c>
      <c r="CP24" s="85" t="s">
        <v>51</v>
      </c>
      <c r="CQ24" s="86" t="s">
        <v>46</v>
      </c>
      <c r="CR24" s="85" t="s">
        <v>47</v>
      </c>
      <c r="CS24" s="85" t="s">
        <v>57</v>
      </c>
      <c r="CT24" s="85" t="s">
        <v>41</v>
      </c>
      <c r="CU24" s="85" t="s">
        <v>35</v>
      </c>
      <c r="CV24" s="85" t="s">
        <v>56</v>
      </c>
      <c r="CW24" s="85" t="s">
        <v>51</v>
      </c>
      <c r="CX24" s="87" t="s">
        <v>35</v>
      </c>
      <c r="CY24" s="87" t="s">
        <v>41</v>
      </c>
      <c r="CZ24" s="87" t="s">
        <v>56</v>
      </c>
      <c r="DA24" s="87" t="s">
        <v>49</v>
      </c>
      <c r="DB24" s="87" t="s">
        <v>38</v>
      </c>
      <c r="DC24" s="87" t="s">
        <v>42</v>
      </c>
      <c r="DD24" s="87" t="s">
        <v>46</v>
      </c>
      <c r="DE24" s="87" t="s">
        <v>47</v>
      </c>
      <c r="DF24" s="87" t="s">
        <v>42</v>
      </c>
      <c r="DG24" s="87" t="s">
        <v>35</v>
      </c>
      <c r="DH24" s="87" t="s">
        <v>44</v>
      </c>
      <c r="DI24" s="87" t="s">
        <v>51</v>
      </c>
      <c r="DJ24" s="87" t="s">
        <v>39</v>
      </c>
      <c r="DK24" s="87" t="s">
        <v>57</v>
      </c>
      <c r="DL24" s="87" t="s">
        <v>41</v>
      </c>
      <c r="DM24" s="87" t="s">
        <v>35</v>
      </c>
      <c r="DN24" s="87" t="s">
        <v>56</v>
      </c>
      <c r="DO24" s="87" t="s">
        <v>35</v>
      </c>
      <c r="DP24" s="87" t="s">
        <v>48</v>
      </c>
      <c r="DQ24" s="87" t="s">
        <v>42</v>
      </c>
      <c r="DR24" s="87" t="s">
        <v>46</v>
      </c>
      <c r="DS24" s="87" t="s">
        <v>35</v>
      </c>
      <c r="DT24" s="87" t="s">
        <v>45</v>
      </c>
      <c r="DU24" s="87" t="s">
        <v>37</v>
      </c>
      <c r="DV24" s="87" t="s">
        <v>43</v>
      </c>
      <c r="DW24" s="87" t="s">
        <v>35</v>
      </c>
      <c r="DX24" s="88" t="s">
        <v>56</v>
      </c>
      <c r="DY24" s="87" t="s">
        <v>54</v>
      </c>
      <c r="DZ24" s="87" t="s">
        <v>47</v>
      </c>
    </row>
    <row r="25" spans="1:130" s="20" customFormat="1" ht="15.75">
      <c r="A25" s="114" t="s">
        <v>121</v>
      </c>
      <c r="B25" s="31" t="s">
        <v>26</v>
      </c>
      <c r="C25" s="23">
        <f>COUNTIF(DANKUc1,C24)</f>
        <v>7</v>
      </c>
      <c r="D25" s="23">
        <f t="shared" ref="D25:AB25" si="5">COUNTIF(DANKUc1,D24)</f>
        <v>3</v>
      </c>
      <c r="E25" s="23">
        <f t="shared" si="5"/>
        <v>5</v>
      </c>
      <c r="F25" s="23">
        <f t="shared" si="5"/>
        <v>2</v>
      </c>
      <c r="G25" s="23">
        <f t="shared" si="5"/>
        <v>16</v>
      </c>
      <c r="H25" s="23">
        <f t="shared" si="5"/>
        <v>2</v>
      </c>
      <c r="I25" s="23">
        <f t="shared" si="5"/>
        <v>2</v>
      </c>
      <c r="J25" s="23">
        <f t="shared" si="5"/>
        <v>8</v>
      </c>
      <c r="K25" s="23">
        <f t="shared" si="5"/>
        <v>6</v>
      </c>
      <c r="L25" s="23">
        <f t="shared" si="5"/>
        <v>0</v>
      </c>
      <c r="M25" s="23">
        <f t="shared" si="5"/>
        <v>0</v>
      </c>
      <c r="N25" s="23">
        <f t="shared" si="5"/>
        <v>1</v>
      </c>
      <c r="O25" s="23">
        <f t="shared" si="5"/>
        <v>6</v>
      </c>
      <c r="P25" s="23">
        <f t="shared" si="5"/>
        <v>6</v>
      </c>
      <c r="Q25" s="23">
        <f t="shared" si="5"/>
        <v>5</v>
      </c>
      <c r="R25" s="23">
        <f t="shared" si="5"/>
        <v>2</v>
      </c>
      <c r="S25" s="23">
        <f t="shared" si="5"/>
        <v>0</v>
      </c>
      <c r="T25" s="23">
        <f t="shared" si="5"/>
        <v>8</v>
      </c>
      <c r="U25" s="23">
        <f t="shared" si="5"/>
        <v>4</v>
      </c>
      <c r="V25" s="23">
        <f t="shared" si="5"/>
        <v>9</v>
      </c>
      <c r="W25" s="23">
        <f t="shared" si="5"/>
        <v>2</v>
      </c>
      <c r="X25" s="23">
        <f t="shared" si="5"/>
        <v>0</v>
      </c>
      <c r="Y25" s="23">
        <f t="shared" si="5"/>
        <v>1</v>
      </c>
      <c r="Z25" s="23">
        <f t="shared" si="5"/>
        <v>1</v>
      </c>
      <c r="AA25" s="23">
        <f t="shared" si="5"/>
        <v>1</v>
      </c>
      <c r="AB25" s="181">
        <f t="shared" si="5"/>
        <v>0</v>
      </c>
      <c r="AC25" s="182">
        <f>SUM(C25:AB25)</f>
        <v>97</v>
      </c>
      <c r="AD25" s="55">
        <f>COUNTIF(C25:AB25,"&gt;0")</f>
        <v>21</v>
      </c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2"/>
      <c r="BF25" s="92"/>
      <c r="BG25" s="92"/>
      <c r="BH25" s="63"/>
      <c r="BI25" s="63"/>
      <c r="BJ25" s="63"/>
      <c r="BK25" s="63"/>
      <c r="BL25" s="63"/>
      <c r="BM25" s="63"/>
      <c r="BN25" s="63"/>
      <c r="BO25" s="63"/>
      <c r="BP25" s="64"/>
    </row>
    <row r="26" spans="1:130" s="20" customFormat="1" ht="15.75">
      <c r="A26" s="19"/>
      <c r="B26" s="32" t="s">
        <v>29</v>
      </c>
      <c r="C26" s="33">
        <f t="shared" ref="C26:AB26" si="6">C25-1</f>
        <v>6</v>
      </c>
      <c r="D26" s="33">
        <f t="shared" si="6"/>
        <v>2</v>
      </c>
      <c r="E26" s="33">
        <f t="shared" si="6"/>
        <v>4</v>
      </c>
      <c r="F26" s="33">
        <f t="shared" si="6"/>
        <v>1</v>
      </c>
      <c r="G26" s="33">
        <f t="shared" si="6"/>
        <v>15</v>
      </c>
      <c r="H26" s="33">
        <f t="shared" si="6"/>
        <v>1</v>
      </c>
      <c r="I26" s="33">
        <f t="shared" si="6"/>
        <v>1</v>
      </c>
      <c r="J26" s="33">
        <f t="shared" si="6"/>
        <v>7</v>
      </c>
      <c r="K26" s="33">
        <f t="shared" si="6"/>
        <v>5</v>
      </c>
      <c r="L26" s="33">
        <f t="shared" si="6"/>
        <v>-1</v>
      </c>
      <c r="M26" s="33">
        <f t="shared" si="6"/>
        <v>-1</v>
      </c>
      <c r="N26" s="33">
        <f t="shared" si="6"/>
        <v>0</v>
      </c>
      <c r="O26" s="33">
        <f t="shared" si="6"/>
        <v>5</v>
      </c>
      <c r="P26" s="33">
        <f t="shared" si="6"/>
        <v>5</v>
      </c>
      <c r="Q26" s="33">
        <f t="shared" si="6"/>
        <v>4</v>
      </c>
      <c r="R26" s="33">
        <f t="shared" si="6"/>
        <v>1</v>
      </c>
      <c r="S26" s="33">
        <f t="shared" si="6"/>
        <v>-1</v>
      </c>
      <c r="T26" s="33">
        <f t="shared" si="6"/>
        <v>7</v>
      </c>
      <c r="U26" s="33">
        <f t="shared" si="6"/>
        <v>3</v>
      </c>
      <c r="V26" s="33">
        <f t="shared" si="6"/>
        <v>8</v>
      </c>
      <c r="W26" s="33">
        <f t="shared" si="6"/>
        <v>1</v>
      </c>
      <c r="X26" s="33">
        <f t="shared" si="6"/>
        <v>-1</v>
      </c>
      <c r="Y26" s="33">
        <f t="shared" si="6"/>
        <v>0</v>
      </c>
      <c r="Z26" s="33">
        <f t="shared" si="6"/>
        <v>0</v>
      </c>
      <c r="AA26" s="33">
        <f t="shared" si="6"/>
        <v>0</v>
      </c>
      <c r="AB26" s="183">
        <f t="shared" si="6"/>
        <v>-1</v>
      </c>
      <c r="AC26" s="184">
        <f>SUM(C26:AB26)</f>
        <v>71</v>
      </c>
      <c r="AD26" s="56">
        <f>COUNTIF(C26:AB26,"&gt;0")</f>
        <v>17</v>
      </c>
      <c r="AF26" s="42"/>
      <c r="AT26" s="92"/>
      <c r="AU26" s="92"/>
      <c r="AV26" s="92"/>
      <c r="AW26" s="92"/>
      <c r="AX26" s="92"/>
      <c r="AY26" s="92"/>
      <c r="AZ26" s="92"/>
      <c r="BA26" s="92"/>
      <c r="BB26" s="92"/>
      <c r="BC26" s="92"/>
      <c r="BD26" s="92"/>
      <c r="BE26" s="92"/>
      <c r="BF26" s="92"/>
      <c r="BG26" s="92"/>
      <c r="BH26" s="64"/>
      <c r="BI26" s="64"/>
      <c r="BJ26" s="64"/>
      <c r="BK26" s="64"/>
      <c r="BL26" s="64"/>
      <c r="BM26" s="64"/>
      <c r="BN26" s="64"/>
      <c r="BO26" s="64"/>
      <c r="BP26" s="64"/>
    </row>
    <row r="27" spans="1:130" s="20" customFormat="1" ht="15.75">
      <c r="A27" s="19"/>
      <c r="B27" s="34" t="s">
        <v>30</v>
      </c>
      <c r="C27" s="35">
        <f>C25*C26</f>
        <v>42</v>
      </c>
      <c r="D27" s="35">
        <f>D25*D26</f>
        <v>6</v>
      </c>
      <c r="E27" s="35">
        <f t="shared" ref="E27:G27" si="7">E25*E26</f>
        <v>20</v>
      </c>
      <c r="F27" s="35">
        <f t="shared" si="7"/>
        <v>2</v>
      </c>
      <c r="G27" s="35">
        <f t="shared" si="7"/>
        <v>240</v>
      </c>
      <c r="H27" s="35">
        <f>H25*H26</f>
        <v>2</v>
      </c>
      <c r="I27" s="35">
        <f t="shared" ref="I27:AB27" si="8">I25*I26</f>
        <v>2</v>
      </c>
      <c r="J27" s="35">
        <f t="shared" si="8"/>
        <v>56</v>
      </c>
      <c r="K27" s="35">
        <f t="shared" si="8"/>
        <v>30</v>
      </c>
      <c r="L27" s="35">
        <f t="shared" si="8"/>
        <v>0</v>
      </c>
      <c r="M27" s="35">
        <f t="shared" si="8"/>
        <v>0</v>
      </c>
      <c r="N27" s="35">
        <f t="shared" si="8"/>
        <v>0</v>
      </c>
      <c r="O27" s="35">
        <f t="shared" si="8"/>
        <v>30</v>
      </c>
      <c r="P27" s="35">
        <f t="shared" si="8"/>
        <v>30</v>
      </c>
      <c r="Q27" s="35">
        <f t="shared" si="8"/>
        <v>20</v>
      </c>
      <c r="R27" s="35">
        <f t="shared" si="8"/>
        <v>2</v>
      </c>
      <c r="S27" s="35">
        <f t="shared" si="8"/>
        <v>0</v>
      </c>
      <c r="T27" s="35">
        <f t="shared" si="8"/>
        <v>56</v>
      </c>
      <c r="U27" s="35">
        <f t="shared" si="8"/>
        <v>12</v>
      </c>
      <c r="V27" s="35">
        <f t="shared" si="8"/>
        <v>72</v>
      </c>
      <c r="W27" s="35">
        <f t="shared" si="8"/>
        <v>2</v>
      </c>
      <c r="X27" s="35">
        <f t="shared" si="8"/>
        <v>0</v>
      </c>
      <c r="Y27" s="35">
        <f t="shared" si="8"/>
        <v>0</v>
      </c>
      <c r="Z27" s="35">
        <f t="shared" si="8"/>
        <v>0</v>
      </c>
      <c r="AA27" s="35">
        <f t="shared" si="8"/>
        <v>0</v>
      </c>
      <c r="AB27" s="186">
        <f t="shared" si="8"/>
        <v>0</v>
      </c>
      <c r="AC27" s="185">
        <f>SUM(C27:AB27)</f>
        <v>624</v>
      </c>
      <c r="AD27" s="57" t="s">
        <v>115</v>
      </c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4"/>
      <c r="AT27" s="94"/>
      <c r="AU27" s="94"/>
      <c r="AV27" s="94"/>
      <c r="AW27" s="94"/>
      <c r="AX27" s="94"/>
      <c r="AY27" s="94"/>
      <c r="AZ27" s="94"/>
      <c r="BA27" s="94"/>
      <c r="BB27" s="94"/>
      <c r="BC27" s="94"/>
      <c r="BD27" s="94"/>
      <c r="BE27" s="94"/>
      <c r="BF27" s="94"/>
      <c r="BG27" s="94"/>
    </row>
    <row r="28" spans="1:130" s="20" customFormat="1" ht="15.75">
      <c r="A28" s="19"/>
      <c r="B28" s="116"/>
      <c r="C28" s="188" t="s">
        <v>20</v>
      </c>
      <c r="D28" s="189" t="s">
        <v>4</v>
      </c>
      <c r="E28" s="190" t="s">
        <v>11</v>
      </c>
      <c r="F28" s="190" t="s">
        <v>1</v>
      </c>
      <c r="G28" s="190" t="s">
        <v>22</v>
      </c>
      <c r="H28" s="190" t="s">
        <v>13</v>
      </c>
      <c r="I28" s="190" t="s">
        <v>24</v>
      </c>
      <c r="J28" s="190" t="s">
        <v>18</v>
      </c>
      <c r="K28" s="190" t="s">
        <v>25</v>
      </c>
      <c r="L28" s="190" t="s">
        <v>5</v>
      </c>
      <c r="M28" s="189" t="s">
        <v>6</v>
      </c>
      <c r="N28" s="190" t="s">
        <v>7</v>
      </c>
      <c r="O28" s="190" t="s">
        <v>23</v>
      </c>
      <c r="P28" s="190" t="s">
        <v>14</v>
      </c>
      <c r="Q28" s="190" t="s">
        <v>10</v>
      </c>
      <c r="R28" s="190" t="s">
        <v>3</v>
      </c>
      <c r="S28" s="190" t="s">
        <v>8</v>
      </c>
      <c r="T28" s="190" t="s">
        <v>12</v>
      </c>
      <c r="U28" s="190" t="s">
        <v>15</v>
      </c>
      <c r="V28" s="190" t="s">
        <v>9</v>
      </c>
      <c r="W28" s="190" t="s">
        <v>2</v>
      </c>
      <c r="X28" s="190" t="s">
        <v>19</v>
      </c>
      <c r="Y28" s="190" t="s">
        <v>0</v>
      </c>
      <c r="Z28" s="190" t="s">
        <v>17</v>
      </c>
      <c r="AA28" s="190" t="s">
        <v>16</v>
      </c>
      <c r="AB28" s="191" t="s">
        <v>21</v>
      </c>
      <c r="AC28" s="68">
        <f>0.0385*AC25*(AC25-1)</f>
        <v>358.512</v>
      </c>
      <c r="AD28" s="58" t="s">
        <v>116</v>
      </c>
    </row>
    <row r="29" spans="1:130" s="20" customFormat="1" ht="15.75">
      <c r="A29" s="19"/>
      <c r="B29" s="128"/>
      <c r="C29" s="47">
        <v>16</v>
      </c>
      <c r="D29" s="38">
        <v>9</v>
      </c>
      <c r="E29" s="38">
        <v>8</v>
      </c>
      <c r="F29" s="38">
        <v>8</v>
      </c>
      <c r="G29" s="38">
        <v>7</v>
      </c>
      <c r="H29" s="38">
        <v>6</v>
      </c>
      <c r="I29" s="38">
        <v>6</v>
      </c>
      <c r="J29" s="38">
        <v>6</v>
      </c>
      <c r="K29" s="38">
        <v>5</v>
      </c>
      <c r="L29" s="38">
        <v>5</v>
      </c>
      <c r="M29" s="38">
        <v>4</v>
      </c>
      <c r="N29" s="38">
        <v>3</v>
      </c>
      <c r="O29" s="38">
        <v>2</v>
      </c>
      <c r="P29" s="38">
        <v>2</v>
      </c>
      <c r="Q29" s="38">
        <v>2</v>
      </c>
      <c r="R29" s="38">
        <v>2</v>
      </c>
      <c r="S29" s="38">
        <v>2</v>
      </c>
      <c r="T29" s="38">
        <v>1</v>
      </c>
      <c r="U29" s="38">
        <v>1</v>
      </c>
      <c r="V29" s="38">
        <v>1</v>
      </c>
      <c r="W29" s="38">
        <v>1</v>
      </c>
      <c r="X29" s="38">
        <v>0</v>
      </c>
      <c r="Y29" s="38">
        <v>0</v>
      </c>
      <c r="Z29" s="38">
        <v>0</v>
      </c>
      <c r="AA29" s="38">
        <v>0</v>
      </c>
      <c r="AB29" s="39">
        <v>0</v>
      </c>
      <c r="AC29" s="69">
        <f>0.0667*AC25*(AC25-1)</f>
        <v>621.11040000000003</v>
      </c>
      <c r="AD29" s="59" t="s">
        <v>117</v>
      </c>
    </row>
    <row r="30" spans="1:130" s="20" customFormat="1" ht="15.75">
      <c r="A30" s="19"/>
      <c r="B30" s="73"/>
      <c r="C30" s="4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40"/>
      <c r="AC30" s="70">
        <f>AC27/AC28</f>
        <v>1.74052751372339</v>
      </c>
      <c r="AD30" s="60" t="s">
        <v>32</v>
      </c>
      <c r="AG30" s="98"/>
      <c r="AH30" s="98"/>
      <c r="AI30" s="98"/>
      <c r="AJ30" s="98"/>
      <c r="AK30" s="98"/>
      <c r="AL30" s="98"/>
      <c r="AM30" s="98"/>
      <c r="AN30" s="98"/>
      <c r="AO30" s="98"/>
      <c r="AP30" s="98"/>
      <c r="AQ30" s="98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9"/>
    </row>
    <row r="31" spans="1:130" s="20" customFormat="1" ht="15.75">
      <c r="A31" s="19"/>
      <c r="B31" s="19"/>
      <c r="C31" s="41"/>
      <c r="AC31" s="51"/>
      <c r="AD31" s="52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43"/>
    </row>
    <row r="32" spans="1:130" s="20" customFormat="1" ht="15.75">
      <c r="A32" s="19"/>
      <c r="B32" s="19"/>
      <c r="C32" s="41"/>
      <c r="AC32" s="51"/>
      <c r="AD32" s="52"/>
    </row>
    <row r="33" spans="1:130" s="20" customFormat="1" ht="15.75">
      <c r="A33" s="19"/>
      <c r="B33" s="26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67"/>
      <c r="AD33" s="53"/>
    </row>
    <row r="34" spans="1:130" s="20" customFormat="1" ht="15.75">
      <c r="A34" s="19"/>
      <c r="B34" s="110" t="s">
        <v>28</v>
      </c>
      <c r="C34" s="111" t="s">
        <v>22</v>
      </c>
      <c r="D34" s="111" t="s">
        <v>7</v>
      </c>
      <c r="E34" s="111" t="s">
        <v>25</v>
      </c>
      <c r="F34" s="111" t="s">
        <v>23</v>
      </c>
      <c r="G34" s="111" t="s">
        <v>20</v>
      </c>
      <c r="H34" s="111" t="s">
        <v>14</v>
      </c>
      <c r="I34" s="111" t="s">
        <v>10</v>
      </c>
      <c r="J34" s="111" t="s">
        <v>11</v>
      </c>
      <c r="K34" s="111" t="s">
        <v>13</v>
      </c>
      <c r="L34" s="111" t="s">
        <v>19</v>
      </c>
      <c r="M34" s="111" t="s">
        <v>0</v>
      </c>
      <c r="N34" s="111" t="s">
        <v>12</v>
      </c>
      <c r="O34" s="111" t="s">
        <v>24</v>
      </c>
      <c r="P34" s="111" t="s">
        <v>18</v>
      </c>
      <c r="Q34" s="111" t="s">
        <v>5</v>
      </c>
      <c r="R34" s="111" t="s">
        <v>3</v>
      </c>
      <c r="S34" s="111" t="s">
        <v>17</v>
      </c>
      <c r="T34" s="111" t="s">
        <v>1</v>
      </c>
      <c r="U34" s="111" t="s">
        <v>6</v>
      </c>
      <c r="V34" s="111" t="s">
        <v>4</v>
      </c>
      <c r="W34" s="111" t="s">
        <v>8</v>
      </c>
      <c r="X34" s="111" t="s">
        <v>16</v>
      </c>
      <c r="Y34" s="111" t="s">
        <v>15</v>
      </c>
      <c r="Z34" s="111" t="s">
        <v>9</v>
      </c>
      <c r="AA34" s="111" t="s">
        <v>2</v>
      </c>
      <c r="AB34" s="111" t="s">
        <v>21</v>
      </c>
      <c r="AC34" s="72">
        <f>AC35*(AC35-1)</f>
        <v>9312</v>
      </c>
      <c r="AD34" s="54"/>
      <c r="AE34" s="19"/>
      <c r="AF34" s="19"/>
      <c r="AG34" s="74" t="s">
        <v>119</v>
      </c>
      <c r="AH34" s="78" t="s">
        <v>45</v>
      </c>
      <c r="AI34" s="78" t="s">
        <v>47</v>
      </c>
      <c r="AJ34" s="78" t="s">
        <v>57</v>
      </c>
      <c r="AK34" s="78" t="s">
        <v>35</v>
      </c>
      <c r="AL34" s="78" t="s">
        <v>42</v>
      </c>
      <c r="AM34" s="78" t="s">
        <v>37</v>
      </c>
      <c r="AN34" s="78" t="s">
        <v>26</v>
      </c>
      <c r="AO34" s="78" t="s">
        <v>45</v>
      </c>
      <c r="AP34" s="78" t="s">
        <v>49</v>
      </c>
      <c r="AQ34" s="78" t="s">
        <v>51</v>
      </c>
      <c r="AR34" s="78" t="s">
        <v>59</v>
      </c>
      <c r="AS34" s="78" t="s">
        <v>35</v>
      </c>
      <c r="AT34" s="78" t="s">
        <v>56</v>
      </c>
      <c r="AU34" s="78" t="s">
        <v>41</v>
      </c>
      <c r="AV34" s="78" t="s">
        <v>39</v>
      </c>
      <c r="AW34" s="78" t="s">
        <v>42</v>
      </c>
      <c r="AX34" s="78" t="s">
        <v>54</v>
      </c>
      <c r="AY34" s="78" t="s">
        <v>56</v>
      </c>
      <c r="AZ34" s="78" t="s">
        <v>35</v>
      </c>
      <c r="BA34" s="78" t="s">
        <v>38</v>
      </c>
      <c r="BB34" s="78" t="s">
        <v>35</v>
      </c>
      <c r="BC34" s="78" t="s">
        <v>44</v>
      </c>
      <c r="BD34" s="78" t="s">
        <v>42</v>
      </c>
      <c r="BE34" s="78" t="s">
        <v>45</v>
      </c>
      <c r="BF34" s="78" t="s">
        <v>52</v>
      </c>
      <c r="BG34" s="78" t="s">
        <v>48</v>
      </c>
      <c r="BH34" s="79" t="s">
        <v>35</v>
      </c>
      <c r="BI34" s="80" t="s">
        <v>42</v>
      </c>
      <c r="BJ34" s="78" t="s">
        <v>47</v>
      </c>
      <c r="BK34" s="78" t="s">
        <v>49</v>
      </c>
      <c r="BL34" s="78" t="s">
        <v>45</v>
      </c>
      <c r="BM34" s="78" t="s">
        <v>38</v>
      </c>
      <c r="BN34" s="78" t="s">
        <v>37</v>
      </c>
      <c r="BO34" s="78" t="s">
        <v>26</v>
      </c>
      <c r="BP34" s="78" t="s">
        <v>42</v>
      </c>
      <c r="BQ34" s="77" t="s">
        <v>42</v>
      </c>
      <c r="BR34" s="75" t="s">
        <v>46</v>
      </c>
      <c r="BS34" s="75" t="s">
        <v>35</v>
      </c>
      <c r="BT34" s="75" t="s">
        <v>46</v>
      </c>
      <c r="BU34" s="75" t="s">
        <v>37</v>
      </c>
      <c r="BV34" s="75" t="s">
        <v>45</v>
      </c>
      <c r="BW34" s="75" t="s">
        <v>35</v>
      </c>
      <c r="BX34" s="75" t="s">
        <v>47</v>
      </c>
      <c r="BY34" s="75" t="s">
        <v>45</v>
      </c>
      <c r="BZ34" s="75" t="s">
        <v>49</v>
      </c>
      <c r="CA34" s="75" t="s">
        <v>42</v>
      </c>
      <c r="CB34" s="75" t="s">
        <v>42</v>
      </c>
      <c r="CC34" s="75" t="s">
        <v>45</v>
      </c>
      <c r="CD34" s="75" t="s">
        <v>35</v>
      </c>
      <c r="CE34" s="75" t="s">
        <v>49</v>
      </c>
      <c r="CF34" s="75" t="s">
        <v>49</v>
      </c>
      <c r="CG34" s="75" t="s">
        <v>44</v>
      </c>
      <c r="CH34" s="75" t="s">
        <v>38</v>
      </c>
      <c r="CI34" s="75" t="s">
        <v>35</v>
      </c>
      <c r="CJ34" s="75" t="s">
        <v>56</v>
      </c>
      <c r="CK34" s="75" t="s">
        <v>42</v>
      </c>
      <c r="CL34" s="75" t="s">
        <v>35</v>
      </c>
      <c r="CM34" s="75" t="s">
        <v>48</v>
      </c>
      <c r="CN34" s="75" t="s">
        <v>42</v>
      </c>
      <c r="CO34" s="75" t="s">
        <v>46</v>
      </c>
      <c r="CP34" s="75" t="s">
        <v>35</v>
      </c>
      <c r="CQ34" s="75" t="s">
        <v>51</v>
      </c>
      <c r="CR34" s="75" t="s">
        <v>47</v>
      </c>
      <c r="CS34" s="75" t="s">
        <v>44</v>
      </c>
      <c r="CT34" s="75" t="s">
        <v>48</v>
      </c>
      <c r="CU34" s="75" t="s">
        <v>45</v>
      </c>
      <c r="CV34" s="75" t="s">
        <v>35</v>
      </c>
      <c r="CW34" s="75" t="s">
        <v>47</v>
      </c>
      <c r="CX34" s="81" t="s">
        <v>38</v>
      </c>
      <c r="CY34" s="81" t="s">
        <v>45</v>
      </c>
      <c r="CZ34" s="81" t="s">
        <v>37</v>
      </c>
      <c r="DA34" s="81" t="s">
        <v>43</v>
      </c>
      <c r="DB34" s="81" t="s">
        <v>45</v>
      </c>
      <c r="DC34" s="81" t="s">
        <v>52</v>
      </c>
      <c r="DD34" s="81" t="s">
        <v>48</v>
      </c>
      <c r="DE34" s="81" t="s">
        <v>35</v>
      </c>
      <c r="DF34" s="81" t="s">
        <v>38</v>
      </c>
      <c r="DG34" s="81" t="s">
        <v>54</v>
      </c>
      <c r="DH34" s="81" t="s">
        <v>47</v>
      </c>
      <c r="DI34" s="81" t="s">
        <v>56</v>
      </c>
      <c r="DJ34" s="81" t="s">
        <v>47</v>
      </c>
      <c r="DK34" s="81" t="s">
        <v>42</v>
      </c>
      <c r="DL34" s="81" t="s">
        <v>45</v>
      </c>
      <c r="DM34" s="81" t="s">
        <v>52</v>
      </c>
      <c r="DN34" s="81" t="s">
        <v>38</v>
      </c>
      <c r="DO34" s="81" t="s">
        <v>45</v>
      </c>
      <c r="DP34" s="81" t="s">
        <v>37</v>
      </c>
      <c r="DQ34" s="81" t="s">
        <v>43</v>
      </c>
      <c r="DR34" s="81" t="s">
        <v>45</v>
      </c>
      <c r="DS34" s="81" t="s">
        <v>52</v>
      </c>
      <c r="DT34" s="81" t="s">
        <v>42</v>
      </c>
      <c r="DU34" s="81" t="s">
        <v>46</v>
      </c>
      <c r="DV34" s="81" t="s">
        <v>35</v>
      </c>
      <c r="DW34" s="81" t="s">
        <v>56</v>
      </c>
      <c r="DX34" s="81" t="s">
        <v>35</v>
      </c>
      <c r="DY34" s="81" t="s">
        <v>57</v>
      </c>
      <c r="DZ34" s="81" t="s">
        <v>47</v>
      </c>
    </row>
    <row r="35" spans="1:130" s="20" customFormat="1" ht="15.75">
      <c r="A35" s="115" t="s">
        <v>111</v>
      </c>
      <c r="B35" s="31" t="s">
        <v>26</v>
      </c>
      <c r="C35" s="23">
        <f t="shared" ref="C35:AB35" si="9">COUNTIF(DANKUp1,C34)</f>
        <v>8</v>
      </c>
      <c r="D35" s="23">
        <f t="shared" si="9"/>
        <v>1</v>
      </c>
      <c r="E35" s="23">
        <f t="shared" si="9"/>
        <v>2</v>
      </c>
      <c r="F35" s="23">
        <f t="shared" si="9"/>
        <v>4</v>
      </c>
      <c r="G35" s="23">
        <f t="shared" si="9"/>
        <v>15</v>
      </c>
      <c r="H35" s="23">
        <f t="shared" si="9"/>
        <v>2</v>
      </c>
      <c r="I35" s="23">
        <f t="shared" si="9"/>
        <v>0</v>
      </c>
      <c r="J35" s="23">
        <f t="shared" si="9"/>
        <v>4</v>
      </c>
      <c r="K35" s="23">
        <f t="shared" si="9"/>
        <v>5</v>
      </c>
      <c r="L35" s="23">
        <f t="shared" si="9"/>
        <v>0</v>
      </c>
      <c r="M35" s="23">
        <f t="shared" si="9"/>
        <v>1</v>
      </c>
      <c r="N35" s="23">
        <f t="shared" si="9"/>
        <v>13</v>
      </c>
      <c r="O35" s="23">
        <f t="shared" si="9"/>
        <v>2</v>
      </c>
      <c r="P35" s="23">
        <f t="shared" si="9"/>
        <v>3</v>
      </c>
      <c r="Q35" s="23">
        <f t="shared" si="9"/>
        <v>5</v>
      </c>
      <c r="R35" s="23">
        <f t="shared" si="9"/>
        <v>2</v>
      </c>
      <c r="S35" s="23">
        <f t="shared" si="9"/>
        <v>0</v>
      </c>
      <c r="T35" s="23">
        <f t="shared" si="9"/>
        <v>5</v>
      </c>
      <c r="U35" s="23">
        <f t="shared" si="9"/>
        <v>6</v>
      </c>
      <c r="V35" s="23">
        <f t="shared" si="9"/>
        <v>12</v>
      </c>
      <c r="W35" s="23">
        <f t="shared" si="9"/>
        <v>1</v>
      </c>
      <c r="X35" s="23">
        <f t="shared" si="9"/>
        <v>0</v>
      </c>
      <c r="Y35" s="23">
        <f t="shared" si="9"/>
        <v>2</v>
      </c>
      <c r="Z35" s="23">
        <f t="shared" si="9"/>
        <v>0</v>
      </c>
      <c r="AA35" s="23">
        <f t="shared" si="9"/>
        <v>4</v>
      </c>
      <c r="AB35" s="181">
        <f t="shared" si="9"/>
        <v>0</v>
      </c>
      <c r="AC35" s="182">
        <f>SUM(C35:AB35)</f>
        <v>97</v>
      </c>
      <c r="AD35" s="55">
        <f>COUNTIF(C35:AB35,"&gt;0")</f>
        <v>20</v>
      </c>
    </row>
    <row r="36" spans="1:130" s="20" customFormat="1" ht="15.75">
      <c r="A36" s="19"/>
      <c r="B36" s="112" t="s">
        <v>29</v>
      </c>
      <c r="C36" s="33">
        <f t="shared" ref="C36:AB36" si="10">C35-1</f>
        <v>7</v>
      </c>
      <c r="D36" s="33">
        <f t="shared" si="10"/>
        <v>0</v>
      </c>
      <c r="E36" s="33">
        <f t="shared" si="10"/>
        <v>1</v>
      </c>
      <c r="F36" s="33">
        <f t="shared" si="10"/>
        <v>3</v>
      </c>
      <c r="G36" s="33">
        <f t="shared" si="10"/>
        <v>14</v>
      </c>
      <c r="H36" s="33">
        <f t="shared" si="10"/>
        <v>1</v>
      </c>
      <c r="I36" s="33">
        <f t="shared" si="10"/>
        <v>-1</v>
      </c>
      <c r="J36" s="33">
        <f t="shared" si="10"/>
        <v>3</v>
      </c>
      <c r="K36" s="33">
        <f t="shared" si="10"/>
        <v>4</v>
      </c>
      <c r="L36" s="33">
        <f t="shared" si="10"/>
        <v>-1</v>
      </c>
      <c r="M36" s="33">
        <f t="shared" si="10"/>
        <v>0</v>
      </c>
      <c r="N36" s="33">
        <f t="shared" si="10"/>
        <v>12</v>
      </c>
      <c r="O36" s="33">
        <f t="shared" si="10"/>
        <v>1</v>
      </c>
      <c r="P36" s="33">
        <f t="shared" si="10"/>
        <v>2</v>
      </c>
      <c r="Q36" s="33">
        <f t="shared" si="10"/>
        <v>4</v>
      </c>
      <c r="R36" s="33">
        <f t="shared" si="10"/>
        <v>1</v>
      </c>
      <c r="S36" s="33">
        <f t="shared" si="10"/>
        <v>-1</v>
      </c>
      <c r="T36" s="33">
        <f t="shared" si="10"/>
        <v>4</v>
      </c>
      <c r="U36" s="33">
        <f t="shared" si="10"/>
        <v>5</v>
      </c>
      <c r="V36" s="33">
        <f t="shared" si="10"/>
        <v>11</v>
      </c>
      <c r="W36" s="33">
        <f t="shared" si="10"/>
        <v>0</v>
      </c>
      <c r="X36" s="33">
        <f t="shared" si="10"/>
        <v>-1</v>
      </c>
      <c r="Y36" s="33">
        <f t="shared" si="10"/>
        <v>1</v>
      </c>
      <c r="Z36" s="33">
        <f t="shared" si="10"/>
        <v>-1</v>
      </c>
      <c r="AA36" s="33">
        <f t="shared" si="10"/>
        <v>3</v>
      </c>
      <c r="AB36" s="183">
        <f t="shared" si="10"/>
        <v>-1</v>
      </c>
      <c r="AC36" s="184">
        <f>SUM(C36:AB36)</f>
        <v>71</v>
      </c>
      <c r="AD36" s="56">
        <f>COUNTIF(C36:AB36,"&gt;0")</f>
        <v>17</v>
      </c>
    </row>
    <row r="37" spans="1:130" s="20" customFormat="1" ht="15.75">
      <c r="A37" s="19"/>
      <c r="B37" s="34" t="s">
        <v>30</v>
      </c>
      <c r="C37" s="35">
        <f>C35*C36</f>
        <v>56</v>
      </c>
      <c r="D37" s="35">
        <f>D35*D36</f>
        <v>0</v>
      </c>
      <c r="E37" s="35">
        <f t="shared" ref="E37:G37" si="11">E35*E36</f>
        <v>2</v>
      </c>
      <c r="F37" s="35">
        <f t="shared" si="11"/>
        <v>12</v>
      </c>
      <c r="G37" s="35">
        <f t="shared" si="11"/>
        <v>210</v>
      </c>
      <c r="H37" s="35">
        <f>H35*H36</f>
        <v>2</v>
      </c>
      <c r="I37" s="35">
        <f t="shared" ref="I37:AB37" si="12">I35*I36</f>
        <v>0</v>
      </c>
      <c r="J37" s="35">
        <f t="shared" si="12"/>
        <v>12</v>
      </c>
      <c r="K37" s="35">
        <f t="shared" si="12"/>
        <v>20</v>
      </c>
      <c r="L37" s="35">
        <f t="shared" si="12"/>
        <v>0</v>
      </c>
      <c r="M37" s="35">
        <f t="shared" si="12"/>
        <v>0</v>
      </c>
      <c r="N37" s="35">
        <f t="shared" si="12"/>
        <v>156</v>
      </c>
      <c r="O37" s="35">
        <f t="shared" si="12"/>
        <v>2</v>
      </c>
      <c r="P37" s="35">
        <f t="shared" si="12"/>
        <v>6</v>
      </c>
      <c r="Q37" s="35">
        <f t="shared" si="12"/>
        <v>20</v>
      </c>
      <c r="R37" s="35">
        <f t="shared" si="12"/>
        <v>2</v>
      </c>
      <c r="S37" s="35">
        <f t="shared" si="12"/>
        <v>0</v>
      </c>
      <c r="T37" s="35">
        <f t="shared" si="12"/>
        <v>20</v>
      </c>
      <c r="U37" s="35">
        <f t="shared" si="12"/>
        <v>30</v>
      </c>
      <c r="V37" s="35">
        <f t="shared" si="12"/>
        <v>132</v>
      </c>
      <c r="W37" s="35">
        <f t="shared" si="12"/>
        <v>0</v>
      </c>
      <c r="X37" s="35">
        <f t="shared" si="12"/>
        <v>0</v>
      </c>
      <c r="Y37" s="35">
        <f t="shared" si="12"/>
        <v>2</v>
      </c>
      <c r="Z37" s="35">
        <f t="shared" si="12"/>
        <v>0</v>
      </c>
      <c r="AA37" s="35">
        <f t="shared" si="12"/>
        <v>12</v>
      </c>
      <c r="AB37" s="186">
        <f t="shared" si="12"/>
        <v>0</v>
      </c>
      <c r="AC37" s="185">
        <f>SUM(C37:AB37)</f>
        <v>696</v>
      </c>
      <c r="AD37" s="57" t="s">
        <v>115</v>
      </c>
    </row>
    <row r="38" spans="1:130" s="20" customFormat="1" ht="15.75">
      <c r="A38" s="19"/>
      <c r="B38" s="113"/>
      <c r="C38" s="188" t="s">
        <v>20</v>
      </c>
      <c r="D38" s="189" t="s">
        <v>12</v>
      </c>
      <c r="E38" s="190" t="s">
        <v>4</v>
      </c>
      <c r="F38" s="190" t="s">
        <v>22</v>
      </c>
      <c r="G38" s="190" t="s">
        <v>6</v>
      </c>
      <c r="H38" s="190" t="s">
        <v>13</v>
      </c>
      <c r="I38" s="190" t="s">
        <v>5</v>
      </c>
      <c r="J38" s="190" t="s">
        <v>1</v>
      </c>
      <c r="K38" s="190" t="s">
        <v>23</v>
      </c>
      <c r="L38" s="190" t="s">
        <v>11</v>
      </c>
      <c r="M38" s="189" t="s">
        <v>2</v>
      </c>
      <c r="N38" s="190" t="s">
        <v>18</v>
      </c>
      <c r="O38" s="190" t="s">
        <v>25</v>
      </c>
      <c r="P38" s="190" t="s">
        <v>14</v>
      </c>
      <c r="Q38" s="190" t="s">
        <v>24</v>
      </c>
      <c r="R38" s="190" t="s">
        <v>3</v>
      </c>
      <c r="S38" s="190" t="s">
        <v>15</v>
      </c>
      <c r="T38" s="190" t="s">
        <v>7</v>
      </c>
      <c r="U38" s="190" t="s">
        <v>0</v>
      </c>
      <c r="V38" s="190" t="s">
        <v>8</v>
      </c>
      <c r="W38" s="190" t="s">
        <v>10</v>
      </c>
      <c r="X38" s="190" t="s">
        <v>19</v>
      </c>
      <c r="Y38" s="190" t="s">
        <v>17</v>
      </c>
      <c r="Z38" s="190" t="s">
        <v>16</v>
      </c>
      <c r="AA38" s="190" t="s">
        <v>9</v>
      </c>
      <c r="AB38" s="191" t="s">
        <v>21</v>
      </c>
      <c r="AC38" s="68">
        <f>0.0385*AC35*(AC35-1)</f>
        <v>358.512</v>
      </c>
      <c r="AD38" s="58" t="s">
        <v>116</v>
      </c>
    </row>
    <row r="39" spans="1:130" s="20" customFormat="1" ht="15.75">
      <c r="A39" s="19"/>
      <c r="B39" s="129"/>
      <c r="C39" s="47">
        <v>15</v>
      </c>
      <c r="D39" s="38">
        <v>13</v>
      </c>
      <c r="E39" s="38">
        <v>12</v>
      </c>
      <c r="F39" s="38">
        <v>8</v>
      </c>
      <c r="G39" s="38">
        <v>6</v>
      </c>
      <c r="H39" s="38">
        <v>5</v>
      </c>
      <c r="I39" s="38">
        <v>5</v>
      </c>
      <c r="J39" s="38">
        <v>5</v>
      </c>
      <c r="K39" s="38">
        <v>4</v>
      </c>
      <c r="L39" s="38">
        <v>4</v>
      </c>
      <c r="M39" s="38">
        <v>4</v>
      </c>
      <c r="N39" s="38">
        <v>3</v>
      </c>
      <c r="O39" s="38">
        <v>2</v>
      </c>
      <c r="P39" s="38">
        <v>2</v>
      </c>
      <c r="Q39" s="38">
        <v>2</v>
      </c>
      <c r="R39" s="38">
        <v>2</v>
      </c>
      <c r="S39" s="38">
        <v>2</v>
      </c>
      <c r="T39" s="38">
        <v>1</v>
      </c>
      <c r="U39" s="38">
        <v>1</v>
      </c>
      <c r="V39" s="38">
        <v>1</v>
      </c>
      <c r="W39" s="38">
        <v>0</v>
      </c>
      <c r="X39" s="38">
        <v>0</v>
      </c>
      <c r="Y39" s="38">
        <v>0</v>
      </c>
      <c r="Z39" s="38">
        <v>0</v>
      </c>
      <c r="AA39" s="38">
        <v>0</v>
      </c>
      <c r="AB39" s="39">
        <v>0</v>
      </c>
      <c r="AC39" s="69">
        <f>0.0667*AC35*(AC35-1)</f>
        <v>621.11040000000003</v>
      </c>
      <c r="AD39" s="59" t="s">
        <v>117</v>
      </c>
    </row>
    <row r="40" spans="1:130" s="20" customFormat="1" ht="15.75">
      <c r="A40" s="19"/>
      <c r="B40" s="73"/>
      <c r="C40" s="4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40"/>
      <c r="AC40" s="70">
        <f>AC37/AC38</f>
        <v>1.9413576114607043</v>
      </c>
      <c r="AD40" s="60" t="s">
        <v>32</v>
      </c>
    </row>
    <row r="41" spans="1:130" s="20" customFormat="1" ht="15.75"/>
    <row r="42" spans="1:130" s="20" customFormat="1" ht="15.75"/>
    <row r="43" spans="1:130" s="20" customFormat="1" ht="15.75">
      <c r="A43" s="19"/>
      <c r="B43" s="26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67"/>
      <c r="AD43" s="53"/>
    </row>
    <row r="44" spans="1:130" s="20" customFormat="1" ht="15.75">
      <c r="A44" s="19"/>
      <c r="B44" s="28" t="s">
        <v>28</v>
      </c>
      <c r="C44" s="29" t="s">
        <v>22</v>
      </c>
      <c r="D44" s="29" t="s">
        <v>7</v>
      </c>
      <c r="E44" s="29" t="s">
        <v>25</v>
      </c>
      <c r="F44" s="29" t="s">
        <v>23</v>
      </c>
      <c r="G44" s="29" t="s">
        <v>20</v>
      </c>
      <c r="H44" s="29" t="s">
        <v>14</v>
      </c>
      <c r="I44" s="29" t="s">
        <v>10</v>
      </c>
      <c r="J44" s="29" t="s">
        <v>11</v>
      </c>
      <c r="K44" s="29" t="s">
        <v>13</v>
      </c>
      <c r="L44" s="29" t="s">
        <v>19</v>
      </c>
      <c r="M44" s="29" t="s">
        <v>0</v>
      </c>
      <c r="N44" s="29" t="s">
        <v>12</v>
      </c>
      <c r="O44" s="29" t="s">
        <v>24</v>
      </c>
      <c r="P44" s="29" t="s">
        <v>18</v>
      </c>
      <c r="Q44" s="29" t="s">
        <v>5</v>
      </c>
      <c r="R44" s="29" t="s">
        <v>3</v>
      </c>
      <c r="S44" s="29" t="s">
        <v>17</v>
      </c>
      <c r="T44" s="29" t="s">
        <v>1</v>
      </c>
      <c r="U44" s="29" t="s">
        <v>6</v>
      </c>
      <c r="V44" s="29" t="s">
        <v>4</v>
      </c>
      <c r="W44" s="29" t="s">
        <v>8</v>
      </c>
      <c r="X44" s="29" t="s">
        <v>16</v>
      </c>
      <c r="Y44" s="29" t="s">
        <v>15</v>
      </c>
      <c r="Z44" s="29" t="s">
        <v>9</v>
      </c>
      <c r="AA44" s="29" t="s">
        <v>2</v>
      </c>
      <c r="AB44" s="29" t="s">
        <v>21</v>
      </c>
      <c r="AC44" s="72">
        <f>AC45*(AC45-1)</f>
        <v>650</v>
      </c>
      <c r="AD44" s="54"/>
      <c r="AG44" s="74" t="s">
        <v>122</v>
      </c>
      <c r="AH44" s="119" t="s">
        <v>42</v>
      </c>
      <c r="AI44" s="119" t="s">
        <v>46</v>
      </c>
      <c r="AJ44" s="119" t="s">
        <v>49</v>
      </c>
      <c r="AK44" s="119" t="s">
        <v>44</v>
      </c>
      <c r="AL44" s="119" t="s">
        <v>50</v>
      </c>
      <c r="AM44" s="119" t="s">
        <v>36</v>
      </c>
      <c r="AN44" s="118" t="s">
        <v>39</v>
      </c>
      <c r="AO44" s="118" t="s">
        <v>38</v>
      </c>
      <c r="AP44" s="118" t="s">
        <v>35</v>
      </c>
      <c r="AQ44" s="118" t="s">
        <v>48</v>
      </c>
      <c r="AR44" s="118" t="s">
        <v>42</v>
      </c>
      <c r="AS44" s="118" t="s">
        <v>46</v>
      </c>
      <c r="AT44" s="118" t="s">
        <v>35</v>
      </c>
      <c r="AU44" s="118" t="s">
        <v>26</v>
      </c>
      <c r="AV44" s="117" t="s">
        <v>42</v>
      </c>
      <c r="AW44" s="117" t="s">
        <v>37</v>
      </c>
      <c r="AX44" s="117" t="s">
        <v>26</v>
      </c>
      <c r="AY44" s="117" t="s">
        <v>42</v>
      </c>
      <c r="AZ44" s="117" t="s">
        <v>46</v>
      </c>
      <c r="BA44" s="117" t="s">
        <v>35</v>
      </c>
      <c r="BB44" s="117" t="s">
        <v>48</v>
      </c>
      <c r="BC44" s="117" t="s">
        <v>37</v>
      </c>
      <c r="BD44" s="117" t="s">
        <v>37</v>
      </c>
      <c r="BE44" s="117" t="s">
        <v>56</v>
      </c>
      <c r="BF44" s="117" t="s">
        <v>43</v>
      </c>
      <c r="BG44" s="117" t="s">
        <v>47</v>
      </c>
    </row>
    <row r="45" spans="1:130" s="20" customFormat="1" ht="15.75">
      <c r="A45" s="114" t="s">
        <v>120</v>
      </c>
      <c r="B45" s="31" t="s">
        <v>26</v>
      </c>
      <c r="C45" s="23">
        <f t="shared" ref="C45:AB45" si="13">COUNTIF(DANKUc2,C44)</f>
        <v>1</v>
      </c>
      <c r="D45" s="23">
        <f t="shared" si="13"/>
        <v>0</v>
      </c>
      <c r="E45" s="23">
        <f t="shared" si="13"/>
        <v>0</v>
      </c>
      <c r="F45" s="23">
        <f t="shared" si="13"/>
        <v>2</v>
      </c>
      <c r="G45" s="23">
        <f t="shared" si="13"/>
        <v>3</v>
      </c>
      <c r="H45" s="23">
        <f t="shared" si="13"/>
        <v>2</v>
      </c>
      <c r="I45" s="23">
        <f t="shared" si="13"/>
        <v>1</v>
      </c>
      <c r="J45" s="23">
        <f t="shared" si="13"/>
        <v>3</v>
      </c>
      <c r="K45" s="23">
        <f t="shared" si="13"/>
        <v>1</v>
      </c>
      <c r="L45" s="23">
        <f t="shared" si="13"/>
        <v>0</v>
      </c>
      <c r="M45" s="23">
        <f t="shared" si="13"/>
        <v>0</v>
      </c>
      <c r="N45" s="23">
        <f t="shared" si="13"/>
        <v>0</v>
      </c>
      <c r="O45" s="23">
        <f t="shared" si="13"/>
        <v>0</v>
      </c>
      <c r="P45" s="23">
        <f t="shared" si="13"/>
        <v>1</v>
      </c>
      <c r="Q45" s="23">
        <f t="shared" si="13"/>
        <v>3</v>
      </c>
      <c r="R45" s="23">
        <f t="shared" si="13"/>
        <v>0</v>
      </c>
      <c r="S45" s="23">
        <f t="shared" si="13"/>
        <v>1</v>
      </c>
      <c r="T45" s="23">
        <f t="shared" si="13"/>
        <v>1</v>
      </c>
      <c r="U45" s="23">
        <f t="shared" si="13"/>
        <v>1</v>
      </c>
      <c r="V45" s="23">
        <f t="shared" si="13"/>
        <v>4</v>
      </c>
      <c r="W45" s="23">
        <f t="shared" si="13"/>
        <v>1</v>
      </c>
      <c r="X45" s="23">
        <f t="shared" si="13"/>
        <v>0</v>
      </c>
      <c r="Y45" s="23">
        <f t="shared" si="13"/>
        <v>1</v>
      </c>
      <c r="Z45" s="23">
        <f t="shared" si="13"/>
        <v>0</v>
      </c>
      <c r="AA45" s="23">
        <f t="shared" si="13"/>
        <v>0</v>
      </c>
      <c r="AB45" s="181">
        <f t="shared" si="13"/>
        <v>0</v>
      </c>
      <c r="AC45" s="182">
        <f>SUM(C45:AB45)</f>
        <v>26</v>
      </c>
      <c r="AD45" s="55">
        <f>COUNTIF(C45:AB45,"&gt;0")</f>
        <v>15</v>
      </c>
    </row>
    <row r="46" spans="1:130" s="20" customFormat="1" ht="15.75">
      <c r="A46" s="19"/>
      <c r="B46" s="32" t="s">
        <v>29</v>
      </c>
      <c r="C46" s="33">
        <f t="shared" ref="C46:AB46" si="14">C45-1</f>
        <v>0</v>
      </c>
      <c r="D46" s="33">
        <f t="shared" si="14"/>
        <v>-1</v>
      </c>
      <c r="E46" s="33">
        <f t="shared" si="14"/>
        <v>-1</v>
      </c>
      <c r="F46" s="33">
        <f t="shared" si="14"/>
        <v>1</v>
      </c>
      <c r="G46" s="33">
        <f t="shared" si="14"/>
        <v>2</v>
      </c>
      <c r="H46" s="33">
        <f t="shared" si="14"/>
        <v>1</v>
      </c>
      <c r="I46" s="33">
        <f t="shared" si="14"/>
        <v>0</v>
      </c>
      <c r="J46" s="33">
        <f t="shared" si="14"/>
        <v>2</v>
      </c>
      <c r="K46" s="33">
        <f t="shared" si="14"/>
        <v>0</v>
      </c>
      <c r="L46" s="33">
        <f t="shared" si="14"/>
        <v>-1</v>
      </c>
      <c r="M46" s="33">
        <f t="shared" si="14"/>
        <v>-1</v>
      </c>
      <c r="N46" s="33">
        <f t="shared" si="14"/>
        <v>-1</v>
      </c>
      <c r="O46" s="33">
        <f t="shared" si="14"/>
        <v>-1</v>
      </c>
      <c r="P46" s="33">
        <f t="shared" si="14"/>
        <v>0</v>
      </c>
      <c r="Q46" s="33">
        <f t="shared" si="14"/>
        <v>2</v>
      </c>
      <c r="R46" s="33">
        <f t="shared" si="14"/>
        <v>-1</v>
      </c>
      <c r="S46" s="33">
        <f t="shared" si="14"/>
        <v>0</v>
      </c>
      <c r="T46" s="33">
        <f t="shared" si="14"/>
        <v>0</v>
      </c>
      <c r="U46" s="33">
        <f t="shared" si="14"/>
        <v>0</v>
      </c>
      <c r="V46" s="33">
        <f t="shared" si="14"/>
        <v>3</v>
      </c>
      <c r="W46" s="33">
        <f t="shared" si="14"/>
        <v>0</v>
      </c>
      <c r="X46" s="33">
        <f t="shared" si="14"/>
        <v>-1</v>
      </c>
      <c r="Y46" s="33">
        <f t="shared" si="14"/>
        <v>0</v>
      </c>
      <c r="Z46" s="33">
        <f t="shared" si="14"/>
        <v>-1</v>
      </c>
      <c r="AA46" s="33">
        <f t="shared" si="14"/>
        <v>-1</v>
      </c>
      <c r="AB46" s="183">
        <f t="shared" si="14"/>
        <v>-1</v>
      </c>
      <c r="AC46" s="184">
        <f>SUM(C46:AB46)</f>
        <v>0</v>
      </c>
      <c r="AD46" s="56">
        <f>COUNTIF(C46:AB46,"&gt;0")</f>
        <v>6</v>
      </c>
    </row>
    <row r="47" spans="1:130" s="20" customFormat="1" ht="15.75">
      <c r="A47" s="19"/>
      <c r="B47" s="34" t="s">
        <v>30</v>
      </c>
      <c r="C47" s="35">
        <f>C45*C46</f>
        <v>0</v>
      </c>
      <c r="D47" s="35">
        <f>D45*D46</f>
        <v>0</v>
      </c>
      <c r="E47" s="35">
        <f t="shared" ref="E47:G47" si="15">E45*E46</f>
        <v>0</v>
      </c>
      <c r="F47" s="35">
        <f t="shared" si="15"/>
        <v>2</v>
      </c>
      <c r="G47" s="35">
        <f t="shared" si="15"/>
        <v>6</v>
      </c>
      <c r="H47" s="35">
        <f>H45*H46</f>
        <v>2</v>
      </c>
      <c r="I47" s="35">
        <f t="shared" ref="I47:AB47" si="16">I45*I46</f>
        <v>0</v>
      </c>
      <c r="J47" s="35">
        <f t="shared" si="16"/>
        <v>6</v>
      </c>
      <c r="K47" s="35">
        <f t="shared" si="16"/>
        <v>0</v>
      </c>
      <c r="L47" s="35">
        <f t="shared" si="16"/>
        <v>0</v>
      </c>
      <c r="M47" s="35">
        <f t="shared" si="16"/>
        <v>0</v>
      </c>
      <c r="N47" s="35">
        <f t="shared" si="16"/>
        <v>0</v>
      </c>
      <c r="O47" s="35">
        <f t="shared" si="16"/>
        <v>0</v>
      </c>
      <c r="P47" s="35">
        <f t="shared" si="16"/>
        <v>0</v>
      </c>
      <c r="Q47" s="35">
        <f t="shared" si="16"/>
        <v>6</v>
      </c>
      <c r="R47" s="35">
        <f t="shared" si="16"/>
        <v>0</v>
      </c>
      <c r="S47" s="35">
        <f t="shared" si="16"/>
        <v>0</v>
      </c>
      <c r="T47" s="35">
        <f t="shared" si="16"/>
        <v>0</v>
      </c>
      <c r="U47" s="35">
        <f t="shared" si="16"/>
        <v>0</v>
      </c>
      <c r="V47" s="35">
        <f t="shared" si="16"/>
        <v>12</v>
      </c>
      <c r="W47" s="35">
        <f t="shared" si="16"/>
        <v>0</v>
      </c>
      <c r="X47" s="35">
        <f t="shared" si="16"/>
        <v>0</v>
      </c>
      <c r="Y47" s="35">
        <f t="shared" si="16"/>
        <v>0</v>
      </c>
      <c r="Z47" s="35">
        <f t="shared" si="16"/>
        <v>0</v>
      </c>
      <c r="AA47" s="35">
        <f t="shared" si="16"/>
        <v>0</v>
      </c>
      <c r="AB47" s="186">
        <f t="shared" si="16"/>
        <v>0</v>
      </c>
      <c r="AC47" s="185">
        <f>SUM(C47:AB47)</f>
        <v>34</v>
      </c>
      <c r="AD47" s="57" t="s">
        <v>115</v>
      </c>
    </row>
    <row r="48" spans="1:130" s="20" customFormat="1" ht="15.75">
      <c r="A48" s="19"/>
      <c r="B48" s="116"/>
      <c r="C48" s="188" t="s">
        <v>4</v>
      </c>
      <c r="D48" s="189" t="s">
        <v>20</v>
      </c>
      <c r="E48" s="190" t="s">
        <v>11</v>
      </c>
      <c r="F48" s="190" t="s">
        <v>5</v>
      </c>
      <c r="G48" s="190" t="s">
        <v>23</v>
      </c>
      <c r="H48" s="190" t="s">
        <v>14</v>
      </c>
      <c r="I48" s="190" t="s">
        <v>22</v>
      </c>
      <c r="J48" s="190" t="s">
        <v>10</v>
      </c>
      <c r="K48" s="190" t="s">
        <v>13</v>
      </c>
      <c r="L48" s="190" t="s">
        <v>18</v>
      </c>
      <c r="M48" s="189" t="s">
        <v>17</v>
      </c>
      <c r="N48" s="190" t="s">
        <v>1</v>
      </c>
      <c r="O48" s="190" t="s">
        <v>6</v>
      </c>
      <c r="P48" s="190" t="s">
        <v>8</v>
      </c>
      <c r="Q48" s="190" t="s">
        <v>15</v>
      </c>
      <c r="R48" s="190" t="s">
        <v>7</v>
      </c>
      <c r="S48" s="190" t="s">
        <v>25</v>
      </c>
      <c r="T48" s="190" t="s">
        <v>19</v>
      </c>
      <c r="U48" s="190" t="s">
        <v>0</v>
      </c>
      <c r="V48" s="190" t="s">
        <v>12</v>
      </c>
      <c r="W48" s="190" t="s">
        <v>24</v>
      </c>
      <c r="X48" s="190" t="s">
        <v>3</v>
      </c>
      <c r="Y48" s="190" t="s">
        <v>16</v>
      </c>
      <c r="Z48" s="190" t="s">
        <v>9</v>
      </c>
      <c r="AA48" s="190" t="s">
        <v>2</v>
      </c>
      <c r="AB48" s="191" t="s">
        <v>21</v>
      </c>
      <c r="AC48" s="68">
        <f>0.0385*AC45*(AC45-1)</f>
        <v>25.024999999999999</v>
      </c>
      <c r="AD48" s="58" t="s">
        <v>116</v>
      </c>
    </row>
    <row r="49" spans="1:130" s="20" customFormat="1" ht="15.75">
      <c r="A49" s="19"/>
      <c r="B49" s="128"/>
      <c r="C49" s="47">
        <v>4</v>
      </c>
      <c r="D49" s="38">
        <v>3</v>
      </c>
      <c r="E49" s="38">
        <v>3</v>
      </c>
      <c r="F49" s="38">
        <v>3</v>
      </c>
      <c r="G49" s="38">
        <v>2</v>
      </c>
      <c r="H49" s="38">
        <v>2</v>
      </c>
      <c r="I49" s="38">
        <v>1</v>
      </c>
      <c r="J49" s="38">
        <v>1</v>
      </c>
      <c r="K49" s="38">
        <v>1</v>
      </c>
      <c r="L49" s="38">
        <v>1</v>
      </c>
      <c r="M49" s="38">
        <v>1</v>
      </c>
      <c r="N49" s="38">
        <v>1</v>
      </c>
      <c r="O49" s="38">
        <v>1</v>
      </c>
      <c r="P49" s="38">
        <v>1</v>
      </c>
      <c r="Q49" s="38">
        <v>1</v>
      </c>
      <c r="R49" s="38">
        <v>0</v>
      </c>
      <c r="S49" s="38">
        <v>0</v>
      </c>
      <c r="T49" s="38">
        <v>0</v>
      </c>
      <c r="U49" s="38">
        <v>0</v>
      </c>
      <c r="V49" s="38">
        <v>0</v>
      </c>
      <c r="W49" s="38">
        <v>0</v>
      </c>
      <c r="X49" s="38">
        <v>0</v>
      </c>
      <c r="Y49" s="38">
        <v>0</v>
      </c>
      <c r="Z49" s="38">
        <v>0</v>
      </c>
      <c r="AA49" s="38">
        <v>0</v>
      </c>
      <c r="AB49" s="39">
        <v>0</v>
      </c>
      <c r="AC49" s="69">
        <f>0.0667*AC45*(AC45-1)</f>
        <v>43.354999999999997</v>
      </c>
      <c r="AD49" s="59" t="s">
        <v>117</v>
      </c>
    </row>
    <row r="50" spans="1:130" s="20" customFormat="1" ht="15.75">
      <c r="A50" s="19"/>
      <c r="B50" s="73"/>
      <c r="C50" s="4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40"/>
      <c r="AC50" s="70">
        <f>AC47/AC48</f>
        <v>1.3586413586413588</v>
      </c>
      <c r="AD50" s="60" t="s">
        <v>32</v>
      </c>
    </row>
    <row r="51" spans="1:130" s="20" customFormat="1" ht="15.75"/>
    <row r="52" spans="1:130" s="20" customFormat="1" ht="15.75"/>
    <row r="53" spans="1:130" s="20" customFormat="1" ht="15.75">
      <c r="A53" s="19"/>
      <c r="B53" s="26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67"/>
      <c r="AD53" s="53"/>
    </row>
    <row r="54" spans="1:130" s="20" customFormat="1" ht="15.75">
      <c r="A54" s="19"/>
      <c r="B54" s="110" t="s">
        <v>28</v>
      </c>
      <c r="C54" s="111" t="s">
        <v>22</v>
      </c>
      <c r="D54" s="111" t="s">
        <v>7</v>
      </c>
      <c r="E54" s="111" t="s">
        <v>25</v>
      </c>
      <c r="F54" s="111" t="s">
        <v>23</v>
      </c>
      <c r="G54" s="111" t="s">
        <v>20</v>
      </c>
      <c r="H54" s="111" t="s">
        <v>14</v>
      </c>
      <c r="I54" s="111" t="s">
        <v>10</v>
      </c>
      <c r="J54" s="111" t="s">
        <v>11</v>
      </c>
      <c r="K54" s="111" t="s">
        <v>13</v>
      </c>
      <c r="L54" s="111" t="s">
        <v>19</v>
      </c>
      <c r="M54" s="111" t="s">
        <v>0</v>
      </c>
      <c r="N54" s="111" t="s">
        <v>12</v>
      </c>
      <c r="O54" s="111" t="s">
        <v>24</v>
      </c>
      <c r="P54" s="111" t="s">
        <v>18</v>
      </c>
      <c r="Q54" s="111" t="s">
        <v>5</v>
      </c>
      <c r="R54" s="111" t="s">
        <v>3</v>
      </c>
      <c r="S54" s="111" t="s">
        <v>17</v>
      </c>
      <c r="T54" s="111" t="s">
        <v>1</v>
      </c>
      <c r="U54" s="111" t="s">
        <v>6</v>
      </c>
      <c r="V54" s="111" t="s">
        <v>4</v>
      </c>
      <c r="W54" s="111" t="s">
        <v>8</v>
      </c>
      <c r="X54" s="111" t="s">
        <v>16</v>
      </c>
      <c r="Y54" s="111" t="s">
        <v>15</v>
      </c>
      <c r="Z54" s="111" t="s">
        <v>9</v>
      </c>
      <c r="AA54" s="111" t="s">
        <v>2</v>
      </c>
      <c r="AB54" s="111" t="s">
        <v>21</v>
      </c>
      <c r="AC54" s="72">
        <f>AC55*(AC55-1)</f>
        <v>812</v>
      </c>
      <c r="AD54" s="54"/>
      <c r="AG54" s="74" t="s">
        <v>123</v>
      </c>
      <c r="AH54" s="76" t="s">
        <v>46</v>
      </c>
      <c r="AI54" s="76" t="s">
        <v>35</v>
      </c>
      <c r="AJ54" s="76" t="s">
        <v>56</v>
      </c>
      <c r="AK54" s="76" t="s">
        <v>37</v>
      </c>
      <c r="AL54" s="76" t="s">
        <v>37</v>
      </c>
      <c r="AM54" s="76" t="s">
        <v>57</v>
      </c>
      <c r="AN54" s="76" t="s">
        <v>43</v>
      </c>
      <c r="AO54" s="120" t="s">
        <v>44</v>
      </c>
      <c r="AP54" s="120" t="s">
        <v>48</v>
      </c>
      <c r="AQ54" s="120" t="s">
        <v>54</v>
      </c>
      <c r="AR54" s="120" t="s">
        <v>35</v>
      </c>
      <c r="AS54" s="120" t="s">
        <v>35</v>
      </c>
      <c r="AT54" s="120" t="s">
        <v>56</v>
      </c>
      <c r="AU54" s="120" t="s">
        <v>35</v>
      </c>
      <c r="AV54" s="120" t="s">
        <v>48</v>
      </c>
      <c r="AW54" s="120" t="s">
        <v>49</v>
      </c>
      <c r="AX54" s="121" t="s">
        <v>49</v>
      </c>
      <c r="AY54" s="121" t="s">
        <v>44</v>
      </c>
      <c r="AZ54" s="121" t="s">
        <v>38</v>
      </c>
      <c r="BA54" s="121" t="s">
        <v>37</v>
      </c>
      <c r="BB54" s="121" t="s">
        <v>26</v>
      </c>
      <c r="BC54" s="121" t="s">
        <v>54</v>
      </c>
      <c r="BD54" s="121" t="s">
        <v>47</v>
      </c>
      <c r="BE54" s="121" t="s">
        <v>38</v>
      </c>
      <c r="BF54" s="121" t="s">
        <v>38</v>
      </c>
      <c r="BG54" s="121" t="s">
        <v>47</v>
      </c>
      <c r="BH54" s="122" t="s">
        <v>50</v>
      </c>
      <c r="BI54" s="123" t="s">
        <v>35</v>
      </c>
      <c r="BJ54" s="121" t="s">
        <v>48</v>
      </c>
      <c r="BK54" s="124"/>
      <c r="BL54" s="124"/>
      <c r="BM54" s="124"/>
      <c r="BN54" s="124"/>
      <c r="BO54" s="124"/>
      <c r="BP54" s="124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6"/>
      <c r="CI54" s="126"/>
      <c r="CJ54" s="125"/>
      <c r="CK54" s="125"/>
      <c r="CL54" s="125"/>
      <c r="CM54" s="125"/>
      <c r="CN54" s="125"/>
      <c r="CO54" s="125"/>
      <c r="CP54" s="125"/>
      <c r="CQ54" s="125"/>
      <c r="CR54" s="125"/>
      <c r="CS54" s="125"/>
      <c r="CT54" s="125"/>
      <c r="CU54" s="125"/>
      <c r="CV54" s="125"/>
      <c r="CW54" s="125"/>
      <c r="CX54" s="127"/>
      <c r="CY54" s="127"/>
      <c r="CZ54" s="124"/>
      <c r="DA54" s="124"/>
      <c r="DB54" s="124"/>
      <c r="DC54" s="124"/>
      <c r="DD54" s="124"/>
      <c r="DE54" s="124"/>
      <c r="DF54" s="124"/>
      <c r="DG54" s="124"/>
      <c r="DH54" s="124"/>
      <c r="DI54" s="124"/>
      <c r="DJ54" s="124"/>
      <c r="DK54" s="124"/>
      <c r="DL54" s="124"/>
      <c r="DM54" s="124"/>
      <c r="DN54" s="124"/>
      <c r="DO54" s="124"/>
      <c r="DP54" s="124"/>
      <c r="DQ54" s="124"/>
      <c r="DR54" s="124"/>
      <c r="DS54" s="124"/>
      <c r="DT54" s="124"/>
      <c r="DU54" s="124"/>
      <c r="DV54" s="124"/>
      <c r="DW54" s="124"/>
      <c r="DX54" s="124"/>
      <c r="DY54" s="124"/>
      <c r="DZ54" s="124"/>
    </row>
    <row r="55" spans="1:130" s="20" customFormat="1" ht="15.75">
      <c r="A55" s="115" t="s">
        <v>112</v>
      </c>
      <c r="B55" s="31" t="s">
        <v>26</v>
      </c>
      <c r="C55" s="23">
        <f>COUNTIF(DANKUp2,C54)</f>
        <v>2</v>
      </c>
      <c r="D55" s="23">
        <f t="shared" ref="D55:AB55" si="17">COUNTIF(DANKUp2,D54)</f>
        <v>0</v>
      </c>
      <c r="E55" s="23">
        <f t="shared" si="17"/>
        <v>0</v>
      </c>
      <c r="F55" s="23">
        <f t="shared" si="17"/>
        <v>3</v>
      </c>
      <c r="G55" s="23">
        <f t="shared" si="17"/>
        <v>5</v>
      </c>
      <c r="H55" s="23">
        <f t="shared" si="17"/>
        <v>1</v>
      </c>
      <c r="I55" s="23">
        <f t="shared" si="17"/>
        <v>1</v>
      </c>
      <c r="J55" s="23">
        <f t="shared" si="17"/>
        <v>1</v>
      </c>
      <c r="K55" s="23">
        <f t="shared" si="17"/>
        <v>2</v>
      </c>
      <c r="L55" s="23">
        <f t="shared" si="17"/>
        <v>0</v>
      </c>
      <c r="M55" s="23">
        <f t="shared" si="17"/>
        <v>0</v>
      </c>
      <c r="N55" s="23">
        <f t="shared" si="17"/>
        <v>0</v>
      </c>
      <c r="O55" s="23">
        <f t="shared" si="17"/>
        <v>1</v>
      </c>
      <c r="P55" s="23">
        <f t="shared" si="17"/>
        <v>2</v>
      </c>
      <c r="Q55" s="23">
        <f t="shared" si="17"/>
        <v>3</v>
      </c>
      <c r="R55" s="23">
        <f t="shared" si="17"/>
        <v>2</v>
      </c>
      <c r="S55" s="23">
        <f t="shared" si="17"/>
        <v>0</v>
      </c>
      <c r="T55" s="23">
        <f t="shared" si="17"/>
        <v>2</v>
      </c>
      <c r="U55" s="23">
        <f t="shared" si="17"/>
        <v>3</v>
      </c>
      <c r="V55" s="23">
        <f t="shared" si="17"/>
        <v>0</v>
      </c>
      <c r="W55" s="23">
        <f t="shared" si="17"/>
        <v>0</v>
      </c>
      <c r="X55" s="23">
        <f t="shared" si="17"/>
        <v>0</v>
      </c>
      <c r="Y55" s="23">
        <f t="shared" si="17"/>
        <v>1</v>
      </c>
      <c r="Z55" s="23">
        <f t="shared" si="17"/>
        <v>0</v>
      </c>
      <c r="AA55" s="23">
        <f t="shared" si="17"/>
        <v>0</v>
      </c>
      <c r="AB55" s="181">
        <f t="shared" si="17"/>
        <v>0</v>
      </c>
      <c r="AC55" s="182">
        <f>SUM(C55:AB55)</f>
        <v>29</v>
      </c>
      <c r="AD55" s="55">
        <f>COUNTIF(C55:AB55,"&gt;0")</f>
        <v>14</v>
      </c>
    </row>
    <row r="56" spans="1:130" s="20" customFormat="1" ht="15.75">
      <c r="A56" s="19"/>
      <c r="B56" s="112" t="s">
        <v>29</v>
      </c>
      <c r="C56" s="33">
        <f t="shared" ref="C56:AB56" si="18">C55-1</f>
        <v>1</v>
      </c>
      <c r="D56" s="33">
        <f t="shared" si="18"/>
        <v>-1</v>
      </c>
      <c r="E56" s="33">
        <f t="shared" si="18"/>
        <v>-1</v>
      </c>
      <c r="F56" s="33">
        <f t="shared" si="18"/>
        <v>2</v>
      </c>
      <c r="G56" s="33">
        <f t="shared" si="18"/>
        <v>4</v>
      </c>
      <c r="H56" s="33">
        <f t="shared" si="18"/>
        <v>0</v>
      </c>
      <c r="I56" s="33">
        <f t="shared" si="18"/>
        <v>0</v>
      </c>
      <c r="J56" s="33">
        <f t="shared" si="18"/>
        <v>0</v>
      </c>
      <c r="K56" s="33">
        <f t="shared" si="18"/>
        <v>1</v>
      </c>
      <c r="L56" s="33">
        <f t="shared" si="18"/>
        <v>-1</v>
      </c>
      <c r="M56" s="33">
        <f t="shared" si="18"/>
        <v>-1</v>
      </c>
      <c r="N56" s="33">
        <f t="shared" si="18"/>
        <v>-1</v>
      </c>
      <c r="O56" s="33">
        <f t="shared" si="18"/>
        <v>0</v>
      </c>
      <c r="P56" s="33">
        <f t="shared" si="18"/>
        <v>1</v>
      </c>
      <c r="Q56" s="33">
        <f t="shared" si="18"/>
        <v>2</v>
      </c>
      <c r="R56" s="33">
        <f t="shared" si="18"/>
        <v>1</v>
      </c>
      <c r="S56" s="33">
        <f t="shared" si="18"/>
        <v>-1</v>
      </c>
      <c r="T56" s="33">
        <f t="shared" si="18"/>
        <v>1</v>
      </c>
      <c r="U56" s="33">
        <f t="shared" si="18"/>
        <v>2</v>
      </c>
      <c r="V56" s="33">
        <f t="shared" si="18"/>
        <v>-1</v>
      </c>
      <c r="W56" s="33">
        <f t="shared" si="18"/>
        <v>-1</v>
      </c>
      <c r="X56" s="33">
        <f t="shared" si="18"/>
        <v>-1</v>
      </c>
      <c r="Y56" s="33">
        <f t="shared" si="18"/>
        <v>0</v>
      </c>
      <c r="Z56" s="33">
        <f t="shared" si="18"/>
        <v>-1</v>
      </c>
      <c r="AA56" s="33">
        <f t="shared" si="18"/>
        <v>-1</v>
      </c>
      <c r="AB56" s="183">
        <f t="shared" si="18"/>
        <v>-1</v>
      </c>
      <c r="AC56" s="184">
        <f>SUM(C56:AB56)</f>
        <v>3</v>
      </c>
      <c r="AD56" s="56">
        <f>COUNTIF(C56:AB56,"&gt;0")</f>
        <v>9</v>
      </c>
    </row>
    <row r="57" spans="1:130" s="20" customFormat="1" ht="15.75">
      <c r="A57" s="19"/>
      <c r="B57" s="34" t="s">
        <v>30</v>
      </c>
      <c r="C57" s="35">
        <f>C55*C56</f>
        <v>2</v>
      </c>
      <c r="D57" s="35">
        <f>D55*D56</f>
        <v>0</v>
      </c>
      <c r="E57" s="35">
        <f t="shared" ref="E57:G57" si="19">E55*E56</f>
        <v>0</v>
      </c>
      <c r="F57" s="35">
        <f t="shared" si="19"/>
        <v>6</v>
      </c>
      <c r="G57" s="35">
        <f t="shared" si="19"/>
        <v>20</v>
      </c>
      <c r="H57" s="35">
        <f>H55*H56</f>
        <v>0</v>
      </c>
      <c r="I57" s="35">
        <f t="shared" ref="I57:AB57" si="20">I55*I56</f>
        <v>0</v>
      </c>
      <c r="J57" s="35">
        <f t="shared" si="20"/>
        <v>0</v>
      </c>
      <c r="K57" s="35">
        <f t="shared" si="20"/>
        <v>2</v>
      </c>
      <c r="L57" s="35">
        <f t="shared" si="20"/>
        <v>0</v>
      </c>
      <c r="M57" s="35">
        <f t="shared" si="20"/>
        <v>0</v>
      </c>
      <c r="N57" s="35">
        <f t="shared" si="20"/>
        <v>0</v>
      </c>
      <c r="O57" s="35">
        <f t="shared" si="20"/>
        <v>0</v>
      </c>
      <c r="P57" s="35">
        <f t="shared" si="20"/>
        <v>2</v>
      </c>
      <c r="Q57" s="35">
        <f t="shared" si="20"/>
        <v>6</v>
      </c>
      <c r="R57" s="35">
        <f t="shared" si="20"/>
        <v>2</v>
      </c>
      <c r="S57" s="35">
        <f t="shared" si="20"/>
        <v>0</v>
      </c>
      <c r="T57" s="35">
        <f t="shared" si="20"/>
        <v>2</v>
      </c>
      <c r="U57" s="35">
        <f t="shared" si="20"/>
        <v>6</v>
      </c>
      <c r="V57" s="35">
        <f t="shared" si="20"/>
        <v>0</v>
      </c>
      <c r="W57" s="35">
        <f t="shared" si="20"/>
        <v>0</v>
      </c>
      <c r="X57" s="35">
        <f t="shared" si="20"/>
        <v>0</v>
      </c>
      <c r="Y57" s="35">
        <f t="shared" si="20"/>
        <v>0</v>
      </c>
      <c r="Z57" s="35">
        <f t="shared" si="20"/>
        <v>0</v>
      </c>
      <c r="AA57" s="35">
        <f t="shared" si="20"/>
        <v>0</v>
      </c>
      <c r="AB57" s="186">
        <f t="shared" si="20"/>
        <v>0</v>
      </c>
      <c r="AC57" s="185">
        <f>SUM(C57:AB57)</f>
        <v>48</v>
      </c>
      <c r="AD57" s="57" t="s">
        <v>115</v>
      </c>
    </row>
    <row r="58" spans="1:130" s="20" customFormat="1" ht="15.75">
      <c r="A58" s="19"/>
      <c r="B58" s="109"/>
      <c r="C58" s="188" t="s">
        <v>20</v>
      </c>
      <c r="D58" s="189" t="s">
        <v>12</v>
      </c>
      <c r="E58" s="190" t="s">
        <v>6</v>
      </c>
      <c r="F58" s="190" t="s">
        <v>4</v>
      </c>
      <c r="G58" s="190" t="s">
        <v>22</v>
      </c>
      <c r="H58" s="190" t="s">
        <v>5</v>
      </c>
      <c r="I58" s="190" t="s">
        <v>1</v>
      </c>
      <c r="J58" s="190" t="s">
        <v>13</v>
      </c>
      <c r="K58" s="190" t="s">
        <v>2</v>
      </c>
      <c r="L58" s="190" t="s">
        <v>23</v>
      </c>
      <c r="M58" s="189" t="s">
        <v>24</v>
      </c>
      <c r="N58" s="190" t="s">
        <v>18</v>
      </c>
      <c r="O58" s="190" t="s">
        <v>15</v>
      </c>
      <c r="P58" s="190" t="s">
        <v>11</v>
      </c>
      <c r="Q58" s="190" t="s">
        <v>3</v>
      </c>
      <c r="R58" s="190" t="s">
        <v>7</v>
      </c>
      <c r="S58" s="190" t="s">
        <v>14</v>
      </c>
      <c r="T58" s="190" t="s">
        <v>25</v>
      </c>
      <c r="U58" s="190" t="s">
        <v>10</v>
      </c>
      <c r="V58" s="190" t="s">
        <v>0</v>
      </c>
      <c r="W58" s="190" t="s">
        <v>8</v>
      </c>
      <c r="X58" s="190" t="s">
        <v>16</v>
      </c>
      <c r="Y58" s="190" t="s">
        <v>19</v>
      </c>
      <c r="Z58" s="190" t="s">
        <v>17</v>
      </c>
      <c r="AA58" s="190" t="s">
        <v>9</v>
      </c>
      <c r="AB58" s="191" t="s">
        <v>21</v>
      </c>
      <c r="AC58" s="68">
        <f>0.0385*AC55*(AC55-1)</f>
        <v>31.262</v>
      </c>
      <c r="AD58" s="58" t="s">
        <v>116</v>
      </c>
    </row>
    <row r="59" spans="1:130" s="20" customFormat="1" ht="15.75">
      <c r="A59" s="19"/>
      <c r="B59" s="73"/>
      <c r="C59" s="47">
        <v>11</v>
      </c>
      <c r="D59" s="38">
        <v>10</v>
      </c>
      <c r="E59" s="38">
        <v>8</v>
      </c>
      <c r="F59" s="38">
        <v>8</v>
      </c>
      <c r="G59" s="38">
        <v>7</v>
      </c>
      <c r="H59" s="38">
        <v>6</v>
      </c>
      <c r="I59" s="38">
        <v>6</v>
      </c>
      <c r="J59" s="38">
        <v>5</v>
      </c>
      <c r="K59" s="38">
        <v>5</v>
      </c>
      <c r="L59" s="38">
        <v>4</v>
      </c>
      <c r="M59" s="38">
        <v>4</v>
      </c>
      <c r="N59" s="38">
        <v>4</v>
      </c>
      <c r="O59" s="38">
        <v>4</v>
      </c>
      <c r="P59" s="38">
        <v>3</v>
      </c>
      <c r="Q59" s="38">
        <v>3</v>
      </c>
      <c r="R59" s="38">
        <v>2</v>
      </c>
      <c r="S59" s="38">
        <v>2</v>
      </c>
      <c r="T59" s="38">
        <v>1</v>
      </c>
      <c r="U59" s="38">
        <v>1</v>
      </c>
      <c r="V59" s="38">
        <v>1</v>
      </c>
      <c r="W59" s="38">
        <v>1</v>
      </c>
      <c r="X59" s="38">
        <v>1</v>
      </c>
      <c r="Y59" s="38">
        <v>0</v>
      </c>
      <c r="Z59" s="38">
        <v>0</v>
      </c>
      <c r="AA59" s="38">
        <v>0</v>
      </c>
      <c r="AB59" s="39">
        <v>0</v>
      </c>
      <c r="AC59" s="69">
        <f>0.0667*AC55*(AC55-1)</f>
        <v>54.160399999999996</v>
      </c>
      <c r="AD59" s="59" t="s">
        <v>117</v>
      </c>
    </row>
    <row r="60" spans="1:130" s="20" customFormat="1" ht="15.75">
      <c r="A60" s="19"/>
      <c r="B60" s="73"/>
      <c r="C60" s="4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40"/>
      <c r="AC60" s="70">
        <f>AC57/AC58</f>
        <v>1.5354104024054762</v>
      </c>
      <c r="AD60" s="60" t="s">
        <v>32</v>
      </c>
    </row>
    <row r="61" spans="1:130" s="20" customFormat="1" ht="15.75">
      <c r="A61" s="19"/>
      <c r="B61" s="19"/>
      <c r="C61" s="41"/>
      <c r="AC61" s="51"/>
      <c r="AD61" s="52"/>
    </row>
    <row r="62" spans="1:130" s="20" customFormat="1" ht="15.75"/>
    <row r="63" spans="1:130" s="20" customFormat="1" ht="15.75"/>
    <row r="64" spans="1:130" s="20" customFormat="1" ht="15.75"/>
    <row r="65" spans="1:30" s="20" customFormat="1" ht="15.75"/>
    <row r="66" spans="1:30" s="20" customFormat="1" ht="15.75"/>
    <row r="67" spans="1:30" s="20" customFormat="1" ht="15.75"/>
    <row r="68" spans="1:30" s="20" customFormat="1" ht="15.75">
      <c r="C68" s="35">
        <v>12</v>
      </c>
      <c r="D68" s="35">
        <v>20</v>
      </c>
      <c r="E68" s="35">
        <v>2</v>
      </c>
      <c r="F68" s="35">
        <v>6</v>
      </c>
      <c r="G68" s="35">
        <v>2</v>
      </c>
      <c r="H68" s="35">
        <v>12</v>
      </c>
      <c r="I68" s="35">
        <v>12</v>
      </c>
      <c r="J68" s="35">
        <v>2</v>
      </c>
      <c r="K68" s="35">
        <v>12</v>
      </c>
      <c r="L68" s="35">
        <v>6</v>
      </c>
      <c r="M68" s="35">
        <v>56</v>
      </c>
      <c r="N68" s="35">
        <v>12</v>
      </c>
      <c r="O68" s="35">
        <v>0</v>
      </c>
      <c r="P68" s="35">
        <v>6</v>
      </c>
      <c r="Q68" s="35">
        <v>20</v>
      </c>
      <c r="R68" s="35">
        <v>6</v>
      </c>
      <c r="S68" s="35">
        <v>12</v>
      </c>
      <c r="T68" s="35">
        <v>12</v>
      </c>
      <c r="U68" s="35">
        <v>30</v>
      </c>
      <c r="V68" s="35">
        <v>30</v>
      </c>
      <c r="W68" s="35">
        <v>30</v>
      </c>
      <c r="X68" s="35">
        <v>2</v>
      </c>
      <c r="Y68" s="35">
        <v>20</v>
      </c>
      <c r="Z68" s="35">
        <v>2</v>
      </c>
      <c r="AA68" s="35">
        <v>0</v>
      </c>
      <c r="AB68" s="35">
        <v>12</v>
      </c>
      <c r="AC68" s="179">
        <v>0</v>
      </c>
    </row>
    <row r="69" spans="1:30" s="20" customFormat="1" ht="15.75">
      <c r="C69" s="180">
        <f>MOD(C68,26)</f>
        <v>12</v>
      </c>
      <c r="D69" s="180">
        <f t="shared" ref="D69:AB69" si="21">MOD(D68,26)</f>
        <v>20</v>
      </c>
      <c r="E69" s="180">
        <f t="shared" si="21"/>
        <v>2</v>
      </c>
      <c r="F69" s="180">
        <f t="shared" si="21"/>
        <v>6</v>
      </c>
      <c r="G69" s="180">
        <f t="shared" si="21"/>
        <v>2</v>
      </c>
      <c r="H69" s="180">
        <f t="shared" si="21"/>
        <v>12</v>
      </c>
      <c r="I69" s="180">
        <f t="shared" si="21"/>
        <v>12</v>
      </c>
      <c r="J69" s="180">
        <f t="shared" si="21"/>
        <v>2</v>
      </c>
      <c r="K69" s="180">
        <f t="shared" si="21"/>
        <v>12</v>
      </c>
      <c r="L69" s="180">
        <f t="shared" si="21"/>
        <v>6</v>
      </c>
      <c r="M69" s="180">
        <f t="shared" si="21"/>
        <v>4</v>
      </c>
      <c r="N69" s="180">
        <f t="shared" si="21"/>
        <v>12</v>
      </c>
      <c r="O69" s="180">
        <f t="shared" si="21"/>
        <v>0</v>
      </c>
      <c r="P69" s="180">
        <f t="shared" si="21"/>
        <v>6</v>
      </c>
      <c r="Q69" s="180">
        <f t="shared" si="21"/>
        <v>20</v>
      </c>
      <c r="R69" s="180">
        <f t="shared" si="21"/>
        <v>6</v>
      </c>
      <c r="S69" s="180">
        <f t="shared" si="21"/>
        <v>12</v>
      </c>
      <c r="T69" s="180">
        <f t="shared" si="21"/>
        <v>12</v>
      </c>
      <c r="U69" s="180">
        <f t="shared" si="21"/>
        <v>4</v>
      </c>
      <c r="V69" s="180">
        <f t="shared" si="21"/>
        <v>4</v>
      </c>
      <c r="W69" s="180">
        <f t="shared" si="21"/>
        <v>4</v>
      </c>
      <c r="X69" s="180">
        <f t="shared" si="21"/>
        <v>2</v>
      </c>
      <c r="Y69" s="180">
        <f t="shared" si="21"/>
        <v>20</v>
      </c>
      <c r="Z69" s="180">
        <f t="shared" si="21"/>
        <v>2</v>
      </c>
      <c r="AA69" s="180">
        <f t="shared" si="21"/>
        <v>0</v>
      </c>
      <c r="AB69" s="180">
        <f t="shared" si="21"/>
        <v>12</v>
      </c>
      <c r="AC69" s="179">
        <v>0</v>
      </c>
    </row>
    <row r="70" spans="1:30" s="20" customFormat="1" ht="15.75">
      <c r="A70" s="19"/>
      <c r="B70" s="19"/>
      <c r="C70" s="179">
        <v>12</v>
      </c>
      <c r="D70" s="179">
        <v>20</v>
      </c>
      <c r="E70" s="179">
        <v>2</v>
      </c>
      <c r="F70" s="179">
        <v>6</v>
      </c>
      <c r="G70" s="179">
        <v>2</v>
      </c>
      <c r="H70" s="179">
        <v>12</v>
      </c>
      <c r="I70" s="179">
        <v>12</v>
      </c>
      <c r="J70" s="179">
        <v>2</v>
      </c>
      <c r="K70" s="179">
        <v>12</v>
      </c>
      <c r="L70" s="179">
        <v>6</v>
      </c>
      <c r="M70" s="179">
        <v>4</v>
      </c>
      <c r="N70" s="179">
        <v>12</v>
      </c>
      <c r="O70" s="179">
        <v>0</v>
      </c>
      <c r="P70" s="179">
        <v>6</v>
      </c>
      <c r="Q70" s="179">
        <v>20</v>
      </c>
      <c r="R70" s="179">
        <v>6</v>
      </c>
      <c r="S70" s="179">
        <v>12</v>
      </c>
      <c r="T70" s="179">
        <v>12</v>
      </c>
      <c r="U70" s="179">
        <v>4</v>
      </c>
      <c r="V70" s="179">
        <v>4</v>
      </c>
      <c r="W70" s="179">
        <v>4</v>
      </c>
      <c r="X70" s="179">
        <v>2</v>
      </c>
      <c r="Y70" s="179">
        <v>20</v>
      </c>
      <c r="Z70" s="179">
        <v>2</v>
      </c>
      <c r="AA70" s="179">
        <v>0</v>
      </c>
      <c r="AB70" s="179">
        <v>12</v>
      </c>
      <c r="AC70" s="180">
        <v>2</v>
      </c>
      <c r="AD70" s="52"/>
    </row>
    <row r="71" spans="1:30" ht="15.75">
      <c r="AC71" s="180">
        <v>2</v>
      </c>
    </row>
    <row r="72" spans="1:30" ht="15.75">
      <c r="AC72" s="180">
        <v>2</v>
      </c>
    </row>
    <row r="73" spans="1:30" ht="15.75">
      <c r="AC73" s="180">
        <v>2</v>
      </c>
    </row>
    <row r="74" spans="1:30" ht="15.75">
      <c r="AC74" s="180">
        <v>2</v>
      </c>
    </row>
    <row r="75" spans="1:30" ht="15.75">
      <c r="AC75" s="179">
        <v>4</v>
      </c>
    </row>
    <row r="76" spans="1:30" ht="15.75">
      <c r="AC76" s="179">
        <v>4</v>
      </c>
    </row>
    <row r="77" spans="1:30" ht="15.75">
      <c r="AC77" s="179">
        <v>4</v>
      </c>
    </row>
    <row r="78" spans="1:30" ht="15.75">
      <c r="AC78" s="179">
        <v>4</v>
      </c>
    </row>
    <row r="79" spans="1:30" ht="15.75">
      <c r="AC79" s="180">
        <v>6</v>
      </c>
    </row>
    <row r="80" spans="1:30" ht="15.75">
      <c r="AC80" s="180">
        <v>6</v>
      </c>
    </row>
    <row r="81" spans="29:29" ht="15.75">
      <c r="AC81" s="180">
        <v>6</v>
      </c>
    </row>
    <row r="82" spans="29:29" ht="15.75">
      <c r="AC82" s="180">
        <v>6</v>
      </c>
    </row>
    <row r="83" spans="29:29" ht="15.75">
      <c r="AC83" s="179">
        <v>12</v>
      </c>
    </row>
    <row r="84" spans="29:29" ht="15.75">
      <c r="AC84" s="179">
        <v>12</v>
      </c>
    </row>
    <row r="85" spans="29:29" ht="15.75">
      <c r="AC85" s="179">
        <v>12</v>
      </c>
    </row>
    <row r="86" spans="29:29" ht="15.75">
      <c r="AC86" s="179">
        <v>12</v>
      </c>
    </row>
    <row r="87" spans="29:29" ht="15.75">
      <c r="AC87" s="179">
        <v>12</v>
      </c>
    </row>
    <row r="88" spans="29:29" ht="15.75">
      <c r="AC88" s="179">
        <v>12</v>
      </c>
    </row>
    <row r="89" spans="29:29" ht="15.75">
      <c r="AC89" s="179">
        <v>12</v>
      </c>
    </row>
    <row r="90" spans="29:29" ht="15.75">
      <c r="AC90" s="179">
        <v>12</v>
      </c>
    </row>
    <row r="91" spans="29:29" ht="15.75">
      <c r="AC91" s="180">
        <v>20</v>
      </c>
    </row>
    <row r="92" spans="29:29" ht="15.75">
      <c r="AC92" s="180">
        <v>20</v>
      </c>
    </row>
    <row r="93" spans="29:29" ht="15.75">
      <c r="AC93" s="180">
        <v>20</v>
      </c>
    </row>
  </sheetData>
  <sortState ref="AC68:AC93">
    <sortCondition ref="AC6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Dankuka</vt:lpstr>
      <vt:lpstr>Sheet1</vt:lpstr>
      <vt:lpstr>Sheet1!DANKUc1</vt:lpstr>
      <vt:lpstr>Sheet1!DANKUc2</vt:lpstr>
      <vt:lpstr>Sheet1!DANKUp1</vt:lpstr>
      <vt:lpstr>Sheet1!DANKUp2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G. ELLIS</dc:creator>
  <cp:lastModifiedBy>CARL G. ELLIS</cp:lastModifiedBy>
  <cp:lastPrinted>2010-04-30T17:13:04Z</cp:lastPrinted>
  <dcterms:created xsi:type="dcterms:W3CDTF">2009-05-24T00:52:15Z</dcterms:created>
  <dcterms:modified xsi:type="dcterms:W3CDTF">2015-01-31T01:13:13Z</dcterms:modified>
</cp:coreProperties>
</file>