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5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G90" i="1" l="1"/>
  <c r="AE90" i="1"/>
  <c r="AI90" i="1" s="1"/>
  <c r="AG89" i="1"/>
  <c r="AG91" i="1" s="1"/>
  <c r="AE89" i="1"/>
  <c r="AE91" i="1" s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BK40" i="1"/>
  <c r="BI40" i="1"/>
  <c r="BG40" i="1"/>
  <c r="AU40" i="1"/>
  <c r="AS40" i="1"/>
  <c r="AW40" i="1" s="1"/>
  <c r="AG40" i="1"/>
  <c r="AE40" i="1"/>
  <c r="AI40" i="1" s="1"/>
  <c r="BK39" i="1"/>
  <c r="BK41" i="1" s="1"/>
  <c r="BI39" i="1"/>
  <c r="BI41" i="1" s="1"/>
  <c r="BG39" i="1"/>
  <c r="BG41" i="1" s="1"/>
  <c r="AU39" i="1"/>
  <c r="AU41" i="1" s="1"/>
  <c r="AS39" i="1"/>
  <c r="AS41" i="1" s="1"/>
  <c r="AG39" i="1"/>
  <c r="AG41" i="1" s="1"/>
  <c r="AE39" i="1"/>
  <c r="AE41" i="1" s="1"/>
  <c r="BS14" i="1"/>
  <c r="BS6" i="1"/>
  <c r="AW39" i="1" l="1"/>
  <c r="AW41" i="1" s="1"/>
  <c r="AI39" i="1"/>
  <c r="AI41" i="1" s="1"/>
  <c r="AI89" i="1"/>
  <c r="AI91" i="1" s="1"/>
</calcChain>
</file>

<file path=xl/sharedStrings.xml><?xml version="1.0" encoding="utf-8"?>
<sst xmlns="http://schemas.openxmlformats.org/spreadsheetml/2006/main" count="365" uniqueCount="165">
  <si>
    <r>
      <t>I was reading Martin Gardner</t>
    </r>
    <r>
      <rPr>
        <vertAlign val="superscript"/>
        <sz val="10"/>
        <color theme="1"/>
        <rFont val="Arial Unicode MS"/>
        <family val="2"/>
      </rPr>
      <t>1</t>
    </r>
    <r>
      <rPr>
        <sz val="10"/>
        <color theme="1"/>
        <rFont val="Arial Unicode MS"/>
        <family val="2"/>
      </rPr>
      <t xml:space="preserve"> in an attempt to find visual, geometric enciphering possibilities</t>
    </r>
  </si>
  <si>
    <t>when I encountered his article on the Gray Code.  The name is reminiscent of K1's message,</t>
  </si>
  <si>
    <t>and it is a form of binary, and the basic version is formed reflectively.  That is the one that</t>
  </si>
  <si>
    <t xml:space="preserve">Gardner says is usually considered ~The~ Gray Code by mathematicians.  (There are many </t>
  </si>
  <si>
    <t xml:space="preserve">variations; in fact, as the number of numeric bases is infinite, so is the number of Gray Codes) </t>
  </si>
  <si>
    <t>I wrote out the 6-bit part of it with the idea of finding something that might relate to the much-</t>
  </si>
  <si>
    <t xml:space="preserve">discussed Morse, and found numerical parameters which have convinced me that it is Sanborn's </t>
  </si>
  <si>
    <t>"Original Matrix" and that our attention is directed to it by K1.</t>
  </si>
  <si>
    <r>
      <rPr>
        <b/>
        <sz val="10"/>
        <color rgb="FFFF0000"/>
        <rFont val="Arial Unicode MS"/>
        <family val="2"/>
      </rPr>
      <t>6</t>
    </r>
    <r>
      <rPr>
        <sz val="10"/>
        <color theme="1"/>
        <rFont val="Arial Unicode MS"/>
        <family val="2"/>
      </rPr>
      <t xml:space="preserve">-bit binary numbers begin at decimal </t>
    </r>
    <r>
      <rPr>
        <b/>
        <sz val="10"/>
        <color rgb="FFFF0000"/>
        <rFont val="Arial Unicode MS"/>
        <family val="2"/>
      </rPr>
      <t>32</t>
    </r>
    <r>
      <rPr>
        <sz val="10"/>
        <color theme="1"/>
        <rFont val="Arial Unicode MS"/>
        <family val="2"/>
      </rPr>
      <t xml:space="preserve">, and if </t>
    </r>
    <r>
      <rPr>
        <sz val="10"/>
        <rFont val="Arial Unicode MS"/>
        <family val="2"/>
      </rPr>
      <t>the alphabet is mapped to them</t>
    </r>
    <r>
      <rPr>
        <sz val="10"/>
        <color theme="1"/>
        <rFont val="Arial Unicode MS"/>
        <family val="2"/>
      </rPr>
      <t xml:space="preserve">, it ends </t>
    </r>
  </si>
  <si>
    <r>
      <t xml:space="preserve">neatly with Z at </t>
    </r>
    <r>
      <rPr>
        <b/>
        <sz val="10"/>
        <color rgb="FFFF0000"/>
        <rFont val="Arial Unicode MS"/>
        <family val="2"/>
      </rPr>
      <t>57</t>
    </r>
    <r>
      <rPr>
        <sz val="10"/>
        <color theme="1"/>
        <rFont val="Arial Unicode MS"/>
        <family val="2"/>
      </rPr>
      <t xml:space="preserve">.  The last 6-bit number would correspond to decimal </t>
    </r>
    <r>
      <rPr>
        <b/>
        <sz val="10"/>
        <color rgb="FFFF0000"/>
        <rFont val="Arial Unicode MS"/>
        <family val="2"/>
      </rPr>
      <t>63</t>
    </r>
    <r>
      <rPr>
        <sz val="10"/>
        <color theme="1"/>
        <rFont val="Arial Unicode MS"/>
        <family val="2"/>
      </rPr>
      <t xml:space="preserve">.  These numbers  </t>
    </r>
  </si>
  <si>
    <r>
      <t xml:space="preserve">are all "mentioned" by K1.  The full array of ones &amp; zeroes from 32 thru 63 contains </t>
    </r>
    <r>
      <rPr>
        <b/>
        <sz val="10"/>
        <color rgb="FFFF0000"/>
        <rFont val="Arial Unicode MS"/>
        <family val="2"/>
      </rPr>
      <t>192</t>
    </r>
    <r>
      <rPr>
        <sz val="10"/>
        <color theme="1"/>
        <rFont val="Arial Unicode MS"/>
        <family val="2"/>
      </rPr>
      <t xml:space="preserve"> of </t>
    </r>
  </si>
  <si>
    <t xml:space="preserve">them, the period of K3.  The first section of the array, from 32 to 57 ('upper part of the door'?) </t>
  </si>
  <si>
    <r>
      <t xml:space="preserve">contains 6x26 characters, i.e. 156, for which read 1-56, there being </t>
    </r>
    <r>
      <rPr>
        <b/>
        <sz val="10"/>
        <color rgb="FFFF0000"/>
        <rFont val="Arial Unicode MS"/>
        <family val="2"/>
      </rPr>
      <t>56</t>
    </r>
    <r>
      <rPr>
        <sz val="10"/>
        <color theme="1"/>
        <rFont val="Arial Unicode MS"/>
        <family val="2"/>
      </rPr>
      <t xml:space="preserve"> characters in K</t>
    </r>
    <r>
      <rPr>
        <u/>
        <sz val="10"/>
        <color theme="1"/>
        <rFont val="Arial Unicode MS"/>
        <family val="2"/>
      </rPr>
      <t>1</t>
    </r>
    <r>
      <rPr>
        <sz val="10"/>
        <color theme="1"/>
        <rFont val="Arial Unicode MS"/>
        <family val="2"/>
      </rPr>
      <t xml:space="preserve"> before </t>
    </r>
  </si>
  <si>
    <t xml:space="preserve">the "error" (though this fails to count #57, the "error" itself); and the second section  (The </t>
  </si>
  <si>
    <r>
      <t xml:space="preserve">"remaining debris encumbering the lower part of the door"?), the </t>
    </r>
    <r>
      <rPr>
        <b/>
        <sz val="10"/>
        <color rgb="FFFF0000"/>
        <rFont val="Arial Unicode MS"/>
        <family val="2"/>
      </rPr>
      <t>6</t>
    </r>
    <r>
      <rPr>
        <sz val="10"/>
        <color theme="1"/>
        <rFont val="Arial Unicode MS"/>
        <family val="2"/>
      </rPr>
      <t xml:space="preserve"> rows after row 57. Also,</t>
    </r>
  </si>
  <si>
    <r>
      <t xml:space="preserve">starting at the third K2 query, if the 'erroneously' omitted S/x remains omitted, there are </t>
    </r>
    <r>
      <rPr>
        <b/>
        <sz val="10"/>
        <color rgb="FFFF0000"/>
        <rFont val="Arial Unicode MS"/>
        <family val="2"/>
      </rPr>
      <t>156</t>
    </r>
    <r>
      <rPr>
        <sz val="10"/>
        <color theme="1"/>
        <rFont val="Arial Unicode MS"/>
        <family val="2"/>
      </rPr>
      <t xml:space="preserve"> </t>
    </r>
  </si>
  <si>
    <t xml:space="preserve">characters to the L/a 'error' in "desparatly".  There is also possible confirmation, or maybe an </t>
  </si>
  <si>
    <t xml:space="preserve">independent method for recognizing this array, in the coordinates:  38° 57' 6.5" N might be a </t>
  </si>
  <si>
    <t xml:space="preserve">reminder to Sanborn of an array 6 wide, 32 to 57, 6 lines at the bottom to be disregarded, </t>
  </si>
  <si>
    <t xml:space="preserve">point between 6 &amp; 5 in the seconds to be understood as a period.  However, I believe the </t>
  </si>
  <si>
    <t xml:space="preserve">primary, and tell-tale, method for the intended recipient to be reminded of the Gray Code to </t>
  </si>
  <si>
    <t xml:space="preserve">be as follows:  </t>
  </si>
  <si>
    <t xml:space="preserve">The last letter of K2 Ciphertext is G.  It is followed by K3 Ciphertext END and then YA (raised) </t>
  </si>
  <si>
    <t xml:space="preserve">H (normal) R (raised), all Ciphertext.  The G is to be put at the END of the raised letters, thusly:  </t>
  </si>
  <si>
    <t xml:space="preserve">YARG.  Cyrillic Jim being reminded by the "YA" and the "R" of the concept of "backwardsness" </t>
  </si>
  <si>
    <t>then reverses this to GRAY (which is probably enough by itself), and if still at a loss to remember</t>
  </si>
  <si>
    <r>
      <t>details, considers the numbers suggested by G-END-YA until he recalls that K</t>
    </r>
    <r>
      <rPr>
        <u/>
        <sz val="10"/>
        <color theme="1"/>
        <rFont val="Arial Unicode MS"/>
        <family val="2"/>
      </rPr>
      <t>1</t>
    </r>
    <r>
      <rPr>
        <sz val="10"/>
        <color theme="1"/>
        <rFont val="Arial Unicode MS"/>
        <family val="2"/>
      </rPr>
      <t xml:space="preserve"> refers to a </t>
    </r>
    <r>
      <rPr>
        <u/>
        <sz val="10"/>
        <color theme="1"/>
        <rFont val="Arial Unicode MS"/>
        <family val="2"/>
      </rPr>
      <t>32</t>
    </r>
    <r>
      <rPr>
        <sz val="10"/>
        <color theme="1"/>
        <rFont val="Arial Unicode MS"/>
        <family val="2"/>
      </rPr>
      <t>-</t>
    </r>
  </si>
  <si>
    <r>
      <t xml:space="preserve">row array containing </t>
    </r>
    <r>
      <rPr>
        <u/>
        <sz val="10"/>
        <color theme="1"/>
        <rFont val="Arial Unicode MS"/>
        <family val="2"/>
      </rPr>
      <t>6</t>
    </r>
    <r>
      <rPr>
        <sz val="10"/>
        <color theme="1"/>
        <rFont val="Arial Unicode MS"/>
        <family val="2"/>
      </rPr>
      <t xml:space="preserve"> columns.  The "extra" "L" on the tableau occurs on the same level as YAR,</t>
    </r>
  </si>
  <si>
    <t>and is probably there to remind J. S. that YAR requires an "extra" letter, viz., K2#370, "G".</t>
  </si>
  <si>
    <t xml:space="preserve">Of the standard &amp; Gray binary 26-number sequences between 32 &amp; 63, the Gray Code from </t>
  </si>
  <si>
    <r>
      <t xml:space="preserve">32 to 57 contains </t>
    </r>
    <r>
      <rPr>
        <b/>
        <sz val="10"/>
        <color rgb="FFFF0000"/>
        <rFont val="Arial Unicode MS"/>
        <family val="2"/>
      </rPr>
      <t>97</t>
    </r>
    <r>
      <rPr>
        <sz val="10"/>
        <color theme="1"/>
        <rFont val="Arial Unicode MS"/>
        <family val="2"/>
      </rPr>
      <t xml:space="preserve"> ones and </t>
    </r>
    <r>
      <rPr>
        <b/>
        <sz val="10"/>
        <color rgb="FFFF0000"/>
        <rFont val="Arial Unicode MS"/>
        <family val="2"/>
      </rPr>
      <t>59</t>
    </r>
    <r>
      <rPr>
        <sz val="10"/>
        <color theme="1"/>
        <rFont val="Arial Unicode MS"/>
        <family val="2"/>
      </rPr>
      <t xml:space="preserve"> zeroes, which is approximately the ratio of dits to dahs </t>
    </r>
  </si>
  <si>
    <t xml:space="preserve">in English Morse, and the only one of the said samples that comes so close.   97 &amp; 59 can </t>
  </si>
  <si>
    <t xml:space="preserve">both be derived from YA_R, as can the word "array".  Of the other 6 consecutive-number </t>
  </si>
  <si>
    <t xml:space="preserve">26-long positions available from the array without cycling end-to-beginning, two are as close, </t>
  </si>
  <si>
    <t xml:space="preserve">and four are nearly so, but I don't see a K1 indicator for beginning elsewhere.  Though the first </t>
  </si>
  <si>
    <r>
      <t>two lines of K</t>
    </r>
    <r>
      <rPr>
        <u/>
        <sz val="10"/>
        <color theme="1"/>
        <rFont val="Arial Unicode MS"/>
        <family val="2"/>
      </rPr>
      <t>2</t>
    </r>
    <r>
      <rPr>
        <sz val="10"/>
        <color theme="1"/>
        <rFont val="Arial Unicode MS"/>
        <family val="2"/>
      </rPr>
      <t xml:space="preserve"> do contain a possible marker (?) just after K2#37 (and 38 is mentioned in the </t>
    </r>
  </si>
  <si>
    <t xml:space="preserve">coordinates, and 38 is the percentage of zeroes in the 6 x 26 array), they have a total of 61 </t>
  </si>
  <si>
    <t xml:space="preserve">characters, and thus don't quite describe either the 32-line or the 26-line array.  </t>
  </si>
  <si>
    <t xml:space="preserve">The first thing that occurs to the Kryptanalyst on finding a set of 97 somethings mixed irregularly </t>
  </si>
  <si>
    <t xml:space="preserve">with 59 something-elses is that the 97 somethings are to be used to indicate the letters to be pulled </t>
  </si>
  <si>
    <t>from a text to form an OTP, the system thus frustrating attempts to find such an OTP by brute-</t>
  </si>
  <si>
    <t xml:space="preserve">forcing all the possible regular intervals.  I suppose that to be the case, though it seems to me </t>
  </si>
  <si>
    <t>that using it so, without any further complications, against any of our text just as given would be</t>
  </si>
  <si>
    <t xml:space="preserve">a bit too obvious.  To be sure, the information given here does not tell us what text to pull from, </t>
  </si>
  <si>
    <t>nor how/whether to manipulate that text (or this Gray array, for that matter), so it is hardly a give-</t>
  </si>
  <si>
    <t xml:space="preserve">away of the whole show if it is to be so used.  But K4 was supposed to be the difficult section, </t>
  </si>
  <si>
    <t xml:space="preserve">and the discovery of the Gray Code matrix is hardly difficult, but mostly a matter of pure luck, so </t>
  </si>
  <si>
    <t xml:space="preserve">that I would assume that the difficult part comes after identifying the Original Matrix.  If anybody </t>
  </si>
  <si>
    <t xml:space="preserve">wants to "try all the shifts" as J. S. put it, in hopes that The Original Matrix is the hard part and </t>
  </si>
  <si>
    <t xml:space="preserve">that the rest is routine drudge work, my recommendation would be to use the 457 letters from </t>
  </si>
  <si>
    <t xml:space="preserve">Carter's text omitted from J. S.' quote - YAR is is a very versatile key.  But I'm betting that the </t>
  </si>
  <si>
    <t>K4 solution is not that near at hand, and hereafter is where it gets convoluted.</t>
  </si>
  <si>
    <t>For example, returning to the coordinates beyond the period, 5 x 77 = 385 = all of K2 plus the 15</t>
  </si>
  <si>
    <t>letters to the omitted "e" in K3, if you count the place of omission.  This divides into two 192-long</t>
  </si>
  <si>
    <t xml:space="preserve">sections separated by a midpoint at K2#193, or two 192-long sections without midpoint if you don't </t>
  </si>
  <si>
    <t>count the K3#15 spot where the omission is.  These could be used as a "double OTP"; i.e. convert</t>
  </si>
  <si>
    <t xml:space="preserve">both strings to numerals and add them, then use the 192-character Gray Code array to pick out the </t>
  </si>
  <si>
    <t xml:space="preserve">ones to use against K4.  Speaking of which, note the remaining 3 digits of the coordinates, 8-4-4:   </t>
  </si>
  <si>
    <t>84 x 4 = 336, in reverse, 4 x 48 = 192.  And 19^2 (read 192) plus 3^2 (read 32) = 370, K2 letter count.</t>
  </si>
  <si>
    <t>As the 1:0 ratio is so close to the dit/dah ratio, it seems possible that some Morse-related/based</t>
  </si>
  <si>
    <t xml:space="preserve">system is involved.   (The total Morse characters of K4 amount to 299, or 13 x 23, and 156 = 13 </t>
  </si>
  <si>
    <t xml:space="preserve">x 12.)  But if we believe J. S., then from K4#64 to K4#69 N=B, Y=E, P=R, V=L, T=I &amp; T=N; and </t>
  </si>
  <si>
    <t xml:space="preserve">I don't see much point in involving Morse if there is to be no fractionizing &amp; recombining.  </t>
  </si>
  <si>
    <t xml:space="preserve">As the 97 ones are a bit obvious, and may serve only to help confirm one's arrival at the </t>
  </si>
  <si>
    <t xml:space="preserve">Original Matrix, the actual indicators might well be the zeroes ("tiny breach[es]?), which are </t>
  </si>
  <si>
    <t xml:space="preserve">better and more thinly scattered than the ones and less regular in occurence; and the point of </t>
  </si>
  <si>
    <t xml:space="preserve">using this matrix seems to be to create a system of irregularity that is unlikely to be duplicated </t>
  </si>
  <si>
    <t xml:space="preserve">or stumbled on by chance, but whose construction is easily committed to memory.  Sloane's </t>
  </si>
  <si>
    <t xml:space="preserve">List of Integer Series (OEIS on the net) is full of fine "randomizers", but most are hideously </t>
  </si>
  <si>
    <t xml:space="preserve">complex to derive or memorize. There are 5 starting point letters which give 97 zeroes if the </t>
  </si>
  <si>
    <t xml:space="preserve">array is the 192-digit one from 32 to 63 (mapped to standard alphabet from 32 to 57) with an </t>
  </si>
  <si>
    <t xml:space="preserve">additional 7 rows repeated (candle in the upper left corner?), for 234 bits:  A, M, Q, S &amp; U.  </t>
  </si>
  <si>
    <r>
      <t xml:space="preserve">MASQU if you prefer. </t>
    </r>
    <r>
      <rPr>
        <b/>
        <i/>
        <sz val="10"/>
        <color theme="1"/>
        <rFont val="Arial Unicode MS"/>
        <family val="2"/>
      </rPr>
      <t>:)</t>
    </r>
    <r>
      <rPr>
        <sz val="10"/>
        <color theme="1"/>
        <rFont val="Arial Unicode MS"/>
        <family val="2"/>
      </rPr>
      <t xml:space="preserve">   234 = 3/2 x 156, as well as 370-136 (my old Point 3, figured from </t>
    </r>
  </si>
  <si>
    <t xml:space="preserve">Error 2).  If we think of the K2 final G as #1 in the Original Matrix Reminder, END are 2-3-4, and </t>
  </si>
  <si>
    <t xml:space="preserve">234 is thus what is contained within GRAY, so to speak.  But if the zeroes are to be the focus, </t>
  </si>
  <si>
    <t xml:space="preserve">I prefer this:  The 59 zeroes in rows 32 through 57 tell you to expand the used array through row </t>
  </si>
  <si>
    <t xml:space="preserve">59  (Where the standard binary value of the Gray Code equals 38).  This yields a total of 64 </t>
  </si>
  <si>
    <t xml:space="preserve">zeroes in the enlarged part of the array to be used; 64 is "mentioned" in K2 by the first letter,  </t>
  </si>
  <si>
    <t xml:space="preserve">and by the sum of the digits of the coordinates.  This proceeding also re-emphasizes the 192, </t>
  </si>
  <si>
    <t xml:space="preserve">in that line 32 has a standard binary value of 48, and this times the 4 remaining lines of "debris" </t>
  </si>
  <si>
    <t>would give 192 again.  As the skip intervals of the series of zeroes are overall non-repetitive</t>
  </si>
  <si>
    <t xml:space="preserve">and non-translating, this would put paid to any attempt to extract an OTP string from anything </t>
  </si>
  <si>
    <t xml:space="preserve">by using just the first 26 lines, however ordered. </t>
  </si>
  <si>
    <t xml:space="preserve">Of course the array could be rearranged in any sequence, e.g. by KRYPTOS used as a key as </t>
  </si>
  <si>
    <t xml:space="preserve">it was in the Vigenaire tableau; or the pattern could be further disrupted by rearranging the Gray </t>
  </si>
  <si>
    <t xml:space="preserve">numerals internally, such as by use of KRYPTOS progressively anagrammed; or by the 6-place </t>
  </si>
  <si>
    <t xml:space="preserve">decimals for sevenths; or by double rotation, or YAR, or, or, or.   Nor do we know at what point </t>
  </si>
  <si>
    <t xml:space="preserve">to begin on the matrix when once it is adjusted, if that be necessary, nor to what text to apply it.  </t>
  </si>
  <si>
    <t xml:space="preserve">(Wouldn't it be a nice touch to require the omitted part of K3 to be reinserted, the whole then </t>
  </si>
  <si>
    <t xml:space="preserve">re-enciphered, and the new CT used for the text to pull an OTP from?)  So, tho I am convinced </t>
  </si>
  <si>
    <t xml:space="preserve">that the subject chunk of Gray Code is indeed Sanborn's Original Matrix, or that from which it </t>
  </si>
  <si>
    <t xml:space="preserve">is to be developed, I doubt it gets us very close to the "wonderful things".  Surely it must be the </t>
  </si>
  <si>
    <t xml:space="preserve">[first] door, but my bet is it's going to take a lot of opening.  </t>
  </si>
  <si>
    <r>
      <t xml:space="preserve">The </t>
    </r>
    <r>
      <rPr>
        <b/>
        <sz val="10"/>
        <color theme="1"/>
        <rFont val="Arial Unicode MS"/>
        <family val="2"/>
      </rPr>
      <t>O</t>
    </r>
    <r>
      <rPr>
        <sz val="10"/>
        <color theme="1"/>
        <rFont val="Arial Unicode MS"/>
        <family val="2"/>
      </rPr>
      <t xml:space="preserve">n-line </t>
    </r>
    <r>
      <rPr>
        <b/>
        <sz val="10"/>
        <color theme="1"/>
        <rFont val="Arial Unicode MS"/>
        <family val="2"/>
      </rPr>
      <t>E</t>
    </r>
    <r>
      <rPr>
        <sz val="10"/>
        <color theme="1"/>
        <rFont val="Arial Unicode MS"/>
        <family val="2"/>
      </rPr>
      <t xml:space="preserve">ncyclopedia of </t>
    </r>
    <r>
      <rPr>
        <b/>
        <sz val="10"/>
        <color theme="1"/>
        <rFont val="Arial Unicode MS"/>
        <family val="2"/>
      </rPr>
      <t>I</t>
    </r>
    <r>
      <rPr>
        <sz val="10"/>
        <color theme="1"/>
        <rFont val="Arial Unicode MS"/>
        <family val="2"/>
      </rPr>
      <t xml:space="preserve">nteger </t>
    </r>
    <r>
      <rPr>
        <b/>
        <sz val="10"/>
        <color theme="1"/>
        <rFont val="Arial Unicode MS"/>
        <family val="2"/>
      </rPr>
      <t>S</t>
    </r>
    <r>
      <rPr>
        <sz val="10"/>
        <color theme="1"/>
        <rFont val="Arial Unicode MS"/>
        <family val="2"/>
      </rPr>
      <t>equences gives a version of the code, #A163233, which</t>
    </r>
  </si>
  <si>
    <r>
      <t>recites in its notes &amp; explanations "</t>
    </r>
    <r>
      <rPr>
        <sz val="10"/>
        <color theme="1"/>
        <rFont val="Cambria"/>
        <family val="1"/>
        <scheme val="major"/>
      </rPr>
      <t>By taking the top left 2x2 corner, 2x4 rectangle ((0,1,5,4),</t>
    </r>
  </si>
  <si>
    <t xml:space="preserve">(2,3,7,6)) or 4x4 corner one obtains Karnaugh map templates for 2, 3 or 4 variables respectively </t>
  </si>
  <si>
    <r>
      <rPr>
        <sz val="10"/>
        <color theme="1"/>
        <rFont val="Cambria"/>
        <family val="1"/>
        <scheme val="major"/>
      </rPr>
      <t>(although not the standard ones usually given in the textbooks)."</t>
    </r>
    <r>
      <rPr>
        <sz val="10"/>
        <color theme="1"/>
        <rFont val="Arial Unicode MS"/>
        <family val="2"/>
      </rPr>
      <t xml:space="preserve">  If it has no particular relevance</t>
    </r>
  </si>
  <si>
    <t>to our work here, it has at least some very handsome, glorious technicolor illustrations of K-maps</t>
  </si>
  <si>
    <t xml:space="preserve">drawn on toroids, and Karnaugh maps on flat surfaces.  Those who are big on word-association, </t>
  </si>
  <si>
    <r>
      <t xml:space="preserve">(I must admit to being bigger on it now than heretofore) can convert </t>
    </r>
    <r>
      <rPr>
        <u/>
        <sz val="10"/>
        <color theme="1"/>
        <rFont val="Arial Unicode MS"/>
        <family val="2"/>
      </rPr>
      <t>Karnaugh</t>
    </r>
    <r>
      <rPr>
        <sz val="10"/>
        <color theme="1"/>
        <rFont val="Arial Unicode MS"/>
        <family val="2"/>
      </rPr>
      <t xml:space="preserve"> to </t>
    </r>
    <r>
      <rPr>
        <u/>
        <sz val="10"/>
        <color theme="1"/>
        <rFont val="Arial Unicode MS"/>
        <family val="2"/>
      </rPr>
      <t>Karnak</t>
    </r>
    <r>
      <rPr>
        <sz val="10"/>
        <color theme="1"/>
        <rFont val="Arial Unicode MS"/>
        <family val="2"/>
      </rPr>
      <t>, and go</t>
    </r>
  </si>
  <si>
    <t xml:space="preserve">study advanced mathematics.  If Ed Scheidt advised Jim Sanborn to study the OEIS notes on </t>
  </si>
  <si>
    <t xml:space="preserve">Gray Codes I can understand why he feels like an anamath.  The one I believe is the simplest is </t>
  </si>
  <si>
    <r>
      <t xml:space="preserve">#A014550, </t>
    </r>
    <r>
      <rPr>
        <u/>
        <sz val="10"/>
        <color theme="1"/>
        <rFont val="Arial Unicode MS"/>
        <family val="2"/>
      </rPr>
      <t>Binary Reflected Gray Code</t>
    </r>
    <r>
      <rPr>
        <sz val="10"/>
        <color theme="1"/>
        <rFont val="Arial Unicode MS"/>
        <family val="2"/>
      </rPr>
      <t xml:space="preserve">, though the OEIS only gives the numerals through Gray </t>
    </r>
  </si>
  <si>
    <t>36.  I recommend Gardner for a sufficient &amp; non-technical explanation.</t>
  </si>
  <si>
    <t>My apologies to anyone whose work I may have infringed unwittingly.  I don't believe I have seen</t>
  </si>
  <si>
    <t xml:space="preserve">the essentials of these observations on our Yahoo site, though being computer-unfriendly I still </t>
  </si>
  <si>
    <t xml:space="preserve">cannot locate the archives to check.  I am rather astonished that, considering the number of </t>
  </si>
  <si>
    <t xml:space="preserve">engineers, infotech, communications, &amp; computer kinds people we have here, that "Gray Code" </t>
  </si>
  <si>
    <t xml:space="preserve">apparently never rang a bell with someone.  Not to mention our intelligence contingent - surely </t>
  </si>
  <si>
    <r>
      <t xml:space="preserve">a proper spook is humdrum, unobtrusive, alltäglich, downright quintessentially </t>
    </r>
    <r>
      <rPr>
        <i/>
        <sz val="10"/>
        <color theme="1"/>
        <rFont val="Arial Unicode MS"/>
        <family val="2"/>
      </rPr>
      <t>gray</t>
    </r>
    <r>
      <rPr>
        <sz val="10"/>
        <color theme="1"/>
        <rFont val="Arial Unicode MS"/>
        <family val="2"/>
      </rPr>
      <t xml:space="preserve">? </t>
    </r>
    <r>
      <rPr>
        <b/>
        <sz val="10"/>
        <color theme="1"/>
        <rFont val="Arial Unicode MS"/>
        <family val="2"/>
      </rPr>
      <t xml:space="preserve"> </t>
    </r>
  </si>
  <si>
    <t>;)</t>
  </si>
  <si>
    <t>Carl Ellis</t>
  </si>
  <si>
    <r>
      <rPr>
        <vertAlign val="superscript"/>
        <sz val="10"/>
        <color theme="1"/>
        <rFont val="Arial Unicode MS"/>
        <family val="2"/>
      </rPr>
      <t>1</t>
    </r>
    <r>
      <rPr>
        <u/>
        <sz val="10"/>
        <color theme="1"/>
        <rFont val="Arial Unicode MS"/>
        <family val="2"/>
      </rPr>
      <t>The Knotted Doughnut And Other Mathematical Entertainments</t>
    </r>
    <r>
      <rPr>
        <sz val="10"/>
        <color theme="1"/>
        <rFont val="Arial Unicode MS"/>
        <family val="2"/>
      </rPr>
      <t xml:space="preserve">,  </t>
    </r>
  </si>
  <si>
    <t>Martin Gardner, 1986, at Chapter 2 (pp 11-27)</t>
  </si>
  <si>
    <t xml:space="preserve">W. H. Freeman &amp; Co., New York, pbk. ISBN 0-7167-1799-9 </t>
  </si>
  <si>
    <t>Chapter 1, on coincidence, might also be apropos for us, and plenty of good stuff in the</t>
  </si>
  <si>
    <t xml:space="preserve">rest of it as well.  I only hope that K5, when we get there, is not going to involve the </t>
  </si>
  <si>
    <t xml:space="preserve">Hamiltonian paths and hypercubes he mentions.  (He opens the chapter with his version </t>
  </si>
  <si>
    <t xml:space="preserve">of a limerick on Gray Code, and I can't resist parody.  When K4 goes down you will all be </t>
  </si>
  <si>
    <r>
      <t xml:space="preserve">treated to </t>
    </r>
    <r>
      <rPr>
        <i/>
        <u/>
        <sz val="10"/>
        <color theme="1"/>
        <rFont val="Arial Unicode MS"/>
        <family val="2"/>
      </rPr>
      <t>The Break of The Old 97</t>
    </r>
    <r>
      <rPr>
        <sz val="10"/>
        <color theme="1"/>
        <rFont val="Arial Unicode MS"/>
        <family val="2"/>
      </rPr>
      <t>, but I daresay no one need worry about that for a bit.)</t>
    </r>
  </si>
  <si>
    <t>The binary Gray Code is fun.</t>
  </si>
  <si>
    <t>So with pencil and paper, old son</t>
  </si>
  <si>
    <t>(And sufficient cold brew), from KV62,</t>
  </si>
  <si>
    <t>Let us ferret out Tutankhamun.</t>
  </si>
  <si>
    <r>
      <t xml:space="preserve">Hm, beginning of K2 to 2nd query </t>
    </r>
    <r>
      <rPr>
        <i/>
        <sz val="8"/>
        <color theme="1"/>
        <rFont val="Arial Unicode MS"/>
        <family val="2"/>
      </rPr>
      <t>is</t>
    </r>
    <r>
      <rPr>
        <sz val="8"/>
        <color theme="1"/>
        <rFont val="Arial Unicode MS"/>
        <family val="2"/>
      </rPr>
      <t xml:space="preserve"> 1</t>
    </r>
    <r>
      <rPr>
        <u/>
        <sz val="8"/>
        <color theme="1"/>
        <rFont val="Arial Unicode MS"/>
        <family val="2"/>
      </rPr>
      <t>62</t>
    </r>
    <r>
      <rPr>
        <sz val="8"/>
        <color theme="1"/>
        <rFont val="Arial Unicode MS"/>
        <family val="2"/>
      </rPr>
      <t xml:space="preserve">, and 3rd query to the omitted "e" is </t>
    </r>
    <r>
      <rPr>
        <i/>
        <sz val="8"/>
        <color theme="1"/>
        <rFont val="Arial Unicode MS"/>
        <family val="2"/>
      </rPr>
      <t>another</t>
    </r>
    <r>
      <rPr>
        <sz val="8"/>
        <color theme="1"/>
        <rFont val="Arial Unicode MS"/>
        <family val="2"/>
      </rPr>
      <t xml:space="preserve"> 1</t>
    </r>
    <r>
      <rPr>
        <u/>
        <sz val="8"/>
        <color theme="1"/>
        <rFont val="Arial Unicode MS"/>
        <family val="2"/>
      </rPr>
      <t>62</t>
    </r>
    <r>
      <rPr>
        <sz val="8"/>
        <color theme="1"/>
        <rFont val="Arial Unicode MS"/>
        <family val="2"/>
      </rPr>
      <t>, KV=K5 ? ...</t>
    </r>
  </si>
  <si>
    <t>In Gray Code Order</t>
  </si>
  <si>
    <t>In Standard Binary Value Order</t>
  </si>
  <si>
    <t>Sorted by Standard-alphabetizing a Kryptos-alphabet mapping</t>
  </si>
  <si>
    <t>GRAY</t>
  </si>
  <si>
    <t>STANDARD</t>
  </si>
  <si>
    <t>VALUE</t>
  </si>
  <si>
    <t>K</t>
  </si>
  <si>
    <t>A</t>
  </si>
  <si>
    <t>H</t>
  </si>
  <si>
    <t>R</t>
  </si>
  <si>
    <t>B</t>
  </si>
  <si>
    <t>I</t>
  </si>
  <si>
    <t>512+32+16+2+1</t>
  </si>
  <si>
    <t>Y</t>
  </si>
  <si>
    <t>C</t>
  </si>
  <si>
    <t>J</t>
  </si>
  <si>
    <t>9'+6'+5'+2'+1'</t>
  </si>
  <si>
    <t>P</t>
  </si>
  <si>
    <t>D</t>
  </si>
  <si>
    <t>T</t>
  </si>
  <si>
    <t>E</t>
  </si>
  <si>
    <t>L</t>
  </si>
  <si>
    <t>O</t>
  </si>
  <si>
    <t>F</t>
  </si>
  <si>
    <t>M</t>
  </si>
  <si>
    <t>S</t>
  </si>
  <si>
    <t>G</t>
  </si>
  <si>
    <t>N</t>
  </si>
  <si>
    <t>Q</t>
  </si>
  <si>
    <t>U</t>
  </si>
  <si>
    <t>V</t>
  </si>
  <si>
    <t>W</t>
  </si>
  <si>
    <t>X</t>
  </si>
  <si>
    <t>Z</t>
  </si>
  <si>
    <t>Y - STD.</t>
  </si>
  <si>
    <t>A - STD.</t>
  </si>
  <si>
    <t>R - STD.</t>
  </si>
  <si>
    <t>Y - GRY.</t>
  </si>
  <si>
    <t>A - GRY.</t>
  </si>
  <si>
    <t>R - GRY.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</si>
</sst>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  <family val="2"/>
    </font>
    <font>
      <i/>
      <sz val="10"/>
      <color theme="1"/>
      <name val="Arial Unicode MS"/>
      <family val="2"/>
    </font>
    <font>
      <vertAlign val="superscript"/>
      <sz val="10"/>
      <color theme="1"/>
      <name val="Arial Unicode MS"/>
      <family val="2"/>
    </font>
    <font>
      <b/>
      <sz val="10"/>
      <color rgb="FFFF0000"/>
      <name val="Arial Unicode MS"/>
      <family val="2"/>
    </font>
    <font>
      <sz val="10"/>
      <name val="Arial Unicode MS"/>
      <family val="2"/>
    </font>
    <font>
      <u/>
      <sz val="10"/>
      <color theme="1"/>
      <name val="Arial Unicode MS"/>
      <family val="2"/>
    </font>
    <font>
      <b/>
      <i/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0"/>
      <color theme="1"/>
      <name val="Cambria"/>
      <family val="1"/>
      <scheme val="major"/>
    </font>
    <font>
      <i/>
      <u/>
      <sz val="10"/>
      <color theme="1"/>
      <name val="Arial Unicode MS"/>
      <family val="2"/>
    </font>
    <font>
      <sz val="8"/>
      <color theme="1"/>
      <name val="Arial Unicode MS"/>
      <family val="2"/>
    </font>
    <font>
      <i/>
      <sz val="8"/>
      <color theme="1"/>
      <name val="Arial Unicode MS"/>
      <family val="2"/>
    </font>
    <font>
      <u/>
      <sz val="8"/>
      <color theme="1"/>
      <name val="Arial Unicode MS"/>
      <family val="2"/>
    </font>
    <font>
      <sz val="8"/>
      <color theme="1"/>
      <name val="Calibri"/>
      <family val="2"/>
      <scheme val="minor"/>
    </font>
    <font>
      <b/>
      <sz val="10"/>
      <color rgb="FF0070C0"/>
      <name val="Arial Unicode MS"/>
      <family val="2"/>
    </font>
    <font>
      <b/>
      <sz val="10"/>
      <color theme="0" tint="-0.34998626667073579"/>
      <name val="Arial Unicode MS"/>
      <family val="2"/>
    </font>
    <font>
      <b/>
      <sz val="10"/>
      <name val="Arial Unicode MS"/>
      <family val="2"/>
    </font>
    <font>
      <b/>
      <sz val="9"/>
      <name val="Arial Unicode MS"/>
      <family val="2"/>
    </font>
    <font>
      <sz val="9"/>
      <name val="Arial Unicode MS"/>
      <family val="2"/>
    </font>
    <font>
      <sz val="11"/>
      <color rgb="FF0070C0"/>
      <name val="Calibri"/>
      <family val="2"/>
      <scheme val="minor"/>
    </font>
    <font>
      <sz val="11"/>
      <color theme="1"/>
      <name val="Arial Unicode MS"/>
      <family val="2"/>
    </font>
    <font>
      <b/>
      <sz val="9"/>
      <color rgb="FF00B050"/>
      <name val="Arial Unicode MS"/>
      <family val="2"/>
    </font>
    <font>
      <b/>
      <sz val="12"/>
      <name val="Arial Unicode MS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65"/>
        <bgColor theme="4" tint="0.59996337778862885"/>
      </patternFill>
    </fill>
    <fill>
      <patternFill patternType="solid">
        <fgColor rgb="FF99FF99"/>
        <bgColor indexed="64"/>
      </patternFill>
    </fill>
    <fill>
      <patternFill patternType="lightUp">
        <fgColor rgb="FF92D050"/>
        <bgColor auto="1"/>
      </patternFill>
    </fill>
    <fill>
      <patternFill patternType="solid">
        <fgColor rgb="FFCC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/>
      <right style="mediumDashDotDot">
        <color auto="1"/>
      </right>
      <top style="mediumDashDotDot">
        <color auto="1"/>
      </top>
      <bottom/>
      <diagonal/>
    </border>
    <border>
      <left style="mediumDashDotDot">
        <color auto="1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  <border>
      <left/>
      <right style="mediumDashDotDot">
        <color auto="1"/>
      </right>
      <top/>
      <bottom style="mediumDashDotDot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5" fillId="0" borderId="10" xfId="0" applyFont="1" applyBorder="1" applyAlignment="1">
      <alignment horizontal="right" vertical="center"/>
    </xf>
    <xf numFmtId="0" fontId="15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Border="1" applyAlignment="1">
      <alignment vertical="center"/>
    </xf>
    <xf numFmtId="0" fontId="15" fillId="0" borderId="0" xfId="0" applyFont="1" applyBorder="1" applyAlignment="1">
      <alignment horizontal="right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2" fillId="4" borderId="0" xfId="0" applyFont="1" applyFill="1" applyBorder="1"/>
    <xf numFmtId="0" fontId="16" fillId="3" borderId="17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22" fillId="0" borderId="0" xfId="0" applyFont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3" fillId="5" borderId="0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/>
    </xf>
    <xf numFmtId="0" fontId="24" fillId="5" borderId="15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4" fillId="5" borderId="0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5" fillId="7" borderId="0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8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6" fillId="7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8" borderId="0" xfId="0" applyFont="1" applyFill="1" applyBorder="1" applyAlignment="1">
      <alignment vertical="center"/>
    </xf>
    <xf numFmtId="0" fontId="27" fillId="6" borderId="22" xfId="0" applyFont="1" applyFill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0" fontId="27" fillId="7" borderId="22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7" fillId="8" borderId="2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2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16" fillId="3" borderId="31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7" xfId="0" applyBorder="1" applyAlignment="1">
      <alignment vertical="center"/>
    </xf>
    <xf numFmtId="0" fontId="16" fillId="3" borderId="38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16" fillId="3" borderId="42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41"/>
  <sheetViews>
    <sheetView showGridLines="0" tabSelected="1" zoomScaleNormal="100" workbookViewId="0"/>
  </sheetViews>
  <sheetFormatPr defaultRowHeight="15" x14ac:dyDescent="0.25"/>
  <cols>
    <col min="1" max="1" width="3.85546875" style="1" customWidth="1"/>
    <col min="2" max="2" width="3.85546875" style="2" customWidth="1"/>
    <col min="3" max="25" width="3.85546875" style="1" customWidth="1"/>
    <col min="26" max="26" width="3.85546875" style="3" customWidth="1"/>
    <col min="27" max="29" width="3.85546875" style="19"/>
    <col min="30" max="30" width="7" style="19" bestFit="1" customWidth="1"/>
    <col min="31" max="38" width="3.85546875" style="19" customWidth="1"/>
    <col min="39" max="41" width="3.85546875" style="19"/>
    <col min="42" max="42" width="3.85546875" style="20" customWidth="1"/>
    <col min="43" max="43" width="3.85546875" style="20"/>
    <col min="44" max="44" width="7.140625" style="19" bestFit="1" customWidth="1"/>
    <col min="45" max="46" width="5.42578125" style="19" bestFit="1" customWidth="1"/>
    <col min="47" max="49" width="5.28515625" style="19" bestFit="1" customWidth="1"/>
    <col min="50" max="50" width="5.7109375" style="19" customWidth="1"/>
    <col min="51" max="51" width="6.7109375" style="19" customWidth="1"/>
    <col min="52" max="57" width="3.85546875" style="19"/>
    <col min="58" max="58" width="7" style="19" bestFit="1" customWidth="1"/>
    <col min="59" max="64" width="5.28515625" style="19" bestFit="1" customWidth="1"/>
    <col min="65" max="65" width="7" style="19" bestFit="1" customWidth="1"/>
    <col min="66" max="70" width="3.85546875" style="19"/>
    <col min="71" max="71" width="10" style="19" bestFit="1" customWidth="1"/>
    <col min="72" max="76" width="9.140625" style="19"/>
  </cols>
  <sheetData>
    <row r="1" spans="1:73" x14ac:dyDescent="0.25">
      <c r="A1" s="4"/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P1" s="19"/>
      <c r="AQ1" s="19"/>
    </row>
    <row r="2" spans="1:73" ht="16.5" x14ac:dyDescent="0.25">
      <c r="A2" s="8"/>
      <c r="B2" s="9">
        <v>1</v>
      </c>
      <c r="C2" s="3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0"/>
      <c r="AF2" s="20" t="s">
        <v>125</v>
      </c>
      <c r="AP2" s="19"/>
      <c r="AQ2" s="19"/>
      <c r="AT2" s="20" t="s">
        <v>126</v>
      </c>
      <c r="BH2" s="20" t="s">
        <v>127</v>
      </c>
    </row>
    <row r="3" spans="1:73" ht="15.75" thickBot="1" x14ac:dyDescent="0.3">
      <c r="A3" s="8"/>
      <c r="B3" s="9"/>
      <c r="C3" s="3"/>
      <c r="D3" s="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0"/>
      <c r="AP3" s="19"/>
      <c r="AQ3" s="19"/>
    </row>
    <row r="4" spans="1:73" x14ac:dyDescent="0.25">
      <c r="A4" s="8"/>
      <c r="B4" s="9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0"/>
      <c r="AA4" s="21"/>
      <c r="AB4" s="22"/>
      <c r="AC4" s="22"/>
      <c r="AD4" s="23" t="s">
        <v>128</v>
      </c>
      <c r="AE4" s="22"/>
      <c r="AF4" s="22"/>
      <c r="AG4" s="22"/>
      <c r="AH4" s="22"/>
      <c r="AI4" s="22"/>
      <c r="AJ4" s="22"/>
      <c r="AK4" s="24" t="s">
        <v>129</v>
      </c>
      <c r="AL4" s="25"/>
      <c r="AN4" s="26"/>
      <c r="AO4" s="21"/>
      <c r="AP4" s="22"/>
      <c r="AQ4" s="22"/>
      <c r="AR4" s="23" t="s">
        <v>128</v>
      </c>
      <c r="AS4" s="22"/>
      <c r="AT4" s="22"/>
      <c r="AU4" s="22"/>
      <c r="AV4" s="22"/>
      <c r="AW4" s="22"/>
      <c r="AX4" s="22"/>
      <c r="AY4" s="24" t="s">
        <v>129</v>
      </c>
      <c r="AZ4" s="25"/>
      <c r="BA4" s="26"/>
      <c r="BB4" s="26"/>
      <c r="BC4" s="21"/>
      <c r="BD4" s="22"/>
      <c r="BE4" s="22"/>
      <c r="BF4" s="23" t="s">
        <v>128</v>
      </c>
      <c r="BG4" s="22"/>
      <c r="BH4" s="22"/>
      <c r="BI4" s="22"/>
      <c r="BJ4" s="22"/>
      <c r="BK4" s="22"/>
      <c r="BL4" s="22"/>
      <c r="BM4" s="24" t="s">
        <v>129</v>
      </c>
      <c r="BN4" s="25"/>
      <c r="BR4" s="27"/>
      <c r="BS4" s="28" t="s">
        <v>129</v>
      </c>
      <c r="BT4" s="29"/>
      <c r="BU4" s="30"/>
    </row>
    <row r="5" spans="1:73" x14ac:dyDescent="0.25">
      <c r="A5" s="8"/>
      <c r="B5" s="9"/>
      <c r="C5" s="3"/>
      <c r="D5" s="3" t="s">
        <v>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10"/>
      <c r="AA5" s="31"/>
      <c r="AB5" s="32"/>
      <c r="AC5" s="32"/>
      <c r="AD5" s="33" t="s">
        <v>130</v>
      </c>
      <c r="AE5" s="34">
        <v>32</v>
      </c>
      <c r="AF5" s="34">
        <v>16</v>
      </c>
      <c r="AG5" s="34">
        <v>8</v>
      </c>
      <c r="AH5" s="34">
        <v>4</v>
      </c>
      <c r="AI5" s="34">
        <v>2</v>
      </c>
      <c r="AJ5" s="34">
        <v>1</v>
      </c>
      <c r="AK5" s="35" t="s">
        <v>130</v>
      </c>
      <c r="AL5" s="36"/>
      <c r="AN5" s="37"/>
      <c r="AO5" s="31"/>
      <c r="AP5" s="32"/>
      <c r="AQ5" s="32"/>
      <c r="AR5" s="33" t="s">
        <v>130</v>
      </c>
      <c r="AS5" s="34">
        <v>32</v>
      </c>
      <c r="AT5" s="34">
        <v>16</v>
      </c>
      <c r="AU5" s="34">
        <v>8</v>
      </c>
      <c r="AV5" s="34">
        <v>4</v>
      </c>
      <c r="AW5" s="34">
        <v>2</v>
      </c>
      <c r="AX5" s="34">
        <v>1</v>
      </c>
      <c r="AY5" s="35" t="s">
        <v>130</v>
      </c>
      <c r="AZ5" s="36"/>
      <c r="BA5" s="37"/>
      <c r="BB5" s="37"/>
      <c r="BC5" s="31"/>
      <c r="BD5" s="32"/>
      <c r="BE5" s="32"/>
      <c r="BF5" s="33" t="s">
        <v>130</v>
      </c>
      <c r="BG5" s="34">
        <v>32</v>
      </c>
      <c r="BH5" s="34">
        <v>16</v>
      </c>
      <c r="BI5" s="34">
        <v>8</v>
      </c>
      <c r="BJ5" s="34">
        <v>4</v>
      </c>
      <c r="BK5" s="34">
        <v>2</v>
      </c>
      <c r="BL5" s="34">
        <v>1</v>
      </c>
      <c r="BM5" s="35" t="s">
        <v>130</v>
      </c>
      <c r="BN5" s="36"/>
      <c r="BR5" s="38"/>
      <c r="BS5" s="32"/>
      <c r="BT5" s="32"/>
      <c r="BU5" s="39"/>
    </row>
    <row r="6" spans="1:73" ht="16.5" x14ac:dyDescent="0.3">
      <c r="A6" s="8"/>
      <c r="B6" s="9"/>
      <c r="C6" s="3"/>
      <c r="D6" s="3" t="s">
        <v>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10"/>
      <c r="AA6" s="31"/>
      <c r="AB6" s="40" t="s">
        <v>131</v>
      </c>
      <c r="AC6" s="41" t="s">
        <v>132</v>
      </c>
      <c r="AD6" s="42">
        <v>32</v>
      </c>
      <c r="AE6" s="43">
        <v>1</v>
      </c>
      <c r="AF6" s="44">
        <v>1</v>
      </c>
      <c r="AG6" s="44">
        <v>0</v>
      </c>
      <c r="AH6" s="44">
        <v>0</v>
      </c>
      <c r="AI6" s="44">
        <v>0</v>
      </c>
      <c r="AJ6" s="45">
        <v>0</v>
      </c>
      <c r="AK6" s="46">
        <v>48</v>
      </c>
      <c r="AL6" s="36"/>
      <c r="AN6" s="47"/>
      <c r="AO6" s="31"/>
      <c r="AP6" s="40" t="s">
        <v>131</v>
      </c>
      <c r="AQ6" s="41" t="s">
        <v>132</v>
      </c>
      <c r="AR6" s="42">
        <v>63</v>
      </c>
      <c r="AS6" s="43">
        <v>1</v>
      </c>
      <c r="AT6" s="44">
        <v>0</v>
      </c>
      <c r="AU6" s="44">
        <v>0</v>
      </c>
      <c r="AV6" s="44">
        <v>0</v>
      </c>
      <c r="AW6" s="44">
        <v>0</v>
      </c>
      <c r="AX6" s="45">
        <v>0</v>
      </c>
      <c r="AY6" s="48">
        <v>32</v>
      </c>
      <c r="AZ6" s="36"/>
      <c r="BA6" s="47"/>
      <c r="BB6" s="47"/>
      <c r="BC6" s="31"/>
      <c r="BD6" s="40" t="s">
        <v>132</v>
      </c>
      <c r="BE6" s="41" t="s">
        <v>133</v>
      </c>
      <c r="BF6" s="49">
        <v>39</v>
      </c>
      <c r="BG6" s="43">
        <v>1</v>
      </c>
      <c r="BH6" s="44">
        <v>1</v>
      </c>
      <c r="BI6" s="44">
        <v>0</v>
      </c>
      <c r="BJ6" s="44">
        <v>1</v>
      </c>
      <c r="BK6" s="44">
        <v>0</v>
      </c>
      <c r="BL6" s="45">
        <v>0</v>
      </c>
      <c r="BM6" s="46">
        <v>52</v>
      </c>
      <c r="BN6" s="36"/>
      <c r="BR6" s="38"/>
      <c r="BS6" s="50">
        <f>512+32+16+2+1</f>
        <v>563</v>
      </c>
      <c r="BT6" s="32"/>
      <c r="BU6" s="39"/>
    </row>
    <row r="7" spans="1:73" ht="16.5" x14ac:dyDescent="0.3">
      <c r="A7" s="8"/>
      <c r="B7" s="9"/>
      <c r="C7" s="3"/>
      <c r="D7" s="3" t="s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0"/>
      <c r="AA7" s="31"/>
      <c r="AB7" s="40" t="s">
        <v>134</v>
      </c>
      <c r="AC7" s="41" t="s">
        <v>135</v>
      </c>
      <c r="AD7" s="49">
        <v>33</v>
      </c>
      <c r="AE7" s="51">
        <v>1</v>
      </c>
      <c r="AF7" s="52">
        <v>1</v>
      </c>
      <c r="AG7" s="52">
        <v>0</v>
      </c>
      <c r="AH7" s="52">
        <v>0</v>
      </c>
      <c r="AI7" s="52">
        <v>0</v>
      </c>
      <c r="AJ7" s="53">
        <v>1</v>
      </c>
      <c r="AK7" s="46">
        <v>49</v>
      </c>
      <c r="AL7" s="36"/>
      <c r="AN7" s="54"/>
      <c r="AO7" s="31"/>
      <c r="AP7" s="40" t="s">
        <v>134</v>
      </c>
      <c r="AQ7" s="41" t="s">
        <v>135</v>
      </c>
      <c r="AR7" s="49">
        <v>62</v>
      </c>
      <c r="AS7" s="51">
        <v>1</v>
      </c>
      <c r="AT7" s="52">
        <v>0</v>
      </c>
      <c r="AU7" s="52">
        <v>0</v>
      </c>
      <c r="AV7" s="52">
        <v>0</v>
      </c>
      <c r="AW7" s="52">
        <v>0</v>
      </c>
      <c r="AX7" s="53">
        <v>1</v>
      </c>
      <c r="AY7" s="46">
        <v>33</v>
      </c>
      <c r="AZ7" s="36"/>
      <c r="BA7" s="54"/>
      <c r="BB7" s="54"/>
      <c r="BC7" s="31"/>
      <c r="BD7" s="55" t="s">
        <v>135</v>
      </c>
      <c r="BE7" s="56" t="s">
        <v>136</v>
      </c>
      <c r="BF7" s="57">
        <v>40</v>
      </c>
      <c r="BG7" s="58">
        <v>1</v>
      </c>
      <c r="BH7" s="59">
        <v>1</v>
      </c>
      <c r="BI7" s="59">
        <v>1</v>
      </c>
      <c r="BJ7" s="59">
        <v>1</v>
      </c>
      <c r="BK7" s="59">
        <v>0</v>
      </c>
      <c r="BL7" s="60">
        <v>0</v>
      </c>
      <c r="BM7" s="57">
        <v>60</v>
      </c>
      <c r="BN7" s="36"/>
      <c r="BR7" s="38"/>
      <c r="BS7" s="61" t="s">
        <v>137</v>
      </c>
      <c r="BT7" s="32"/>
      <c r="BU7" s="39"/>
    </row>
    <row r="8" spans="1:73" x14ac:dyDescent="0.25">
      <c r="A8" s="8"/>
      <c r="B8" s="9"/>
      <c r="C8" s="3"/>
      <c r="D8" s="3" t="s">
        <v>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10"/>
      <c r="AA8" s="31"/>
      <c r="AB8" s="55" t="s">
        <v>138</v>
      </c>
      <c r="AC8" s="56" t="s">
        <v>139</v>
      </c>
      <c r="AD8" s="57">
        <v>34</v>
      </c>
      <c r="AE8" s="58">
        <v>1</v>
      </c>
      <c r="AF8" s="59">
        <v>1</v>
      </c>
      <c r="AG8" s="59">
        <v>0</v>
      </c>
      <c r="AH8" s="59">
        <v>0</v>
      </c>
      <c r="AI8" s="59">
        <v>1</v>
      </c>
      <c r="AJ8" s="60">
        <v>1</v>
      </c>
      <c r="AK8" s="57">
        <v>51</v>
      </c>
      <c r="AL8" s="36"/>
      <c r="AO8" s="31"/>
      <c r="AP8" s="55" t="s">
        <v>138</v>
      </c>
      <c r="AQ8" s="56" t="s">
        <v>139</v>
      </c>
      <c r="AR8" s="57">
        <v>60</v>
      </c>
      <c r="AS8" s="58">
        <v>1</v>
      </c>
      <c r="AT8" s="59">
        <v>0</v>
      </c>
      <c r="AU8" s="59">
        <v>0</v>
      </c>
      <c r="AV8" s="59">
        <v>0</v>
      </c>
      <c r="AW8" s="59">
        <v>1</v>
      </c>
      <c r="AX8" s="60">
        <v>0</v>
      </c>
      <c r="AY8" s="57">
        <v>34</v>
      </c>
      <c r="AZ8" s="36"/>
      <c r="BC8" s="31"/>
      <c r="BD8" s="40" t="s">
        <v>139</v>
      </c>
      <c r="BE8" s="41" t="s">
        <v>140</v>
      </c>
      <c r="BF8" s="49">
        <v>41</v>
      </c>
      <c r="BG8" s="51">
        <v>1</v>
      </c>
      <c r="BH8" s="52">
        <v>1</v>
      </c>
      <c r="BI8" s="52">
        <v>1</v>
      </c>
      <c r="BJ8" s="52">
        <v>1</v>
      </c>
      <c r="BK8" s="52">
        <v>0</v>
      </c>
      <c r="BL8" s="53">
        <v>1</v>
      </c>
      <c r="BM8" s="46">
        <v>61</v>
      </c>
      <c r="BN8" s="36"/>
      <c r="BR8" s="38"/>
      <c r="BS8" s="32" t="s">
        <v>141</v>
      </c>
      <c r="BT8" s="32"/>
      <c r="BU8" s="39"/>
    </row>
    <row r="9" spans="1:73" x14ac:dyDescent="0.25">
      <c r="A9" s="8"/>
      <c r="B9" s="9"/>
      <c r="C9" s="3"/>
      <c r="D9" s="3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10"/>
      <c r="AA9" s="31"/>
      <c r="AB9" s="40" t="s">
        <v>142</v>
      </c>
      <c r="AC9" s="41" t="s">
        <v>143</v>
      </c>
      <c r="AD9" s="49">
        <v>35</v>
      </c>
      <c r="AE9" s="51">
        <v>1</v>
      </c>
      <c r="AF9" s="52">
        <v>1</v>
      </c>
      <c r="AG9" s="52">
        <v>0</v>
      </c>
      <c r="AH9" s="52">
        <v>0</v>
      </c>
      <c r="AI9" s="52">
        <v>1</v>
      </c>
      <c r="AJ9" s="53">
        <v>0</v>
      </c>
      <c r="AK9" s="46">
        <v>50</v>
      </c>
      <c r="AL9" s="36"/>
      <c r="AO9" s="31"/>
      <c r="AP9" s="40" t="s">
        <v>142</v>
      </c>
      <c r="AQ9" s="41" t="s">
        <v>143</v>
      </c>
      <c r="AR9" s="49">
        <v>61</v>
      </c>
      <c r="AS9" s="51">
        <v>1</v>
      </c>
      <c r="AT9" s="52">
        <v>0</v>
      </c>
      <c r="AU9" s="52">
        <v>0</v>
      </c>
      <c r="AV9" s="52">
        <v>0</v>
      </c>
      <c r="AW9" s="52">
        <v>1</v>
      </c>
      <c r="AX9" s="53">
        <v>1</v>
      </c>
      <c r="AY9" s="46">
        <v>35</v>
      </c>
      <c r="AZ9" s="36"/>
      <c r="BC9" s="31"/>
      <c r="BD9" s="40" t="s">
        <v>143</v>
      </c>
      <c r="BE9" s="41" t="s">
        <v>131</v>
      </c>
      <c r="BF9" s="49">
        <v>42</v>
      </c>
      <c r="BG9" s="51">
        <v>1</v>
      </c>
      <c r="BH9" s="52">
        <v>1</v>
      </c>
      <c r="BI9" s="52">
        <v>1</v>
      </c>
      <c r="BJ9" s="52">
        <v>1</v>
      </c>
      <c r="BK9" s="52">
        <v>1</v>
      </c>
      <c r="BL9" s="53">
        <v>1</v>
      </c>
      <c r="BM9" s="48">
        <v>63</v>
      </c>
      <c r="BN9" s="36"/>
      <c r="BR9" s="38"/>
      <c r="BS9" s="32">
        <v>100110011</v>
      </c>
      <c r="BT9" s="32"/>
      <c r="BU9" s="39"/>
    </row>
    <row r="10" spans="1:73" x14ac:dyDescent="0.25">
      <c r="A10" s="8"/>
      <c r="B10" s="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10"/>
      <c r="AA10" s="31"/>
      <c r="AB10" s="40" t="s">
        <v>144</v>
      </c>
      <c r="AC10" s="41" t="s">
        <v>145</v>
      </c>
      <c r="AD10" s="49">
        <v>36</v>
      </c>
      <c r="AE10" s="51">
        <v>1</v>
      </c>
      <c r="AF10" s="52">
        <v>1</v>
      </c>
      <c r="AG10" s="52">
        <v>0</v>
      </c>
      <c r="AH10" s="52">
        <v>1</v>
      </c>
      <c r="AI10" s="52">
        <v>1</v>
      </c>
      <c r="AJ10" s="53">
        <v>0</v>
      </c>
      <c r="AK10" s="46">
        <v>54</v>
      </c>
      <c r="AL10" s="36"/>
      <c r="AO10" s="31"/>
      <c r="AP10" s="40" t="s">
        <v>144</v>
      </c>
      <c r="AQ10" s="41" t="s">
        <v>145</v>
      </c>
      <c r="AR10" s="49">
        <v>56</v>
      </c>
      <c r="AS10" s="51">
        <v>1</v>
      </c>
      <c r="AT10" s="52">
        <v>0</v>
      </c>
      <c r="AU10" s="52">
        <v>0</v>
      </c>
      <c r="AV10" s="52">
        <v>1</v>
      </c>
      <c r="AW10" s="52">
        <v>0</v>
      </c>
      <c r="AX10" s="53">
        <v>0</v>
      </c>
      <c r="AY10" s="46">
        <v>36</v>
      </c>
      <c r="AZ10" s="36"/>
      <c r="BC10" s="31"/>
      <c r="BD10" s="55" t="s">
        <v>145</v>
      </c>
      <c r="BE10" s="56" t="s">
        <v>146</v>
      </c>
      <c r="BF10" s="57">
        <v>43</v>
      </c>
      <c r="BG10" s="58">
        <v>1</v>
      </c>
      <c r="BH10" s="59">
        <v>1</v>
      </c>
      <c r="BI10" s="59">
        <v>1</v>
      </c>
      <c r="BJ10" s="59">
        <v>1</v>
      </c>
      <c r="BK10" s="59">
        <v>1</v>
      </c>
      <c r="BL10" s="60">
        <v>0</v>
      </c>
      <c r="BM10" s="57">
        <v>62</v>
      </c>
      <c r="BN10" s="36"/>
      <c r="BR10" s="62"/>
      <c r="BS10" s="63"/>
      <c r="BT10" s="63"/>
      <c r="BU10" s="64"/>
    </row>
    <row r="11" spans="1:73" x14ac:dyDescent="0.25">
      <c r="A11" s="8"/>
      <c r="B11" s="9">
        <v>2</v>
      </c>
      <c r="C11" s="3"/>
      <c r="D11" s="3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0"/>
      <c r="AA11" s="31"/>
      <c r="AB11" s="55" t="s">
        <v>147</v>
      </c>
      <c r="AC11" s="56" t="s">
        <v>148</v>
      </c>
      <c r="AD11" s="65">
        <v>37</v>
      </c>
      <c r="AE11" s="58">
        <v>1</v>
      </c>
      <c r="AF11" s="59">
        <v>1</v>
      </c>
      <c r="AG11" s="59">
        <v>0</v>
      </c>
      <c r="AH11" s="59">
        <v>1</v>
      </c>
      <c r="AI11" s="59">
        <v>1</v>
      </c>
      <c r="AJ11" s="60">
        <v>1</v>
      </c>
      <c r="AK11" s="57">
        <v>55</v>
      </c>
      <c r="AL11" s="36"/>
      <c r="AO11" s="31"/>
      <c r="AP11" s="55" t="s">
        <v>147</v>
      </c>
      <c r="AQ11" s="56" t="s">
        <v>148</v>
      </c>
      <c r="AR11" s="66">
        <v>57</v>
      </c>
      <c r="AS11" s="58">
        <v>1</v>
      </c>
      <c r="AT11" s="59">
        <v>0</v>
      </c>
      <c r="AU11" s="59">
        <v>0</v>
      </c>
      <c r="AV11" s="59">
        <v>1</v>
      </c>
      <c r="AW11" s="59">
        <v>0</v>
      </c>
      <c r="AX11" s="60">
        <v>1</v>
      </c>
      <c r="AY11" s="65">
        <v>37</v>
      </c>
      <c r="AZ11" s="36"/>
      <c r="BC11" s="31"/>
      <c r="BD11" s="40" t="s">
        <v>148</v>
      </c>
      <c r="BE11" s="41" t="s">
        <v>149</v>
      </c>
      <c r="BF11" s="49">
        <v>44</v>
      </c>
      <c r="BG11" s="51">
        <v>1</v>
      </c>
      <c r="BH11" s="52">
        <v>1</v>
      </c>
      <c r="BI11" s="52">
        <v>1</v>
      </c>
      <c r="BJ11" s="52">
        <v>0</v>
      </c>
      <c r="BK11" s="52">
        <v>1</v>
      </c>
      <c r="BL11" s="53">
        <v>0</v>
      </c>
      <c r="BM11" s="46">
        <v>58</v>
      </c>
      <c r="BN11" s="36"/>
    </row>
    <row r="12" spans="1:73" x14ac:dyDescent="0.25">
      <c r="A12" s="8"/>
      <c r="B12" s="9"/>
      <c r="C12" s="3"/>
      <c r="D12" s="3" t="s">
        <v>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0"/>
      <c r="AA12" s="31"/>
      <c r="AB12" s="40" t="s">
        <v>150</v>
      </c>
      <c r="AC12" s="41" t="s">
        <v>151</v>
      </c>
      <c r="AD12" s="49">
        <v>38</v>
      </c>
      <c r="AE12" s="51">
        <v>1</v>
      </c>
      <c r="AF12" s="52">
        <v>1</v>
      </c>
      <c r="AG12" s="52">
        <v>0</v>
      </c>
      <c r="AH12" s="52">
        <v>1</v>
      </c>
      <c r="AI12" s="52">
        <v>0</v>
      </c>
      <c r="AJ12" s="53">
        <v>1</v>
      </c>
      <c r="AK12" s="46">
        <v>53</v>
      </c>
      <c r="AL12" s="36"/>
      <c r="AO12" s="31"/>
      <c r="AP12" s="40" t="s">
        <v>150</v>
      </c>
      <c r="AQ12" s="41" t="s">
        <v>151</v>
      </c>
      <c r="AR12" s="49">
        <v>59</v>
      </c>
      <c r="AS12" s="51">
        <v>1</v>
      </c>
      <c r="AT12" s="52">
        <v>0</v>
      </c>
      <c r="AU12" s="52">
        <v>0</v>
      </c>
      <c r="AV12" s="52">
        <v>1</v>
      </c>
      <c r="AW12" s="52">
        <v>1</v>
      </c>
      <c r="AX12" s="53">
        <v>0</v>
      </c>
      <c r="AY12" s="46">
        <v>38</v>
      </c>
      <c r="AZ12" s="36"/>
      <c r="BC12" s="31"/>
      <c r="BD12" s="40" t="s">
        <v>151</v>
      </c>
      <c r="BE12" s="41" t="s">
        <v>152</v>
      </c>
      <c r="BF12" s="49">
        <v>45</v>
      </c>
      <c r="BG12" s="51">
        <v>1</v>
      </c>
      <c r="BH12" s="52">
        <v>1</v>
      </c>
      <c r="BI12" s="52">
        <v>1</v>
      </c>
      <c r="BJ12" s="52">
        <v>0</v>
      </c>
      <c r="BK12" s="52">
        <v>1</v>
      </c>
      <c r="BL12" s="53">
        <v>1</v>
      </c>
      <c r="BM12" s="46">
        <v>59</v>
      </c>
      <c r="BN12" s="36"/>
      <c r="BR12" s="27"/>
      <c r="BS12" s="28" t="s">
        <v>128</v>
      </c>
      <c r="BT12" s="29"/>
      <c r="BU12" s="30"/>
    </row>
    <row r="13" spans="1:73" x14ac:dyDescent="0.25">
      <c r="A13" s="8"/>
      <c r="B13" s="9"/>
      <c r="C13" s="3"/>
      <c r="D13" s="3" t="s">
        <v>10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0"/>
      <c r="AA13" s="31"/>
      <c r="AB13" s="40" t="s">
        <v>132</v>
      </c>
      <c r="AC13" s="41" t="s">
        <v>133</v>
      </c>
      <c r="AD13" s="49">
        <v>39</v>
      </c>
      <c r="AE13" s="51">
        <v>1</v>
      </c>
      <c r="AF13" s="52">
        <v>1</v>
      </c>
      <c r="AG13" s="52">
        <v>0</v>
      </c>
      <c r="AH13" s="52">
        <v>1</v>
      </c>
      <c r="AI13" s="52">
        <v>0</v>
      </c>
      <c r="AJ13" s="53">
        <v>0</v>
      </c>
      <c r="AK13" s="46">
        <v>52</v>
      </c>
      <c r="AL13" s="36"/>
      <c r="AO13" s="31"/>
      <c r="AP13" s="40" t="s">
        <v>132</v>
      </c>
      <c r="AQ13" s="41" t="s">
        <v>133</v>
      </c>
      <c r="AR13" s="49">
        <v>58</v>
      </c>
      <c r="AS13" s="51">
        <v>1</v>
      </c>
      <c r="AT13" s="52">
        <v>0</v>
      </c>
      <c r="AU13" s="52">
        <v>0</v>
      </c>
      <c r="AV13" s="52">
        <v>1</v>
      </c>
      <c r="AW13" s="52">
        <v>1</v>
      </c>
      <c r="AX13" s="53">
        <v>1</v>
      </c>
      <c r="AY13" s="46">
        <v>39</v>
      </c>
      <c r="AZ13" s="36"/>
      <c r="BC13" s="31"/>
      <c r="BD13" s="55" t="s">
        <v>133</v>
      </c>
      <c r="BE13" s="56" t="s">
        <v>147</v>
      </c>
      <c r="BF13" s="57">
        <v>46</v>
      </c>
      <c r="BG13" s="58">
        <v>1</v>
      </c>
      <c r="BH13" s="59">
        <v>1</v>
      </c>
      <c r="BI13" s="59">
        <v>1</v>
      </c>
      <c r="BJ13" s="59">
        <v>0</v>
      </c>
      <c r="BK13" s="59">
        <v>0</v>
      </c>
      <c r="BL13" s="60">
        <v>1</v>
      </c>
      <c r="BM13" s="66">
        <v>57</v>
      </c>
      <c r="BN13" s="36"/>
      <c r="BR13" s="38"/>
      <c r="BS13" s="32"/>
      <c r="BT13" s="32"/>
      <c r="BU13" s="39"/>
    </row>
    <row r="14" spans="1:73" ht="16.5" x14ac:dyDescent="0.3">
      <c r="A14" s="8"/>
      <c r="B14" s="9"/>
      <c r="C14" s="3"/>
      <c r="D14" s="3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10"/>
      <c r="AA14" s="31"/>
      <c r="AB14" s="55" t="s">
        <v>135</v>
      </c>
      <c r="AC14" s="56" t="s">
        <v>136</v>
      </c>
      <c r="AD14" s="57">
        <v>40</v>
      </c>
      <c r="AE14" s="58">
        <v>1</v>
      </c>
      <c r="AF14" s="59">
        <v>1</v>
      </c>
      <c r="AG14" s="59">
        <v>1</v>
      </c>
      <c r="AH14" s="59">
        <v>1</v>
      </c>
      <c r="AI14" s="59">
        <v>0</v>
      </c>
      <c r="AJ14" s="60">
        <v>0</v>
      </c>
      <c r="AK14" s="57">
        <v>60</v>
      </c>
      <c r="AL14" s="36"/>
      <c r="AO14" s="31"/>
      <c r="AP14" s="55" t="s">
        <v>135</v>
      </c>
      <c r="AQ14" s="56" t="s">
        <v>136</v>
      </c>
      <c r="AR14" s="57">
        <v>48</v>
      </c>
      <c r="AS14" s="58">
        <v>1</v>
      </c>
      <c r="AT14" s="59">
        <v>0</v>
      </c>
      <c r="AU14" s="59">
        <v>1</v>
      </c>
      <c r="AV14" s="59">
        <v>0</v>
      </c>
      <c r="AW14" s="59">
        <v>0</v>
      </c>
      <c r="AX14" s="60">
        <v>0</v>
      </c>
      <c r="AY14" s="57">
        <v>40</v>
      </c>
      <c r="AZ14" s="36"/>
      <c r="BC14" s="31"/>
      <c r="BD14" s="40" t="s">
        <v>136</v>
      </c>
      <c r="BE14" s="41" t="s">
        <v>142</v>
      </c>
      <c r="BF14" s="49">
        <v>47</v>
      </c>
      <c r="BG14" s="51">
        <v>1</v>
      </c>
      <c r="BH14" s="52">
        <v>1</v>
      </c>
      <c r="BI14" s="52">
        <v>1</v>
      </c>
      <c r="BJ14" s="52">
        <v>0</v>
      </c>
      <c r="BK14" s="52">
        <v>0</v>
      </c>
      <c r="BL14" s="53">
        <v>0</v>
      </c>
      <c r="BM14" s="46">
        <v>56</v>
      </c>
      <c r="BN14" s="36"/>
      <c r="BR14" s="38"/>
      <c r="BS14" s="50">
        <f>512+32+16+2+1</f>
        <v>563</v>
      </c>
      <c r="BT14" s="32"/>
      <c r="BU14" s="39"/>
    </row>
    <row r="15" spans="1:73" ht="16.5" x14ac:dyDescent="0.3">
      <c r="A15" s="8"/>
      <c r="B15" s="9"/>
      <c r="C15" s="3"/>
      <c r="D15" s="3" t="s">
        <v>12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10"/>
      <c r="AA15" s="31"/>
      <c r="AB15" s="40" t="s">
        <v>139</v>
      </c>
      <c r="AC15" s="41" t="s">
        <v>140</v>
      </c>
      <c r="AD15" s="49">
        <v>41</v>
      </c>
      <c r="AE15" s="51">
        <v>1</v>
      </c>
      <c r="AF15" s="52">
        <v>1</v>
      </c>
      <c r="AG15" s="52">
        <v>1</v>
      </c>
      <c r="AH15" s="52">
        <v>1</v>
      </c>
      <c r="AI15" s="52">
        <v>0</v>
      </c>
      <c r="AJ15" s="53">
        <v>1</v>
      </c>
      <c r="AK15" s="46">
        <v>61</v>
      </c>
      <c r="AL15" s="36"/>
      <c r="AO15" s="31"/>
      <c r="AP15" s="40" t="s">
        <v>139</v>
      </c>
      <c r="AQ15" s="41" t="s">
        <v>140</v>
      </c>
      <c r="AR15" s="49">
        <v>49</v>
      </c>
      <c r="AS15" s="51">
        <v>1</v>
      </c>
      <c r="AT15" s="52">
        <v>0</v>
      </c>
      <c r="AU15" s="52">
        <v>1</v>
      </c>
      <c r="AV15" s="52">
        <v>0</v>
      </c>
      <c r="AW15" s="52">
        <v>0</v>
      </c>
      <c r="AX15" s="53">
        <v>1</v>
      </c>
      <c r="AY15" s="46">
        <v>41</v>
      </c>
      <c r="AZ15" s="36"/>
      <c r="BC15" s="31"/>
      <c r="BD15" s="40" t="s">
        <v>140</v>
      </c>
      <c r="BE15" s="41" t="s">
        <v>153</v>
      </c>
      <c r="BF15" s="49">
        <v>48</v>
      </c>
      <c r="BG15" s="51">
        <v>1</v>
      </c>
      <c r="BH15" s="52">
        <v>0</v>
      </c>
      <c r="BI15" s="52">
        <v>1</v>
      </c>
      <c r="BJ15" s="52">
        <v>0</v>
      </c>
      <c r="BK15" s="52">
        <v>0</v>
      </c>
      <c r="BL15" s="53">
        <v>0</v>
      </c>
      <c r="BM15" s="46">
        <v>40</v>
      </c>
      <c r="BN15" s="36"/>
      <c r="BR15" s="38"/>
      <c r="BS15" s="61" t="s">
        <v>137</v>
      </c>
      <c r="BT15" s="32"/>
      <c r="BU15" s="39"/>
    </row>
    <row r="16" spans="1:73" x14ac:dyDescent="0.25">
      <c r="A16" s="8"/>
      <c r="B16" s="9"/>
      <c r="C16" s="3"/>
      <c r="D16" s="3" t="s">
        <v>13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10"/>
      <c r="AA16" s="31"/>
      <c r="AB16" s="40" t="s">
        <v>143</v>
      </c>
      <c r="AC16" s="41" t="s">
        <v>131</v>
      </c>
      <c r="AD16" s="49">
        <v>42</v>
      </c>
      <c r="AE16" s="51">
        <v>1</v>
      </c>
      <c r="AF16" s="52">
        <v>1</v>
      </c>
      <c r="AG16" s="52">
        <v>1</v>
      </c>
      <c r="AH16" s="52">
        <v>1</v>
      </c>
      <c r="AI16" s="52">
        <v>1</v>
      </c>
      <c r="AJ16" s="53">
        <v>1</v>
      </c>
      <c r="AK16" s="48">
        <v>63</v>
      </c>
      <c r="AL16" s="36"/>
      <c r="AO16" s="31"/>
      <c r="AP16" s="40" t="s">
        <v>143</v>
      </c>
      <c r="AQ16" s="41" t="s">
        <v>131</v>
      </c>
      <c r="AR16" s="49">
        <v>51</v>
      </c>
      <c r="AS16" s="51">
        <v>1</v>
      </c>
      <c r="AT16" s="52">
        <v>0</v>
      </c>
      <c r="AU16" s="52">
        <v>1</v>
      </c>
      <c r="AV16" s="52">
        <v>0</v>
      </c>
      <c r="AW16" s="52">
        <v>1</v>
      </c>
      <c r="AX16" s="53">
        <v>0</v>
      </c>
      <c r="AY16" s="46">
        <v>42</v>
      </c>
      <c r="AZ16" s="36"/>
      <c r="BC16" s="31"/>
      <c r="BD16" s="40" t="s">
        <v>131</v>
      </c>
      <c r="BE16" s="41" t="s">
        <v>132</v>
      </c>
      <c r="BF16" s="42">
        <v>32</v>
      </c>
      <c r="BG16" s="51">
        <v>1</v>
      </c>
      <c r="BH16" s="52">
        <v>1</v>
      </c>
      <c r="BI16" s="52">
        <v>0</v>
      </c>
      <c r="BJ16" s="52">
        <v>0</v>
      </c>
      <c r="BK16" s="52">
        <v>0</v>
      </c>
      <c r="BL16" s="53">
        <v>0</v>
      </c>
      <c r="BM16" s="46">
        <v>48</v>
      </c>
      <c r="BN16" s="36"/>
      <c r="BR16" s="38"/>
      <c r="BS16" s="32" t="s">
        <v>141</v>
      </c>
      <c r="BT16" s="32"/>
      <c r="BU16" s="39"/>
    </row>
    <row r="17" spans="1:73" x14ac:dyDescent="0.25">
      <c r="A17" s="8"/>
      <c r="B17" s="9"/>
      <c r="C17" s="3"/>
      <c r="D17" s="3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0"/>
      <c r="AA17" s="31"/>
      <c r="AB17" s="55" t="s">
        <v>145</v>
      </c>
      <c r="AC17" s="56" t="s">
        <v>146</v>
      </c>
      <c r="AD17" s="57">
        <v>43</v>
      </c>
      <c r="AE17" s="58">
        <v>1</v>
      </c>
      <c r="AF17" s="59">
        <v>1</v>
      </c>
      <c r="AG17" s="59">
        <v>1</v>
      </c>
      <c r="AH17" s="59">
        <v>1</v>
      </c>
      <c r="AI17" s="59">
        <v>1</v>
      </c>
      <c r="AJ17" s="60">
        <v>0</v>
      </c>
      <c r="AK17" s="57">
        <v>62</v>
      </c>
      <c r="AL17" s="36"/>
      <c r="AO17" s="31"/>
      <c r="AP17" s="55" t="s">
        <v>145</v>
      </c>
      <c r="AQ17" s="56" t="s">
        <v>146</v>
      </c>
      <c r="AR17" s="57">
        <v>50</v>
      </c>
      <c r="AS17" s="58">
        <v>1</v>
      </c>
      <c r="AT17" s="59">
        <v>0</v>
      </c>
      <c r="AU17" s="59">
        <v>1</v>
      </c>
      <c r="AV17" s="59">
        <v>0</v>
      </c>
      <c r="AW17" s="59">
        <v>1</v>
      </c>
      <c r="AX17" s="60">
        <v>1</v>
      </c>
      <c r="AY17" s="57">
        <v>43</v>
      </c>
      <c r="AZ17" s="36"/>
      <c r="BC17" s="31"/>
      <c r="BD17" s="55" t="s">
        <v>146</v>
      </c>
      <c r="BE17" s="56" t="s">
        <v>134</v>
      </c>
      <c r="BF17" s="57">
        <v>49</v>
      </c>
      <c r="BG17" s="58">
        <v>1</v>
      </c>
      <c r="BH17" s="59">
        <v>0</v>
      </c>
      <c r="BI17" s="59">
        <v>1</v>
      </c>
      <c r="BJ17" s="59">
        <v>0</v>
      </c>
      <c r="BK17" s="59">
        <v>0</v>
      </c>
      <c r="BL17" s="60">
        <v>1</v>
      </c>
      <c r="BM17" s="57">
        <v>41</v>
      </c>
      <c r="BN17" s="36"/>
      <c r="BR17" s="38"/>
      <c r="BS17" s="32">
        <v>100110011</v>
      </c>
      <c r="BT17" s="32"/>
      <c r="BU17" s="39"/>
    </row>
    <row r="18" spans="1:73" x14ac:dyDescent="0.25">
      <c r="A18" s="8"/>
      <c r="B18" s="9"/>
      <c r="C18" s="3"/>
      <c r="D18" s="3" t="s">
        <v>15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10"/>
      <c r="AA18" s="31"/>
      <c r="AB18" s="40" t="s">
        <v>148</v>
      </c>
      <c r="AC18" s="41" t="s">
        <v>149</v>
      </c>
      <c r="AD18" s="49">
        <v>44</v>
      </c>
      <c r="AE18" s="51">
        <v>1</v>
      </c>
      <c r="AF18" s="52">
        <v>1</v>
      </c>
      <c r="AG18" s="52">
        <v>1</v>
      </c>
      <c r="AH18" s="52">
        <v>0</v>
      </c>
      <c r="AI18" s="52">
        <v>1</v>
      </c>
      <c r="AJ18" s="53">
        <v>0</v>
      </c>
      <c r="AK18" s="46">
        <v>58</v>
      </c>
      <c r="AL18" s="36"/>
      <c r="AO18" s="31"/>
      <c r="AP18" s="40" t="s">
        <v>148</v>
      </c>
      <c r="AQ18" s="41" t="s">
        <v>149</v>
      </c>
      <c r="AR18" s="49">
        <v>55</v>
      </c>
      <c r="AS18" s="51">
        <v>1</v>
      </c>
      <c r="AT18" s="52">
        <v>0</v>
      </c>
      <c r="AU18" s="52">
        <v>1</v>
      </c>
      <c r="AV18" s="52">
        <v>1</v>
      </c>
      <c r="AW18" s="52">
        <v>0</v>
      </c>
      <c r="AX18" s="53">
        <v>0</v>
      </c>
      <c r="AY18" s="46">
        <v>44</v>
      </c>
      <c r="AZ18" s="36"/>
      <c r="BC18" s="31"/>
      <c r="BD18" s="40" t="s">
        <v>149</v>
      </c>
      <c r="BE18" s="41" t="s">
        <v>150</v>
      </c>
      <c r="BF18" s="49">
        <v>50</v>
      </c>
      <c r="BG18" s="51">
        <v>1</v>
      </c>
      <c r="BH18" s="52">
        <v>0</v>
      </c>
      <c r="BI18" s="52">
        <v>1</v>
      </c>
      <c r="BJ18" s="52">
        <v>0</v>
      </c>
      <c r="BK18" s="52">
        <v>1</v>
      </c>
      <c r="BL18" s="53">
        <v>1</v>
      </c>
      <c r="BM18" s="46">
        <v>43</v>
      </c>
      <c r="BN18" s="36"/>
      <c r="BR18" s="62"/>
      <c r="BS18" s="63"/>
      <c r="BT18" s="63"/>
      <c r="BU18" s="64"/>
    </row>
    <row r="19" spans="1:73" x14ac:dyDescent="0.25">
      <c r="A19" s="8"/>
      <c r="B19" s="9"/>
      <c r="C19" s="3"/>
      <c r="D19" s="3" t="s">
        <v>16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10"/>
      <c r="AA19" s="31"/>
      <c r="AB19" s="40" t="s">
        <v>151</v>
      </c>
      <c r="AC19" s="41" t="s">
        <v>152</v>
      </c>
      <c r="AD19" s="49">
        <v>45</v>
      </c>
      <c r="AE19" s="51">
        <v>1</v>
      </c>
      <c r="AF19" s="52">
        <v>1</v>
      </c>
      <c r="AG19" s="52">
        <v>1</v>
      </c>
      <c r="AH19" s="52">
        <v>0</v>
      </c>
      <c r="AI19" s="52">
        <v>1</v>
      </c>
      <c r="AJ19" s="53">
        <v>1</v>
      </c>
      <c r="AK19" s="46">
        <v>59</v>
      </c>
      <c r="AL19" s="36"/>
      <c r="AO19" s="31"/>
      <c r="AP19" s="40" t="s">
        <v>151</v>
      </c>
      <c r="AQ19" s="41" t="s">
        <v>152</v>
      </c>
      <c r="AR19" s="49">
        <v>54</v>
      </c>
      <c r="AS19" s="51">
        <v>1</v>
      </c>
      <c r="AT19" s="52">
        <v>0</v>
      </c>
      <c r="AU19" s="52">
        <v>1</v>
      </c>
      <c r="AV19" s="52">
        <v>1</v>
      </c>
      <c r="AW19" s="52">
        <v>0</v>
      </c>
      <c r="AX19" s="53">
        <v>1</v>
      </c>
      <c r="AY19" s="46">
        <v>45</v>
      </c>
      <c r="AZ19" s="36"/>
      <c r="BC19" s="31"/>
      <c r="BD19" s="40" t="s">
        <v>152</v>
      </c>
      <c r="BE19" s="41" t="s">
        <v>144</v>
      </c>
      <c r="BF19" s="49">
        <v>51</v>
      </c>
      <c r="BG19" s="51">
        <v>1</v>
      </c>
      <c r="BH19" s="52">
        <v>0</v>
      </c>
      <c r="BI19" s="52">
        <v>1</v>
      </c>
      <c r="BJ19" s="52">
        <v>0</v>
      </c>
      <c r="BK19" s="52">
        <v>1</v>
      </c>
      <c r="BL19" s="53">
        <v>0</v>
      </c>
      <c r="BM19" s="46">
        <v>42</v>
      </c>
      <c r="BN19" s="36"/>
    </row>
    <row r="20" spans="1:73" x14ac:dyDescent="0.25">
      <c r="A20" s="8"/>
      <c r="B20" s="9"/>
      <c r="C20" s="3"/>
      <c r="D20" s="3" t="s">
        <v>17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10"/>
      <c r="AA20" s="31"/>
      <c r="AB20" s="55" t="s">
        <v>133</v>
      </c>
      <c r="AC20" s="56" t="s">
        <v>147</v>
      </c>
      <c r="AD20" s="57">
        <v>46</v>
      </c>
      <c r="AE20" s="58">
        <v>1</v>
      </c>
      <c r="AF20" s="59">
        <v>1</v>
      </c>
      <c r="AG20" s="59">
        <v>1</v>
      </c>
      <c r="AH20" s="59">
        <v>0</v>
      </c>
      <c r="AI20" s="59">
        <v>0</v>
      </c>
      <c r="AJ20" s="60">
        <v>1</v>
      </c>
      <c r="AK20" s="66">
        <v>57</v>
      </c>
      <c r="AL20" s="36"/>
      <c r="AO20" s="31"/>
      <c r="AP20" s="55" t="s">
        <v>133</v>
      </c>
      <c r="AQ20" s="56" t="s">
        <v>147</v>
      </c>
      <c r="AR20" s="57">
        <v>52</v>
      </c>
      <c r="AS20" s="58">
        <v>1</v>
      </c>
      <c r="AT20" s="59">
        <v>0</v>
      </c>
      <c r="AU20" s="59">
        <v>1</v>
      </c>
      <c r="AV20" s="59">
        <v>1</v>
      </c>
      <c r="AW20" s="59">
        <v>1</v>
      </c>
      <c r="AX20" s="60">
        <v>0</v>
      </c>
      <c r="AY20" s="57">
        <v>46</v>
      </c>
      <c r="AZ20" s="36"/>
      <c r="BC20" s="31"/>
      <c r="BD20" s="55" t="s">
        <v>147</v>
      </c>
      <c r="BE20" s="56" t="s">
        <v>148</v>
      </c>
      <c r="BF20" s="65">
        <v>37</v>
      </c>
      <c r="BG20" s="58">
        <v>1</v>
      </c>
      <c r="BH20" s="59">
        <v>1</v>
      </c>
      <c r="BI20" s="59">
        <v>0</v>
      </c>
      <c r="BJ20" s="59">
        <v>1</v>
      </c>
      <c r="BK20" s="59">
        <v>1</v>
      </c>
      <c r="BL20" s="60">
        <v>1</v>
      </c>
      <c r="BM20" s="57">
        <v>55</v>
      </c>
      <c r="BN20" s="36"/>
    </row>
    <row r="21" spans="1:73" x14ac:dyDescent="0.25">
      <c r="A21" s="8"/>
      <c r="B21" s="9"/>
      <c r="C21" s="3"/>
      <c r="D21" s="3" t="s">
        <v>18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10"/>
      <c r="AA21" s="31"/>
      <c r="AB21" s="40" t="s">
        <v>136</v>
      </c>
      <c r="AC21" s="41" t="s">
        <v>142</v>
      </c>
      <c r="AD21" s="49">
        <v>47</v>
      </c>
      <c r="AE21" s="51">
        <v>1</v>
      </c>
      <c r="AF21" s="52">
        <v>1</v>
      </c>
      <c r="AG21" s="52">
        <v>1</v>
      </c>
      <c r="AH21" s="52">
        <v>0</v>
      </c>
      <c r="AI21" s="52">
        <v>0</v>
      </c>
      <c r="AJ21" s="53">
        <v>0</v>
      </c>
      <c r="AK21" s="46">
        <v>56</v>
      </c>
      <c r="AL21" s="36"/>
      <c r="AO21" s="31"/>
      <c r="AP21" s="40" t="s">
        <v>136</v>
      </c>
      <c r="AQ21" s="41" t="s">
        <v>142</v>
      </c>
      <c r="AR21" s="49">
        <v>53</v>
      </c>
      <c r="AS21" s="51">
        <v>1</v>
      </c>
      <c r="AT21" s="52">
        <v>0</v>
      </c>
      <c r="AU21" s="52">
        <v>1</v>
      </c>
      <c r="AV21" s="52">
        <v>1</v>
      </c>
      <c r="AW21" s="52">
        <v>1</v>
      </c>
      <c r="AX21" s="53">
        <v>1</v>
      </c>
      <c r="AY21" s="46">
        <v>47</v>
      </c>
      <c r="AZ21" s="36"/>
      <c r="BC21" s="31"/>
      <c r="BD21" s="40" t="s">
        <v>142</v>
      </c>
      <c r="BE21" s="41" t="s">
        <v>143</v>
      </c>
      <c r="BF21" s="49">
        <v>35</v>
      </c>
      <c r="BG21" s="51">
        <v>1</v>
      </c>
      <c r="BH21" s="52">
        <v>1</v>
      </c>
      <c r="BI21" s="52">
        <v>0</v>
      </c>
      <c r="BJ21" s="52">
        <v>0</v>
      </c>
      <c r="BK21" s="52">
        <v>1</v>
      </c>
      <c r="BL21" s="53">
        <v>0</v>
      </c>
      <c r="BM21" s="46">
        <v>50</v>
      </c>
      <c r="BN21" s="36"/>
    </row>
    <row r="22" spans="1:73" x14ac:dyDescent="0.25">
      <c r="A22" s="8"/>
      <c r="B22" s="9"/>
      <c r="C22" s="3"/>
      <c r="D22" s="3" t="s">
        <v>19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10"/>
      <c r="AA22" s="31"/>
      <c r="AB22" s="40" t="s">
        <v>140</v>
      </c>
      <c r="AC22" s="41" t="s">
        <v>153</v>
      </c>
      <c r="AD22" s="49">
        <v>48</v>
      </c>
      <c r="AE22" s="51">
        <v>1</v>
      </c>
      <c r="AF22" s="52">
        <v>0</v>
      </c>
      <c r="AG22" s="52">
        <v>1</v>
      </c>
      <c r="AH22" s="52">
        <v>0</v>
      </c>
      <c r="AI22" s="52">
        <v>0</v>
      </c>
      <c r="AJ22" s="53">
        <v>0</v>
      </c>
      <c r="AK22" s="46">
        <v>40</v>
      </c>
      <c r="AL22" s="36"/>
      <c r="AO22" s="31"/>
      <c r="AP22" s="40" t="s">
        <v>140</v>
      </c>
      <c r="AQ22" s="41" t="s">
        <v>153</v>
      </c>
      <c r="AR22" s="49">
        <v>32</v>
      </c>
      <c r="AS22" s="51">
        <v>1</v>
      </c>
      <c r="AT22" s="52">
        <v>1</v>
      </c>
      <c r="AU22" s="52">
        <v>0</v>
      </c>
      <c r="AV22" s="52">
        <v>0</v>
      </c>
      <c r="AW22" s="52">
        <v>0</v>
      </c>
      <c r="AX22" s="53">
        <v>0</v>
      </c>
      <c r="AY22" s="46">
        <v>48</v>
      </c>
      <c r="AZ22" s="36"/>
      <c r="BC22" s="31"/>
      <c r="BD22" s="55" t="s">
        <v>153</v>
      </c>
      <c r="BE22" s="56" t="s">
        <v>154</v>
      </c>
      <c r="BF22" s="57">
        <v>52</v>
      </c>
      <c r="BG22" s="58">
        <v>1</v>
      </c>
      <c r="BH22" s="59">
        <v>0</v>
      </c>
      <c r="BI22" s="59">
        <v>1</v>
      </c>
      <c r="BJ22" s="59">
        <v>1</v>
      </c>
      <c r="BK22" s="59">
        <v>1</v>
      </c>
      <c r="BL22" s="60">
        <v>0</v>
      </c>
      <c r="BM22" s="57">
        <v>46</v>
      </c>
      <c r="BN22" s="36"/>
    </row>
    <row r="23" spans="1:73" x14ac:dyDescent="0.25">
      <c r="A23" s="8"/>
      <c r="B23" s="9"/>
      <c r="C23" s="3"/>
      <c r="D23" s="3" t="s">
        <v>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0"/>
      <c r="AA23" s="31"/>
      <c r="AB23" s="55" t="s">
        <v>146</v>
      </c>
      <c r="AC23" s="56" t="s">
        <v>134</v>
      </c>
      <c r="AD23" s="57">
        <v>49</v>
      </c>
      <c r="AE23" s="58">
        <v>1</v>
      </c>
      <c r="AF23" s="59">
        <v>0</v>
      </c>
      <c r="AG23" s="59">
        <v>1</v>
      </c>
      <c r="AH23" s="59">
        <v>0</v>
      </c>
      <c r="AI23" s="59">
        <v>0</v>
      </c>
      <c r="AJ23" s="60">
        <v>1</v>
      </c>
      <c r="AK23" s="57">
        <v>41</v>
      </c>
      <c r="AL23" s="36"/>
      <c r="AO23" s="31"/>
      <c r="AP23" s="55" t="s">
        <v>146</v>
      </c>
      <c r="AQ23" s="56" t="s">
        <v>134</v>
      </c>
      <c r="AR23" s="57">
        <v>33</v>
      </c>
      <c r="AS23" s="58">
        <v>1</v>
      </c>
      <c r="AT23" s="59">
        <v>1</v>
      </c>
      <c r="AU23" s="59">
        <v>0</v>
      </c>
      <c r="AV23" s="59">
        <v>0</v>
      </c>
      <c r="AW23" s="59">
        <v>0</v>
      </c>
      <c r="AX23" s="60">
        <v>1</v>
      </c>
      <c r="AY23" s="57">
        <v>49</v>
      </c>
      <c r="AZ23" s="36"/>
      <c r="BC23" s="31"/>
      <c r="BD23" s="40" t="s">
        <v>134</v>
      </c>
      <c r="BE23" s="41" t="s">
        <v>135</v>
      </c>
      <c r="BF23" s="49">
        <v>33</v>
      </c>
      <c r="BG23" s="51">
        <v>1</v>
      </c>
      <c r="BH23" s="52">
        <v>1</v>
      </c>
      <c r="BI23" s="52">
        <v>0</v>
      </c>
      <c r="BJ23" s="52">
        <v>0</v>
      </c>
      <c r="BK23" s="52">
        <v>0</v>
      </c>
      <c r="BL23" s="53">
        <v>1</v>
      </c>
      <c r="BM23" s="46">
        <v>49</v>
      </c>
      <c r="BN23" s="36"/>
    </row>
    <row r="24" spans="1:73" x14ac:dyDescent="0.25">
      <c r="A24" s="8"/>
      <c r="B24" s="9"/>
      <c r="C24" s="3"/>
      <c r="D24" s="3" t="s">
        <v>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10"/>
      <c r="AA24" s="31"/>
      <c r="AB24" s="40" t="s">
        <v>149</v>
      </c>
      <c r="AC24" s="41" t="s">
        <v>150</v>
      </c>
      <c r="AD24" s="49">
        <v>50</v>
      </c>
      <c r="AE24" s="51">
        <v>1</v>
      </c>
      <c r="AF24" s="52">
        <v>0</v>
      </c>
      <c r="AG24" s="52">
        <v>1</v>
      </c>
      <c r="AH24" s="52">
        <v>0</v>
      </c>
      <c r="AI24" s="52">
        <v>1</v>
      </c>
      <c r="AJ24" s="53">
        <v>1</v>
      </c>
      <c r="AK24" s="46">
        <v>43</v>
      </c>
      <c r="AL24" s="36"/>
      <c r="AO24" s="31"/>
      <c r="AP24" s="40" t="s">
        <v>149</v>
      </c>
      <c r="AQ24" s="41" t="s">
        <v>150</v>
      </c>
      <c r="AR24" s="49">
        <v>35</v>
      </c>
      <c r="AS24" s="51">
        <v>1</v>
      </c>
      <c r="AT24" s="52">
        <v>1</v>
      </c>
      <c r="AU24" s="52">
        <v>0</v>
      </c>
      <c r="AV24" s="52">
        <v>0</v>
      </c>
      <c r="AW24" s="52">
        <v>1</v>
      </c>
      <c r="AX24" s="53">
        <v>0</v>
      </c>
      <c r="AY24" s="46">
        <v>50</v>
      </c>
      <c r="AZ24" s="36"/>
      <c r="BC24" s="31"/>
      <c r="BD24" s="40" t="s">
        <v>150</v>
      </c>
      <c r="BE24" s="41" t="s">
        <v>151</v>
      </c>
      <c r="BF24" s="49">
        <v>38</v>
      </c>
      <c r="BG24" s="51">
        <v>1</v>
      </c>
      <c r="BH24" s="52">
        <v>1</v>
      </c>
      <c r="BI24" s="52">
        <v>0</v>
      </c>
      <c r="BJ24" s="52">
        <v>1</v>
      </c>
      <c r="BK24" s="52">
        <v>0</v>
      </c>
      <c r="BL24" s="53">
        <v>1</v>
      </c>
      <c r="BM24" s="46">
        <v>53</v>
      </c>
      <c r="BN24" s="36"/>
    </row>
    <row r="25" spans="1:73" x14ac:dyDescent="0.25">
      <c r="A25" s="8"/>
      <c r="B25" s="9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10"/>
      <c r="AA25" s="31"/>
      <c r="AB25" s="40" t="s">
        <v>152</v>
      </c>
      <c r="AC25" s="41" t="s">
        <v>144</v>
      </c>
      <c r="AD25" s="49">
        <v>51</v>
      </c>
      <c r="AE25" s="51">
        <v>1</v>
      </c>
      <c r="AF25" s="52">
        <v>0</v>
      </c>
      <c r="AG25" s="52">
        <v>1</v>
      </c>
      <c r="AH25" s="52">
        <v>0</v>
      </c>
      <c r="AI25" s="52">
        <v>1</v>
      </c>
      <c r="AJ25" s="53">
        <v>0</v>
      </c>
      <c r="AK25" s="46">
        <v>42</v>
      </c>
      <c r="AL25" s="36"/>
      <c r="AO25" s="31"/>
      <c r="AP25" s="40" t="s">
        <v>152</v>
      </c>
      <c r="AQ25" s="41" t="s">
        <v>144</v>
      </c>
      <c r="AR25" s="49">
        <v>34</v>
      </c>
      <c r="AS25" s="51">
        <v>1</v>
      </c>
      <c r="AT25" s="52">
        <v>1</v>
      </c>
      <c r="AU25" s="52">
        <v>0</v>
      </c>
      <c r="AV25" s="52">
        <v>0</v>
      </c>
      <c r="AW25" s="52">
        <v>1</v>
      </c>
      <c r="AX25" s="53">
        <v>1</v>
      </c>
      <c r="AY25" s="46">
        <v>51</v>
      </c>
      <c r="AZ25" s="36"/>
      <c r="BC25" s="31"/>
      <c r="BD25" s="40" t="s">
        <v>144</v>
      </c>
      <c r="BE25" s="41" t="s">
        <v>145</v>
      </c>
      <c r="BF25" s="49">
        <v>36</v>
      </c>
      <c r="BG25" s="51">
        <v>1</v>
      </c>
      <c r="BH25" s="52">
        <v>1</v>
      </c>
      <c r="BI25" s="52">
        <v>0</v>
      </c>
      <c r="BJ25" s="52">
        <v>1</v>
      </c>
      <c r="BK25" s="52">
        <v>1</v>
      </c>
      <c r="BL25" s="53">
        <v>0</v>
      </c>
      <c r="BM25" s="46">
        <v>54</v>
      </c>
      <c r="BN25" s="36"/>
    </row>
    <row r="26" spans="1:73" x14ac:dyDescent="0.25">
      <c r="A26" s="8"/>
      <c r="B26" s="9">
        <v>3</v>
      </c>
      <c r="C26" s="3"/>
      <c r="D26" s="3" t="s">
        <v>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10"/>
      <c r="AA26" s="31"/>
      <c r="AB26" s="55" t="s">
        <v>153</v>
      </c>
      <c r="AC26" s="56" t="s">
        <v>154</v>
      </c>
      <c r="AD26" s="57">
        <v>52</v>
      </c>
      <c r="AE26" s="58">
        <v>1</v>
      </c>
      <c r="AF26" s="59">
        <v>0</v>
      </c>
      <c r="AG26" s="59">
        <v>1</v>
      </c>
      <c r="AH26" s="59">
        <v>1</v>
      </c>
      <c r="AI26" s="59">
        <v>1</v>
      </c>
      <c r="AJ26" s="60">
        <v>0</v>
      </c>
      <c r="AK26" s="57">
        <v>46</v>
      </c>
      <c r="AL26" s="36"/>
      <c r="AO26" s="31"/>
      <c r="AP26" s="55" t="s">
        <v>153</v>
      </c>
      <c r="AQ26" s="56" t="s">
        <v>154</v>
      </c>
      <c r="AR26" s="57">
        <v>39</v>
      </c>
      <c r="AS26" s="58">
        <v>1</v>
      </c>
      <c r="AT26" s="59">
        <v>1</v>
      </c>
      <c r="AU26" s="59">
        <v>0</v>
      </c>
      <c r="AV26" s="59">
        <v>1</v>
      </c>
      <c r="AW26" s="59">
        <v>0</v>
      </c>
      <c r="AX26" s="60">
        <v>0</v>
      </c>
      <c r="AY26" s="57">
        <v>52</v>
      </c>
      <c r="AZ26" s="36"/>
      <c r="BC26" s="31"/>
      <c r="BD26" s="40" t="s">
        <v>154</v>
      </c>
      <c r="BE26" s="41" t="s">
        <v>155</v>
      </c>
      <c r="BF26" s="49">
        <v>53</v>
      </c>
      <c r="BG26" s="51">
        <v>1</v>
      </c>
      <c r="BH26" s="52">
        <v>0</v>
      </c>
      <c r="BI26" s="52">
        <v>1</v>
      </c>
      <c r="BJ26" s="52">
        <v>1</v>
      </c>
      <c r="BK26" s="52">
        <v>1</v>
      </c>
      <c r="BL26" s="53">
        <v>1</v>
      </c>
      <c r="BM26" s="46">
        <v>47</v>
      </c>
      <c r="BN26" s="36"/>
    </row>
    <row r="27" spans="1:73" x14ac:dyDescent="0.25">
      <c r="A27" s="8"/>
      <c r="B27" s="9"/>
      <c r="C27" s="3"/>
      <c r="D27" s="3" t="s">
        <v>23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10"/>
      <c r="AA27" s="31"/>
      <c r="AB27" s="40" t="s">
        <v>154</v>
      </c>
      <c r="AC27" s="41" t="s">
        <v>155</v>
      </c>
      <c r="AD27" s="49">
        <v>53</v>
      </c>
      <c r="AE27" s="51">
        <v>1</v>
      </c>
      <c r="AF27" s="52">
        <v>0</v>
      </c>
      <c r="AG27" s="52">
        <v>1</v>
      </c>
      <c r="AH27" s="52">
        <v>1</v>
      </c>
      <c r="AI27" s="52">
        <v>1</v>
      </c>
      <c r="AJ27" s="53">
        <v>1</v>
      </c>
      <c r="AK27" s="46">
        <v>47</v>
      </c>
      <c r="AL27" s="36"/>
      <c r="AO27" s="31"/>
      <c r="AP27" s="40" t="s">
        <v>154</v>
      </c>
      <c r="AQ27" s="41" t="s">
        <v>155</v>
      </c>
      <c r="AR27" s="49">
        <v>38</v>
      </c>
      <c r="AS27" s="51">
        <v>1</v>
      </c>
      <c r="AT27" s="52">
        <v>1</v>
      </c>
      <c r="AU27" s="52">
        <v>0</v>
      </c>
      <c r="AV27" s="52">
        <v>1</v>
      </c>
      <c r="AW27" s="52">
        <v>0</v>
      </c>
      <c r="AX27" s="53">
        <v>1</v>
      </c>
      <c r="AY27" s="46">
        <v>53</v>
      </c>
      <c r="AZ27" s="36"/>
      <c r="BC27" s="31"/>
      <c r="BD27" s="40" t="s">
        <v>155</v>
      </c>
      <c r="BE27" s="41" t="s">
        <v>156</v>
      </c>
      <c r="BF27" s="49">
        <v>54</v>
      </c>
      <c r="BG27" s="51">
        <v>1</v>
      </c>
      <c r="BH27" s="52">
        <v>0</v>
      </c>
      <c r="BI27" s="52">
        <v>1</v>
      </c>
      <c r="BJ27" s="52">
        <v>1</v>
      </c>
      <c r="BK27" s="52">
        <v>0</v>
      </c>
      <c r="BL27" s="53">
        <v>1</v>
      </c>
      <c r="BM27" s="46">
        <v>45</v>
      </c>
      <c r="BN27" s="36"/>
    </row>
    <row r="28" spans="1:73" x14ac:dyDescent="0.25">
      <c r="A28" s="8"/>
      <c r="B28" s="9"/>
      <c r="C28" s="3"/>
      <c r="D28" s="3" t="s">
        <v>24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10"/>
      <c r="AA28" s="31"/>
      <c r="AB28" s="40" t="s">
        <v>155</v>
      </c>
      <c r="AC28" s="41" t="s">
        <v>156</v>
      </c>
      <c r="AD28" s="49">
        <v>54</v>
      </c>
      <c r="AE28" s="51">
        <v>1</v>
      </c>
      <c r="AF28" s="52">
        <v>0</v>
      </c>
      <c r="AG28" s="52">
        <v>1</v>
      </c>
      <c r="AH28" s="52">
        <v>1</v>
      </c>
      <c r="AI28" s="52">
        <v>0</v>
      </c>
      <c r="AJ28" s="53">
        <v>1</v>
      </c>
      <c r="AK28" s="46">
        <v>45</v>
      </c>
      <c r="AL28" s="36"/>
      <c r="AO28" s="31"/>
      <c r="AP28" s="40" t="s">
        <v>155</v>
      </c>
      <c r="AQ28" s="41" t="s">
        <v>156</v>
      </c>
      <c r="AR28" s="49">
        <v>36</v>
      </c>
      <c r="AS28" s="51">
        <v>1</v>
      </c>
      <c r="AT28" s="52">
        <v>1</v>
      </c>
      <c r="AU28" s="52">
        <v>0</v>
      </c>
      <c r="AV28" s="52">
        <v>1</v>
      </c>
      <c r="AW28" s="52">
        <v>1</v>
      </c>
      <c r="AX28" s="53">
        <v>0</v>
      </c>
      <c r="AY28" s="46">
        <v>54</v>
      </c>
      <c r="AZ28" s="36"/>
      <c r="BC28" s="31"/>
      <c r="BD28" s="55" t="s">
        <v>156</v>
      </c>
      <c r="BE28" s="56" t="s">
        <v>157</v>
      </c>
      <c r="BF28" s="57">
        <v>55</v>
      </c>
      <c r="BG28" s="58">
        <v>1</v>
      </c>
      <c r="BH28" s="59">
        <v>0</v>
      </c>
      <c r="BI28" s="59">
        <v>1</v>
      </c>
      <c r="BJ28" s="59">
        <v>1</v>
      </c>
      <c r="BK28" s="59">
        <v>0</v>
      </c>
      <c r="BL28" s="60">
        <v>0</v>
      </c>
      <c r="BM28" s="57">
        <v>44</v>
      </c>
      <c r="BN28" s="36"/>
    </row>
    <row r="29" spans="1:73" x14ac:dyDescent="0.25">
      <c r="A29" s="8"/>
      <c r="B29" s="9"/>
      <c r="C29" s="3"/>
      <c r="D29" s="3" t="s">
        <v>25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10"/>
      <c r="AA29" s="31"/>
      <c r="AB29" s="55" t="s">
        <v>156</v>
      </c>
      <c r="AC29" s="56" t="s">
        <v>157</v>
      </c>
      <c r="AD29" s="57">
        <v>55</v>
      </c>
      <c r="AE29" s="58">
        <v>1</v>
      </c>
      <c r="AF29" s="59">
        <v>0</v>
      </c>
      <c r="AG29" s="59">
        <v>1</v>
      </c>
      <c r="AH29" s="59">
        <v>1</v>
      </c>
      <c r="AI29" s="59">
        <v>0</v>
      </c>
      <c r="AJ29" s="60">
        <v>0</v>
      </c>
      <c r="AK29" s="57">
        <v>44</v>
      </c>
      <c r="AL29" s="36"/>
      <c r="AO29" s="31"/>
      <c r="AP29" s="55" t="s">
        <v>156</v>
      </c>
      <c r="AQ29" s="56" t="s">
        <v>157</v>
      </c>
      <c r="AR29" s="65">
        <v>37</v>
      </c>
      <c r="AS29" s="58">
        <v>1</v>
      </c>
      <c r="AT29" s="59">
        <v>1</v>
      </c>
      <c r="AU29" s="59">
        <v>0</v>
      </c>
      <c r="AV29" s="59">
        <v>1</v>
      </c>
      <c r="AW29" s="59">
        <v>1</v>
      </c>
      <c r="AX29" s="60">
        <v>1</v>
      </c>
      <c r="AY29" s="57">
        <v>55</v>
      </c>
      <c r="AZ29" s="36"/>
      <c r="BC29" s="31"/>
      <c r="BD29" s="40" t="s">
        <v>157</v>
      </c>
      <c r="BE29" s="41" t="s">
        <v>138</v>
      </c>
      <c r="BF29" s="49">
        <v>56</v>
      </c>
      <c r="BG29" s="51">
        <v>1</v>
      </c>
      <c r="BH29" s="52">
        <v>0</v>
      </c>
      <c r="BI29" s="52">
        <v>0</v>
      </c>
      <c r="BJ29" s="52">
        <v>1</v>
      </c>
      <c r="BK29" s="52">
        <v>0</v>
      </c>
      <c r="BL29" s="53">
        <v>0</v>
      </c>
      <c r="BM29" s="46">
        <v>36</v>
      </c>
      <c r="BN29" s="36"/>
    </row>
    <row r="30" spans="1:73" x14ac:dyDescent="0.25">
      <c r="A30" s="8"/>
      <c r="B30" s="9"/>
      <c r="C30" s="3"/>
      <c r="D30" s="3" t="s">
        <v>26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10"/>
      <c r="AA30" s="31"/>
      <c r="AB30" s="40" t="s">
        <v>157</v>
      </c>
      <c r="AC30" s="41" t="s">
        <v>138</v>
      </c>
      <c r="AD30" s="49">
        <v>56</v>
      </c>
      <c r="AE30" s="51">
        <v>1</v>
      </c>
      <c r="AF30" s="52">
        <v>0</v>
      </c>
      <c r="AG30" s="52">
        <v>0</v>
      </c>
      <c r="AH30" s="52">
        <v>1</v>
      </c>
      <c r="AI30" s="52">
        <v>0</v>
      </c>
      <c r="AJ30" s="53">
        <v>0</v>
      </c>
      <c r="AK30" s="46">
        <v>36</v>
      </c>
      <c r="AL30" s="36"/>
      <c r="AO30" s="31"/>
      <c r="AP30" s="40" t="s">
        <v>157</v>
      </c>
      <c r="AQ30" s="41" t="s">
        <v>138</v>
      </c>
      <c r="AR30" s="49">
        <v>47</v>
      </c>
      <c r="AS30" s="51">
        <v>1</v>
      </c>
      <c r="AT30" s="52">
        <v>1</v>
      </c>
      <c r="AU30" s="52">
        <v>1</v>
      </c>
      <c r="AV30" s="52">
        <v>0</v>
      </c>
      <c r="AW30" s="52">
        <v>0</v>
      </c>
      <c r="AX30" s="53">
        <v>0</v>
      </c>
      <c r="AY30" s="46">
        <v>56</v>
      </c>
      <c r="AZ30" s="36"/>
      <c r="BC30" s="31"/>
      <c r="BD30" s="55" t="s">
        <v>138</v>
      </c>
      <c r="BE30" s="56" t="s">
        <v>139</v>
      </c>
      <c r="BF30" s="57">
        <v>34</v>
      </c>
      <c r="BG30" s="58">
        <v>1</v>
      </c>
      <c r="BH30" s="59">
        <v>1</v>
      </c>
      <c r="BI30" s="59">
        <v>0</v>
      </c>
      <c r="BJ30" s="59">
        <v>0</v>
      </c>
      <c r="BK30" s="59">
        <v>1</v>
      </c>
      <c r="BL30" s="60">
        <v>1</v>
      </c>
      <c r="BM30" s="57">
        <v>51</v>
      </c>
      <c r="BN30" s="36"/>
    </row>
    <row r="31" spans="1:73" x14ac:dyDescent="0.25">
      <c r="A31" s="8"/>
      <c r="B31" s="9"/>
      <c r="C31" s="3"/>
      <c r="D31" s="3" t="s">
        <v>27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10"/>
      <c r="AA31" s="31"/>
      <c r="AB31" s="67" t="s">
        <v>158</v>
      </c>
      <c r="AC31" s="68" t="s">
        <v>158</v>
      </c>
      <c r="AD31" s="69">
        <v>57</v>
      </c>
      <c r="AE31" s="70">
        <v>1</v>
      </c>
      <c r="AF31" s="71">
        <v>0</v>
      </c>
      <c r="AG31" s="71">
        <v>0</v>
      </c>
      <c r="AH31" s="71">
        <v>1</v>
      </c>
      <c r="AI31" s="71">
        <v>0</v>
      </c>
      <c r="AJ31" s="72">
        <v>1</v>
      </c>
      <c r="AK31" s="73">
        <v>37</v>
      </c>
      <c r="AL31" s="36"/>
      <c r="AO31" s="31"/>
      <c r="AP31" s="67" t="s">
        <v>158</v>
      </c>
      <c r="AQ31" s="68" t="s">
        <v>158</v>
      </c>
      <c r="AR31" s="74">
        <v>46</v>
      </c>
      <c r="AS31" s="70">
        <v>1</v>
      </c>
      <c r="AT31" s="71">
        <v>1</v>
      </c>
      <c r="AU31" s="71">
        <v>1</v>
      </c>
      <c r="AV31" s="71">
        <v>0</v>
      </c>
      <c r="AW31" s="71">
        <v>0</v>
      </c>
      <c r="AX31" s="72">
        <v>1</v>
      </c>
      <c r="AY31" s="75">
        <v>57</v>
      </c>
      <c r="AZ31" s="36"/>
      <c r="BC31" s="31"/>
      <c r="BD31" s="67" t="s">
        <v>158</v>
      </c>
      <c r="BE31" s="68" t="s">
        <v>158</v>
      </c>
      <c r="BF31" s="69">
        <v>57</v>
      </c>
      <c r="BG31" s="70">
        <v>1</v>
      </c>
      <c r="BH31" s="71">
        <v>0</v>
      </c>
      <c r="BI31" s="71">
        <v>0</v>
      </c>
      <c r="BJ31" s="71">
        <v>1</v>
      </c>
      <c r="BK31" s="71">
        <v>0</v>
      </c>
      <c r="BL31" s="72">
        <v>1</v>
      </c>
      <c r="BM31" s="73">
        <v>37</v>
      </c>
      <c r="BN31" s="36"/>
    </row>
    <row r="32" spans="1:73" ht="17.25" x14ac:dyDescent="0.25">
      <c r="A32" s="8"/>
      <c r="B32" s="9"/>
      <c r="C32" s="3"/>
      <c r="D32" s="3" t="s">
        <v>28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10"/>
      <c r="AA32" s="31"/>
      <c r="AB32" s="76"/>
      <c r="AC32" s="76"/>
      <c r="AD32" s="77">
        <v>58</v>
      </c>
      <c r="AE32" s="78">
        <v>1</v>
      </c>
      <c r="AF32" s="79">
        <v>0</v>
      </c>
      <c r="AG32" s="79">
        <v>0</v>
      </c>
      <c r="AH32" s="79">
        <v>1</v>
      </c>
      <c r="AI32" s="79">
        <v>1</v>
      </c>
      <c r="AJ32" s="80">
        <v>1</v>
      </c>
      <c r="AK32" s="77">
        <v>39</v>
      </c>
      <c r="AL32" s="36"/>
      <c r="AO32" s="31"/>
      <c r="AP32" s="76"/>
      <c r="AQ32" s="76"/>
      <c r="AR32" s="77">
        <v>44</v>
      </c>
      <c r="AS32" s="78">
        <v>1</v>
      </c>
      <c r="AT32" s="79">
        <v>1</v>
      </c>
      <c r="AU32" s="79">
        <v>1</v>
      </c>
      <c r="AV32" s="79">
        <v>0</v>
      </c>
      <c r="AW32" s="79">
        <v>1</v>
      </c>
      <c r="AX32" s="80">
        <v>0</v>
      </c>
      <c r="AY32" s="77">
        <v>58</v>
      </c>
      <c r="AZ32" s="36"/>
      <c r="BC32" s="31"/>
      <c r="BD32" s="76"/>
      <c r="BE32" s="76"/>
      <c r="BF32" s="77">
        <v>58</v>
      </c>
      <c r="BG32" s="78">
        <v>1</v>
      </c>
      <c r="BH32" s="79">
        <v>0</v>
      </c>
      <c r="BI32" s="79">
        <v>0</v>
      </c>
      <c r="BJ32" s="79">
        <v>1</v>
      </c>
      <c r="BK32" s="79">
        <v>1</v>
      </c>
      <c r="BL32" s="80">
        <v>1</v>
      </c>
      <c r="BM32" s="77">
        <v>39</v>
      </c>
      <c r="BN32" s="36"/>
    </row>
    <row r="33" spans="1:66" ht="17.25" x14ac:dyDescent="0.25">
      <c r="A33" s="8"/>
      <c r="B33" s="9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0"/>
      <c r="AA33" s="31"/>
      <c r="AB33" s="81"/>
      <c r="AC33" s="81"/>
      <c r="AD33" s="49">
        <v>59</v>
      </c>
      <c r="AE33" s="51">
        <v>1</v>
      </c>
      <c r="AF33" s="52">
        <v>0</v>
      </c>
      <c r="AG33" s="52">
        <v>0</v>
      </c>
      <c r="AH33" s="52">
        <v>1</v>
      </c>
      <c r="AI33" s="52">
        <v>1</v>
      </c>
      <c r="AJ33" s="53">
        <v>0</v>
      </c>
      <c r="AK33" s="46">
        <v>38</v>
      </c>
      <c r="AL33" s="36"/>
      <c r="AO33" s="31"/>
      <c r="AP33" s="81"/>
      <c r="AQ33" s="81"/>
      <c r="AR33" s="49">
        <v>45</v>
      </c>
      <c r="AS33" s="51">
        <v>1</v>
      </c>
      <c r="AT33" s="52">
        <v>1</v>
      </c>
      <c r="AU33" s="52">
        <v>1</v>
      </c>
      <c r="AV33" s="52">
        <v>0</v>
      </c>
      <c r="AW33" s="52">
        <v>1</v>
      </c>
      <c r="AX33" s="53">
        <v>1</v>
      </c>
      <c r="AY33" s="46">
        <v>59</v>
      </c>
      <c r="AZ33" s="36"/>
      <c r="BC33" s="31"/>
      <c r="BD33" s="81"/>
      <c r="BE33" s="81"/>
      <c r="BF33" s="49">
        <v>59</v>
      </c>
      <c r="BG33" s="51">
        <v>1</v>
      </c>
      <c r="BH33" s="52">
        <v>0</v>
      </c>
      <c r="BI33" s="52">
        <v>0</v>
      </c>
      <c r="BJ33" s="52">
        <v>1</v>
      </c>
      <c r="BK33" s="52">
        <v>1</v>
      </c>
      <c r="BL33" s="53">
        <v>0</v>
      </c>
      <c r="BM33" s="46">
        <v>38</v>
      </c>
      <c r="BN33" s="36"/>
    </row>
    <row r="34" spans="1:66" ht="17.25" x14ac:dyDescent="0.25">
      <c r="A34" s="8"/>
      <c r="B34" s="9">
        <v>4</v>
      </c>
      <c r="C34" s="3"/>
      <c r="D34" s="11" t="s">
        <v>29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10"/>
      <c r="AA34" s="31"/>
      <c r="AB34" s="81"/>
      <c r="AC34" s="81"/>
      <c r="AD34" s="49">
        <v>60</v>
      </c>
      <c r="AE34" s="51">
        <v>1</v>
      </c>
      <c r="AF34" s="52">
        <v>0</v>
      </c>
      <c r="AG34" s="52">
        <v>0</v>
      </c>
      <c r="AH34" s="52">
        <v>0</v>
      </c>
      <c r="AI34" s="52">
        <v>1</v>
      </c>
      <c r="AJ34" s="53">
        <v>0</v>
      </c>
      <c r="AK34" s="46">
        <v>34</v>
      </c>
      <c r="AL34" s="36"/>
      <c r="AO34" s="31"/>
      <c r="AP34" s="81"/>
      <c r="AQ34" s="81"/>
      <c r="AR34" s="49">
        <v>40</v>
      </c>
      <c r="AS34" s="51">
        <v>1</v>
      </c>
      <c r="AT34" s="52">
        <v>1</v>
      </c>
      <c r="AU34" s="52">
        <v>1</v>
      </c>
      <c r="AV34" s="52">
        <v>1</v>
      </c>
      <c r="AW34" s="52">
        <v>0</v>
      </c>
      <c r="AX34" s="53">
        <v>0</v>
      </c>
      <c r="AY34" s="46">
        <v>60</v>
      </c>
      <c r="AZ34" s="36"/>
      <c r="BC34" s="31"/>
      <c r="BD34" s="81"/>
      <c r="BE34" s="81"/>
      <c r="BF34" s="49">
        <v>60</v>
      </c>
      <c r="BG34" s="51">
        <v>1</v>
      </c>
      <c r="BH34" s="52">
        <v>0</v>
      </c>
      <c r="BI34" s="52">
        <v>0</v>
      </c>
      <c r="BJ34" s="52">
        <v>0</v>
      </c>
      <c r="BK34" s="52">
        <v>1</v>
      </c>
      <c r="BL34" s="53">
        <v>0</v>
      </c>
      <c r="BM34" s="46">
        <v>34</v>
      </c>
      <c r="BN34" s="36"/>
    </row>
    <row r="35" spans="1:66" ht="17.25" x14ac:dyDescent="0.25">
      <c r="A35" s="8"/>
      <c r="B35" s="9"/>
      <c r="C35" s="3"/>
      <c r="D35" s="11" t="s">
        <v>30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10"/>
      <c r="AA35" s="31"/>
      <c r="AB35" s="82"/>
      <c r="AC35" s="82"/>
      <c r="AD35" s="57">
        <v>61</v>
      </c>
      <c r="AE35" s="58">
        <v>1</v>
      </c>
      <c r="AF35" s="59">
        <v>0</v>
      </c>
      <c r="AG35" s="59">
        <v>0</v>
      </c>
      <c r="AH35" s="59">
        <v>0</v>
      </c>
      <c r="AI35" s="59">
        <v>1</v>
      </c>
      <c r="AJ35" s="60">
        <v>1</v>
      </c>
      <c r="AK35" s="57">
        <v>35</v>
      </c>
      <c r="AL35" s="36"/>
      <c r="AO35" s="31"/>
      <c r="AP35" s="82"/>
      <c r="AQ35" s="82"/>
      <c r="AR35" s="57">
        <v>41</v>
      </c>
      <c r="AS35" s="58">
        <v>1</v>
      </c>
      <c r="AT35" s="59">
        <v>1</v>
      </c>
      <c r="AU35" s="59">
        <v>1</v>
      </c>
      <c r="AV35" s="59">
        <v>1</v>
      </c>
      <c r="AW35" s="59">
        <v>0</v>
      </c>
      <c r="AX35" s="60">
        <v>1</v>
      </c>
      <c r="AY35" s="57">
        <v>61</v>
      </c>
      <c r="AZ35" s="36"/>
      <c r="BC35" s="31"/>
      <c r="BD35" s="82"/>
      <c r="BE35" s="82"/>
      <c r="BF35" s="57">
        <v>61</v>
      </c>
      <c r="BG35" s="58">
        <v>1</v>
      </c>
      <c r="BH35" s="59">
        <v>0</v>
      </c>
      <c r="BI35" s="59">
        <v>0</v>
      </c>
      <c r="BJ35" s="59">
        <v>0</v>
      </c>
      <c r="BK35" s="59">
        <v>1</v>
      </c>
      <c r="BL35" s="60">
        <v>1</v>
      </c>
      <c r="BM35" s="57">
        <v>35</v>
      </c>
      <c r="BN35" s="36"/>
    </row>
    <row r="36" spans="1:66" ht="17.25" x14ac:dyDescent="0.25">
      <c r="A36" s="8"/>
      <c r="B36" s="9"/>
      <c r="C36" s="3"/>
      <c r="D36" s="3" t="s">
        <v>31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10"/>
      <c r="AA36" s="31"/>
      <c r="AB36" s="81"/>
      <c r="AC36" s="81"/>
      <c r="AD36" s="49">
        <v>62</v>
      </c>
      <c r="AE36" s="51">
        <v>1</v>
      </c>
      <c r="AF36" s="52">
        <v>0</v>
      </c>
      <c r="AG36" s="52">
        <v>0</v>
      </c>
      <c r="AH36" s="52">
        <v>0</v>
      </c>
      <c r="AI36" s="52">
        <v>0</v>
      </c>
      <c r="AJ36" s="53">
        <v>1</v>
      </c>
      <c r="AK36" s="46">
        <v>33</v>
      </c>
      <c r="AL36" s="36"/>
      <c r="AO36" s="31"/>
      <c r="AP36" s="81"/>
      <c r="AQ36" s="81"/>
      <c r="AR36" s="49">
        <v>43</v>
      </c>
      <c r="AS36" s="51">
        <v>1</v>
      </c>
      <c r="AT36" s="52">
        <v>1</v>
      </c>
      <c r="AU36" s="52">
        <v>1</v>
      </c>
      <c r="AV36" s="52">
        <v>1</v>
      </c>
      <c r="AW36" s="52">
        <v>1</v>
      </c>
      <c r="AX36" s="53">
        <v>0</v>
      </c>
      <c r="AY36" s="46">
        <v>62</v>
      </c>
      <c r="AZ36" s="36"/>
      <c r="BC36" s="31"/>
      <c r="BD36" s="81"/>
      <c r="BE36" s="81"/>
      <c r="BF36" s="49">
        <v>62</v>
      </c>
      <c r="BG36" s="51">
        <v>1</v>
      </c>
      <c r="BH36" s="52">
        <v>0</v>
      </c>
      <c r="BI36" s="52">
        <v>0</v>
      </c>
      <c r="BJ36" s="52">
        <v>0</v>
      </c>
      <c r="BK36" s="52">
        <v>0</v>
      </c>
      <c r="BL36" s="53">
        <v>1</v>
      </c>
      <c r="BM36" s="46">
        <v>33</v>
      </c>
      <c r="BN36" s="36"/>
    </row>
    <row r="37" spans="1:66" ht="17.25" x14ac:dyDescent="0.25">
      <c r="A37" s="8"/>
      <c r="B37" s="9"/>
      <c r="C37" s="3"/>
      <c r="D37" s="3" t="s">
        <v>32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10"/>
      <c r="AA37" s="31"/>
      <c r="AB37" s="81"/>
      <c r="AC37" s="81"/>
      <c r="AD37" s="42">
        <v>63</v>
      </c>
      <c r="AE37" s="51">
        <v>1</v>
      </c>
      <c r="AF37" s="52">
        <v>0</v>
      </c>
      <c r="AG37" s="52">
        <v>0</v>
      </c>
      <c r="AH37" s="52">
        <v>0</v>
      </c>
      <c r="AI37" s="52">
        <v>0</v>
      </c>
      <c r="AJ37" s="53">
        <v>0</v>
      </c>
      <c r="AK37" s="48">
        <v>32</v>
      </c>
      <c r="AL37" s="36"/>
      <c r="AM37" s="31"/>
      <c r="AO37" s="31"/>
      <c r="AP37" s="81"/>
      <c r="AQ37" s="81"/>
      <c r="AR37" s="49">
        <v>42</v>
      </c>
      <c r="AS37" s="51">
        <v>1</v>
      </c>
      <c r="AT37" s="52">
        <v>1</v>
      </c>
      <c r="AU37" s="52">
        <v>1</v>
      </c>
      <c r="AV37" s="52">
        <v>1</v>
      </c>
      <c r="AW37" s="52">
        <v>1</v>
      </c>
      <c r="AX37" s="53">
        <v>1</v>
      </c>
      <c r="AY37" s="48">
        <v>63</v>
      </c>
      <c r="AZ37" s="36"/>
      <c r="BC37" s="31"/>
      <c r="BD37" s="81"/>
      <c r="BE37" s="81"/>
      <c r="BF37" s="42">
        <v>63</v>
      </c>
      <c r="BG37" s="51">
        <v>1</v>
      </c>
      <c r="BH37" s="52">
        <v>0</v>
      </c>
      <c r="BI37" s="52">
        <v>0</v>
      </c>
      <c r="BJ37" s="52">
        <v>0</v>
      </c>
      <c r="BK37" s="52">
        <v>0</v>
      </c>
      <c r="BL37" s="53">
        <v>0</v>
      </c>
      <c r="BM37" s="48">
        <v>32</v>
      </c>
      <c r="BN37" s="36"/>
    </row>
    <row r="38" spans="1:66" x14ac:dyDescent="0.25">
      <c r="A38" s="8"/>
      <c r="B38" s="9"/>
      <c r="C38" s="3"/>
      <c r="D38" s="3" t="s">
        <v>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10"/>
      <c r="AA38" s="31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6"/>
      <c r="AM38" s="31"/>
      <c r="AO38" s="31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6"/>
      <c r="BC38" s="31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6"/>
    </row>
    <row r="39" spans="1:66" x14ac:dyDescent="0.25">
      <c r="A39" s="8"/>
      <c r="B39" s="9"/>
      <c r="C39" s="3"/>
      <c r="D39" s="3" t="s">
        <v>34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10"/>
      <c r="AA39" s="31"/>
      <c r="AB39" s="32"/>
      <c r="AC39" s="32"/>
      <c r="AD39" s="52">
        <v>1</v>
      </c>
      <c r="AE39" s="83">
        <f>COUNTIF(AE6:AJ31,"1")</f>
        <v>97</v>
      </c>
      <c r="AF39" s="84"/>
      <c r="AG39" s="85">
        <f>COUNTIF(AE32:AJ37,"1")</f>
        <v>15</v>
      </c>
      <c r="AH39" s="86"/>
      <c r="AI39" s="87">
        <f>SUM(AE39,AG39)</f>
        <v>112</v>
      </c>
      <c r="AK39" s="32"/>
      <c r="AL39" s="36"/>
      <c r="AM39" s="31"/>
      <c r="AO39" s="31"/>
      <c r="AP39" s="32"/>
      <c r="AQ39" s="32"/>
      <c r="AR39" s="52">
        <v>1</v>
      </c>
      <c r="AS39" s="83">
        <f>COUNTIF(AS6:AX31,"1")</f>
        <v>83</v>
      </c>
      <c r="AT39" s="84"/>
      <c r="AU39" s="85">
        <f>COUNTIF(AS32:AX37,"1")</f>
        <v>29</v>
      </c>
      <c r="AV39" s="86"/>
      <c r="AW39" s="87">
        <f>SUM(AS39,AU39)</f>
        <v>112</v>
      </c>
      <c r="AX39" s="32"/>
      <c r="AY39" s="32"/>
      <c r="AZ39" s="36"/>
      <c r="BC39" s="31"/>
      <c r="BD39" s="32"/>
      <c r="BE39" s="32"/>
      <c r="BF39" s="52">
        <v>1</v>
      </c>
      <c r="BG39" s="83">
        <f>COUNTIF(BG6:BL31,"1")</f>
        <v>97</v>
      </c>
      <c r="BH39" s="84"/>
      <c r="BI39" s="85">
        <f>COUNTIF(BG32:BL37,"1")</f>
        <v>15</v>
      </c>
      <c r="BJ39" s="86"/>
      <c r="BK39" s="87">
        <f>SUM(BG39,BI39)</f>
        <v>112</v>
      </c>
      <c r="BM39" s="32"/>
      <c r="BN39" s="36"/>
    </row>
    <row r="40" spans="1:66" ht="15.75" thickBot="1" x14ac:dyDescent="0.3">
      <c r="A40" s="8"/>
      <c r="B40" s="9"/>
      <c r="C40" s="3"/>
      <c r="D40" s="3" t="s">
        <v>35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0"/>
      <c r="AA40" s="31"/>
      <c r="AB40" s="32"/>
      <c r="AC40" s="32"/>
      <c r="AD40" s="88">
        <v>0</v>
      </c>
      <c r="AE40" s="89">
        <f>COUNTIF(AE6:AJ31,"0")</f>
        <v>59</v>
      </c>
      <c r="AF40" s="90"/>
      <c r="AG40" s="91">
        <f>COUNTIF(AE32:AJ37,"0")</f>
        <v>21</v>
      </c>
      <c r="AH40" s="92"/>
      <c r="AI40" s="93">
        <f>SUM(AE40,AG40)</f>
        <v>80</v>
      </c>
      <c r="AK40" s="32"/>
      <c r="AL40" s="36"/>
      <c r="AM40" s="31"/>
      <c r="AO40" s="31"/>
      <c r="AP40" s="32"/>
      <c r="AQ40" s="32"/>
      <c r="AR40" s="88">
        <v>0</v>
      </c>
      <c r="AS40" s="89">
        <f>COUNTIF(AS6:AX31,"0")</f>
        <v>73</v>
      </c>
      <c r="AT40" s="90"/>
      <c r="AU40" s="91">
        <f>COUNTIF(AS32:AX37,"0")</f>
        <v>7</v>
      </c>
      <c r="AV40" s="92"/>
      <c r="AW40" s="93">
        <f>SUM(AS40,AU40)</f>
        <v>80</v>
      </c>
      <c r="AX40" s="32"/>
      <c r="AY40" s="32"/>
      <c r="AZ40" s="36"/>
      <c r="BC40" s="31"/>
      <c r="BD40" s="32"/>
      <c r="BE40" s="32"/>
      <c r="BF40" s="88">
        <v>0</v>
      </c>
      <c r="BG40" s="89">
        <f>COUNTIF(BG6:BL31,"0")</f>
        <v>59</v>
      </c>
      <c r="BH40" s="90"/>
      <c r="BI40" s="91">
        <f>COUNTIF(BG32:BL37,"0")</f>
        <v>21</v>
      </c>
      <c r="BJ40" s="92"/>
      <c r="BK40" s="93">
        <f>SUM(BG40,BI40)</f>
        <v>80</v>
      </c>
      <c r="BM40" s="32"/>
      <c r="BN40" s="36"/>
    </row>
    <row r="41" spans="1:66" ht="15.75" thickTop="1" x14ac:dyDescent="0.25">
      <c r="A41" s="8"/>
      <c r="B41" s="9"/>
      <c r="C41" s="3"/>
      <c r="D41" s="3" t="s">
        <v>36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10"/>
      <c r="AA41" s="31"/>
      <c r="AB41" s="32"/>
      <c r="AC41" s="32"/>
      <c r="AD41" s="32"/>
      <c r="AE41" s="94">
        <f>SUM(AE39:AE40)</f>
        <v>156</v>
      </c>
      <c r="AF41" s="95"/>
      <c r="AG41" s="96">
        <f>SUM(AG39:AG40)</f>
        <v>36</v>
      </c>
      <c r="AH41" s="97"/>
      <c r="AI41" s="98">
        <f>SUM(AI39:AI40)</f>
        <v>192</v>
      </c>
      <c r="AK41" s="32"/>
      <c r="AL41" s="36"/>
      <c r="AM41" s="31"/>
      <c r="AO41" s="31"/>
      <c r="AP41" s="32"/>
      <c r="AQ41" s="32"/>
      <c r="AR41" s="32"/>
      <c r="AS41" s="94">
        <f>SUM(AS39:AS40)</f>
        <v>156</v>
      </c>
      <c r="AT41" s="95"/>
      <c r="AU41" s="96">
        <f>SUM(AU39:AU40)</f>
        <v>36</v>
      </c>
      <c r="AV41" s="97"/>
      <c r="AW41" s="98">
        <f>SUM(AW39:AW40)</f>
        <v>192</v>
      </c>
      <c r="AX41" s="32"/>
      <c r="AY41" s="32"/>
      <c r="AZ41" s="36"/>
      <c r="BC41" s="31"/>
      <c r="BD41" s="32"/>
      <c r="BE41" s="32"/>
      <c r="BF41" s="32"/>
      <c r="BG41" s="94">
        <f>SUM(BG39:BG40)</f>
        <v>156</v>
      </c>
      <c r="BH41" s="95"/>
      <c r="BI41" s="96">
        <f>SUM(BI39:BI40)</f>
        <v>36</v>
      </c>
      <c r="BJ41" s="97"/>
      <c r="BK41" s="98">
        <f>SUM(BK39:BK40)</f>
        <v>192</v>
      </c>
      <c r="BM41" s="32"/>
      <c r="BN41" s="36"/>
    </row>
    <row r="42" spans="1:66" x14ac:dyDescent="0.25">
      <c r="A42" s="8"/>
      <c r="B42" s="9"/>
      <c r="C42" s="3"/>
      <c r="D42" s="3" t="s">
        <v>37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10"/>
      <c r="AA42" s="31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6"/>
      <c r="AM42" s="31"/>
      <c r="AO42" s="31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6"/>
      <c r="BC42" s="31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6"/>
    </row>
    <row r="43" spans="1:66" x14ac:dyDescent="0.25">
      <c r="A43" s="8"/>
      <c r="B43" s="9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10"/>
      <c r="AA43" s="31"/>
      <c r="AB43" s="32"/>
      <c r="AC43" s="32"/>
      <c r="AD43" s="32"/>
      <c r="AF43" s="32"/>
      <c r="AH43" s="99"/>
      <c r="AI43" s="32"/>
      <c r="AK43" s="32"/>
      <c r="AL43" s="36"/>
      <c r="AM43" s="31"/>
      <c r="AO43" s="31"/>
      <c r="AP43" s="32"/>
      <c r="AQ43" s="32"/>
      <c r="AR43" s="32"/>
      <c r="AT43" s="32"/>
      <c r="AU43" s="32"/>
      <c r="AV43" s="99"/>
      <c r="AW43" s="32"/>
      <c r="AY43" s="32"/>
      <c r="AZ43" s="36"/>
      <c r="BC43" s="31"/>
      <c r="BD43" s="32"/>
      <c r="BE43" s="32"/>
      <c r="BF43" s="32"/>
      <c r="BH43" s="32"/>
      <c r="BJ43" s="99"/>
      <c r="BK43" s="32"/>
      <c r="BM43" s="32"/>
      <c r="BN43" s="36"/>
    </row>
    <row r="44" spans="1:66" x14ac:dyDescent="0.25">
      <c r="A44" s="8"/>
      <c r="B44" s="9">
        <v>5</v>
      </c>
      <c r="C44" s="3"/>
      <c r="D44" s="3" t="s">
        <v>38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10"/>
      <c r="AA44" s="31"/>
      <c r="AB44" s="32"/>
      <c r="AC44" s="32"/>
      <c r="AD44" s="32"/>
      <c r="AF44" s="32"/>
      <c r="AH44" s="99"/>
      <c r="AI44" s="32"/>
      <c r="AK44" s="32"/>
      <c r="AL44" s="36"/>
      <c r="AM44" s="31"/>
      <c r="AO44" s="31"/>
      <c r="AP44" s="32"/>
      <c r="AQ44" s="32"/>
      <c r="AR44" s="32"/>
      <c r="AT44" s="32"/>
      <c r="AU44" s="32"/>
      <c r="AV44" s="99"/>
      <c r="AW44" s="32"/>
      <c r="AY44" s="32"/>
      <c r="AZ44" s="36"/>
      <c r="BC44" s="31"/>
      <c r="BD44" s="32"/>
      <c r="BE44" s="32"/>
      <c r="BF44" s="32"/>
      <c r="BH44" s="32"/>
      <c r="BJ44" s="99"/>
      <c r="BK44" s="32"/>
      <c r="BM44" s="32"/>
      <c r="BN44" s="36"/>
    </row>
    <row r="45" spans="1:66" x14ac:dyDescent="0.25">
      <c r="A45" s="8"/>
      <c r="B45" s="9"/>
      <c r="C45" s="3"/>
      <c r="D45" s="3" t="s">
        <v>39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10"/>
      <c r="AA45" s="31"/>
      <c r="AB45" s="32"/>
      <c r="AC45" s="32"/>
      <c r="AD45" s="32"/>
      <c r="AF45" s="32"/>
      <c r="AH45" s="99"/>
      <c r="AI45" s="32"/>
      <c r="AK45" s="32"/>
      <c r="AL45" s="36"/>
      <c r="AM45" s="31"/>
      <c r="AO45" s="31"/>
      <c r="AP45" s="32"/>
      <c r="AQ45" s="32"/>
      <c r="AR45" s="32"/>
      <c r="AT45" s="32"/>
      <c r="AU45" s="32"/>
      <c r="AV45" s="99"/>
      <c r="AW45" s="32"/>
      <c r="AY45" s="32"/>
      <c r="AZ45" s="36"/>
      <c r="BC45" s="31"/>
      <c r="BD45" s="32"/>
      <c r="BE45" s="32"/>
      <c r="BF45" s="32"/>
      <c r="BH45" s="32"/>
      <c r="BJ45" s="99"/>
      <c r="BK45" s="32"/>
      <c r="BM45" s="32"/>
      <c r="BN45" s="36"/>
    </row>
    <row r="46" spans="1:66" x14ac:dyDescent="0.25">
      <c r="A46" s="8"/>
      <c r="B46" s="9"/>
      <c r="C46" s="3"/>
      <c r="D46" s="3" t="s">
        <v>40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10"/>
      <c r="AA46" s="31"/>
      <c r="AB46" s="32"/>
      <c r="AC46" s="32"/>
      <c r="AD46" s="32"/>
      <c r="AF46" s="32"/>
      <c r="AH46" s="99"/>
      <c r="AI46" s="32"/>
      <c r="AK46" s="32"/>
      <c r="AL46" s="36"/>
      <c r="AM46" s="31"/>
      <c r="AO46" s="31"/>
      <c r="AP46" s="32"/>
      <c r="AQ46" s="32"/>
      <c r="AR46" s="32"/>
      <c r="AT46" s="32"/>
      <c r="AU46" s="32"/>
      <c r="AV46" s="99"/>
      <c r="AW46" s="32"/>
      <c r="AY46" s="32"/>
      <c r="AZ46" s="36"/>
      <c r="BC46" s="31"/>
      <c r="BD46" s="32"/>
      <c r="BE46" s="32"/>
      <c r="BF46" s="32"/>
      <c r="BH46" s="32"/>
      <c r="BJ46" s="99"/>
      <c r="BK46" s="32"/>
      <c r="BM46" s="32"/>
      <c r="BN46" s="36"/>
    </row>
    <row r="47" spans="1:66" ht="15.75" thickBot="1" x14ac:dyDescent="0.3">
      <c r="A47" s="8"/>
      <c r="B47" s="9"/>
      <c r="C47" s="3"/>
      <c r="D47" s="3" t="s">
        <v>41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10"/>
      <c r="AA47" s="100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2"/>
      <c r="AM47" s="31"/>
      <c r="AO47" s="100"/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2"/>
      <c r="BC47" s="100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2"/>
    </row>
    <row r="48" spans="1:66" x14ac:dyDescent="0.25">
      <c r="A48" s="8"/>
      <c r="B48" s="9"/>
      <c r="C48" s="3"/>
      <c r="D48" s="3" t="s">
        <v>42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0"/>
      <c r="AO48" s="103"/>
      <c r="AP48" s="104"/>
      <c r="AQ48" s="105"/>
    </row>
    <row r="49" spans="1:62" x14ac:dyDescent="0.25">
      <c r="A49" s="8"/>
      <c r="B49" s="9"/>
      <c r="C49" s="3"/>
      <c r="D49" s="3" t="s">
        <v>43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0"/>
      <c r="AO49" s="103"/>
      <c r="AP49" s="104"/>
      <c r="AQ49" s="105"/>
      <c r="AS49" s="106"/>
      <c r="AT49" s="107"/>
      <c r="AU49" s="108" t="s">
        <v>159</v>
      </c>
      <c r="AV49" s="107"/>
      <c r="AW49" s="107"/>
      <c r="AX49" s="109"/>
      <c r="AY49" s="110"/>
      <c r="AZ49" s="107"/>
      <c r="BA49" s="107" t="s">
        <v>160</v>
      </c>
      <c r="BB49" s="107"/>
      <c r="BC49" s="107"/>
      <c r="BD49" s="109"/>
      <c r="BE49" s="110"/>
      <c r="BF49" s="107"/>
      <c r="BG49" s="107" t="s">
        <v>161</v>
      </c>
      <c r="BH49" s="107"/>
      <c r="BI49" s="107"/>
      <c r="BJ49" s="111"/>
    </row>
    <row r="50" spans="1:62" x14ac:dyDescent="0.25">
      <c r="A50" s="8"/>
      <c r="B50" s="9"/>
      <c r="C50" s="3"/>
      <c r="D50" s="3" t="s">
        <v>44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0"/>
      <c r="AO50" s="103"/>
      <c r="AP50" s="104"/>
      <c r="AQ50" s="105"/>
      <c r="AS50" s="112">
        <v>1</v>
      </c>
      <c r="AT50" s="44">
        <v>1</v>
      </c>
      <c r="AU50" s="44">
        <v>1</v>
      </c>
      <c r="AV50" s="44">
        <v>0</v>
      </c>
      <c r="AW50" s="44">
        <v>0</v>
      </c>
      <c r="AX50" s="45">
        <v>0</v>
      </c>
      <c r="AY50" s="43">
        <v>1</v>
      </c>
      <c r="AZ50" s="44">
        <v>0</v>
      </c>
      <c r="BA50" s="44">
        <v>0</v>
      </c>
      <c r="BB50" s="44">
        <v>0</v>
      </c>
      <c r="BC50" s="44">
        <v>0</v>
      </c>
      <c r="BD50" s="45">
        <v>0</v>
      </c>
      <c r="BE50" s="43">
        <v>1</v>
      </c>
      <c r="BF50" s="44">
        <v>1</v>
      </c>
      <c r="BG50" s="44">
        <v>0</v>
      </c>
      <c r="BH50" s="44">
        <v>0</v>
      </c>
      <c r="BI50" s="44">
        <v>0</v>
      </c>
      <c r="BJ50" s="113">
        <v>1</v>
      </c>
    </row>
    <row r="51" spans="1:62" x14ac:dyDescent="0.25">
      <c r="A51" s="8"/>
      <c r="B51" s="9"/>
      <c r="C51" s="3"/>
      <c r="D51" s="3" t="s">
        <v>45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0"/>
      <c r="AO51" s="103"/>
      <c r="AP51" s="104"/>
      <c r="AQ51" s="105"/>
      <c r="AS51" s="114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6"/>
    </row>
    <row r="52" spans="1:62" x14ac:dyDescent="0.25">
      <c r="A52" s="8"/>
      <c r="B52" s="9"/>
      <c r="C52" s="3"/>
      <c r="D52" s="3" t="s">
        <v>46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0"/>
      <c r="AF52" s="20" t="s">
        <v>125</v>
      </c>
      <c r="AO52" s="103"/>
      <c r="AP52" s="104"/>
      <c r="AQ52" s="105"/>
      <c r="AS52" s="117"/>
      <c r="AT52" s="118"/>
      <c r="AU52" s="119" t="s">
        <v>162</v>
      </c>
      <c r="AV52" s="118"/>
      <c r="AW52" s="118"/>
      <c r="AX52" s="120"/>
      <c r="AY52" s="121"/>
      <c r="AZ52" s="118"/>
      <c r="BA52" s="118" t="s">
        <v>163</v>
      </c>
      <c r="BB52" s="118"/>
      <c r="BC52" s="118"/>
      <c r="BD52" s="120"/>
      <c r="BE52" s="121"/>
      <c r="BF52" s="118"/>
      <c r="BG52" s="118" t="s">
        <v>164</v>
      </c>
      <c r="BH52" s="118"/>
      <c r="BI52" s="118"/>
      <c r="BJ52" s="122"/>
    </row>
    <row r="53" spans="1:62" ht="15.75" thickBot="1" x14ac:dyDescent="0.3">
      <c r="A53" s="8"/>
      <c r="B53" s="9"/>
      <c r="C53" s="3"/>
      <c r="D53" s="3" t="s">
        <v>47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10"/>
      <c r="AO53" s="103"/>
      <c r="AP53" s="104"/>
      <c r="AQ53" s="105"/>
      <c r="AS53" s="123">
        <v>1</v>
      </c>
      <c r="AT53" s="124">
        <v>0</v>
      </c>
      <c r="AU53" s="124">
        <v>0</v>
      </c>
      <c r="AV53" s="124">
        <v>1</v>
      </c>
      <c r="AW53" s="124">
        <v>0</v>
      </c>
      <c r="AX53" s="125">
        <v>0</v>
      </c>
      <c r="AY53" s="126">
        <v>1</v>
      </c>
      <c r="AZ53" s="124">
        <v>1</v>
      </c>
      <c r="BA53" s="124">
        <v>0</v>
      </c>
      <c r="BB53" s="124">
        <v>0</v>
      </c>
      <c r="BC53" s="124">
        <v>0</v>
      </c>
      <c r="BD53" s="125">
        <v>0</v>
      </c>
      <c r="BE53" s="126">
        <v>1</v>
      </c>
      <c r="BF53" s="124">
        <v>0</v>
      </c>
      <c r="BG53" s="124">
        <v>1</v>
      </c>
      <c r="BH53" s="124">
        <v>0</v>
      </c>
      <c r="BI53" s="124">
        <v>0</v>
      </c>
      <c r="BJ53" s="127">
        <v>1</v>
      </c>
    </row>
    <row r="54" spans="1:62" x14ac:dyDescent="0.25">
      <c r="A54" s="8"/>
      <c r="B54" s="9"/>
      <c r="C54" s="3"/>
      <c r="D54" s="3" t="s">
        <v>48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10"/>
      <c r="AA54" s="21"/>
      <c r="AB54" s="22"/>
      <c r="AC54" s="22"/>
      <c r="AD54" s="23" t="s">
        <v>128</v>
      </c>
      <c r="AE54" s="22"/>
      <c r="AF54" s="22"/>
      <c r="AG54" s="22"/>
      <c r="AH54" s="22"/>
      <c r="AI54" s="22"/>
      <c r="AJ54" s="22"/>
      <c r="AK54" s="24" t="s">
        <v>129</v>
      </c>
      <c r="AL54" s="25"/>
      <c r="AO54" s="103"/>
      <c r="AP54" s="104"/>
      <c r="AQ54" s="105"/>
      <c r="AS54" s="20">
        <f>SUM(AS50,AS53)</f>
        <v>2</v>
      </c>
      <c r="AT54" s="20">
        <f t="shared" ref="AT54:BJ54" si="0">SUM(AT50,AT53)</f>
        <v>1</v>
      </c>
      <c r="AU54" s="20">
        <f t="shared" si="0"/>
        <v>1</v>
      </c>
      <c r="AV54" s="20">
        <f t="shared" si="0"/>
        <v>1</v>
      </c>
      <c r="AW54" s="20">
        <f t="shared" si="0"/>
        <v>0</v>
      </c>
      <c r="AX54" s="20">
        <f t="shared" si="0"/>
        <v>0</v>
      </c>
      <c r="AY54" s="20">
        <f t="shared" si="0"/>
        <v>2</v>
      </c>
      <c r="AZ54" s="20">
        <f t="shared" si="0"/>
        <v>1</v>
      </c>
      <c r="BA54" s="20">
        <f t="shared" si="0"/>
        <v>0</v>
      </c>
      <c r="BB54" s="20">
        <f t="shared" si="0"/>
        <v>0</v>
      </c>
      <c r="BC54" s="20">
        <f t="shared" si="0"/>
        <v>0</v>
      </c>
      <c r="BD54" s="20">
        <f t="shared" si="0"/>
        <v>0</v>
      </c>
      <c r="BE54" s="20">
        <f t="shared" si="0"/>
        <v>2</v>
      </c>
      <c r="BF54" s="20">
        <f t="shared" si="0"/>
        <v>1</v>
      </c>
      <c r="BG54" s="20">
        <f t="shared" si="0"/>
        <v>1</v>
      </c>
      <c r="BH54" s="20">
        <f t="shared" si="0"/>
        <v>0</v>
      </c>
      <c r="BI54" s="20">
        <f t="shared" si="0"/>
        <v>0</v>
      </c>
      <c r="BJ54" s="20">
        <f t="shared" si="0"/>
        <v>2</v>
      </c>
    </row>
    <row r="55" spans="1:62" x14ac:dyDescent="0.25">
      <c r="A55" s="8"/>
      <c r="B55" s="9"/>
      <c r="C55" s="3"/>
      <c r="D55" s="3" t="s">
        <v>49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10"/>
      <c r="AA55" s="31"/>
      <c r="AB55" s="32"/>
      <c r="AC55" s="32"/>
      <c r="AD55" s="33" t="s">
        <v>130</v>
      </c>
      <c r="AE55" s="34">
        <v>32</v>
      </c>
      <c r="AF55" s="34">
        <v>16</v>
      </c>
      <c r="AG55" s="34">
        <v>8</v>
      </c>
      <c r="AH55" s="34">
        <v>4</v>
      </c>
      <c r="AI55" s="34">
        <v>2</v>
      </c>
      <c r="AJ55" s="34">
        <v>1</v>
      </c>
      <c r="AK55" s="35" t="s">
        <v>130</v>
      </c>
      <c r="AL55" s="36"/>
      <c r="AO55" s="103"/>
      <c r="AP55" s="104"/>
      <c r="AQ55" s="105"/>
    </row>
    <row r="56" spans="1:62" x14ac:dyDescent="0.25">
      <c r="A56" s="8"/>
      <c r="B56" s="9"/>
      <c r="C56" s="3"/>
      <c r="D56" s="3" t="s">
        <v>50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10"/>
      <c r="AA56" s="31"/>
      <c r="AB56" s="40" t="s">
        <v>131</v>
      </c>
      <c r="AC56" s="41" t="s">
        <v>132</v>
      </c>
      <c r="AD56" s="42">
        <v>32</v>
      </c>
      <c r="AE56" s="43">
        <v>1</v>
      </c>
      <c r="AF56" s="44">
        <v>1</v>
      </c>
      <c r="AG56" s="44">
        <v>0</v>
      </c>
      <c r="AH56" s="44">
        <v>0</v>
      </c>
      <c r="AI56" s="44">
        <v>0</v>
      </c>
      <c r="AJ56" s="45">
        <v>0</v>
      </c>
      <c r="AK56" s="46">
        <v>48</v>
      </c>
      <c r="AL56" s="36"/>
      <c r="AO56" s="103"/>
      <c r="AP56" s="104"/>
      <c r="AQ56" s="105"/>
    </row>
    <row r="57" spans="1:62" x14ac:dyDescent="0.25">
      <c r="A57" s="8"/>
      <c r="B57" s="9"/>
      <c r="C57" s="3"/>
      <c r="D57" s="3" t="s">
        <v>51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10"/>
      <c r="AA57" s="31"/>
      <c r="AB57" s="40" t="s">
        <v>134</v>
      </c>
      <c r="AC57" s="41" t="s">
        <v>135</v>
      </c>
      <c r="AD57" s="49">
        <v>33</v>
      </c>
      <c r="AE57" s="51">
        <v>1</v>
      </c>
      <c r="AF57" s="52">
        <v>1</v>
      </c>
      <c r="AG57" s="52">
        <v>0</v>
      </c>
      <c r="AH57" s="52">
        <v>0</v>
      </c>
      <c r="AI57" s="52">
        <v>0</v>
      </c>
      <c r="AJ57" s="53">
        <v>1</v>
      </c>
      <c r="AK57" s="46">
        <v>49</v>
      </c>
      <c r="AL57" s="36"/>
      <c r="AO57" s="103"/>
      <c r="AP57" s="104"/>
      <c r="AQ57" s="105"/>
    </row>
    <row r="58" spans="1:62" x14ac:dyDescent="0.25">
      <c r="A58" s="8"/>
      <c r="B58" s="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0"/>
      <c r="AA58" s="31"/>
      <c r="AB58" s="55" t="s">
        <v>138</v>
      </c>
      <c r="AC58" s="56" t="s">
        <v>139</v>
      </c>
      <c r="AD58" s="57">
        <v>34</v>
      </c>
      <c r="AE58" s="58">
        <v>1</v>
      </c>
      <c r="AF58" s="59">
        <v>1</v>
      </c>
      <c r="AG58" s="59">
        <v>0</v>
      </c>
      <c r="AH58" s="59">
        <v>0</v>
      </c>
      <c r="AI58" s="59">
        <v>1</v>
      </c>
      <c r="AJ58" s="60">
        <v>1</v>
      </c>
      <c r="AK58" s="57">
        <v>51</v>
      </c>
      <c r="AL58" s="36"/>
      <c r="AO58" s="103"/>
      <c r="AP58" s="104"/>
      <c r="AQ58" s="105"/>
    </row>
    <row r="59" spans="1:62" x14ac:dyDescent="0.25">
      <c r="A59" s="8"/>
      <c r="B59" s="9">
        <v>6</v>
      </c>
      <c r="C59" s="3"/>
      <c r="D59" s="3" t="s">
        <v>52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0"/>
      <c r="AA59" s="31"/>
      <c r="AB59" s="40" t="s">
        <v>142</v>
      </c>
      <c r="AC59" s="41" t="s">
        <v>143</v>
      </c>
      <c r="AD59" s="49">
        <v>35</v>
      </c>
      <c r="AE59" s="51">
        <v>1</v>
      </c>
      <c r="AF59" s="52">
        <v>1</v>
      </c>
      <c r="AG59" s="52">
        <v>0</v>
      </c>
      <c r="AH59" s="52">
        <v>0</v>
      </c>
      <c r="AI59" s="52">
        <v>1</v>
      </c>
      <c r="AJ59" s="53">
        <v>0</v>
      </c>
      <c r="AK59" s="46">
        <v>50</v>
      </c>
      <c r="AL59" s="36"/>
      <c r="AO59" s="103"/>
      <c r="AP59" s="104"/>
      <c r="AQ59" s="105"/>
    </row>
    <row r="60" spans="1:62" x14ac:dyDescent="0.25">
      <c r="A60" s="8"/>
      <c r="B60" s="9"/>
      <c r="C60" s="3"/>
      <c r="D60" s="3" t="s">
        <v>53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0"/>
      <c r="AA60" s="31"/>
      <c r="AB60" s="40" t="s">
        <v>144</v>
      </c>
      <c r="AC60" s="41" t="s">
        <v>145</v>
      </c>
      <c r="AD60" s="49">
        <v>36</v>
      </c>
      <c r="AE60" s="51">
        <v>1</v>
      </c>
      <c r="AF60" s="52">
        <v>1</v>
      </c>
      <c r="AG60" s="52">
        <v>0</v>
      </c>
      <c r="AH60" s="52">
        <v>1</v>
      </c>
      <c r="AI60" s="52">
        <v>1</v>
      </c>
      <c r="AJ60" s="53">
        <v>0</v>
      </c>
      <c r="AK60" s="46">
        <v>54</v>
      </c>
      <c r="AL60" s="36"/>
      <c r="AO60" s="103"/>
      <c r="AP60" s="104"/>
      <c r="AQ60" s="105"/>
    </row>
    <row r="61" spans="1:62" x14ac:dyDescent="0.25">
      <c r="A61" s="8"/>
      <c r="B61" s="9"/>
      <c r="C61" s="3"/>
      <c r="D61" s="3" t="s">
        <v>54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0"/>
      <c r="AA61" s="31"/>
      <c r="AB61" s="55" t="s">
        <v>147</v>
      </c>
      <c r="AC61" s="56" t="s">
        <v>148</v>
      </c>
      <c r="AD61" s="65">
        <v>37</v>
      </c>
      <c r="AE61" s="58">
        <v>1</v>
      </c>
      <c r="AF61" s="59">
        <v>1</v>
      </c>
      <c r="AG61" s="59">
        <v>0</v>
      </c>
      <c r="AH61" s="59">
        <v>1</v>
      </c>
      <c r="AI61" s="59">
        <v>1</v>
      </c>
      <c r="AJ61" s="60">
        <v>1</v>
      </c>
      <c r="AK61" s="57">
        <v>55</v>
      </c>
      <c r="AL61" s="36"/>
      <c r="AO61" s="103"/>
      <c r="AP61" s="104"/>
      <c r="AQ61" s="105"/>
    </row>
    <row r="62" spans="1:62" x14ac:dyDescent="0.25">
      <c r="A62" s="8"/>
      <c r="B62" s="9"/>
      <c r="C62" s="3"/>
      <c r="D62" s="3" t="s">
        <v>55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10"/>
      <c r="AA62" s="31"/>
      <c r="AB62" s="40" t="s">
        <v>150</v>
      </c>
      <c r="AC62" s="41" t="s">
        <v>151</v>
      </c>
      <c r="AD62" s="49">
        <v>38</v>
      </c>
      <c r="AE62" s="51">
        <v>1</v>
      </c>
      <c r="AF62" s="52">
        <v>1</v>
      </c>
      <c r="AG62" s="52">
        <v>0</v>
      </c>
      <c r="AH62" s="52">
        <v>1</v>
      </c>
      <c r="AI62" s="52">
        <v>0</v>
      </c>
      <c r="AJ62" s="53">
        <v>1</v>
      </c>
      <c r="AK62" s="46">
        <v>53</v>
      </c>
      <c r="AL62" s="36"/>
      <c r="AO62" s="103"/>
      <c r="AP62" s="104"/>
      <c r="AQ62" s="105"/>
    </row>
    <row r="63" spans="1:62" x14ac:dyDescent="0.25">
      <c r="A63" s="8"/>
      <c r="B63" s="9"/>
      <c r="C63" s="3"/>
      <c r="D63" s="3" t="s">
        <v>56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10"/>
      <c r="AA63" s="31"/>
      <c r="AB63" s="40" t="s">
        <v>132</v>
      </c>
      <c r="AC63" s="41" t="s">
        <v>133</v>
      </c>
      <c r="AD63" s="49">
        <v>39</v>
      </c>
      <c r="AE63" s="51">
        <v>1</v>
      </c>
      <c r="AF63" s="52">
        <v>1</v>
      </c>
      <c r="AG63" s="52">
        <v>0</v>
      </c>
      <c r="AH63" s="52">
        <v>1</v>
      </c>
      <c r="AI63" s="52">
        <v>0</v>
      </c>
      <c r="AJ63" s="53">
        <v>0</v>
      </c>
      <c r="AK63" s="46">
        <v>52</v>
      </c>
      <c r="AL63" s="36"/>
      <c r="AO63" s="103"/>
      <c r="AP63" s="104"/>
      <c r="AQ63" s="105"/>
    </row>
    <row r="64" spans="1:62" x14ac:dyDescent="0.25">
      <c r="A64" s="8"/>
      <c r="B64" s="9"/>
      <c r="C64" s="3"/>
      <c r="D64" s="3" t="s">
        <v>57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10"/>
      <c r="AA64" s="31"/>
      <c r="AB64" s="55" t="s">
        <v>135</v>
      </c>
      <c r="AC64" s="56" t="s">
        <v>136</v>
      </c>
      <c r="AD64" s="57">
        <v>40</v>
      </c>
      <c r="AE64" s="58">
        <v>1</v>
      </c>
      <c r="AF64" s="59">
        <v>1</v>
      </c>
      <c r="AG64" s="59">
        <v>1</v>
      </c>
      <c r="AH64" s="59">
        <v>1</v>
      </c>
      <c r="AI64" s="59">
        <v>0</v>
      </c>
      <c r="AJ64" s="60">
        <v>0</v>
      </c>
      <c r="AK64" s="57">
        <v>60</v>
      </c>
      <c r="AL64" s="36"/>
      <c r="AO64" s="103"/>
      <c r="AP64" s="104"/>
      <c r="AQ64" s="105"/>
    </row>
    <row r="65" spans="1:43" x14ac:dyDescent="0.25">
      <c r="A65" s="8"/>
      <c r="B65" s="9"/>
      <c r="C65" s="3"/>
      <c r="D65" s="3" t="s">
        <v>58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0"/>
      <c r="AA65" s="31"/>
      <c r="AB65" s="40" t="s">
        <v>139</v>
      </c>
      <c r="AC65" s="41" t="s">
        <v>140</v>
      </c>
      <c r="AD65" s="49">
        <v>41</v>
      </c>
      <c r="AE65" s="51">
        <v>1</v>
      </c>
      <c r="AF65" s="52">
        <v>1</v>
      </c>
      <c r="AG65" s="52">
        <v>1</v>
      </c>
      <c r="AH65" s="52">
        <v>1</v>
      </c>
      <c r="AI65" s="52">
        <v>0</v>
      </c>
      <c r="AJ65" s="53">
        <v>1</v>
      </c>
      <c r="AK65" s="46">
        <v>61</v>
      </c>
      <c r="AL65" s="36"/>
      <c r="AO65" s="103"/>
      <c r="AP65" s="104"/>
      <c r="AQ65" s="105"/>
    </row>
    <row r="66" spans="1:43" x14ac:dyDescent="0.25">
      <c r="A66" s="8"/>
      <c r="B66" s="9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10"/>
      <c r="AA66" s="31"/>
      <c r="AB66" s="40" t="s">
        <v>143</v>
      </c>
      <c r="AC66" s="41" t="s">
        <v>131</v>
      </c>
      <c r="AD66" s="49">
        <v>42</v>
      </c>
      <c r="AE66" s="51">
        <v>1</v>
      </c>
      <c r="AF66" s="52">
        <v>1</v>
      </c>
      <c r="AG66" s="52">
        <v>1</v>
      </c>
      <c r="AH66" s="52">
        <v>1</v>
      </c>
      <c r="AI66" s="52">
        <v>1</v>
      </c>
      <c r="AJ66" s="53">
        <v>1</v>
      </c>
      <c r="AK66" s="48">
        <v>63</v>
      </c>
      <c r="AL66" s="36"/>
      <c r="AO66" s="103"/>
      <c r="AP66" s="104"/>
      <c r="AQ66" s="105"/>
    </row>
    <row r="67" spans="1:43" x14ac:dyDescent="0.25">
      <c r="A67" s="8"/>
      <c r="B67" s="9">
        <v>7</v>
      </c>
      <c r="C67" s="3"/>
      <c r="D67" s="3" t="s">
        <v>59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10"/>
      <c r="AA67" s="31"/>
      <c r="AB67" s="55" t="s">
        <v>145</v>
      </c>
      <c r="AC67" s="56" t="s">
        <v>146</v>
      </c>
      <c r="AD67" s="57">
        <v>43</v>
      </c>
      <c r="AE67" s="58">
        <v>1</v>
      </c>
      <c r="AF67" s="59">
        <v>1</v>
      </c>
      <c r="AG67" s="59">
        <v>1</v>
      </c>
      <c r="AH67" s="59">
        <v>1</v>
      </c>
      <c r="AI67" s="59">
        <v>1</v>
      </c>
      <c r="AJ67" s="60">
        <v>0</v>
      </c>
      <c r="AK67" s="57">
        <v>62</v>
      </c>
      <c r="AL67" s="36"/>
      <c r="AO67" s="103"/>
      <c r="AP67" s="104"/>
      <c r="AQ67" s="105"/>
    </row>
    <row r="68" spans="1:43" x14ac:dyDescent="0.25">
      <c r="A68" s="8"/>
      <c r="B68" s="9"/>
      <c r="C68" s="3"/>
      <c r="D68" s="3" t="s">
        <v>60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10"/>
      <c r="AA68" s="31"/>
      <c r="AB68" s="40" t="s">
        <v>148</v>
      </c>
      <c r="AC68" s="41" t="s">
        <v>149</v>
      </c>
      <c r="AD68" s="49">
        <v>44</v>
      </c>
      <c r="AE68" s="51">
        <v>1</v>
      </c>
      <c r="AF68" s="52">
        <v>1</v>
      </c>
      <c r="AG68" s="52">
        <v>1</v>
      </c>
      <c r="AH68" s="52">
        <v>0</v>
      </c>
      <c r="AI68" s="52">
        <v>1</v>
      </c>
      <c r="AJ68" s="53">
        <v>0</v>
      </c>
      <c r="AK68" s="46">
        <v>58</v>
      </c>
      <c r="AL68" s="36"/>
      <c r="AO68" s="103"/>
      <c r="AP68" s="104"/>
      <c r="AQ68" s="105"/>
    </row>
    <row r="69" spans="1:43" x14ac:dyDescent="0.25">
      <c r="A69" s="8"/>
      <c r="B69" s="9"/>
      <c r="C69" s="3"/>
      <c r="D69" s="3" t="s">
        <v>61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10"/>
      <c r="AA69" s="31"/>
      <c r="AB69" s="40" t="s">
        <v>151</v>
      </c>
      <c r="AC69" s="41" t="s">
        <v>152</v>
      </c>
      <c r="AD69" s="49">
        <v>45</v>
      </c>
      <c r="AE69" s="51">
        <v>1</v>
      </c>
      <c r="AF69" s="52">
        <v>1</v>
      </c>
      <c r="AG69" s="52">
        <v>1</v>
      </c>
      <c r="AH69" s="52">
        <v>0</v>
      </c>
      <c r="AI69" s="52">
        <v>1</v>
      </c>
      <c r="AJ69" s="53">
        <v>1</v>
      </c>
      <c r="AK69" s="46">
        <v>59</v>
      </c>
      <c r="AL69" s="36"/>
      <c r="AO69" s="103"/>
      <c r="AP69" s="104"/>
      <c r="AQ69" s="105"/>
    </row>
    <row r="70" spans="1:43" x14ac:dyDescent="0.25">
      <c r="A70" s="8"/>
      <c r="B70" s="9"/>
      <c r="C70" s="3"/>
      <c r="D70" s="3" t="s">
        <v>62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10"/>
      <c r="AA70" s="31"/>
      <c r="AB70" s="55" t="s">
        <v>133</v>
      </c>
      <c r="AC70" s="56" t="s">
        <v>147</v>
      </c>
      <c r="AD70" s="57">
        <v>46</v>
      </c>
      <c r="AE70" s="58">
        <v>1</v>
      </c>
      <c r="AF70" s="59">
        <v>1</v>
      </c>
      <c r="AG70" s="59">
        <v>1</v>
      </c>
      <c r="AH70" s="59">
        <v>0</v>
      </c>
      <c r="AI70" s="59">
        <v>0</v>
      </c>
      <c r="AJ70" s="60">
        <v>1</v>
      </c>
      <c r="AK70" s="66">
        <v>57</v>
      </c>
      <c r="AL70" s="36"/>
      <c r="AO70" s="103"/>
      <c r="AP70" s="104"/>
      <c r="AQ70" s="105"/>
    </row>
    <row r="71" spans="1:43" x14ac:dyDescent="0.25">
      <c r="A71" s="8"/>
      <c r="B71" s="9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0"/>
      <c r="AA71" s="31"/>
      <c r="AB71" s="40" t="s">
        <v>136</v>
      </c>
      <c r="AC71" s="41" t="s">
        <v>142</v>
      </c>
      <c r="AD71" s="49">
        <v>47</v>
      </c>
      <c r="AE71" s="51">
        <v>1</v>
      </c>
      <c r="AF71" s="52">
        <v>1</v>
      </c>
      <c r="AG71" s="52">
        <v>1</v>
      </c>
      <c r="AH71" s="52">
        <v>0</v>
      </c>
      <c r="AI71" s="52">
        <v>0</v>
      </c>
      <c r="AJ71" s="53">
        <v>0</v>
      </c>
      <c r="AK71" s="46">
        <v>56</v>
      </c>
      <c r="AL71" s="36"/>
      <c r="AO71" s="103"/>
      <c r="AP71" s="104"/>
      <c r="AQ71" s="105"/>
    </row>
    <row r="72" spans="1:43" x14ac:dyDescent="0.25">
      <c r="A72" s="8"/>
      <c r="B72" s="9">
        <v>8</v>
      </c>
      <c r="C72" s="3"/>
      <c r="D72" s="3" t="s">
        <v>63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10"/>
      <c r="AA72" s="31"/>
      <c r="AB72" s="40" t="s">
        <v>140</v>
      </c>
      <c r="AC72" s="41" t="s">
        <v>153</v>
      </c>
      <c r="AD72" s="49">
        <v>48</v>
      </c>
      <c r="AE72" s="51">
        <v>1</v>
      </c>
      <c r="AF72" s="52">
        <v>0</v>
      </c>
      <c r="AG72" s="52">
        <v>1</v>
      </c>
      <c r="AH72" s="52">
        <v>0</v>
      </c>
      <c r="AI72" s="52">
        <v>0</v>
      </c>
      <c r="AJ72" s="53">
        <v>0</v>
      </c>
      <c r="AK72" s="46">
        <v>40</v>
      </c>
      <c r="AL72" s="36"/>
      <c r="AO72" s="103"/>
      <c r="AP72" s="104"/>
      <c r="AQ72" s="105"/>
    </row>
    <row r="73" spans="1:43" x14ac:dyDescent="0.25">
      <c r="A73" s="8"/>
      <c r="B73" s="9"/>
      <c r="C73" s="3"/>
      <c r="D73" s="3" t="s">
        <v>64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10"/>
      <c r="AA73" s="31"/>
      <c r="AB73" s="55" t="s">
        <v>146</v>
      </c>
      <c r="AC73" s="56" t="s">
        <v>134</v>
      </c>
      <c r="AD73" s="57">
        <v>49</v>
      </c>
      <c r="AE73" s="58">
        <v>1</v>
      </c>
      <c r="AF73" s="59">
        <v>0</v>
      </c>
      <c r="AG73" s="59">
        <v>1</v>
      </c>
      <c r="AH73" s="59">
        <v>0</v>
      </c>
      <c r="AI73" s="59">
        <v>0</v>
      </c>
      <c r="AJ73" s="60">
        <v>1</v>
      </c>
      <c r="AK73" s="57">
        <v>41</v>
      </c>
      <c r="AL73" s="36"/>
      <c r="AO73" s="103"/>
      <c r="AP73" s="104"/>
      <c r="AQ73" s="105"/>
    </row>
    <row r="74" spans="1:43" x14ac:dyDescent="0.25">
      <c r="A74" s="8"/>
      <c r="B74" s="9"/>
      <c r="C74" s="3"/>
      <c r="D74" s="3" t="s">
        <v>65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10"/>
      <c r="AA74" s="31"/>
      <c r="AB74" s="40" t="s">
        <v>149</v>
      </c>
      <c r="AC74" s="41" t="s">
        <v>150</v>
      </c>
      <c r="AD74" s="49">
        <v>50</v>
      </c>
      <c r="AE74" s="51">
        <v>1</v>
      </c>
      <c r="AF74" s="52">
        <v>0</v>
      </c>
      <c r="AG74" s="52">
        <v>1</v>
      </c>
      <c r="AH74" s="52">
        <v>0</v>
      </c>
      <c r="AI74" s="52">
        <v>1</v>
      </c>
      <c r="AJ74" s="53">
        <v>1</v>
      </c>
      <c r="AK74" s="46">
        <v>43</v>
      </c>
      <c r="AL74" s="36"/>
      <c r="AO74" s="103"/>
      <c r="AP74" s="104"/>
      <c r="AQ74" s="105"/>
    </row>
    <row r="75" spans="1:43" x14ac:dyDescent="0.25">
      <c r="A75" s="8"/>
      <c r="B75" s="9"/>
      <c r="C75" s="3"/>
      <c r="D75" s="3" t="s">
        <v>66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10"/>
      <c r="AA75" s="31"/>
      <c r="AB75" s="40" t="s">
        <v>152</v>
      </c>
      <c r="AC75" s="41" t="s">
        <v>144</v>
      </c>
      <c r="AD75" s="49">
        <v>51</v>
      </c>
      <c r="AE75" s="51">
        <v>1</v>
      </c>
      <c r="AF75" s="52">
        <v>0</v>
      </c>
      <c r="AG75" s="52">
        <v>1</v>
      </c>
      <c r="AH75" s="52">
        <v>0</v>
      </c>
      <c r="AI75" s="52">
        <v>1</v>
      </c>
      <c r="AJ75" s="53">
        <v>0</v>
      </c>
      <c r="AK75" s="46">
        <v>42</v>
      </c>
      <c r="AL75" s="36"/>
      <c r="AO75" s="103"/>
      <c r="AP75" s="104"/>
      <c r="AQ75" s="105"/>
    </row>
    <row r="76" spans="1:43" x14ac:dyDescent="0.25">
      <c r="A76" s="8"/>
      <c r="B76" s="9"/>
      <c r="C76" s="3"/>
      <c r="D76" s="3" t="s">
        <v>67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10"/>
      <c r="AA76" s="31"/>
      <c r="AB76" s="55" t="s">
        <v>153</v>
      </c>
      <c r="AC76" s="56" t="s">
        <v>154</v>
      </c>
      <c r="AD76" s="57">
        <v>52</v>
      </c>
      <c r="AE76" s="58">
        <v>1</v>
      </c>
      <c r="AF76" s="59">
        <v>0</v>
      </c>
      <c r="AG76" s="59">
        <v>1</v>
      </c>
      <c r="AH76" s="59">
        <v>1</v>
      </c>
      <c r="AI76" s="59">
        <v>1</v>
      </c>
      <c r="AJ76" s="60">
        <v>0</v>
      </c>
      <c r="AK76" s="57">
        <v>46</v>
      </c>
      <c r="AL76" s="36"/>
      <c r="AO76" s="103"/>
      <c r="AP76" s="104"/>
      <c r="AQ76" s="105"/>
    </row>
    <row r="77" spans="1:43" x14ac:dyDescent="0.25">
      <c r="A77" s="8"/>
      <c r="B77" s="9"/>
      <c r="C77" s="3"/>
      <c r="D77" s="3" t="s">
        <v>68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10"/>
      <c r="AA77" s="31"/>
      <c r="AB77" s="40" t="s">
        <v>154</v>
      </c>
      <c r="AC77" s="41" t="s">
        <v>155</v>
      </c>
      <c r="AD77" s="49">
        <v>53</v>
      </c>
      <c r="AE77" s="51">
        <v>1</v>
      </c>
      <c r="AF77" s="52">
        <v>0</v>
      </c>
      <c r="AG77" s="52">
        <v>1</v>
      </c>
      <c r="AH77" s="52">
        <v>1</v>
      </c>
      <c r="AI77" s="52">
        <v>1</v>
      </c>
      <c r="AJ77" s="53">
        <v>1</v>
      </c>
      <c r="AK77" s="46">
        <v>47</v>
      </c>
      <c r="AL77" s="36"/>
      <c r="AO77" s="103"/>
      <c r="AP77" s="104"/>
      <c r="AQ77" s="105"/>
    </row>
    <row r="78" spans="1:43" x14ac:dyDescent="0.25">
      <c r="A78" s="8"/>
      <c r="B78" s="9"/>
      <c r="C78" s="3"/>
      <c r="D78" s="3" t="s">
        <v>69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10"/>
      <c r="AA78" s="31"/>
      <c r="AB78" s="40" t="s">
        <v>155</v>
      </c>
      <c r="AC78" s="41" t="s">
        <v>156</v>
      </c>
      <c r="AD78" s="49">
        <v>54</v>
      </c>
      <c r="AE78" s="51">
        <v>1</v>
      </c>
      <c r="AF78" s="52">
        <v>0</v>
      </c>
      <c r="AG78" s="52">
        <v>1</v>
      </c>
      <c r="AH78" s="52">
        <v>1</v>
      </c>
      <c r="AI78" s="52">
        <v>0</v>
      </c>
      <c r="AJ78" s="53">
        <v>1</v>
      </c>
      <c r="AK78" s="46">
        <v>45</v>
      </c>
      <c r="AL78" s="36"/>
      <c r="AO78" s="103"/>
      <c r="AP78" s="104"/>
      <c r="AQ78" s="105"/>
    </row>
    <row r="79" spans="1:43" x14ac:dyDescent="0.25">
      <c r="A79" s="8"/>
      <c r="B79" s="9"/>
      <c r="C79" s="3"/>
      <c r="D79" s="3" t="s">
        <v>70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10"/>
      <c r="AA79" s="31"/>
      <c r="AB79" s="55" t="s">
        <v>156</v>
      </c>
      <c r="AC79" s="56" t="s">
        <v>157</v>
      </c>
      <c r="AD79" s="57">
        <v>55</v>
      </c>
      <c r="AE79" s="58">
        <v>1</v>
      </c>
      <c r="AF79" s="59">
        <v>0</v>
      </c>
      <c r="AG79" s="59">
        <v>1</v>
      </c>
      <c r="AH79" s="59">
        <v>1</v>
      </c>
      <c r="AI79" s="59">
        <v>0</v>
      </c>
      <c r="AJ79" s="60">
        <v>0</v>
      </c>
      <c r="AK79" s="57">
        <v>44</v>
      </c>
      <c r="AL79" s="36"/>
      <c r="AO79" s="103"/>
      <c r="AP79" s="104"/>
      <c r="AQ79" s="105"/>
    </row>
    <row r="80" spans="1:43" x14ac:dyDescent="0.25">
      <c r="A80" s="8"/>
      <c r="B80" s="9"/>
      <c r="C80" s="3"/>
      <c r="D80" s="3" t="s">
        <v>71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10"/>
      <c r="AA80" s="31"/>
      <c r="AB80" s="40" t="s">
        <v>157</v>
      </c>
      <c r="AC80" s="41" t="s">
        <v>138</v>
      </c>
      <c r="AD80" s="49">
        <v>56</v>
      </c>
      <c r="AE80" s="51">
        <v>1</v>
      </c>
      <c r="AF80" s="52">
        <v>0</v>
      </c>
      <c r="AG80" s="52">
        <v>0</v>
      </c>
      <c r="AH80" s="52">
        <v>1</v>
      </c>
      <c r="AI80" s="52">
        <v>0</v>
      </c>
      <c r="AJ80" s="53">
        <v>0</v>
      </c>
      <c r="AK80" s="46">
        <v>36</v>
      </c>
      <c r="AL80" s="36"/>
      <c r="AO80" s="103"/>
      <c r="AP80" s="104"/>
      <c r="AQ80" s="105"/>
    </row>
    <row r="81" spans="1:43" x14ac:dyDescent="0.25">
      <c r="A81" s="8"/>
      <c r="B81" s="9"/>
      <c r="C81" s="3"/>
      <c r="D81" s="3" t="s">
        <v>72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10"/>
      <c r="AA81" s="31"/>
      <c r="AB81" s="67" t="s">
        <v>158</v>
      </c>
      <c r="AC81" s="68" t="s">
        <v>158</v>
      </c>
      <c r="AD81" s="69">
        <v>57</v>
      </c>
      <c r="AE81" s="70">
        <v>1</v>
      </c>
      <c r="AF81" s="71">
        <v>0</v>
      </c>
      <c r="AG81" s="71">
        <v>0</v>
      </c>
      <c r="AH81" s="71">
        <v>1</v>
      </c>
      <c r="AI81" s="71">
        <v>0</v>
      </c>
      <c r="AJ81" s="72">
        <v>1</v>
      </c>
      <c r="AK81" s="73">
        <v>37</v>
      </c>
      <c r="AL81" s="36"/>
      <c r="AO81" s="103"/>
      <c r="AP81" s="104"/>
      <c r="AQ81" s="105"/>
    </row>
    <row r="82" spans="1:43" ht="17.25" x14ac:dyDescent="0.25">
      <c r="A82" s="8"/>
      <c r="B82" s="9"/>
      <c r="C82" s="3"/>
      <c r="D82" s="3" t="s">
        <v>73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10"/>
      <c r="AA82" s="31"/>
      <c r="AB82" s="76"/>
      <c r="AC82" s="76"/>
      <c r="AD82" s="77">
        <v>58</v>
      </c>
      <c r="AE82" s="78">
        <v>1</v>
      </c>
      <c r="AF82" s="79">
        <v>0</v>
      </c>
      <c r="AG82" s="79">
        <v>0</v>
      </c>
      <c r="AH82" s="79">
        <v>1</v>
      </c>
      <c r="AI82" s="79">
        <v>1</v>
      </c>
      <c r="AJ82" s="80">
        <v>1</v>
      </c>
      <c r="AK82" s="77">
        <v>39</v>
      </c>
      <c r="AL82" s="36"/>
      <c r="AO82" s="103"/>
      <c r="AP82" s="104"/>
      <c r="AQ82" s="105"/>
    </row>
    <row r="83" spans="1:43" ht="17.25" x14ac:dyDescent="0.25">
      <c r="A83" s="8"/>
      <c r="B83" s="9"/>
      <c r="C83" s="3"/>
      <c r="D83" s="3" t="s">
        <v>74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10"/>
      <c r="AA83" s="31"/>
      <c r="AB83" s="81"/>
      <c r="AC83" s="81"/>
      <c r="AD83" s="49">
        <v>59</v>
      </c>
      <c r="AE83" s="51">
        <v>1</v>
      </c>
      <c r="AF83" s="52">
        <v>0</v>
      </c>
      <c r="AG83" s="52">
        <v>0</v>
      </c>
      <c r="AH83" s="52">
        <v>1</v>
      </c>
      <c r="AI83" s="52">
        <v>1</v>
      </c>
      <c r="AJ83" s="53">
        <v>0</v>
      </c>
      <c r="AK83" s="46">
        <v>38</v>
      </c>
      <c r="AL83" s="36"/>
      <c r="AO83" s="103"/>
      <c r="AP83" s="104"/>
      <c r="AQ83" s="105"/>
    </row>
    <row r="84" spans="1:43" ht="17.25" x14ac:dyDescent="0.25">
      <c r="A84" s="8"/>
      <c r="B84" s="9"/>
      <c r="C84" s="3"/>
      <c r="D84" s="3" t="s">
        <v>75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10"/>
      <c r="AA84" s="31"/>
      <c r="AB84" s="81"/>
      <c r="AC84" s="81"/>
      <c r="AD84" s="49">
        <v>60</v>
      </c>
      <c r="AE84" s="51">
        <v>1</v>
      </c>
      <c r="AF84" s="52">
        <v>0</v>
      </c>
      <c r="AG84" s="52">
        <v>0</v>
      </c>
      <c r="AH84" s="52">
        <v>0</v>
      </c>
      <c r="AI84" s="52">
        <v>1</v>
      </c>
      <c r="AJ84" s="53">
        <v>0</v>
      </c>
      <c r="AK84" s="46">
        <v>34</v>
      </c>
      <c r="AL84" s="36"/>
      <c r="AO84" s="103"/>
      <c r="AP84" s="104"/>
      <c r="AQ84" s="105"/>
    </row>
    <row r="85" spans="1:43" ht="17.25" x14ac:dyDescent="0.25">
      <c r="A85" s="8"/>
      <c r="B85" s="9"/>
      <c r="C85" s="3"/>
      <c r="D85" s="3" t="s">
        <v>76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10"/>
      <c r="AA85" s="31"/>
      <c r="AB85" s="82"/>
      <c r="AC85" s="82"/>
      <c r="AD85" s="57">
        <v>61</v>
      </c>
      <c r="AE85" s="58">
        <v>1</v>
      </c>
      <c r="AF85" s="59">
        <v>0</v>
      </c>
      <c r="AG85" s="59">
        <v>0</v>
      </c>
      <c r="AH85" s="59">
        <v>0</v>
      </c>
      <c r="AI85" s="59">
        <v>1</v>
      </c>
      <c r="AJ85" s="60">
        <v>1</v>
      </c>
      <c r="AK85" s="57">
        <v>35</v>
      </c>
      <c r="AL85" s="36"/>
      <c r="AO85" s="103"/>
      <c r="AP85" s="104"/>
      <c r="AQ85" s="105"/>
    </row>
    <row r="86" spans="1:43" ht="17.25" x14ac:dyDescent="0.25">
      <c r="A86" s="8"/>
      <c r="B86" s="9"/>
      <c r="C86" s="3"/>
      <c r="D86" s="3" t="s">
        <v>77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10"/>
      <c r="AA86" s="31"/>
      <c r="AB86" s="81"/>
      <c r="AC86" s="81"/>
      <c r="AD86" s="49">
        <v>62</v>
      </c>
      <c r="AE86" s="51">
        <v>1</v>
      </c>
      <c r="AF86" s="52">
        <v>0</v>
      </c>
      <c r="AG86" s="52">
        <v>0</v>
      </c>
      <c r="AH86" s="52">
        <v>0</v>
      </c>
      <c r="AI86" s="52">
        <v>0</v>
      </c>
      <c r="AJ86" s="53">
        <v>1</v>
      </c>
      <c r="AK86" s="46">
        <v>33</v>
      </c>
      <c r="AL86" s="36"/>
      <c r="AO86" s="103"/>
      <c r="AP86" s="104"/>
      <c r="AQ86" s="105"/>
    </row>
    <row r="87" spans="1:43" ht="17.25" x14ac:dyDescent="0.25">
      <c r="A87" s="8"/>
      <c r="B87" s="9"/>
      <c r="C87" s="3"/>
      <c r="D87" s="3" t="s">
        <v>78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0"/>
      <c r="AA87" s="31"/>
      <c r="AB87" s="81"/>
      <c r="AC87" s="81"/>
      <c r="AD87" s="42">
        <v>63</v>
      </c>
      <c r="AE87" s="51">
        <v>1</v>
      </c>
      <c r="AF87" s="52">
        <v>0</v>
      </c>
      <c r="AG87" s="52">
        <v>0</v>
      </c>
      <c r="AH87" s="52">
        <v>0</v>
      </c>
      <c r="AI87" s="52">
        <v>0</v>
      </c>
      <c r="AJ87" s="53">
        <v>0</v>
      </c>
      <c r="AK87" s="48">
        <v>32</v>
      </c>
      <c r="AL87" s="36"/>
      <c r="AO87" s="103"/>
      <c r="AP87" s="104"/>
      <c r="AQ87" s="105"/>
    </row>
    <row r="88" spans="1:43" x14ac:dyDescent="0.25">
      <c r="A88" s="8"/>
      <c r="B88" s="9"/>
      <c r="C88" s="3"/>
      <c r="D88" s="3" t="s">
        <v>79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10"/>
      <c r="AA88" s="31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6"/>
      <c r="AO88" s="103"/>
      <c r="AP88" s="104"/>
      <c r="AQ88" s="105"/>
    </row>
    <row r="89" spans="1:43" x14ac:dyDescent="0.25">
      <c r="A89" s="8"/>
      <c r="B89" s="9"/>
      <c r="C89" s="3"/>
      <c r="D89" s="3" t="s">
        <v>80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10"/>
      <c r="AA89" s="31"/>
      <c r="AB89" s="32"/>
      <c r="AC89" s="32"/>
      <c r="AD89" s="52">
        <v>1</v>
      </c>
      <c r="AE89" s="83">
        <f>COUNTIF(AE56:AJ81,"1")</f>
        <v>97</v>
      </c>
      <c r="AF89" s="84"/>
      <c r="AG89" s="85">
        <f>COUNTIF(AE82:AJ87,"1")</f>
        <v>15</v>
      </c>
      <c r="AH89" s="86"/>
      <c r="AI89" s="87">
        <f>SUM(AE89,AG89)</f>
        <v>112</v>
      </c>
      <c r="AK89" s="32"/>
      <c r="AL89" s="36"/>
      <c r="AO89" s="103"/>
      <c r="AP89" s="104"/>
      <c r="AQ89" s="105"/>
    </row>
    <row r="90" spans="1:43" ht="15.75" thickBot="1" x14ac:dyDescent="0.3">
      <c r="A90" s="8"/>
      <c r="B90" s="9"/>
      <c r="C90" s="3"/>
      <c r="D90" s="3" t="s">
        <v>81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10"/>
      <c r="AA90" s="31"/>
      <c r="AB90" s="32"/>
      <c r="AC90" s="32"/>
      <c r="AD90" s="88">
        <v>0</v>
      </c>
      <c r="AE90" s="89">
        <f>COUNTIF(AE56:AJ81,"0")</f>
        <v>59</v>
      </c>
      <c r="AF90" s="90"/>
      <c r="AG90" s="91">
        <f>COUNTIF(AE82:AJ87,"0")</f>
        <v>21</v>
      </c>
      <c r="AH90" s="92"/>
      <c r="AI90" s="93">
        <f>SUM(AE90,AG90)</f>
        <v>80</v>
      </c>
      <c r="AK90" s="32"/>
      <c r="AL90" s="36"/>
      <c r="AO90" s="103"/>
      <c r="AP90" s="104"/>
      <c r="AQ90" s="105"/>
    </row>
    <row r="91" spans="1:43" ht="15.75" thickTop="1" x14ac:dyDescent="0.25">
      <c r="A91" s="8"/>
      <c r="B91" s="9"/>
      <c r="C91" s="3"/>
      <c r="D91" s="3" t="s">
        <v>82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10"/>
      <c r="AA91" s="31"/>
      <c r="AB91" s="32"/>
      <c r="AC91" s="32"/>
      <c r="AD91" s="32"/>
      <c r="AE91" s="94">
        <f>SUM(AE89:AE90)</f>
        <v>156</v>
      </c>
      <c r="AF91" s="95"/>
      <c r="AG91" s="96">
        <f>SUM(AG89:AG90)</f>
        <v>36</v>
      </c>
      <c r="AH91" s="97"/>
      <c r="AI91" s="98">
        <f>SUM(AI89:AI90)</f>
        <v>192</v>
      </c>
      <c r="AK91" s="32"/>
      <c r="AL91" s="36"/>
      <c r="AO91" s="32"/>
      <c r="AP91" s="104"/>
      <c r="AQ91" s="105"/>
    </row>
    <row r="92" spans="1:43" x14ac:dyDescent="0.25">
      <c r="A92" s="8"/>
      <c r="B92" s="9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10"/>
      <c r="AA92" s="31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6"/>
      <c r="AO92" s="32"/>
      <c r="AP92" s="105"/>
      <c r="AQ92" s="105"/>
    </row>
    <row r="93" spans="1:43" x14ac:dyDescent="0.25">
      <c r="A93" s="8"/>
      <c r="B93" s="9">
        <v>9</v>
      </c>
      <c r="C93" s="3"/>
      <c r="D93" s="3" t="s">
        <v>83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10"/>
      <c r="AA93" s="31"/>
      <c r="AB93" s="32"/>
      <c r="AC93" s="32"/>
      <c r="AD93" s="32"/>
      <c r="AF93" s="32"/>
      <c r="AH93" s="99"/>
      <c r="AI93" s="32"/>
      <c r="AK93" s="32"/>
      <c r="AL93" s="36"/>
    </row>
    <row r="94" spans="1:43" x14ac:dyDescent="0.25">
      <c r="A94" s="8"/>
      <c r="B94" s="9"/>
      <c r="C94" s="3"/>
      <c r="D94" s="3" t="s">
        <v>84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10"/>
      <c r="AA94" s="31"/>
      <c r="AB94" s="32"/>
      <c r="AC94" s="32"/>
      <c r="AD94" s="32"/>
      <c r="AF94" s="32"/>
      <c r="AH94" s="99"/>
      <c r="AI94" s="32"/>
      <c r="AK94" s="32"/>
      <c r="AL94" s="36"/>
    </row>
    <row r="95" spans="1:43" x14ac:dyDescent="0.25">
      <c r="A95" s="8"/>
      <c r="B95" s="9"/>
      <c r="C95" s="3"/>
      <c r="D95" s="3" t="s">
        <v>85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10"/>
      <c r="AA95" s="31"/>
      <c r="AB95" s="32"/>
      <c r="AC95" s="32"/>
      <c r="AD95" s="32"/>
      <c r="AF95" s="32"/>
      <c r="AH95" s="99"/>
      <c r="AI95" s="32"/>
      <c r="AK95" s="32"/>
      <c r="AL95" s="36"/>
    </row>
    <row r="96" spans="1:43" x14ac:dyDescent="0.25">
      <c r="A96" s="8"/>
      <c r="B96" s="9"/>
      <c r="C96" s="3"/>
      <c r="D96" s="3" t="s">
        <v>86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10"/>
      <c r="AA96" s="31"/>
      <c r="AB96" s="32"/>
      <c r="AC96" s="32"/>
      <c r="AD96" s="32"/>
      <c r="AF96" s="32"/>
      <c r="AH96" s="99"/>
      <c r="AI96" s="32"/>
      <c r="AK96" s="32"/>
      <c r="AL96" s="36"/>
    </row>
    <row r="97" spans="1:38" ht="15.75" thickBot="1" x14ac:dyDescent="0.3">
      <c r="A97" s="8"/>
      <c r="B97" s="9"/>
      <c r="C97" s="3"/>
      <c r="D97" s="3" t="s">
        <v>87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10"/>
      <c r="AA97" s="100"/>
      <c r="AB97" s="101"/>
      <c r="AC97" s="101"/>
      <c r="AD97" s="101"/>
      <c r="AE97" s="101"/>
      <c r="AF97" s="101"/>
      <c r="AG97" s="101"/>
      <c r="AH97" s="101"/>
      <c r="AI97" s="101"/>
      <c r="AJ97" s="101"/>
      <c r="AK97" s="101"/>
      <c r="AL97" s="102"/>
    </row>
    <row r="98" spans="1:38" x14ac:dyDescent="0.25">
      <c r="A98" s="8"/>
      <c r="B98" s="9"/>
      <c r="C98" s="3"/>
      <c r="D98" s="3" t="s">
        <v>88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0"/>
    </row>
    <row r="99" spans="1:38" x14ac:dyDescent="0.25">
      <c r="A99" s="8"/>
      <c r="B99" s="9"/>
      <c r="C99" s="3"/>
      <c r="D99" s="3" t="s">
        <v>89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10"/>
    </row>
    <row r="100" spans="1:38" x14ac:dyDescent="0.25">
      <c r="A100" s="8"/>
      <c r="B100" s="9"/>
      <c r="C100" s="3"/>
      <c r="D100" s="3" t="s">
        <v>90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0"/>
    </row>
    <row r="101" spans="1:38" x14ac:dyDescent="0.25">
      <c r="A101" s="8"/>
      <c r="B101" s="9"/>
      <c r="C101" s="3"/>
      <c r="D101" s="3" t="s">
        <v>91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0"/>
    </row>
    <row r="102" spans="1:38" x14ac:dyDescent="0.25">
      <c r="A102" s="8"/>
      <c r="B102" s="9"/>
      <c r="C102" s="3"/>
      <c r="D102" s="3" t="s">
        <v>92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0"/>
    </row>
    <row r="103" spans="1:38" x14ac:dyDescent="0.25">
      <c r="A103" s="8"/>
      <c r="B103" s="9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0"/>
    </row>
    <row r="104" spans="1:38" x14ac:dyDescent="0.25">
      <c r="A104" s="8"/>
      <c r="B104" s="9">
        <v>10</v>
      </c>
      <c r="C104" s="3"/>
      <c r="D104" s="3" t="s">
        <v>93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0"/>
    </row>
    <row r="105" spans="1:38" x14ac:dyDescent="0.25">
      <c r="A105" s="8"/>
      <c r="B105" s="9"/>
      <c r="C105" s="3"/>
      <c r="D105" s="3" t="s">
        <v>94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0"/>
    </row>
    <row r="106" spans="1:38" x14ac:dyDescent="0.25">
      <c r="A106" s="8"/>
      <c r="B106" s="9"/>
      <c r="C106" s="3"/>
      <c r="D106" s="12" t="s">
        <v>95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0"/>
    </row>
    <row r="107" spans="1:38" x14ac:dyDescent="0.25">
      <c r="A107" s="8"/>
      <c r="B107" s="9"/>
      <c r="C107" s="3"/>
      <c r="D107" s="3" t="s">
        <v>96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0"/>
    </row>
    <row r="108" spans="1:38" x14ac:dyDescent="0.25">
      <c r="A108" s="8"/>
      <c r="B108" s="9"/>
      <c r="C108" s="3"/>
      <c r="D108" s="3" t="s">
        <v>97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0"/>
    </row>
    <row r="109" spans="1:38" x14ac:dyDescent="0.25">
      <c r="A109" s="8"/>
      <c r="B109" s="9"/>
      <c r="C109" s="3"/>
      <c r="D109" s="3" t="s">
        <v>98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0"/>
    </row>
    <row r="110" spans="1:38" x14ac:dyDescent="0.25">
      <c r="A110" s="8"/>
      <c r="B110" s="9"/>
      <c r="C110" s="3"/>
      <c r="D110" s="3" t="s">
        <v>99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0"/>
    </row>
    <row r="111" spans="1:38" x14ac:dyDescent="0.25">
      <c r="A111" s="8"/>
      <c r="B111" s="9"/>
      <c r="C111" s="3"/>
      <c r="D111" s="3" t="s">
        <v>100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0"/>
    </row>
    <row r="112" spans="1:38" x14ac:dyDescent="0.25">
      <c r="A112" s="8"/>
      <c r="B112" s="9"/>
      <c r="C112" s="3"/>
      <c r="D112" s="3" t="s">
        <v>101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10"/>
    </row>
    <row r="113" spans="1:26" x14ac:dyDescent="0.25">
      <c r="A113" s="8"/>
      <c r="B113" s="9"/>
      <c r="C113" s="3"/>
      <c r="D113" s="3" t="s">
        <v>102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10"/>
    </row>
    <row r="114" spans="1:26" x14ac:dyDescent="0.25">
      <c r="A114" s="8"/>
      <c r="B114" s="9"/>
      <c r="C114" s="3"/>
      <c r="D114" s="3" t="s">
        <v>103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10"/>
    </row>
    <row r="115" spans="1:26" x14ac:dyDescent="0.25">
      <c r="A115" s="8"/>
      <c r="B115" s="9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10"/>
    </row>
    <row r="116" spans="1:26" x14ac:dyDescent="0.25">
      <c r="A116" s="8"/>
      <c r="B116" s="9">
        <v>11</v>
      </c>
      <c r="C116" s="3"/>
      <c r="D116" s="3" t="s">
        <v>104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10"/>
    </row>
    <row r="117" spans="1:26" x14ac:dyDescent="0.25">
      <c r="A117" s="8"/>
      <c r="B117" s="9"/>
      <c r="C117" s="3"/>
      <c r="D117" s="3" t="s">
        <v>105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10"/>
    </row>
    <row r="118" spans="1:26" x14ac:dyDescent="0.25">
      <c r="A118" s="8"/>
      <c r="B118" s="9"/>
      <c r="C118" s="3"/>
      <c r="D118" s="3" t="s">
        <v>106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10"/>
    </row>
    <row r="119" spans="1:26" x14ac:dyDescent="0.25">
      <c r="A119" s="8"/>
      <c r="B119" s="9"/>
      <c r="C119" s="3"/>
      <c r="D119" s="3" t="s">
        <v>107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10"/>
    </row>
    <row r="120" spans="1:26" x14ac:dyDescent="0.25">
      <c r="A120" s="8"/>
      <c r="B120" s="9"/>
      <c r="C120" s="3"/>
      <c r="D120" s="3" t="s">
        <v>108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10"/>
    </row>
    <row r="121" spans="1:26" x14ac:dyDescent="0.25">
      <c r="A121" s="8"/>
      <c r="B121" s="9"/>
      <c r="C121" s="3"/>
      <c r="D121" s="3" t="s">
        <v>109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10"/>
    </row>
    <row r="122" spans="1:26" x14ac:dyDescent="0.25">
      <c r="A122" s="8"/>
      <c r="B122" s="9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10"/>
    </row>
    <row r="123" spans="1:26" x14ac:dyDescent="0.25">
      <c r="A123" s="8"/>
      <c r="B123" s="9"/>
      <c r="C123" s="3"/>
      <c r="D123" s="13" t="s">
        <v>110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10"/>
    </row>
    <row r="124" spans="1:26" x14ac:dyDescent="0.25">
      <c r="A124" s="8"/>
      <c r="B124" s="9"/>
      <c r="C124" s="3"/>
      <c r="D124" s="3" t="s">
        <v>111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10"/>
    </row>
    <row r="125" spans="1:26" x14ac:dyDescent="0.25">
      <c r="A125" s="8"/>
      <c r="B125" s="9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10"/>
    </row>
    <row r="126" spans="1:26" ht="16.5" x14ac:dyDescent="0.25">
      <c r="A126" s="8"/>
      <c r="B126" s="9">
        <v>12</v>
      </c>
      <c r="C126" s="3"/>
      <c r="D126" s="3" t="s">
        <v>112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10"/>
    </row>
    <row r="127" spans="1:26" x14ac:dyDescent="0.25">
      <c r="A127" s="8"/>
      <c r="B127" s="9"/>
      <c r="C127" s="3"/>
      <c r="D127" s="3" t="s">
        <v>113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10"/>
    </row>
    <row r="128" spans="1:26" x14ac:dyDescent="0.25">
      <c r="A128" s="8"/>
      <c r="B128" s="9"/>
      <c r="C128" s="3"/>
      <c r="D128" s="3" t="s">
        <v>114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10"/>
    </row>
    <row r="129" spans="1:26" x14ac:dyDescent="0.25">
      <c r="A129" s="8"/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10"/>
    </row>
    <row r="130" spans="1:26" x14ac:dyDescent="0.25">
      <c r="A130" s="8"/>
      <c r="B130" s="9"/>
      <c r="C130" s="3"/>
      <c r="D130" s="3" t="s">
        <v>115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10"/>
    </row>
    <row r="131" spans="1:26" x14ac:dyDescent="0.25">
      <c r="A131" s="8"/>
      <c r="B131" s="9"/>
      <c r="C131" s="3"/>
      <c r="D131" s="3" t="s">
        <v>116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10"/>
    </row>
    <row r="132" spans="1:26" x14ac:dyDescent="0.25">
      <c r="A132" s="8"/>
      <c r="B132" s="9"/>
      <c r="C132" s="3"/>
      <c r="D132" s="3" t="s">
        <v>117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10"/>
    </row>
    <row r="133" spans="1:26" x14ac:dyDescent="0.25">
      <c r="A133" s="8"/>
      <c r="B133" s="9"/>
      <c r="C133" s="3"/>
      <c r="D133" s="3" t="s">
        <v>118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10"/>
    </row>
    <row r="134" spans="1:26" x14ac:dyDescent="0.25">
      <c r="A134" s="8"/>
      <c r="B134" s="9"/>
      <c r="C134" s="3"/>
      <c r="D134" s="3" t="s">
        <v>119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10"/>
    </row>
    <row r="135" spans="1:26" x14ac:dyDescent="0.25">
      <c r="A135" s="8"/>
      <c r="B135" s="9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10"/>
    </row>
    <row r="136" spans="1:26" x14ac:dyDescent="0.25">
      <c r="A136" s="8"/>
      <c r="B136" s="9"/>
      <c r="C136" s="3"/>
      <c r="D136" s="3"/>
      <c r="E136" s="3"/>
      <c r="F136" s="3"/>
      <c r="G136" s="3"/>
      <c r="H136" s="3"/>
      <c r="I136" s="3"/>
      <c r="J136" s="3" t="s">
        <v>120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10"/>
    </row>
    <row r="137" spans="1:26" x14ac:dyDescent="0.25">
      <c r="A137" s="8"/>
      <c r="B137" s="9"/>
      <c r="C137" s="3"/>
      <c r="D137" s="3"/>
      <c r="E137" s="3"/>
      <c r="F137" s="3"/>
      <c r="G137" s="3"/>
      <c r="H137" s="3"/>
      <c r="I137" s="3"/>
      <c r="J137" s="3" t="s">
        <v>121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10"/>
    </row>
    <row r="138" spans="1:26" x14ac:dyDescent="0.25">
      <c r="A138" s="8"/>
      <c r="B138" s="9"/>
      <c r="C138" s="3"/>
      <c r="D138" s="3"/>
      <c r="E138" s="3"/>
      <c r="F138" s="3"/>
      <c r="G138" s="3"/>
      <c r="H138" s="3"/>
      <c r="I138" s="3"/>
      <c r="J138" s="3" t="s">
        <v>122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10"/>
    </row>
    <row r="139" spans="1:26" x14ac:dyDescent="0.25">
      <c r="A139" s="8"/>
      <c r="B139" s="9"/>
      <c r="C139" s="3"/>
      <c r="D139" s="3"/>
      <c r="E139" s="3"/>
      <c r="F139" s="3"/>
      <c r="G139" s="3"/>
      <c r="H139" s="3"/>
      <c r="I139" s="3"/>
      <c r="J139" s="3" t="s">
        <v>123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10"/>
    </row>
    <row r="140" spans="1:26" x14ac:dyDescent="0.25">
      <c r="A140" s="8"/>
      <c r="B140" s="9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0"/>
    </row>
    <row r="141" spans="1:26" x14ac:dyDescent="0.25">
      <c r="A141" s="14"/>
      <c r="B141" s="15"/>
      <c r="C141" s="16"/>
      <c r="D141" s="17" t="s">
        <v>124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8"/>
    </row>
  </sheetData>
  <conditionalFormatting sqref="AE6:AJ37 AD39:AD40 AN5:BJ5 AR39:AR40 AS6:AX37 BG6:BL37 BF39:BF40">
    <cfRule type="cellIs" dxfId="17" priority="9" operator="equal">
      <formula>0</formula>
    </cfRule>
  </conditionalFormatting>
  <conditionalFormatting sqref="AE56:AJ87 AD89:AD90">
    <cfRule type="cellIs" dxfId="15" priority="8" operator="equal">
      <formula>0</formula>
    </cfRule>
  </conditionalFormatting>
  <conditionalFormatting sqref="AE56:AJ87 AD89:AD90">
    <cfRule type="cellIs" dxfId="13" priority="7" operator="equal">
      <formula>0</formula>
    </cfRule>
  </conditionalFormatting>
  <conditionalFormatting sqref="AS50:AX50">
    <cfRule type="cellIs" dxfId="11" priority="6" operator="equal">
      <formula>0</formula>
    </cfRule>
  </conditionalFormatting>
  <conditionalFormatting sqref="AY50:BD50">
    <cfRule type="cellIs" dxfId="9" priority="5" operator="equal">
      <formula>0</formula>
    </cfRule>
  </conditionalFormatting>
  <conditionalFormatting sqref="BE50:BJ50">
    <cfRule type="cellIs" dxfId="7" priority="4" operator="equal">
      <formula>0</formula>
    </cfRule>
  </conditionalFormatting>
  <conditionalFormatting sqref="BE53:BJ53">
    <cfRule type="cellIs" dxfId="5" priority="1" operator="equal">
      <formula>0</formula>
    </cfRule>
  </conditionalFormatting>
  <conditionalFormatting sqref="AS53:AX53">
    <cfRule type="cellIs" dxfId="3" priority="3" operator="equal">
      <formula>0</formula>
    </cfRule>
  </conditionalFormatting>
  <conditionalFormatting sqref="AY53:BD53">
    <cfRule type="cellIs" dxfId="1" priority="2" operator="equal">
      <formula>0</formula>
    </cfRule>
  </conditionalFormatting>
  <pageMargins left="0.25" right="0.25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2017-09-27T18:50:04Z</dcterms:modified>
</cp:coreProperties>
</file>