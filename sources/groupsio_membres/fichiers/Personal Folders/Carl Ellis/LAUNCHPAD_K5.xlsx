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345" windowWidth="20730" windowHeight="9420" tabRatio="390"/>
  </bookViews>
  <sheets>
    <sheet name="EXPLANATION" sheetId="15" r:id="rId1"/>
    <sheet name="DIAGRAMS" sheetId="14" r:id="rId2"/>
    <sheet name="CORROBORATIONS" sheetId="16" r:id="rId3"/>
    <sheet name="ARGUMENT" sheetId="17" r:id="rId4"/>
  </sheets>
  <definedNames>
    <definedName name="DIAGRAM_1">DIAGRAMS!$C$2:$AR$63</definedName>
    <definedName name="DIAGRAM_2">DIAGRAMS!$A$65:$AQ$73</definedName>
    <definedName name="DIAGRAM_3">DIAGRAMS!$A$81:$AI$125</definedName>
    <definedName name="Q1_CT">DIAGRAMS!$E$4:$AL$4,DIAGRAMS!$E$6:$AL$6,DIAGRAMS!$E$8:$AL$8,DIAGRAMS!$E$10:$AL$10,DIAGRAMS!$E$12:$AL$12,DIAGRAMS!$E$14:$AL$14,DIAGRAMS!$E$16:$AL$16,DIAGRAMS!$E$18:$AL$18,DIAGRAMS!$E$20:$AL$20,DIAGRAMS!$E$22:$AL$22,DIAGRAMS!$E$24:$AL$24,DIAGRAMS!$E$26:$AL$26,DIAGRAMS!$E$28:$AL$28,DIAGRAMS!$E$30:$AL$30</definedName>
    <definedName name="Q1_PT">DIAGRAMS!$E$5:$AL$5,DIAGRAMS!$E$7:$AL$7,DIAGRAMS!$E$9:$AL$9,DIAGRAMS!$E$11:$AL$11,DIAGRAMS!$E$13:$AL$13,DIAGRAMS!$E$15:$AL$15,DIAGRAMS!$E$17:$AL$17,DIAGRAMS!$E$19:$AL$19,DIAGRAMS!$E$21:$AL$21,DIAGRAMS!$E$23:$AL$23,DIAGRAMS!$E$25:$AL$25,DIAGRAMS!$E$27:$AL$27,DIAGRAMS!$E$29:$AL$29,DIAGRAMS!$E$31:$AL$31</definedName>
    <definedName name="Q2_CT">DIAGRAMS!$E$32:$AL$32,DIAGRAMS!$E$34:$AL$34,DIAGRAMS!$E$36:$AL$36,DIAGRAMS!$E$38:$AL$38,DIAGRAMS!$E$40:$AL$40,DIAGRAMS!$E$42:$AL$42,DIAGRAMS!$E$44:$AL$44,DIAGRAMS!$E$46:$AL$46,DIAGRAMS!$E$48:$AL$48,DIAGRAMS!$E$50:$AL$50,DIAGRAMS!$E$52:$AL$52,DIAGRAMS!$E$55:$AL$55,DIAGRAMS!$E$57:$AL$57,DIAGRAMS!$E$59:$AL$59,DIAGRAMS!$E$61:$AL$61</definedName>
    <definedName name="Q2_PT">DIAGRAMS!$E$33:$AL$33,DIAGRAMS!$E$35:$AL$35,DIAGRAMS!$E$37:$AL$37,DIAGRAMS!$E$39:$AL$39,DIAGRAMS!$E$41:$AL$41,DIAGRAMS!$E$43:$AL$43,DIAGRAMS!$E$45:$AL$45,DIAGRAMS!$E$47:$AL$47,DIAGRAMS!$E$49:$AL$49,DIAGRAMS!$E$51:$AL$51,DIAGRAMS!$E$53:$AL$53,DIAGRAMS!$E$56:$AL$56,DIAGRAMS!$E$58:$AL$58,DIAGRAMS!$E$60:$AL$60,DIAGRAMS!$E$62:$AL$62</definedName>
  </definedNames>
  <calcPr calcId="145621"/>
</workbook>
</file>

<file path=xl/calcChain.xml><?xml version="1.0" encoding="utf-8"?>
<calcChain xmlns="http://schemas.openxmlformats.org/spreadsheetml/2006/main">
  <c r="AM33" i="14" l="1"/>
  <c r="AM35" i="14" s="1"/>
  <c r="AM37" i="14" s="1"/>
  <c r="AM39" i="14" s="1"/>
  <c r="AM41" i="14" s="1"/>
  <c r="AM43" i="14" s="1"/>
  <c r="AM45" i="14" s="1"/>
  <c r="AM47" i="14" s="1"/>
  <c r="AM49" i="14" s="1"/>
  <c r="AM51" i="14" s="1"/>
  <c r="AM53" i="14" s="1"/>
  <c r="C62" i="14"/>
  <c r="C60" i="14"/>
  <c r="C58" i="14"/>
  <c r="AM56" i="14"/>
  <c r="AM58" i="14" s="1"/>
  <c r="AM60" i="14" s="1"/>
  <c r="AM62" i="14" s="1"/>
  <c r="C56" i="14"/>
  <c r="C53" i="14"/>
  <c r="C51" i="14"/>
  <c r="C49" i="14"/>
  <c r="C47" i="14"/>
  <c r="C45" i="14"/>
  <c r="C43" i="14"/>
  <c r="C41" i="14"/>
  <c r="C39" i="14"/>
  <c r="C37" i="14"/>
  <c r="C35" i="14"/>
  <c r="C33" i="14"/>
  <c r="AN31" i="14"/>
  <c r="C31" i="14"/>
  <c r="AM30" i="14"/>
  <c r="C29" i="14"/>
  <c r="AM28" i="14"/>
  <c r="C27" i="14"/>
  <c r="AM26" i="14"/>
  <c r="C25" i="14"/>
  <c r="AM24" i="14"/>
  <c r="C23" i="14"/>
  <c r="AM22" i="14"/>
  <c r="C21" i="14"/>
  <c r="AM20" i="14"/>
  <c r="C19" i="14"/>
  <c r="AM18" i="14"/>
  <c r="C17" i="14"/>
  <c r="AM16" i="14"/>
  <c r="C15" i="14"/>
  <c r="AM14" i="14"/>
  <c r="C13" i="14"/>
  <c r="AM12" i="14"/>
  <c r="C11" i="14"/>
  <c r="AM10" i="14"/>
  <c r="C9" i="14"/>
  <c r="AM8" i="14"/>
  <c r="AM9" i="14" s="1"/>
  <c r="AM6" i="14"/>
  <c r="C6" i="14"/>
  <c r="C5" i="14"/>
  <c r="AM4" i="14"/>
  <c r="AM5" i="14" s="1"/>
  <c r="C54" i="14" l="1"/>
  <c r="D54" i="14" s="1"/>
  <c r="AM11" i="14"/>
  <c r="AM13" i="14" s="1"/>
  <c r="AM15" i="14" s="1"/>
  <c r="AM17" i="14" s="1"/>
  <c r="AM19" i="14" s="1"/>
  <c r="AM21" i="14" s="1"/>
  <c r="AM23" i="14" s="1"/>
  <c r="AM25" i="14" s="1"/>
  <c r="AM27" i="14" s="1"/>
  <c r="AM29" i="14" s="1"/>
  <c r="AM31" i="14" s="1"/>
  <c r="C7" i="14"/>
  <c r="D7" i="14" s="1"/>
  <c r="AM7" i="14"/>
</calcChain>
</file>

<file path=xl/sharedStrings.xml><?xml version="1.0" encoding="utf-8"?>
<sst xmlns="http://schemas.openxmlformats.org/spreadsheetml/2006/main" count="2054" uniqueCount="340">
  <si>
    <t>K1</t>
  </si>
  <si>
    <t>E</t>
  </si>
  <si>
    <t>M</t>
  </si>
  <si>
    <t>U</t>
  </si>
  <si>
    <t>F</t>
  </si>
  <si>
    <t>P</t>
  </si>
  <si>
    <t>H</t>
  </si>
  <si>
    <t>Z</t>
  </si>
  <si>
    <t>L</t>
  </si>
  <si>
    <t>R</t>
  </si>
  <si>
    <t>A</t>
  </si>
  <si>
    <t>X</t>
  </si>
  <si>
    <t>Y</t>
  </si>
  <si>
    <t>S</t>
  </si>
  <si>
    <t>D</t>
  </si>
  <si>
    <t>J</t>
  </si>
  <si>
    <t>K</t>
  </si>
  <si>
    <t>N</t>
  </si>
  <si>
    <t>G</t>
  </si>
  <si>
    <t>I</t>
  </si>
  <si>
    <t>V</t>
  </si>
  <si>
    <t>5/7</t>
  </si>
  <si>
    <t>b</t>
  </si>
  <si>
    <t>e</t>
  </si>
  <si>
    <t>t</t>
  </si>
  <si>
    <t>w</t>
  </si>
  <si>
    <t>n</t>
  </si>
  <si>
    <t>s</t>
  </si>
  <si>
    <t>u</t>
  </si>
  <si>
    <t>l</t>
  </si>
  <si>
    <t>h</t>
  </si>
  <si>
    <t>a</t>
  </si>
  <si>
    <t>d</t>
  </si>
  <si>
    <t>i</t>
  </si>
  <si>
    <t>g</t>
  </si>
  <si>
    <t>c</t>
  </si>
  <si>
    <t>[47]</t>
  </si>
  <si>
    <t>Q</t>
  </si>
  <si>
    <t>T</t>
  </si>
  <si>
    <t>B</t>
  </si>
  <si>
    <t>W</t>
  </si>
  <si>
    <t>o</t>
  </si>
  <si>
    <t>f</t>
  </si>
  <si>
    <t>q</t>
  </si>
  <si>
    <t>K2</t>
  </si>
  <si>
    <t>C</t>
  </si>
  <si>
    <t>y</t>
  </si>
  <si>
    <t>v</t>
  </si>
  <si>
    <t>p</t>
  </si>
  <si>
    <t>?</t>
  </si>
  <si>
    <t>37/100</t>
  </si>
  <si>
    <t>&lt;37</t>
  </si>
  <si>
    <t>r</t>
  </si>
  <si>
    <t>m</t>
  </si>
  <si>
    <t>11/5</t>
  </si>
  <si>
    <t>x</t>
  </si>
  <si>
    <t>85/148</t>
  </si>
  <si>
    <t>115/178</t>
  </si>
  <si>
    <t>17/8</t>
  </si>
  <si>
    <t>k</t>
  </si>
  <si>
    <t>136/199</t>
  </si>
  <si>
    <t>162/225</t>
  </si>
  <si>
    <t>&lt;125</t>
  </si>
  <si>
    <t>O</t>
  </si>
  <si>
    <t>223/286</t>
  </si>
  <si>
    <t>&lt;147</t>
  </si>
  <si>
    <t>K3</t>
  </si>
  <si>
    <t>11'</t>
  </si>
  <si>
    <t>15'</t>
  </si>
  <si>
    <t>&lt;336</t>
  </si>
  <si>
    <t>K4</t>
  </si>
  <si>
    <t>Я</t>
  </si>
  <si>
    <t>Г</t>
  </si>
  <si>
    <t>MERCURY</t>
  </si>
  <si>
    <t>TO</t>
  </si>
  <si>
    <t>THE</t>
  </si>
  <si>
    <t>U.S.</t>
  </si>
  <si>
    <t>BEST</t>
  </si>
  <si>
    <r>
      <t>WAIT</t>
    </r>
    <r>
      <rPr>
        <b/>
        <sz val="11"/>
        <color rgb="FF0000FF"/>
        <rFont val="Calibri"/>
        <family val="2"/>
        <scheme val="minor"/>
      </rPr>
      <t>ING</t>
    </r>
  </si>
  <si>
    <r>
      <t>W</t>
    </r>
    <r>
      <rPr>
        <b/>
        <sz val="11"/>
        <color rgb="FF0000FF"/>
        <rFont val="Calibri"/>
        <family val="2"/>
        <scheme val="minor"/>
      </rPr>
      <t>E'RE</t>
    </r>
  </si>
  <si>
    <t>U.S. FO-</t>
  </si>
  <si>
    <t>-RCES</t>
  </si>
  <si>
    <t>Explanation of my Derivation of a "K5"</t>
  </si>
  <si>
    <t xml:space="preserve">   FOR</t>
  </si>
  <si>
    <t>After returning to my thoughts on the Gray Code after finding the 281-digit String, to see whether the</t>
  </si>
  <si>
    <t>Gray Code also contained clues to the String, and finding that it did, I happened to be looking at line 15</t>
  </si>
  <si>
    <t>THE MOSCOW BILLBOARD</t>
  </si>
  <si>
    <t>THE WASHINGTON BILLBOARD</t>
  </si>
  <si>
    <t>А</t>
  </si>
  <si>
    <t>Б</t>
  </si>
  <si>
    <t>В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</si>
  <si>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</si>
  <si>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</si>
  <si>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</si>
  <si>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</si>
  <si>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</si>
  <si>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</si>
  <si>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</si>
  <si>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</si>
  <si>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</si>
  <si>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</si>
  <si>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</si>
  <si>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</si>
  <si>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</si>
  <si>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</si>
  <si>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</si>
  <si>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</si>
  <si>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</si>
  <si>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</si>
  <si>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</si>
  <si>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</si>
  <si>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</si>
  <si>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</si>
  <si>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</si>
  <si>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</si>
  <si>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</si>
  <si>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</si>
  <si>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</si>
  <si>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ё</t>
  </si>
  <si>
    <r>
      <t xml:space="preserve">D F G I J S U V W Y </t>
    </r>
    <r>
      <rPr>
        <b/>
        <sz val="11"/>
        <color rgb="FFFF0000"/>
        <rFont val="Arial Unicode MS"/>
        <family val="2"/>
      </rPr>
      <t>&amp;</t>
    </r>
    <r>
      <rPr>
        <b/>
        <sz val="11"/>
        <color rgb="FF0000CC"/>
        <rFont val="Arial Unicode MS"/>
        <family val="2"/>
      </rPr>
      <t xml:space="preserve"> Z </t>
    </r>
    <r>
      <rPr>
        <b/>
        <sz val="11"/>
        <color rgb="FFFF0000"/>
        <rFont val="Arial Unicode MS"/>
        <family val="2"/>
      </rPr>
      <t>don't look like anything to a CCCPnik.</t>
    </r>
  </si>
  <si>
    <r>
      <t xml:space="preserve">Б Ж Й Л П Ф Ш Щ Ъ Ы Э </t>
    </r>
    <r>
      <rPr>
        <b/>
        <sz val="11"/>
        <color rgb="FF0000FF"/>
        <rFont val="Arial Unicode MS"/>
        <family val="2"/>
      </rPr>
      <t>&amp;</t>
    </r>
    <r>
      <rPr>
        <b/>
        <sz val="11"/>
        <color rgb="FFFF0000"/>
        <rFont val="Arial Unicode MS"/>
        <family val="2"/>
      </rPr>
      <t xml:space="preserve"> ё </t>
    </r>
    <r>
      <rPr>
        <b/>
        <sz val="11"/>
        <color rgb="FF0000FF"/>
        <rFont val="Arial Unicode MS"/>
        <family val="2"/>
      </rPr>
      <t>don't look like anything to a NATOist.</t>
    </r>
  </si>
  <si>
    <t>OK TEAM looks identical.</t>
  </si>
  <si>
    <t xml:space="preserve">of the sculpture (K3, Line 1, and Tableau NGH…IJL).   After finding various clues to the String involving </t>
  </si>
  <si>
    <t xml:space="preserve">"R/Я", I also had in mind to specifically search for other Cyrillic letters which might suggest a particular </t>
  </si>
  <si>
    <t xml:space="preserve">be considered as another "Moscow Billboard" letter, and if flipped, would give the word"GRAY" when </t>
  </si>
  <si>
    <t xml:space="preserve">combined with the YAhR (I had originally used the final CT "G" at the end of K2 to arrive at "GRAY").  </t>
  </si>
  <si>
    <t>This explanation, as you would imagine, omits a great deal of thrashing around and rejection of things</t>
  </si>
  <si>
    <t xml:space="preserve">that were eventually deemed too far-fetched, or not indicated by "hints", such as I understood them.  </t>
  </si>
  <si>
    <t>that who will can do the same.</t>
  </si>
  <si>
    <t xml:space="preserve">This story gives only the results I finally accepted, but attempts to follow my proceedings in order, so </t>
  </si>
  <si>
    <t xml:space="preserve">Note that that "L" is a prominent "error", which I think is a high recommendation for imaginative </t>
  </si>
  <si>
    <t>attention in this puzzle, .</t>
  </si>
  <si>
    <t xml:space="preserve">sort of operation.  While the "R/Я" suggests "backward[s], reverse", it seems to me that "L/Г" suggests </t>
  </si>
  <si>
    <t xml:space="preserve">"flip, rotate", as well as "G".  I presently realized that the "L" at the end of the Tableau line might also </t>
  </si>
  <si>
    <t xml:space="preserve">Beyond the end of K2/Q1, the PT has no null "e" at all, and a suggestive "wait", and in fact we are here </t>
  </si>
  <si>
    <t xml:space="preserve">to abandon 'cyrillifying' and the idea of a rebus.  K5 runs through the substitution part of Kryptos using </t>
  </si>
  <si>
    <t xml:space="preserve">substitution, and through the transposition part(s?) using transposition.  Using the "R/Я" (as an operator, </t>
  </si>
  <si>
    <r>
      <t>desp</t>
    </r>
    <r>
      <rPr>
        <b/>
        <u/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ratly which ought to be an"e", if the PT be written out below the CT, in order.  Thus a necessary</t>
    </r>
  </si>
  <si>
    <t xml:space="preserve">not as a "ya") and the "3" of part 3, the third non-null, "R", is moved backward 3 steps to make previous </t>
  </si>
  <si>
    <t>"you into "your".    The CT "L" which produces the "a" is the one (K3-11) which is above that "a" in PT</t>
  </si>
  <si>
    <r>
      <t>work-around.   Likewise, the CT "L" above the "s", is the one above the PT "l" of "desparat</t>
    </r>
    <r>
      <rPr>
        <b/>
        <u/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y, where there</t>
    </r>
  </si>
  <si>
    <t>ought to be an "e" in the PT,  so the "a" which is really an "e" is to go in front of the "s", after the "b".</t>
  </si>
  <si>
    <t>either to do his best, or perhaps he is replying "Wait, ??????", so I am happy with D.W. just as he is (for</t>
  </si>
  <si>
    <t>now).</t>
  </si>
  <si>
    <t xml:space="preserve">However, "ysfs" looks nasty, and we will make a digression that isn't, in order to deal with it.   Some </t>
  </si>
  <si>
    <t xml:space="preserve">years ago, trying to find what the location of the admitted "errors" might signify, I hypothesized as </t>
  </si>
  <si>
    <t>follows:   The final digit of the ordinal value of the error is the place within that repetition of the key</t>
  </si>
  <si>
    <t>I first 'cyrillicized' the "y", having also fortunately not yet realized that K5 was done with that methodo-</t>
  </si>
  <si>
    <t xml:space="preserve">logy by that point, so had a theoretical "U.S.FS".    Looking at my findings, which were similar to diagram </t>
  </si>
  <si>
    <t xml:space="preserve">2, it appeared to me that "U.S. forces" would be a fine fit after "wait" and the "for" (from entering </t>
  </si>
  <si>
    <t>make anything of this notion, but fortunately I left it marked on some of my diagrams.   Attacking "ysfs"</t>
  </si>
  <si>
    <t>through the end of K4, the PT "r" at K4-12, combined with the 4 of section 4 is warrant enough to push</t>
  </si>
  <si>
    <t>the "for" back 4 places, between the "wait" and the "U.S.  forces".   I am not especially happy with the</t>
  </si>
  <si>
    <t>4 as a rebus, which doesn't really belong in this part, but it fits so well I'll take it.   Note that assuming</t>
  </si>
  <si>
    <t xml:space="preserve">this K5 to be real, we would know PT K4-12 to be "r", PT K4-16 to be "c",  PT K4-23 to be an "error" </t>
  </si>
  <si>
    <t>mis-quotations of Carter in K3.   There is a "was" which ought to have been a "were", and a "caused"</t>
  </si>
  <si>
    <t>Glancing over salient points of interest to see if any of them help to explain what I have, I note the</t>
  </si>
  <si>
    <r>
      <t xml:space="preserve">which ought to have been a "causing".   We have so to speak, an </t>
    </r>
    <r>
      <rPr>
        <b/>
        <i/>
        <sz val="11"/>
        <color theme="1"/>
        <rFont val="Calibri"/>
        <family val="2"/>
        <scheme val="minor"/>
      </rPr>
      <t>ere</t>
    </r>
    <r>
      <rPr>
        <sz val="11"/>
        <color theme="1"/>
        <rFont val="Calibri"/>
        <family val="2"/>
        <scheme val="minor"/>
      </rPr>
      <t xml:space="preserve"> and an </t>
    </r>
    <r>
      <rPr>
        <b/>
        <i/>
        <sz val="11"/>
        <color theme="1"/>
        <rFont val="Calibri"/>
        <family val="2"/>
        <scheme val="minor"/>
      </rPr>
      <t>ing</t>
    </r>
    <r>
      <rPr>
        <sz val="11"/>
        <color theme="1"/>
        <rFont val="Calibri"/>
        <family val="2"/>
        <scheme val="minor"/>
      </rPr>
      <t xml:space="preserve"> available.  On the rather</t>
    </r>
  </si>
  <si>
    <r>
      <t xml:space="preserve">flimsy grounds that well, there they are, and I can use them, and I haven't yet, I attach the </t>
    </r>
    <r>
      <rPr>
        <b/>
        <i/>
        <sz val="11"/>
        <color theme="1"/>
        <rFont val="Calibri"/>
        <family val="2"/>
        <scheme val="minor"/>
      </rPr>
      <t>ere</t>
    </r>
    <r>
      <rPr>
        <sz val="11"/>
        <color theme="1"/>
        <rFont val="Calibri"/>
        <family val="2"/>
        <scheme val="minor"/>
      </rPr>
      <t xml:space="preserve"> to W, and </t>
    </r>
    <r>
      <rPr>
        <b/>
        <i/>
        <sz val="11"/>
        <color theme="1"/>
        <rFont val="Calibri"/>
        <family val="2"/>
        <scheme val="minor"/>
      </rPr>
      <t/>
    </r>
  </si>
  <si>
    <t>S.  MERCURY  TO  THE  U. S. -  DO  YOUR  BEST  D.  WE'RE  WAITING  FOR  U. S. FORCES</t>
  </si>
  <si>
    <t xml:space="preserve">"Wait" having been equipped with a handsome set of ereings, I try to see if I can figure out who S.G.H. </t>
  </si>
  <si>
    <t>digit string, where I wondered what 1776 was supposed to tell me.   I thought of the Liberty Bell, the</t>
  </si>
  <si>
    <t>one in Philadelphia, probably from associating 1776 with the word "crack", which was in the back of</t>
  </si>
  <si>
    <t>the initials at the beginning of K5, it occurred to me that if L/Г has a 'flipping function, I might switch</t>
  </si>
  <si>
    <t xml:space="preserve">the "G" &amp; "H", and use my result for a rebus for Mercury.   The message sounds as if it could have been </t>
  </si>
  <si>
    <t>program is refered to by Kryptos, and perhaps my K5 is a fabrication of Jim's that would seem plausible,</t>
  </si>
  <si>
    <t>or perhaps he has access to records the general public either doesn't or hasn't bothered with.  The third</t>
  </si>
  <si>
    <r>
      <t xml:space="preserve">possibility, to be sure, is that S. G. H. </t>
    </r>
    <r>
      <rPr>
        <i/>
        <sz val="11"/>
        <color theme="1"/>
        <rFont val="Calibri"/>
        <family val="2"/>
        <scheme val="minor"/>
      </rPr>
      <t>are</t>
    </r>
    <r>
      <rPr>
        <sz val="11"/>
        <color theme="1"/>
        <rFont val="Calibri"/>
        <family val="2"/>
        <scheme val="minor"/>
      </rPr>
      <t xml:space="preserve"> somebody's initials, and indeed that this K5 has no relation to</t>
    </r>
  </si>
  <si>
    <r>
      <rPr>
        <u/>
        <sz val="14"/>
        <color theme="1"/>
        <rFont val="Calibri"/>
        <family val="2"/>
        <scheme val="minor"/>
      </rPr>
      <t>DIGETAL INTERPRETATU</t>
    </r>
    <r>
      <rPr>
        <sz val="14"/>
        <color theme="1"/>
        <rFont val="Calibri"/>
        <family val="2"/>
        <scheme val="minor"/>
      </rPr>
      <t>.  I had already decided that the "U" was to be considered</t>
    </r>
  </si>
  <si>
    <t xml:space="preserve">a likely hint re the similarity of Cyrillic Ю (pron. "YU") and Roman IO.   While rolling </t>
  </si>
  <si>
    <t>IO &amp; YU around in my head, I thought of I.O.U.    You owe what?  Obviously, an "N".</t>
  </si>
  <si>
    <t>Where should it be "paid"?  Probably not where it's owed, it could have just been</t>
  </si>
  <si>
    <t>BTW, FWIW - L/Г also is the only letter that resembles a Carpenter's tool.   And mercury boils at 356.62°.</t>
  </si>
  <si>
    <t>put there if that were what was wanted.   How about at the end of the other</t>
  </si>
  <si>
    <t xml:space="preserve"> "mistake"?   For now, anyway &amp; see what else happens.  What else is here?   Well,</t>
  </si>
  <si>
    <t>what preceeds it.  I now indulge in digital/literal interpretation, and convert that "I"</t>
  </si>
  <si>
    <t>to an "L".   I am left with D GLEN TAL, TAL being what they call a valley, or dale, in</t>
  </si>
  <si>
    <r>
      <t xml:space="preserve">1. a)  On the morning of the recent dinner I was trying to see what I might make of </t>
    </r>
    <r>
      <rPr>
        <u/>
        <sz val="14"/>
        <color theme="1"/>
        <rFont val="Calibri"/>
        <family val="2"/>
        <scheme val="minor"/>
      </rPr>
      <t/>
    </r>
  </si>
  <si>
    <t>his best?  Pretty sketchy, if I hadn't already found the Mercury program, but I'll take it.</t>
  </si>
  <si>
    <t xml:space="preserve">    b)  Down around SLAYERTWO, it is not hard to come up with (Deke) Slayton, using </t>
  </si>
  <si>
    <t>https://www.popsci.com/blog-network/vintage-space/</t>
  </si>
  <si>
    <t>mercury-astronaut-scott-carpenter-and-controversy-surrounding-aurora-7</t>
  </si>
  <si>
    <t>phase of the U. S. space program was piloted by Gus Grissom.   This ties to the first part of the 281-</t>
  </si>
  <si>
    <t xml:space="preserve">During reentry, there was a great deal of concern over whether Carpenter had actually survived, </t>
  </si>
  <si>
    <t xml:space="preserve">since he splashed down 250 miles off course. There are two accounts of the Aurora 7 recovery, </t>
  </si>
  <si>
    <t xml:space="preserve">the first being that forty minutes after splashdown, Carpenter was located in his life raft, safe and </t>
  </si>
  <si>
    <t xml:space="preserve">in good health by Maj. Fred Brown under the command of the Puerto Rico Air National Guard,[11] </t>
  </si>
  <si>
    <t xml:space="preserve">and recovered three hours later by the USS Intrepid,[2] and the second being that a P-2 Neptune </t>
  </si>
  <si>
    <t xml:space="preserve">from Patrol Squadron 18 flying out of Naval Station Roosevelt Roads was the first to sight and mark </t>
  </si>
  <si>
    <t>Carpenter's position.[citation needed]  (Wikipedia)</t>
  </si>
  <si>
    <t>The Mercury Seven were the group of seven Mercury astronauts announced by NASA on April 9,</t>
  </si>
  <si>
    <t xml:space="preserve"> 1959.[2] They are also referred to as the Original Seven or Astronaut Group 1. They piloted the </t>
  </si>
  <si>
    <t xml:space="preserve">manned spaceflights of the Mercury program from May 1961 to May 1963. These seven original </t>
  </si>
  <si>
    <t xml:space="preserve">Members of the group flew on all classes of NASA manned orbital spacecraft of the 20th century — </t>
  </si>
  <si>
    <t xml:space="preserve">Mercury, Gemini, Apollo, and the Space Shuttle.   Gus Grissom died in 1967, in the Apollo 1 fire. </t>
  </si>
  <si>
    <t>The others all survived past retirement from service.   John Glenn went on to become a U.S. senator</t>
  </si>
  <si>
    <t xml:space="preserve">and flew on the Shuttle 36 years later to become the oldest person to fly in space.   He was the last </t>
  </si>
  <si>
    <t>Unmanned, Mercury-Redstone 1, 11/21/60</t>
  </si>
  <si>
    <t>Ham the Chimp, Mercury-Redstone 2, 1/31/61</t>
  </si>
  <si>
    <r>
      <t xml:space="preserve">Virgil Ivan "Gus" Grissom, </t>
    </r>
    <r>
      <rPr>
        <u/>
        <sz val="11"/>
        <color theme="1"/>
        <rFont val="Calibri"/>
        <family val="2"/>
        <scheme val="minor"/>
      </rPr>
      <t>Liberty Bell 7</t>
    </r>
    <r>
      <rPr>
        <sz val="11"/>
        <color theme="1"/>
        <rFont val="Calibri"/>
        <family val="2"/>
        <scheme val="minor"/>
      </rPr>
      <t>, Mercury-Redstone 4, 7/21/61</t>
    </r>
  </si>
  <si>
    <r>
      <t xml:space="preserve">Alan Bartlett Shepard, </t>
    </r>
    <r>
      <rPr>
        <u/>
        <sz val="11"/>
        <color theme="1"/>
        <rFont val="Calibri"/>
        <family val="2"/>
        <scheme val="minor"/>
      </rPr>
      <t>Freedom 7</t>
    </r>
    <r>
      <rPr>
        <sz val="11"/>
        <color theme="1"/>
        <rFont val="Calibri"/>
        <family val="2"/>
        <scheme val="minor"/>
      </rPr>
      <t>, Mercury-Redstone 3, 5/5/61</t>
    </r>
  </si>
  <si>
    <t xml:space="preserve">American astronauts were Scott Carpenter, Leroy Gordon "Gordo" Cooper, John H. Glenn, Virgil </t>
  </si>
  <si>
    <t>Ivan "Gus" Grissom, Walter Marty "Wally" Schirra, Alan Shepard, and Donald Kent "Deke" Slayton.</t>
  </si>
  <si>
    <t>my mind.   (It appears that Grissom actually painted a "crack" on the Liberty Bell 7.)   Returning to</t>
  </si>
  <si>
    <t>named Mercury-Redstone 4 was cast in London by the Whitechapel Foundry.  Using</t>
  </si>
  <si>
    <t xml:space="preserve">2.  Returning to 1776, the Liberty Bell and Grissom:   The Liberty Bell for which Grissom </t>
  </si>
  <si>
    <t xml:space="preserve">and an obvious association, we now change it to  White Chaffee.   Astronauts Grissom, </t>
  </si>
  <si>
    <r>
      <rPr>
        <b/>
        <sz val="11"/>
        <color rgb="FF0000FF"/>
        <rFont val="Calibri"/>
        <family val="2"/>
        <scheme val="minor"/>
      </rPr>
      <t>Dulce et decorum est pro patria mori</t>
    </r>
    <r>
      <rPr>
        <sz val="11"/>
        <color theme="1"/>
        <rFont val="Calibri"/>
        <family val="2"/>
        <scheme val="minor"/>
      </rPr>
      <t xml:space="preserve"> is a line from the Roman lyrical poet Horace's Odes (III.2.13). </t>
    </r>
  </si>
  <si>
    <t>stars, alluded to by the prevalence of 31, for the original 31 CIA stars on the memorial wall, and the refer-</t>
  </si>
  <si>
    <t xml:space="preserve">ences to the astronauts.  This would be a likely theme for the final message of an inspiring sculpture for </t>
  </si>
  <si>
    <t xml:space="preserve">I propose that the theme of K4 is people who risked/gave their lives for their country, as represented by </t>
  </si>
  <si>
    <t>living member of the class when he died in 2016.[3]  (Wikipedia)</t>
  </si>
  <si>
    <t>a place to finally be useful, and I plugged it in, replacing the "ysfs".   If "U.S. forces" is in fact the K5 PT</t>
  </si>
  <si>
    <t>the CIA grounds.  The petrified tree can be understood to represent a Redstone Rocket, and the whirl-</t>
  </si>
  <si>
    <t xml:space="preserve">the astronaut &amp; Mercury theme.   But for what it may signify, it's there, and I submit that it was put there </t>
  </si>
  <si>
    <t>to be found.</t>
  </si>
  <si>
    <t xml:space="preserve">White &amp; Chafee died together in a training accident fire during the Apollo program on </t>
  </si>
  <si>
    <t>1/27/67.</t>
  </si>
  <si>
    <t xml:space="preserve">Whether or not you agree with my deductions, I think it a good illustration of what must be the "top layer" </t>
  </si>
  <si>
    <t xml:space="preserve">of K4.   I believe Ed &amp; Jim set out to make a "computer-proof" layer over the mathematical structure.  </t>
  </si>
  <si>
    <t>When a website asks you to click on all the pictures that contain traffic signs, it isn't playing kindergarten</t>
  </si>
  <si>
    <t xml:space="preserve">games to help you pass the time, essentially it's defeating a computer with a task no computer can manage, </t>
  </si>
  <si>
    <t xml:space="preserve">and when Ed &amp; Jim use rebuses &amp; allusions &amp; commonly shared mental associations that is also an entirely </t>
  </si>
  <si>
    <t>- Carl Ellis</t>
  </si>
  <si>
    <t>BERLIN PEEK RRR</t>
  </si>
  <si>
    <t>RRR KEEP NIL REB</t>
  </si>
  <si>
    <t>㋡</t>
  </si>
  <si>
    <t xml:space="preserve">Always keep your nils, you never know </t>
  </si>
  <si>
    <t xml:space="preserve"> if we're going to think Cyrillic, we'll borrow that L/Г operation, and 'flip' the "G" with</t>
  </si>
  <si>
    <t xml:space="preserve">pool a galaxy of stars.   </t>
  </si>
  <si>
    <r>
      <t xml:space="preserve">section </t>
    </r>
    <r>
      <rPr>
        <u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).   Looking around for something to give me an "o", there in K2 was my "UsFo" looking for a </t>
    </r>
  </si>
  <si>
    <t>requiring the importation of a non-null "e" (From K1-47, if process is consistent), and a PT K4-54 "s".</t>
  </si>
  <si>
    <r>
      <t>to suggest a Cyrillic sound equivalent to our "J" (Serbo-Croat has a "Ɖ" pronounced as English "J")?  "Hi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</t>
    </r>
  </si>
  <si>
    <r>
      <rPr>
        <sz val="11"/>
        <color rgb="FFFF0000"/>
        <rFont val="Calibri"/>
        <family val="2"/>
        <scheme val="minor"/>
      </rPr>
      <t>den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Key</t>
    </r>
    <r>
      <rPr>
        <sz val="11"/>
        <color theme="1"/>
        <rFont val="Calibri"/>
        <family val="2"/>
        <scheme val="minor"/>
      </rPr>
      <t>"?</t>
    </r>
  </si>
  <si>
    <r>
      <t>Does line 15, "N GHI…HIJL" mean to suggest "HIJ</t>
    </r>
    <r>
      <rPr>
        <sz val="11"/>
        <color rgb="FFC0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L &gt; HIJK</t>
    </r>
    <r>
      <rPr>
        <strike/>
        <sz val="11"/>
        <color theme="1"/>
        <rFont val="Calibri"/>
        <family val="2"/>
        <scheme val="minor"/>
      </rPr>
      <t>L</t>
    </r>
    <r>
      <rPr>
        <sz val="11"/>
        <color rgb="FFC0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&gt; HIJ </t>
    </r>
    <r>
      <rPr>
        <sz val="11"/>
        <color rgb="FFC00000"/>
        <rFont val="Calibri"/>
        <family val="2"/>
        <scheme val="minor"/>
      </rPr>
      <t>KE</t>
    </r>
    <r>
      <rPr>
        <sz val="11"/>
        <color theme="1"/>
        <rFont val="Calibri"/>
        <family val="2"/>
        <scheme val="minor"/>
      </rPr>
      <t xml:space="preserve"> &gt; HIJ </t>
    </r>
    <r>
      <rPr>
        <sz val="11"/>
        <color rgb="FFC00000"/>
        <rFont val="Calibri"/>
        <family val="2"/>
        <scheme val="minor"/>
      </rPr>
      <t>KEY</t>
    </r>
    <r>
      <rPr>
        <sz val="11"/>
        <color theme="1"/>
        <rFont val="Calibri"/>
        <family val="2"/>
        <scheme val="minor"/>
      </rPr>
      <t>"?  Is Roman "J" supposed</t>
    </r>
  </si>
  <si>
    <t xml:space="preserve">BERLIN.   Don't really have a place for the left-over "D", might it be the D. who is to do </t>
  </si>
  <si>
    <t>the "o-w-e-d N" again.  Slayton was bumped from Redstone 4 in favor of Grissom.</t>
  </si>
  <si>
    <t>star numbers: 6*n*(n-1) + 1") include 37, 73, 337 and 433.</t>
  </si>
  <si>
    <r>
      <t xml:space="preserve">when you might need to reverse one. </t>
    </r>
    <r>
      <rPr>
        <i/>
        <sz val="11"/>
        <color theme="1"/>
        <rFont val="Calibri"/>
        <family val="2"/>
        <scheme val="minor"/>
      </rPr>
      <t xml:space="preserve"> </t>
    </r>
  </si>
  <si>
    <t>The line can be translated as: "It is sweet and proper to die for the fatherland."  - Wikipedia</t>
  </si>
  <si>
    <t xml:space="preserve">3.   The first 9 "Star Numbers" (see OEIS A003154, "Centered 12-gonal numbers, also </t>
  </si>
  <si>
    <t>What’s the Meaning Behind the CIA Seal?</t>
  </si>
  <si>
    <t xml:space="preserve">    </t>
  </si>
  <si>
    <t xml:space="preserve">    CREST: On a wreath argent and gules an American bald eagle's head </t>
  </si>
  <si>
    <t xml:space="preserve">    erased proper.</t>
  </si>
  <si>
    <t xml:space="preserve">    AND WHEREAS it appears that such seal is of suitable design and is </t>
  </si>
  <si>
    <t xml:space="preserve">    appropriate for establishment as the official seal of the Central </t>
  </si>
  <si>
    <t xml:space="preserve">    Intelligence Agency</t>
  </si>
  <si>
    <t>•The American Eagle is the national bird and is a symbol of strength and alertness.</t>
  </si>
  <si>
    <t xml:space="preserve"> </t>
  </si>
  <si>
    <t xml:space="preserve">The CIA seal is one of the most recognizable images in the world. You’ve probably </t>
  </si>
  <si>
    <t xml:space="preserve">seen it on book covers, T-shirts and in the movies.   But what’s the meaning behind </t>
  </si>
  <si>
    <t xml:space="preserve">the seal?  What does it represent to the CIA, its employees and the US citizens we </t>
  </si>
  <si>
    <t xml:space="preserve">serve?   Section 2 of the Central Intelligence Agency Act of 1949 provided for a seal </t>
  </si>
  <si>
    <t xml:space="preserve">of office for the CIA.   The seal’s design was approved on Feb. 17, 1950 in President </t>
  </si>
  <si>
    <t xml:space="preserve">Harry Truman's Executive Order 10111.   In this Order, the CIA seal is described in </t>
  </si>
  <si>
    <t>heraldic terms as follows:</t>
  </si>
  <si>
    <t xml:space="preserve">    Below the shield on a gold color scroll the inscription "United States of America"  </t>
  </si>
  <si>
    <t xml:space="preserve">    in red letters and encircling the shield and crest at the top the inscription "Central  </t>
  </si>
  <si>
    <t xml:space="preserve">    Intelligence Agency" in white letters, all on a circular blue background with a </t>
  </si>
  <si>
    <t xml:space="preserve">    narrow gold edge.</t>
  </si>
  <si>
    <t xml:space="preserve">But the formal verbiage in President Truman’s Executive Order does not clearly </t>
  </si>
  <si>
    <t>explain what the various parts of the seal mean.   Here’s how we interpret our seal:</t>
  </si>
  <si>
    <t xml:space="preserve">•The radiating spokes of the compass rose depict the convergence of intelligence </t>
  </si>
  <si>
    <t xml:space="preserve">       data from all areas of the world to a central point.</t>
  </si>
  <si>
    <t xml:space="preserve">•The shield is the standard symbol of defense and the intelligence we gather for </t>
  </si>
  <si>
    <t xml:space="preserve">       policymakers.</t>
  </si>
  <si>
    <r>
      <rPr>
        <sz val="10"/>
        <rFont val="Calibri"/>
        <family val="2"/>
        <scheme val="minor"/>
      </rPr>
      <t>From:</t>
    </r>
    <r>
      <rPr>
        <sz val="10"/>
        <color rgb="FF333399"/>
        <rFont val="Calibri"/>
        <family val="2"/>
        <scheme val="minor"/>
      </rPr>
      <t xml:space="preserve">  https://www.cia.gov/news-information/featured-story-archive/2007-featured-story-archive/the-cia-seal.html</t>
    </r>
  </si>
  <si>
    <t>5.   The CIA's compass rose, on the seal, resembles a star.</t>
  </si>
  <si>
    <t>my system of L &gt; E, we change Whitechapel to Whitechapee.  Using a linguistic similiarity</t>
  </si>
  <si>
    <t>serious part of a secure encipherment designed for our day.</t>
  </si>
  <si>
    <t>I am well aware that it is all too easy to go right off the deep end in approaching a cryptographic problem</t>
  </si>
  <si>
    <t xml:space="preserve">    DO</t>
  </si>
  <si>
    <t>YOU R</t>
  </si>
  <si>
    <r>
      <t xml:space="preserve">Malcolm Scott Carpenter, </t>
    </r>
    <r>
      <rPr>
        <u/>
        <sz val="11"/>
        <color theme="1"/>
        <rFont val="Calibri"/>
        <family val="2"/>
        <scheme val="minor"/>
      </rPr>
      <t>Aurora 7</t>
    </r>
    <r>
      <rPr>
        <sz val="11"/>
        <color theme="1"/>
        <rFont val="Calibri"/>
        <family val="2"/>
        <scheme val="minor"/>
      </rPr>
      <t>, 162 mi. apogee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Mission duration - 4 hours, 56 minutes, 5 seconds 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</si>
  <si>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K2-start -&gt; 2° "?" = 162</t>
    </r>
  </si>
  <si>
    <t xml:space="preserve">    SHIELD: Argent, a compass rose of sixteen points gules.</t>
  </si>
  <si>
    <t xml:space="preserve">I decided to see what I would get if I went to 'flipping', or putting the bottom up, on the strings of CT </t>
  </si>
  <si>
    <t>&amp; PT of Kryptos.  I don't know of any law that says that a decipherer writes the PT below the CT, but I</t>
  </si>
  <si>
    <r>
      <t xml:space="preserve">decided to take it that way, and found:  </t>
    </r>
    <r>
      <rPr>
        <u/>
        <sz val="11"/>
        <color theme="1"/>
        <rFont val="Calibri"/>
        <family val="2"/>
        <scheme val="minor"/>
      </rPr>
      <t>sgheeedeyeeeceedyeeeyeaebrstdwwaitysfs(</t>
    </r>
    <r>
      <rPr>
        <u/>
        <sz val="9"/>
        <color rgb="FF0000FF"/>
        <rFont val="Calibri"/>
        <family val="2"/>
        <scheme val="minor"/>
      </rPr>
      <t>12</t>
    </r>
    <r>
      <rPr>
        <u/>
        <sz val="9"/>
        <color rgb="FFC00000"/>
        <rFont val="Calibri"/>
        <family val="2"/>
        <scheme val="minor"/>
      </rPr>
      <t>16</t>
    </r>
    <r>
      <rPr>
        <u/>
        <sz val="9"/>
        <color rgb="FF0000FF"/>
        <rFont val="Calibri"/>
        <family val="2"/>
        <scheme val="minor"/>
      </rPr>
      <t>23</t>
    </r>
    <r>
      <rPr>
        <u/>
        <sz val="9"/>
        <color rgb="FFC00000"/>
        <rFont val="Calibri"/>
        <family val="2"/>
        <scheme val="minor"/>
      </rPr>
      <t>54)</t>
    </r>
    <r>
      <rPr>
        <sz val="11"/>
        <rFont val="Calibri"/>
        <family val="2"/>
        <scheme val="minor"/>
      </rPr>
      <t xml:space="preserve">, this </t>
    </r>
  </si>
  <si>
    <t xml:space="preserve">series comprising the PT of all CT "L" on the 2 enciphered quadrants of Kryptos.  There being numerous </t>
  </si>
  <si>
    <t xml:space="preserve">"e", I decided to see what might be there if I treated them as nulls, and looked for something in the </t>
  </si>
  <si>
    <r>
      <t xml:space="preserve">rest.   </t>
    </r>
    <r>
      <rPr>
        <u/>
        <sz val="11"/>
        <color theme="1"/>
        <rFont val="Calibri"/>
        <family val="2"/>
        <scheme val="minor"/>
      </rPr>
      <t>s g h d y c d y y</t>
    </r>
    <r>
      <rPr>
        <sz val="11"/>
        <color theme="1"/>
        <rFont val="Calibri"/>
        <family val="2"/>
        <scheme val="minor"/>
      </rPr>
      <t xml:space="preserve"> did not look encouraging, but Cyrillified, it gives </t>
    </r>
    <r>
      <rPr>
        <u/>
        <sz val="11"/>
        <color theme="1"/>
        <rFont val="Calibri"/>
        <family val="2"/>
        <scheme val="minor"/>
      </rPr>
      <t>s g h d u s d u u</t>
    </r>
    <r>
      <rPr>
        <sz val="11"/>
        <color theme="1"/>
        <rFont val="Calibri"/>
        <family val="2"/>
        <scheme val="minor"/>
      </rPr>
      <t xml:space="preserve">, which with the </t>
    </r>
  </si>
  <si>
    <r>
      <t xml:space="preserve">addition of "2" after the </t>
    </r>
    <r>
      <rPr>
        <u/>
        <sz val="11"/>
        <color theme="1"/>
        <rFont val="Calibri"/>
        <family val="2"/>
        <scheme val="minor"/>
      </rPr>
      <t>s g h</t>
    </r>
    <r>
      <rPr>
        <sz val="11"/>
        <color theme="1"/>
        <rFont val="Calibri"/>
        <family val="2"/>
        <scheme val="minor"/>
      </rPr>
      <t xml:space="preserve"> begins to look like a rebus, at least enough to be worth looking at further </t>
    </r>
  </si>
  <si>
    <r>
      <t xml:space="preserve">(Follow me with second diagram on DIAGRAMS tab), the </t>
    </r>
    <r>
      <rPr>
        <u/>
        <sz val="11"/>
        <color theme="1"/>
        <rFont val="Calibri"/>
        <family val="2"/>
        <scheme val="minor"/>
      </rPr>
      <t>s g h</t>
    </r>
    <r>
      <rPr>
        <sz val="11"/>
        <color theme="1"/>
        <rFont val="Calibri"/>
        <family val="2"/>
        <scheme val="minor"/>
      </rPr>
      <t xml:space="preserve"> being presumably the sender's or </t>
    </r>
  </si>
  <si>
    <t>addressee's initials.</t>
  </si>
  <si>
    <r>
      <t>"e" is introduced into K5; if the "L" simply produced an "e", it would be a null, so "desp</t>
    </r>
    <r>
      <rPr>
        <b/>
        <u/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ratly" was the </t>
    </r>
  </si>
  <si>
    <r>
      <t>So far then, we have "</t>
    </r>
    <r>
      <rPr>
        <u/>
        <sz val="11"/>
        <color theme="1"/>
        <rFont val="Calibri"/>
        <family val="2"/>
        <scheme val="minor"/>
      </rPr>
      <t>S.G.H. to the U.S. - Do your best.</t>
    </r>
    <r>
      <rPr>
        <sz val="11"/>
        <color theme="1"/>
        <rFont val="Calibri"/>
        <family val="2"/>
        <scheme val="minor"/>
      </rPr>
      <t xml:space="preserve">  (dwwaitysfs)"  It rather looks as if it's D.W. who's</t>
    </r>
  </si>
  <si>
    <r>
      <t xml:space="preserve">indicated by the preceeding digit(s) of the error.    i.e., in K1 </t>
    </r>
    <r>
      <rPr>
        <b/>
        <i/>
        <sz val="11"/>
        <color rgb="FFFF0000"/>
        <rFont val="Calibri"/>
        <family val="2"/>
        <scheme val="minor"/>
      </rPr>
      <t>5</t>
    </r>
    <r>
      <rPr>
        <b/>
        <i/>
        <sz val="11"/>
        <color rgb="FF0000FF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indicates the </t>
    </r>
    <r>
      <rPr>
        <sz val="11"/>
        <color rgb="FF0000FF"/>
        <rFont val="Calibri"/>
        <family val="2"/>
        <scheme val="minor"/>
      </rPr>
      <t>seventh</t>
    </r>
    <r>
      <rPr>
        <sz val="11"/>
        <color theme="1"/>
        <rFont val="Calibri"/>
        <family val="2"/>
        <scheme val="minor"/>
      </rPr>
      <t xml:space="preserve"> letter of the </t>
    </r>
    <r>
      <rPr>
        <sz val="11"/>
        <color rgb="FFFF0000"/>
        <rFont val="Calibri"/>
        <family val="2"/>
        <scheme val="minor"/>
      </rPr>
      <t>fifth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</si>
  <si>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repetition of PALIMPSEST, which is K1-47, (CT "L" &amp; PT "e");  then K2 </t>
    </r>
    <r>
      <rPr>
        <b/>
        <i/>
        <sz val="11"/>
        <color rgb="FFFF0000"/>
        <rFont val="Calibri"/>
        <family val="2"/>
        <scheme val="minor"/>
      </rPr>
      <t>11</t>
    </r>
    <r>
      <rPr>
        <b/>
        <i/>
        <sz val="11"/>
        <color rgb="FF0000FF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indicates K2-85, </t>
    </r>
    <r>
      <rPr>
        <sz val="11"/>
        <color rgb="FF0000FF"/>
        <rFont val="Calibri"/>
        <family val="2"/>
        <scheme val="minor"/>
      </rPr>
      <t>fifth</t>
    </r>
    <r>
      <rPr>
        <sz val="11"/>
        <color theme="1"/>
        <rFont val="Calibri"/>
        <family val="2"/>
        <scheme val="minor"/>
      </rPr>
      <t xml:space="preserve"> letter in the </t>
    </r>
  </si>
  <si>
    <r>
      <rPr>
        <sz val="11"/>
        <color rgb="FFFF0000"/>
        <rFont val="Calibri"/>
        <family val="2"/>
        <scheme val="minor"/>
      </rPr>
      <t>eleventh</t>
    </r>
    <r>
      <rPr>
        <sz val="11"/>
        <color theme="1"/>
        <rFont val="Calibri"/>
        <family val="2"/>
        <scheme val="minor"/>
      </rPr>
      <t xml:space="preserve"> repetition of ABSCISSA, (CT "U" &amp; PT "s"); this "error" is also at Quadrant-</t>
    </r>
    <r>
      <rPr>
        <b/>
        <i/>
        <sz val="11"/>
        <color rgb="FFFF0000"/>
        <rFont val="Calibri"/>
        <family val="2"/>
        <scheme val="minor"/>
      </rPr>
      <t>17</t>
    </r>
    <r>
      <rPr>
        <b/>
        <i/>
        <sz val="11"/>
        <color rgb="FF0000FF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, and thus also </t>
    </r>
  </si>
  <si>
    <r>
      <t xml:space="preserve">indicates the </t>
    </r>
    <r>
      <rPr>
        <sz val="11"/>
        <color rgb="FF0000FF"/>
        <rFont val="Calibri"/>
        <family val="2"/>
        <scheme val="minor"/>
      </rPr>
      <t>eighth</t>
    </r>
    <r>
      <rPr>
        <sz val="11"/>
        <color theme="1"/>
        <rFont val="Calibri"/>
        <family val="2"/>
        <scheme val="minor"/>
      </rPr>
      <t xml:space="preserve"> letter of the </t>
    </r>
    <r>
      <rPr>
        <sz val="11"/>
        <color rgb="FFFF0000"/>
        <rFont val="Calibri"/>
        <family val="2"/>
        <scheme val="minor"/>
      </rPr>
      <t>seventeenth</t>
    </r>
    <r>
      <rPr>
        <sz val="11"/>
        <color theme="1"/>
        <rFont val="Calibri"/>
        <family val="2"/>
        <scheme val="minor"/>
      </rPr>
      <t xml:space="preserve"> ABSCISSA, K2-136/Q1-199 (CT "F" &amp; PT "o").   I could never</t>
    </r>
  </si>
  <si>
    <r>
      <t xml:space="preserve">the </t>
    </r>
    <r>
      <rPr>
        <b/>
        <i/>
        <sz val="11"/>
        <color theme="1"/>
        <rFont val="Calibri"/>
        <family val="2"/>
        <scheme val="minor"/>
      </rPr>
      <t>ing</t>
    </r>
    <r>
      <rPr>
        <sz val="11"/>
        <color theme="1"/>
        <rFont val="Calibri"/>
        <family val="2"/>
        <scheme val="minor"/>
      </rPr>
      <t xml:space="preserve"> to wait.   So far - "S.G.H. to the U.S. - Do your best D W</t>
    </r>
    <r>
      <rPr>
        <sz val="11"/>
        <color rgb="FF009900"/>
        <rFont val="Calibri"/>
        <family val="2"/>
        <scheme val="minor"/>
      </rPr>
      <t>e're</t>
    </r>
    <r>
      <rPr>
        <sz val="11"/>
        <color theme="1"/>
        <rFont val="Calibri"/>
        <family val="2"/>
        <scheme val="minor"/>
      </rPr>
      <t xml:space="preserve"> wait</t>
    </r>
    <r>
      <rPr>
        <sz val="11"/>
        <color rgb="FF009900"/>
        <rFont val="Calibri"/>
        <family val="2"/>
        <scheme val="minor"/>
      </rPr>
      <t>ing</t>
    </r>
    <r>
      <rPr>
        <sz val="11"/>
        <color theme="1"/>
        <rFont val="Calibri"/>
        <family val="2"/>
        <scheme val="minor"/>
      </rPr>
      <t xml:space="preserve"> for U.S. forces"</t>
    </r>
  </si>
  <si>
    <t xml:space="preserve">&amp; D. are.   I have never yet determined who D. might be, nor seen any indication of how my decryption </t>
  </si>
  <si>
    <t>should be punctuated.   I recall that L/Г could also signify 7, and that the Liberty Bell 7, of the Mercury</t>
  </si>
  <si>
    <t xml:space="preserve">from Scott Carpenter to someone coming to pick him up (He overshot the LZ by 250 miles), but I have </t>
  </si>
  <si>
    <r>
      <t xml:space="preserve">since read through his (&amp; his daughter's) book </t>
    </r>
    <r>
      <rPr>
        <i/>
        <u/>
        <sz val="11"/>
        <color theme="1"/>
        <rFont val="Calibri"/>
        <family val="2"/>
        <scheme val="minor"/>
      </rPr>
      <t>For Spacious Skies</t>
    </r>
    <r>
      <rPr>
        <sz val="11"/>
        <color theme="1"/>
        <rFont val="Calibri"/>
        <family val="2"/>
        <scheme val="minor"/>
      </rPr>
      <t xml:space="preserve">, and find no trace of such a message, </t>
    </r>
  </si>
  <si>
    <t>or of a situation which would have produced it.   I am certain, see CORROBORATIONS, that the Mercury</t>
  </si>
  <si>
    <r>
      <t xml:space="preserve">John Herschel Glenn, Jr.,  </t>
    </r>
    <r>
      <rPr>
        <u/>
        <sz val="11"/>
        <color theme="1"/>
        <rFont val="Calibri"/>
        <family val="2"/>
        <scheme val="minor"/>
      </rPr>
      <t>Friendship 7</t>
    </r>
    <r>
      <rPr>
        <sz val="11"/>
        <color theme="1"/>
        <rFont val="Calibri"/>
        <family val="2"/>
        <scheme val="minor"/>
      </rPr>
      <t>, Mercury-Atlas 6, 162 mi. apogee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2/20/62</t>
    </r>
  </si>
  <si>
    <t>ERR</t>
  </si>
  <si>
    <t>sghe|eedeyeeeceedyeeeye|aebrstdwwaitysfs|12 16 23 54</t>
  </si>
  <si>
    <t>Ruski "V" appears to Yankee to be Roman "B"</t>
  </si>
  <si>
    <t>Ruski "Д" appears to Yankee to be Roman "A" (? - a bit.)</t>
  </si>
  <si>
    <t>Ruski "Г" appears to Yankee to be Roman "L" (flipped)</t>
  </si>
  <si>
    <t xml:space="preserve">Ruski "З" appears to Yankee to be Roman "3" </t>
  </si>
  <si>
    <t xml:space="preserve">Ruski "И" appears to Yankee to be Roman "N" (reflected)  </t>
  </si>
  <si>
    <t>Ruski "H" appears to Yankee to be Roman "H"</t>
  </si>
  <si>
    <t>Ruski "P" appears to Yankee to be Roman "P"</t>
  </si>
  <si>
    <t>Ruski "C" appears to Yankee to be Roman "C"</t>
  </si>
  <si>
    <t>Ruski "У" appears to Yankee to be Roman "y"</t>
  </si>
  <si>
    <t>Ruski "Ц" appears to Yankee to be Roman "U" (somewhat)</t>
  </si>
  <si>
    <t xml:space="preserve">Ruski "Ч" appears to Yankee to be Roman "4" (somewhat)   </t>
  </si>
  <si>
    <t xml:space="preserve">Ruski "Ь" appears to Yankee to be Roman "b" (somewhat)   </t>
  </si>
  <si>
    <t xml:space="preserve">Ruski "Ю" appears to Yankee to be Roman "IO" (somewhat) </t>
  </si>
  <si>
    <t xml:space="preserve">Ruski "Я" appears to Yankee to be Roman "R" (reversed)  </t>
  </si>
  <si>
    <t>Anglo "B" appears to Ruski to be Cyril "V"</t>
  </si>
  <si>
    <t>Anglo "b" appears to Ruski to be Cyril "i"</t>
  </si>
  <si>
    <t>Anglo "C" appears to Ruski to be Cyril "S"</t>
  </si>
  <si>
    <t>Anglo "H" appears to Ruski to be Cyril "N"</t>
  </si>
  <si>
    <t>Anglo "IO" appears to Ruski to be Cyril "YU" (somewhat)</t>
  </si>
  <si>
    <t xml:space="preserve">Anglo "L" appears to Ruski to be Cyril "G" (⇕)     </t>
  </si>
  <si>
    <t>Anglo "N" appears to Ruski to be Cyril "I" (reflected)</t>
  </si>
  <si>
    <t>Anglo "P" appears to Ruski to be Cyril "R"</t>
  </si>
  <si>
    <t xml:space="preserve">Anglo "R" appears to Ruski to be Cyril "Я" (reversed) </t>
  </si>
  <si>
    <t>Anglo "X" appears to Ruski to be Cyril "H"</t>
  </si>
  <si>
    <t>Anglo "y" appears to Ruski to be Cyril "u"</t>
  </si>
  <si>
    <t>←</t>
  </si>
  <si>
    <t>↱</t>
  </si>
  <si>
    <t>↴</t>
  </si>
  <si>
    <t>- - -</t>
  </si>
  <si>
    <t>Also sketchy, but possible - Is that "D" to be taken as a "Ɖ", and pron. as Anglo "J"?</t>
  </si>
  <si>
    <t xml:space="preserve">4.  One definition of "Lucid" is "bright, shining".  I think we </t>
  </si>
  <si>
    <t>could count the space/moon program as a "lucid memory".</t>
  </si>
  <si>
    <t>And some oddments -</t>
  </si>
  <si>
    <t>as I have here, but I will maintain that this particular one must be so approached, even if it be generally</t>
  </si>
  <si>
    <t xml:space="preserve">considered in this group that this particular effort does not bear out the method.      </t>
  </si>
  <si>
    <t xml:space="preserve">Diagram 3 is included to inspire those who might like to see if they can bury a message for Our Man In </t>
  </si>
  <si>
    <t xml:space="preserve">Moscow in an innocent-looking Russian Message.    Or, if, like me, you aren't familiar with the Russian </t>
  </si>
  <si>
    <t xml:space="preserve">language, it might be easier to be the Ruski spy reading his instructions from an innocent-looking English </t>
  </si>
  <si>
    <t>message from a billboard in Washington.   Or any place in the Roman-alphabet-using world, for that matter.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</si>
</sst>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164" formatCode="0.0"/>
    <numFmt numFmtId="165" formatCode="0.0000"/>
    <numFmt numFmtId="166" formatCode="0.000"/>
    <numFmt numFmtId="167" formatCode="0_);\(0\)"/>
  </numFmts>
  <fonts count="164" x14ac:knownFonts="1">
    <font>
      <sz val="11"/>
      <color theme="1"/>
      <name val="Calibri"/>
      <family val="2"/>
      <scheme val="minor"/>
    </font>
    <font>
      <sz val="8"/>
      <name val="Verdana"/>
      <family val="2"/>
    </font>
    <font>
      <sz val="10"/>
      <name val="Verdana"/>
      <family val="2"/>
    </font>
    <font>
      <i/>
      <sz val="10"/>
      <name val="Verdana"/>
      <family val="2"/>
    </font>
    <font>
      <b/>
      <sz val="12"/>
      <color indexed="16"/>
      <name val="Verdana"/>
      <family val="2"/>
    </font>
    <font>
      <sz val="12"/>
      <color indexed="16"/>
      <name val="Verdana"/>
      <family val="2"/>
    </font>
    <font>
      <sz val="12"/>
      <name val="Verdana"/>
      <family val="2"/>
    </font>
    <font>
      <b/>
      <sz val="12"/>
      <color rgb="FF9966FF"/>
      <name val="Verdana"/>
      <family val="2"/>
    </font>
    <font>
      <i/>
      <sz val="8"/>
      <color rgb="FF9966FF"/>
      <name val="Verdana"/>
      <family val="2"/>
    </font>
    <font>
      <sz val="8"/>
      <color indexed="16"/>
      <name val="Verdana"/>
      <family val="2"/>
    </font>
    <font>
      <i/>
      <sz val="12"/>
      <color indexed="16"/>
      <name val="Verdana"/>
      <family val="2"/>
    </font>
    <font>
      <i/>
      <sz val="12"/>
      <color rgb="FF9966FF"/>
      <name val="Verdana"/>
      <family val="2"/>
    </font>
    <font>
      <sz val="8"/>
      <color rgb="FF9966FF"/>
      <name val="Verdana"/>
      <family val="2"/>
    </font>
    <font>
      <sz val="8"/>
      <color indexed="52"/>
      <name val="Verdana"/>
      <family val="2"/>
    </font>
    <font>
      <b/>
      <sz val="12"/>
      <color rgb="FFFF0000"/>
      <name val="Verdana"/>
      <family val="2"/>
    </font>
    <font>
      <b/>
      <sz val="12"/>
      <color indexed="13"/>
      <name val="Verdana"/>
      <family val="2"/>
    </font>
    <font>
      <i/>
      <sz val="8"/>
      <color rgb="FFFF0000"/>
      <name val="Verdana"/>
      <family val="2"/>
    </font>
    <font>
      <b/>
      <sz val="8"/>
      <color indexed="10"/>
      <name val="Verdana"/>
      <family val="2"/>
    </font>
    <font>
      <b/>
      <sz val="8"/>
      <color indexed="16"/>
      <name val="Verdana"/>
      <family val="2"/>
    </font>
    <font>
      <i/>
      <sz val="12"/>
      <color rgb="FFFF0000"/>
      <name val="Verdana"/>
      <family val="2"/>
    </font>
    <font>
      <i/>
      <sz val="12"/>
      <color indexed="13"/>
      <name val="Verdana"/>
      <family val="2"/>
    </font>
    <font>
      <sz val="12"/>
      <color rgb="FFFF0000"/>
      <name val="Verdana"/>
      <family val="2"/>
    </font>
    <font>
      <i/>
      <sz val="8"/>
      <color indexed="10"/>
      <name val="Verdana"/>
      <family val="2"/>
    </font>
    <font>
      <b/>
      <sz val="12"/>
      <color indexed="21"/>
      <name val="Verdana"/>
      <family val="2"/>
    </font>
    <font>
      <sz val="12"/>
      <color indexed="21"/>
      <name val="Verdana"/>
      <family val="2"/>
    </font>
    <font>
      <sz val="12"/>
      <color indexed="13"/>
      <name val="Verdana"/>
      <family val="2"/>
    </font>
    <font>
      <sz val="8"/>
      <color indexed="57"/>
      <name val="Verdana"/>
      <family val="2"/>
    </font>
    <font>
      <i/>
      <sz val="12"/>
      <color indexed="21"/>
      <name val="Verdana"/>
      <family val="2"/>
    </font>
    <font>
      <sz val="8"/>
      <color indexed="13"/>
      <name val="Verdana"/>
      <family val="2"/>
    </font>
    <font>
      <sz val="8"/>
      <color rgb="FF008000"/>
      <name val="Verdana"/>
      <family val="2"/>
    </font>
    <font>
      <b/>
      <i/>
      <sz val="14"/>
      <color indexed="17"/>
      <name val="Verdana"/>
      <family val="2"/>
    </font>
    <font>
      <b/>
      <sz val="10"/>
      <color theme="8" tint="-0.249977111117893"/>
      <name val="Verdana"/>
      <family val="2"/>
    </font>
    <font>
      <b/>
      <sz val="8"/>
      <color indexed="17"/>
      <name val="Verdana"/>
      <family val="2"/>
    </font>
    <font>
      <i/>
      <sz val="8"/>
      <color rgb="FF008000"/>
      <name val="Verdana"/>
      <family val="2"/>
    </font>
    <font>
      <b/>
      <sz val="12"/>
      <color indexed="14"/>
      <name val="Verdana"/>
      <family val="2"/>
    </font>
    <font>
      <i/>
      <sz val="8"/>
      <color indexed="14"/>
      <name val="Verdana"/>
      <family val="2"/>
    </font>
    <font>
      <i/>
      <sz val="12"/>
      <color indexed="14"/>
      <name val="Verdana"/>
      <family val="2"/>
    </font>
    <font>
      <sz val="8"/>
      <color indexed="14"/>
      <name val="Verdana"/>
      <family val="2"/>
    </font>
    <font>
      <sz val="8"/>
      <color rgb="FFFF0000"/>
      <name val="Verdana"/>
      <family val="2"/>
    </font>
    <font>
      <b/>
      <sz val="9"/>
      <color indexed="17"/>
      <name val="Verdana"/>
      <family val="2"/>
    </font>
    <font>
      <b/>
      <sz val="12"/>
      <color theme="5"/>
      <name val="Verdana"/>
      <family val="2"/>
    </font>
    <font>
      <sz val="8"/>
      <color indexed="17"/>
      <name val="Verdana"/>
      <family val="2"/>
    </font>
    <font>
      <i/>
      <sz val="12"/>
      <color theme="5"/>
      <name val="Verdana"/>
      <family val="2"/>
    </font>
    <font>
      <b/>
      <sz val="8"/>
      <color rgb="FFFF0000"/>
      <name val="Verdana"/>
      <family val="2"/>
    </font>
    <font>
      <sz val="12"/>
      <color indexed="55"/>
      <name val="Verdana"/>
      <family val="2"/>
    </font>
    <font>
      <b/>
      <sz val="12"/>
      <color indexed="10"/>
      <name val="Verdana"/>
      <family val="2"/>
    </font>
    <font>
      <b/>
      <sz val="10"/>
      <color indexed="56"/>
      <name val="Verdana"/>
      <family val="2"/>
    </font>
    <font>
      <sz val="12"/>
      <color indexed="34"/>
      <name val="Verdana"/>
      <family val="2"/>
    </font>
    <font>
      <sz val="12"/>
      <color indexed="10"/>
      <name val="Verdana"/>
      <family val="2"/>
    </font>
    <font>
      <b/>
      <i/>
      <sz val="12"/>
      <color indexed="56"/>
      <name val="Verdana"/>
      <family val="2"/>
    </font>
    <font>
      <i/>
      <sz val="10"/>
      <color indexed="60"/>
      <name val="Verdana"/>
      <family val="2"/>
    </font>
    <font>
      <i/>
      <sz val="12"/>
      <color indexed="60"/>
      <name val="Verdana"/>
      <family val="2"/>
    </font>
    <font>
      <i/>
      <sz val="10"/>
      <color indexed="50"/>
      <name val="Verdana"/>
      <family val="2"/>
    </font>
    <font>
      <b/>
      <sz val="8"/>
      <color indexed="55"/>
      <name val="Verdana"/>
      <family val="2"/>
    </font>
    <font>
      <b/>
      <sz val="12"/>
      <color rgb="FF009900"/>
      <name val="Verdana"/>
      <family val="2"/>
    </font>
    <font>
      <sz val="12"/>
      <color rgb="FF009900"/>
      <name val="Verdana"/>
      <family val="2"/>
    </font>
    <font>
      <sz val="10"/>
      <color rgb="FF009900"/>
      <name val="Verdana"/>
      <family val="2"/>
    </font>
    <font>
      <sz val="12"/>
      <color indexed="50"/>
      <name val="Verdana"/>
      <family val="2"/>
    </font>
    <font>
      <i/>
      <sz val="8"/>
      <name val="Verdana"/>
      <family val="2"/>
    </font>
    <font>
      <b/>
      <sz val="12"/>
      <color indexed="50"/>
      <name val="Verdana"/>
      <family val="2"/>
    </font>
    <font>
      <b/>
      <sz val="12"/>
      <color rgb="FFFF0066"/>
      <name val="Verdana"/>
      <family val="2"/>
    </font>
    <font>
      <i/>
      <sz val="12"/>
      <color rgb="FFFF0066"/>
      <name val="Verdana"/>
      <family val="2"/>
    </font>
    <font>
      <sz val="9"/>
      <color theme="1"/>
      <name val="Calibri"/>
      <family val="2"/>
      <scheme val="minor"/>
    </font>
    <font>
      <sz val="9"/>
      <name val="Verdana"/>
      <family val="2"/>
    </font>
    <font>
      <i/>
      <sz val="9"/>
      <color indexed="21"/>
      <name val="Verdana"/>
      <family val="2"/>
    </font>
    <font>
      <b/>
      <i/>
      <sz val="9"/>
      <color indexed="21"/>
      <name val="Verdana"/>
      <family val="2"/>
    </font>
    <font>
      <i/>
      <sz val="9"/>
      <color rgb="FF663300"/>
      <name val="Verdana"/>
      <family val="2"/>
    </font>
    <font>
      <b/>
      <i/>
      <sz val="9"/>
      <color rgb="FF663300"/>
      <name val="Verdana"/>
      <family val="2"/>
    </font>
    <font>
      <sz val="9"/>
      <color indexed="13"/>
      <name val="Verdana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1"/>
      <color indexed="16"/>
      <name val="Verdana"/>
      <family val="2"/>
    </font>
    <font>
      <b/>
      <sz val="11"/>
      <color rgb="FFFF0066"/>
      <name val="Verdana"/>
      <family val="2"/>
    </font>
    <font>
      <i/>
      <sz val="11"/>
      <color indexed="16"/>
      <name val="Verdana"/>
      <family val="2"/>
    </font>
    <font>
      <i/>
      <sz val="11"/>
      <color rgb="FFFF0066"/>
      <name val="Verdana"/>
      <family val="2"/>
    </font>
    <font>
      <b/>
      <sz val="11"/>
      <color indexed="21"/>
      <name val="Verdana"/>
      <family val="2"/>
    </font>
    <font>
      <i/>
      <sz val="11"/>
      <color indexed="21"/>
      <name val="Verdana"/>
      <family val="2"/>
    </font>
    <font>
      <b/>
      <sz val="11"/>
      <color rgb="FF9900CC"/>
      <name val="Verdana"/>
      <family val="2"/>
    </font>
    <font>
      <sz val="11"/>
      <color rgb="FF9900CC"/>
      <name val="Verdana"/>
      <family val="2"/>
    </font>
    <font>
      <b/>
      <sz val="12"/>
      <color rgb="FF9900CC"/>
      <name val="Verdana"/>
      <family val="2"/>
    </font>
    <font>
      <sz val="12"/>
      <color rgb="FF9900CC"/>
      <name val="Verdana"/>
      <family val="2"/>
    </font>
    <font>
      <sz val="10"/>
      <color rgb="FF9900CC"/>
      <name val="Arial"/>
      <family val="2"/>
    </font>
    <font>
      <sz val="10"/>
      <color rgb="FF9900CC"/>
      <name val="Verdana"/>
      <family val="2"/>
    </font>
    <font>
      <sz val="8"/>
      <color rgb="FF9900CC"/>
      <name val="Verdana"/>
      <family val="2"/>
    </font>
    <font>
      <b/>
      <sz val="12"/>
      <color rgb="FF0070C0"/>
      <name val="Verdana"/>
      <family val="2"/>
    </font>
    <font>
      <b/>
      <sz val="12"/>
      <color rgb="FF7030A0"/>
      <name val="Verdana"/>
      <family val="2"/>
    </font>
    <font>
      <sz val="8"/>
      <color rgb="FF7030A0"/>
      <name val="Verdana"/>
      <family val="2"/>
    </font>
    <font>
      <sz val="12"/>
      <color rgb="FF7030A0"/>
      <name val="Verdana"/>
      <family val="2"/>
    </font>
    <font>
      <sz val="10"/>
      <color rgb="FF7F7649"/>
      <name val="Verdana"/>
      <family val="2"/>
    </font>
    <font>
      <b/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rgb="FF7F7649"/>
      <name val="Verdana"/>
      <family val="2"/>
    </font>
    <font>
      <sz val="11"/>
      <name val="Calibri"/>
      <family val="2"/>
      <scheme val="minor"/>
    </font>
    <font>
      <sz val="11"/>
      <color theme="1"/>
      <name val="Arial Unicode MS"/>
      <family val="2"/>
    </font>
    <font>
      <sz val="8"/>
      <color rgb="FFFF0000"/>
      <name val="Courier New"/>
      <family val="3"/>
    </font>
    <font>
      <b/>
      <sz val="12"/>
      <color rgb="FFFF0000"/>
      <name val="Lucida Calligraphy"/>
      <family val="4"/>
    </font>
    <font>
      <sz val="8"/>
      <color theme="1"/>
      <name val="Courier New"/>
      <family val="3"/>
    </font>
    <font>
      <sz val="8"/>
      <color rgb="FF0000CC"/>
      <name val="Courier New"/>
      <family val="3"/>
    </font>
    <font>
      <b/>
      <sz val="14"/>
      <color rgb="FF0000CC"/>
      <name val="Monotype Corsiva"/>
      <family val="4"/>
    </font>
    <font>
      <b/>
      <u/>
      <sz val="9"/>
      <color rgb="FF0000CC"/>
      <name val="Courier New"/>
      <family val="3"/>
    </font>
    <font>
      <b/>
      <sz val="9"/>
      <color rgb="FF0000CC"/>
      <name val="Courier New"/>
      <family val="3"/>
    </font>
    <font>
      <b/>
      <sz val="9"/>
      <color theme="2" tint="-0.749992370372631"/>
      <name val="Courier New"/>
      <family val="3"/>
    </font>
    <font>
      <b/>
      <sz val="11"/>
      <color theme="2" tint="-0.749992370372631"/>
      <name val="Arial Unicode MS"/>
      <family val="2"/>
    </font>
    <font>
      <b/>
      <sz val="11"/>
      <color rgb="FF0000CC"/>
      <name val="Arial Unicode MS"/>
      <family val="2"/>
    </font>
    <font>
      <b/>
      <sz val="11"/>
      <color rgb="FFFF0000"/>
      <name val="Arial Unicode MS"/>
      <family val="2"/>
    </font>
    <font>
      <b/>
      <sz val="9"/>
      <color rgb="FFC00000"/>
      <name val="Courier New"/>
      <family val="3"/>
    </font>
    <font>
      <b/>
      <u/>
      <sz val="9"/>
      <color rgb="FFC00000"/>
      <name val="Courier New"/>
      <family val="3"/>
    </font>
    <font>
      <b/>
      <sz val="11"/>
      <color rgb="FF0000FF"/>
      <name val="Arial Unicode MS"/>
      <family val="2"/>
    </font>
    <font>
      <b/>
      <sz val="11"/>
      <color rgb="FF663300"/>
      <name val="Arial Unicode MS"/>
      <family val="2"/>
    </font>
    <font>
      <u/>
      <sz val="9"/>
      <color rgb="FF0000FF"/>
      <name val="Calibri"/>
      <family val="2"/>
      <scheme val="minor"/>
    </font>
    <font>
      <u/>
      <sz val="9"/>
      <color rgb="FFC0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4"/>
      <color theme="1"/>
      <name val="Arial Unicode MS"/>
      <family val="2"/>
    </font>
    <font>
      <strike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333399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z val="10"/>
      <color rgb="FF001BA0"/>
      <name val="Arial"/>
      <family val="2"/>
    </font>
    <font>
      <b/>
      <sz val="11"/>
      <color rgb="FF333399"/>
      <name val="Calibri"/>
      <family val="2"/>
      <scheme val="minor"/>
    </font>
    <font>
      <b/>
      <i/>
      <sz val="8"/>
      <color rgb="FF0000FF"/>
      <name val="Verdana"/>
      <family val="2"/>
    </font>
    <font>
      <b/>
      <i/>
      <sz val="8"/>
      <color rgb="FFFF0000"/>
      <name val="Verdana"/>
      <family val="2"/>
    </font>
    <font>
      <sz val="9"/>
      <color theme="1"/>
      <name val="Verdana"/>
      <family val="2"/>
    </font>
    <font>
      <sz val="10"/>
      <color theme="1"/>
      <name val="Sitka Banner"/>
    </font>
    <font>
      <sz val="11"/>
      <color rgb="FF0066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Monotype Corsiva"/>
      <family val="4"/>
    </font>
    <font>
      <sz val="14"/>
      <name val="Calibri"/>
      <family val="2"/>
      <scheme val="minor"/>
    </font>
    <font>
      <sz val="12"/>
      <color theme="1"/>
      <name val="Sitka Banner"/>
    </font>
    <font>
      <sz val="9"/>
      <color theme="1"/>
      <name val="Arial Unicode MS"/>
      <family val="2"/>
    </font>
    <font>
      <b/>
      <sz val="8"/>
      <color theme="1"/>
      <name val="Arial Unicode MS"/>
      <family val="2"/>
    </font>
    <font>
      <sz val="8"/>
      <color theme="1"/>
      <name val="Arial Unicode MS"/>
      <family val="2"/>
    </font>
    <font>
      <sz val="8"/>
      <color rgb="FF0000FF"/>
      <name val="Arial Unicode MS"/>
      <family val="2"/>
    </font>
    <font>
      <b/>
      <sz val="8"/>
      <color rgb="FF800080"/>
      <name val="Arial Unicode MS"/>
      <family val="2"/>
    </font>
    <font>
      <sz val="10"/>
      <color theme="1"/>
      <name val="Arial Unicode MS"/>
      <family val="2"/>
    </font>
    <font>
      <b/>
      <sz val="8"/>
      <color rgb="FF0000FF"/>
      <name val="Arial Unicode MS"/>
      <family val="2"/>
    </font>
    <font>
      <b/>
      <sz val="11"/>
      <color theme="1"/>
      <name val="Arial Unicode MS"/>
      <family val="2"/>
    </font>
    <font>
      <b/>
      <sz val="14"/>
      <name val="Monotype Corsiva"/>
      <family val="4"/>
    </font>
    <font>
      <b/>
      <sz val="14"/>
      <color rgb="FFC00000"/>
      <name val="Monotype Corsiva"/>
      <family val="4"/>
    </font>
    <font>
      <sz val="9"/>
      <color theme="1"/>
      <name val="Sitka Banner"/>
    </font>
    <font>
      <sz val="8"/>
      <color theme="1"/>
      <name val="Sitka Banner"/>
    </font>
    <font>
      <sz val="8"/>
      <name val="Sitka Banner"/>
    </font>
    <font>
      <sz val="11"/>
      <color theme="1"/>
      <name val="Sitka Banner"/>
    </font>
    <font>
      <sz val="10"/>
      <name val="Sitka Banner"/>
    </font>
    <font>
      <b/>
      <sz val="11"/>
      <color theme="1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1"/>
      <color theme="1"/>
      <name val="Verdana"/>
      <family val="2"/>
    </font>
    <font>
      <b/>
      <sz val="14"/>
      <color theme="1"/>
      <name val="Verdana"/>
      <family val="2"/>
    </font>
    <font>
      <b/>
      <sz val="11"/>
      <color theme="1"/>
      <name val="Calibri"/>
      <family val="2"/>
    </font>
    <font>
      <b/>
      <sz val="10"/>
      <color rgb="FFC00000"/>
      <name val="Verdana"/>
      <family val="2"/>
    </font>
    <font>
      <sz val="14"/>
      <color rgb="FF6633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3CC33"/>
        <bgColor indexed="64"/>
      </patternFill>
    </fill>
    <fill>
      <patternFill patternType="lightUp">
        <fgColor rgb="FF00B050"/>
      </patternFill>
    </fill>
    <fill>
      <patternFill patternType="solid">
        <fgColor indexed="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7C18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Up">
        <fgColor theme="0" tint="-0.499984740745262"/>
        <bgColor rgb="FFFFFF00"/>
      </patternFill>
    </fill>
  </fills>
  <borders count="194">
    <border>
      <left/>
      <right/>
      <top/>
      <bottom/>
      <diagonal/>
    </border>
    <border>
      <left style="thick">
        <color indexed="16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16"/>
      </right>
      <top/>
      <bottom style="hair">
        <color indexed="64"/>
      </bottom>
      <diagonal/>
    </border>
    <border>
      <left style="hair">
        <color indexed="64"/>
      </left>
      <right style="thick">
        <color indexed="10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ck">
        <color indexed="16"/>
      </left>
      <right style="hair">
        <color indexed="64"/>
      </right>
      <top style="hair">
        <color indexed="64"/>
      </top>
      <bottom style="thin">
        <color indexed="16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16"/>
      </bottom>
      <diagonal/>
    </border>
    <border>
      <left style="hair">
        <color indexed="64"/>
      </left>
      <right style="thick">
        <color indexed="16"/>
      </right>
      <top style="hair">
        <color indexed="64"/>
      </top>
      <bottom style="thin">
        <color indexed="16"/>
      </bottom>
      <diagonal/>
    </border>
    <border>
      <left style="thick">
        <color indexed="16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1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16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16"/>
      </top>
      <bottom style="hair">
        <color indexed="64"/>
      </bottom>
      <diagonal/>
    </border>
    <border>
      <left style="hair">
        <color indexed="64"/>
      </left>
      <right style="thick">
        <color indexed="16"/>
      </right>
      <top style="thin">
        <color indexed="16"/>
      </top>
      <bottom style="hair">
        <color indexed="64"/>
      </bottom>
      <diagonal/>
    </border>
    <border>
      <left style="thick">
        <color indexed="16"/>
      </left>
      <right style="hair">
        <color indexed="64"/>
      </right>
      <top style="thin">
        <color indexed="16"/>
      </top>
      <bottom style="hair">
        <color indexed="64"/>
      </bottom>
      <diagonal/>
    </border>
    <border>
      <left style="thick">
        <color indexed="10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double">
        <color indexed="10"/>
      </top>
      <bottom style="thick">
        <color indexed="57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57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57"/>
      </bottom>
      <diagonal/>
    </border>
    <border>
      <left style="hair">
        <color indexed="64"/>
      </left>
      <right style="thick">
        <color indexed="16"/>
      </right>
      <top style="hair">
        <color indexed="64"/>
      </top>
      <bottom style="thick">
        <color indexed="57"/>
      </bottom>
      <diagonal/>
    </border>
    <border>
      <left style="thick">
        <color indexed="16"/>
      </left>
      <right style="hair">
        <color indexed="64"/>
      </right>
      <top style="hair">
        <color indexed="64"/>
      </top>
      <bottom style="thick">
        <color indexed="57"/>
      </bottom>
      <diagonal/>
    </border>
    <border>
      <left style="hair">
        <color indexed="64"/>
      </left>
      <right style="thick">
        <color indexed="10"/>
      </right>
      <top style="hair">
        <color indexed="64"/>
      </top>
      <bottom style="thick">
        <color indexed="57"/>
      </bottom>
      <diagonal/>
    </border>
    <border>
      <left style="thick">
        <color indexed="10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thick">
        <color indexed="57"/>
      </top>
      <bottom/>
      <diagonal/>
    </border>
    <border>
      <left style="thick">
        <color indexed="57"/>
      </left>
      <right style="hair">
        <color indexed="57"/>
      </right>
      <top style="thin">
        <color indexed="5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57"/>
      </top>
      <bottom style="hair">
        <color indexed="64"/>
      </bottom>
      <diagonal/>
    </border>
    <border>
      <left style="hair">
        <color indexed="64"/>
      </left>
      <right style="thick">
        <color indexed="57"/>
      </right>
      <top style="thick">
        <color indexed="57"/>
      </top>
      <bottom style="hair">
        <color indexed="64"/>
      </bottom>
      <diagonal/>
    </border>
    <border>
      <left style="thick">
        <color indexed="57"/>
      </left>
      <right style="hair">
        <color indexed="64"/>
      </right>
      <top style="thick">
        <color indexed="57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57"/>
      </top>
      <bottom style="hair">
        <color theme="8" tint="-0.24994659260841701"/>
      </bottom>
      <diagonal/>
    </border>
    <border>
      <left style="hair">
        <color indexed="64"/>
      </left>
      <right style="thick">
        <color indexed="10"/>
      </right>
      <top style="thick">
        <color indexed="57"/>
      </top>
      <bottom style="hair">
        <color theme="8" tint="-0.24994659260841701"/>
      </bottom>
      <diagonal/>
    </border>
    <border>
      <left style="thick">
        <color indexed="10"/>
      </left>
      <right/>
      <top style="thick">
        <color indexed="64"/>
      </top>
      <bottom style="hair">
        <color theme="8" tint="-0.24994659260841701"/>
      </bottom>
      <diagonal/>
    </border>
    <border>
      <left/>
      <right/>
      <top style="thick">
        <color indexed="64"/>
      </top>
      <bottom style="hair">
        <color theme="8" tint="-0.24994659260841701"/>
      </bottom>
      <diagonal/>
    </border>
    <border>
      <left/>
      <right style="hair">
        <color indexed="64"/>
      </right>
      <top/>
      <bottom style="hair">
        <color theme="8" tint="-0.24994659260841701"/>
      </bottom>
      <diagonal/>
    </border>
    <border>
      <left style="thick">
        <color indexed="57"/>
      </left>
      <right style="hair">
        <color indexed="57"/>
      </right>
      <top style="hair">
        <color indexed="64"/>
      </top>
      <bottom style="hair">
        <color indexed="57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50"/>
      </bottom>
      <diagonal/>
    </border>
    <border>
      <left style="hair">
        <color indexed="64"/>
      </left>
      <right style="thick">
        <color indexed="57"/>
      </right>
      <top style="hair">
        <color indexed="64"/>
      </top>
      <bottom style="thin">
        <color indexed="50"/>
      </bottom>
      <diagonal/>
    </border>
    <border>
      <left style="thick">
        <color indexed="57"/>
      </left>
      <right style="hair">
        <color indexed="64"/>
      </right>
      <top style="hair">
        <color indexed="64"/>
      </top>
      <bottom style="thin">
        <color indexed="50"/>
      </bottom>
      <diagonal/>
    </border>
    <border>
      <left style="hair">
        <color indexed="64"/>
      </left>
      <right style="hair">
        <color indexed="64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indexed="64"/>
      </left>
      <right style="thick">
        <color indexed="10"/>
      </right>
      <top style="hair">
        <color theme="8" tint="-0.24994659260841701"/>
      </top>
      <bottom style="hair">
        <color theme="8" tint="-0.24994659260841701"/>
      </bottom>
      <diagonal/>
    </border>
    <border>
      <left style="thick">
        <color indexed="10"/>
      </left>
      <right/>
      <top style="hair">
        <color theme="8" tint="-0.24994659260841701"/>
      </top>
      <bottom style="hair">
        <color theme="8" tint="-0.24994659260841701"/>
      </bottom>
      <diagonal/>
    </border>
    <border>
      <left/>
      <right/>
      <top style="hair">
        <color theme="8" tint="-0.24994659260841701"/>
      </top>
      <bottom style="hair">
        <color theme="8" tint="-0.24994659260841701"/>
      </bottom>
      <diagonal/>
    </border>
    <border>
      <left/>
      <right style="hair">
        <color indexed="64"/>
      </right>
      <top style="hair">
        <color theme="8" tint="-0.24994659260841701"/>
      </top>
      <bottom style="hair">
        <color theme="8" tint="-0.24994659260841701"/>
      </bottom>
      <diagonal/>
    </border>
    <border>
      <left/>
      <right style="thick">
        <color indexed="57"/>
      </right>
      <top style="thin">
        <color indexed="50"/>
      </top>
      <bottom style="hair">
        <color indexed="64"/>
      </bottom>
      <diagonal/>
    </border>
    <border>
      <left style="thick">
        <color indexed="57"/>
      </left>
      <right style="hair">
        <color indexed="64"/>
      </right>
      <top style="thin">
        <color indexed="5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50"/>
      </top>
      <bottom style="hair">
        <color indexed="64"/>
      </bottom>
      <diagonal/>
    </border>
    <border>
      <left style="hair">
        <color indexed="64"/>
      </left>
      <right style="thick">
        <color indexed="57"/>
      </right>
      <top style="thin">
        <color indexed="50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57"/>
      </right>
      <top style="hair">
        <color indexed="64"/>
      </top>
      <bottom style="thin">
        <color indexed="50"/>
      </bottom>
      <diagonal/>
    </border>
    <border>
      <left/>
      <right style="hair">
        <color indexed="64"/>
      </right>
      <top style="thin">
        <color indexed="50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50"/>
      </bottom>
      <diagonal/>
    </border>
    <border>
      <left style="hair">
        <color indexed="64"/>
      </left>
      <right style="thick">
        <color indexed="10"/>
      </right>
      <top style="thin">
        <color indexed="50"/>
      </top>
      <bottom style="hair">
        <color indexed="64"/>
      </bottom>
      <diagonal/>
    </border>
    <border>
      <left style="hair">
        <color indexed="64"/>
      </left>
      <right style="thick">
        <color indexed="10"/>
      </right>
      <top style="hair">
        <color indexed="64"/>
      </top>
      <bottom style="thin">
        <color indexed="50"/>
      </bottom>
      <diagonal/>
    </border>
    <border>
      <left style="hair">
        <color indexed="64"/>
      </left>
      <right style="thick">
        <color indexed="57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50"/>
      </top>
      <bottom/>
      <diagonal/>
    </border>
    <border>
      <left style="hair">
        <color indexed="64"/>
      </left>
      <right style="hair">
        <color indexed="64"/>
      </right>
      <top style="thin">
        <color indexed="50"/>
      </top>
      <bottom/>
      <diagonal/>
    </border>
    <border>
      <left style="hair">
        <color indexed="64"/>
      </left>
      <right style="thick">
        <color indexed="57"/>
      </right>
      <top style="thin">
        <color indexed="50"/>
      </top>
      <bottom/>
      <diagonal/>
    </border>
    <border>
      <left style="hair">
        <color indexed="64"/>
      </left>
      <right/>
      <top style="thin">
        <color indexed="50"/>
      </top>
      <bottom/>
      <diagonal/>
    </border>
    <border>
      <left style="thick">
        <color indexed="57"/>
      </left>
      <right style="hair">
        <color indexed="57"/>
      </right>
      <top style="thin">
        <color indexed="50"/>
      </top>
      <bottom/>
      <diagonal/>
    </border>
    <border>
      <left/>
      <right/>
      <top style="thin">
        <color indexed="50"/>
      </top>
      <bottom/>
      <diagonal/>
    </border>
    <border>
      <left style="hair">
        <color indexed="64"/>
      </left>
      <right/>
      <top style="hair">
        <color theme="8" tint="-0.24994659260841701"/>
      </top>
      <bottom style="hair">
        <color theme="8" tint="-0.24994659260841701"/>
      </bottom>
      <diagonal/>
    </border>
    <border>
      <left style="thick">
        <color indexed="57"/>
      </left>
      <right style="hair">
        <color indexed="57"/>
      </right>
      <top style="hair">
        <color theme="8" tint="-0.24994659260841701"/>
      </top>
      <bottom style="hair">
        <color theme="8" tint="-0.24994659260841701"/>
      </bottom>
      <diagonal/>
    </border>
    <border>
      <left/>
      <right style="thick">
        <color indexed="10"/>
      </right>
      <top style="hair">
        <color theme="8" tint="-0.24994659260841701"/>
      </top>
      <bottom style="hair">
        <color theme="8" tint="-0.24994659260841701"/>
      </bottom>
      <diagonal/>
    </border>
    <border>
      <left/>
      <right style="hair">
        <color indexed="64"/>
      </right>
      <top style="hair">
        <color indexed="64"/>
      </top>
      <bottom style="thin">
        <color indexed="5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52"/>
      </bottom>
      <diagonal/>
    </border>
    <border>
      <left style="hair">
        <color indexed="64"/>
      </left>
      <right/>
      <top style="hair">
        <color indexed="64"/>
      </top>
      <bottom style="thin">
        <color indexed="52"/>
      </bottom>
      <diagonal/>
    </border>
    <border>
      <left style="medium">
        <color indexed="64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hair">
        <color indexed="64"/>
      </right>
      <top/>
      <bottom style="thin">
        <color theme="9" tint="-0.499984740745262"/>
      </bottom>
      <diagonal/>
    </border>
    <border>
      <left style="hair">
        <color indexed="64"/>
      </left>
      <right style="hair">
        <color indexed="64"/>
      </right>
      <top/>
      <bottom style="thin">
        <color theme="9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5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52"/>
      </top>
      <bottom style="hair">
        <color indexed="64"/>
      </bottom>
      <diagonal/>
    </border>
    <border>
      <left style="hair">
        <color indexed="64"/>
      </left>
      <right/>
      <top style="thin">
        <color indexed="52"/>
      </top>
      <bottom style="hair">
        <color indexed="64"/>
      </bottom>
      <diagonal/>
    </border>
    <border>
      <left style="medium">
        <color indexed="64"/>
      </left>
      <right/>
      <top style="thin">
        <color indexed="52"/>
      </top>
      <bottom/>
      <diagonal/>
    </border>
    <border>
      <left/>
      <right/>
      <top style="thin">
        <color indexed="5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hair">
        <color indexed="64"/>
      </right>
      <top style="thin">
        <color theme="9" tint="-0.499984740745262"/>
      </top>
      <bottom/>
      <diagonal/>
    </border>
    <border>
      <left style="hair">
        <color indexed="64"/>
      </left>
      <right style="hair">
        <color indexed="64"/>
      </right>
      <top style="thin">
        <color theme="9" tint="-0.499984740745262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52"/>
      </bottom>
      <diagonal/>
    </border>
    <border>
      <left/>
      <right/>
      <top/>
      <bottom style="thin">
        <color indexed="52"/>
      </bottom>
      <diagonal/>
    </border>
    <border>
      <left/>
      <right style="hair">
        <color indexed="64"/>
      </right>
      <top/>
      <bottom style="thin">
        <color indexed="52"/>
      </bottom>
      <diagonal/>
    </border>
    <border>
      <left style="hair">
        <color indexed="64"/>
      </left>
      <right style="hair">
        <color indexed="64"/>
      </right>
      <top/>
      <bottom style="thin">
        <color indexed="52"/>
      </bottom>
      <diagonal/>
    </border>
    <border>
      <left/>
      <right style="hair">
        <color indexed="64"/>
      </right>
      <top style="thin">
        <color indexed="52"/>
      </top>
      <bottom/>
      <diagonal/>
    </border>
    <border>
      <left/>
      <right style="hair">
        <color indexed="64"/>
      </right>
      <top style="thin">
        <color indexed="52"/>
      </top>
      <bottom style="hair">
        <color indexed="52"/>
      </bottom>
      <diagonal/>
    </border>
    <border>
      <left style="hair">
        <color indexed="64"/>
      </left>
      <right style="hair">
        <color indexed="64"/>
      </right>
      <top style="thin">
        <color indexed="52"/>
      </top>
      <bottom style="hair">
        <color indexed="52"/>
      </bottom>
      <diagonal/>
    </border>
    <border>
      <left style="hair">
        <color indexed="64"/>
      </left>
      <right style="medium">
        <color indexed="64"/>
      </right>
      <top style="thin">
        <color indexed="52"/>
      </top>
      <bottom style="hair">
        <color indexed="52"/>
      </bottom>
      <diagonal/>
    </border>
    <border>
      <left/>
      <right style="hair">
        <color indexed="64"/>
      </right>
      <top style="hair">
        <color indexed="52"/>
      </top>
      <bottom style="thin">
        <color indexed="52"/>
      </bottom>
      <diagonal/>
    </border>
    <border>
      <left style="hair">
        <color indexed="64"/>
      </left>
      <right style="hair">
        <color indexed="64"/>
      </right>
      <top style="hair">
        <color indexed="52"/>
      </top>
      <bottom style="thin">
        <color indexed="52"/>
      </bottom>
      <diagonal/>
    </border>
    <border>
      <left style="hair">
        <color indexed="64"/>
      </left>
      <right style="medium">
        <color indexed="64"/>
      </right>
      <top style="hair">
        <color indexed="52"/>
      </top>
      <bottom style="thin">
        <color indexed="52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rgb="FF00B050"/>
      </bottom>
      <diagonal/>
    </border>
    <border>
      <left style="hair">
        <color indexed="64"/>
      </left>
      <right style="hair">
        <color indexed="64"/>
      </right>
      <top/>
      <bottom style="hair">
        <color rgb="FF00B050"/>
      </bottom>
      <diagonal/>
    </border>
    <border>
      <left style="hair">
        <color indexed="64"/>
      </left>
      <right/>
      <top/>
      <bottom style="hair">
        <color rgb="FF00B050"/>
      </bottom>
      <diagonal/>
    </border>
    <border>
      <left/>
      <right/>
      <top/>
      <bottom style="hair">
        <color rgb="FF00B050"/>
      </bottom>
      <diagonal/>
    </border>
    <border>
      <left/>
      <right/>
      <top/>
      <bottom style="thin">
        <color indexed="50"/>
      </bottom>
      <diagonal/>
    </border>
    <border>
      <left/>
      <right style="hair">
        <color indexed="64"/>
      </right>
      <top style="hair">
        <color rgb="FF00B050"/>
      </top>
      <bottom style="thin">
        <color indexed="50"/>
      </bottom>
      <diagonal/>
    </border>
    <border>
      <left style="hair">
        <color indexed="64"/>
      </left>
      <right style="hair">
        <color indexed="64"/>
      </right>
      <top style="hair">
        <color rgb="FF00B050"/>
      </top>
      <bottom style="thin">
        <color indexed="50"/>
      </bottom>
      <diagonal/>
    </border>
    <border>
      <left style="hair">
        <color indexed="64"/>
      </left>
      <right/>
      <top style="hair">
        <color rgb="FF00B050"/>
      </top>
      <bottom style="thin">
        <color indexed="50"/>
      </bottom>
      <diagonal/>
    </border>
    <border>
      <left/>
      <right/>
      <top style="hair">
        <color rgb="FF00B050"/>
      </top>
      <bottom style="thin">
        <color rgb="FF00B050"/>
      </bottom>
      <diagonal/>
    </border>
    <border>
      <left/>
      <right style="hair">
        <color indexed="64"/>
      </right>
      <top style="thin">
        <color indexed="50"/>
      </top>
      <bottom style="hair">
        <color rgb="FF00B050"/>
      </bottom>
      <diagonal/>
    </border>
    <border>
      <left style="hair">
        <color indexed="64"/>
      </left>
      <right style="hair">
        <color indexed="64"/>
      </right>
      <top style="thin">
        <color indexed="50"/>
      </top>
      <bottom style="hair">
        <color rgb="FF00B050"/>
      </bottom>
      <diagonal/>
    </border>
    <border>
      <left style="hair">
        <color indexed="64"/>
      </left>
      <right/>
      <top style="thin">
        <color indexed="50"/>
      </top>
      <bottom style="hair">
        <color rgb="FF00B050"/>
      </bottom>
      <diagonal/>
    </border>
    <border>
      <left/>
      <right/>
      <top style="thin">
        <color rgb="FF00B050"/>
      </top>
      <bottom style="hair">
        <color rgb="FF00B050"/>
      </bottom>
      <diagonal/>
    </border>
    <border>
      <left/>
      <right/>
      <top style="thin">
        <color indexed="50"/>
      </top>
      <bottom style="hair">
        <color rgb="FF00B050"/>
      </bottom>
      <diagonal/>
    </border>
    <border>
      <left/>
      <right style="hair">
        <color indexed="64"/>
      </right>
      <top style="hair">
        <color rgb="FF00B050"/>
      </top>
      <bottom/>
      <diagonal/>
    </border>
    <border>
      <left style="hair">
        <color indexed="64"/>
      </left>
      <right style="hair">
        <color indexed="64"/>
      </right>
      <top style="hair">
        <color rgb="FF00B050"/>
      </top>
      <bottom/>
      <diagonal/>
    </border>
    <border>
      <left style="hair">
        <color indexed="64"/>
      </left>
      <right/>
      <top style="hair">
        <color rgb="FF00B050"/>
      </top>
      <bottom/>
      <diagonal/>
    </border>
    <border>
      <left/>
      <right/>
      <top style="hair">
        <color rgb="FF00B05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 style="hair">
        <color theme="8" tint="-0.2499465926084170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theme="8" tint="-0.24994659260841701"/>
      </top>
      <bottom style="thin">
        <color auto="1"/>
      </bottom>
      <diagonal/>
    </border>
    <border>
      <left style="hair">
        <color indexed="64"/>
      </left>
      <right style="thick">
        <color indexed="57"/>
      </right>
      <top style="hair">
        <color theme="8" tint="-0.24994659260841701"/>
      </top>
      <bottom style="thin">
        <color auto="1"/>
      </bottom>
      <diagonal/>
    </border>
    <border>
      <left style="hair">
        <color indexed="64"/>
      </left>
      <right/>
      <top style="hair">
        <color theme="8" tint="-0.24994659260841701"/>
      </top>
      <bottom style="thin">
        <color auto="1"/>
      </bottom>
      <diagonal/>
    </border>
    <border>
      <left style="thick">
        <color indexed="57"/>
      </left>
      <right style="hair">
        <color indexed="57"/>
      </right>
      <top style="hair">
        <color theme="8" tint="-0.24994659260841701"/>
      </top>
      <bottom style="thin">
        <color auto="1"/>
      </bottom>
      <diagonal/>
    </border>
    <border>
      <left style="thick">
        <color indexed="57"/>
      </left>
      <right style="hair">
        <color indexed="64"/>
      </right>
      <top style="hair">
        <color theme="8" tint="-0.24994659260841701"/>
      </top>
      <bottom style="thin">
        <color auto="1"/>
      </bottom>
      <diagonal/>
    </border>
    <border>
      <left style="thick">
        <color indexed="10"/>
      </left>
      <right/>
      <top style="hair">
        <color theme="8" tint="-0.24994659260841701"/>
      </top>
      <bottom style="thin">
        <color auto="1"/>
      </bottom>
      <diagonal/>
    </border>
    <border>
      <left/>
      <right/>
      <top style="hair">
        <color theme="8" tint="-0.2499465926084170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ck">
        <color indexed="57"/>
      </right>
      <top style="hair">
        <color indexed="64"/>
      </top>
      <bottom/>
      <diagonal/>
    </border>
    <border>
      <left style="thick">
        <color indexed="57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theme="8" tint="-0.24994659260841701"/>
      </top>
      <bottom/>
      <diagonal/>
    </border>
    <border>
      <left style="hair">
        <color indexed="64"/>
      </left>
      <right style="thick">
        <color indexed="57"/>
      </right>
      <top style="hair">
        <color theme="8" tint="-0.24994659260841701"/>
      </top>
      <bottom/>
      <diagonal/>
    </border>
    <border>
      <left style="hair">
        <color indexed="64"/>
      </left>
      <right style="thick">
        <color indexed="10"/>
      </right>
      <top style="hair">
        <color theme="8" tint="-0.24994659260841701"/>
      </top>
      <bottom/>
      <diagonal/>
    </border>
    <border>
      <left style="thick">
        <color indexed="57"/>
      </left>
      <right style="hair">
        <color indexed="57"/>
      </right>
      <top/>
      <bottom style="hair">
        <color indexed="64"/>
      </bottom>
      <diagonal/>
    </border>
    <border>
      <left style="hair">
        <color indexed="64"/>
      </left>
      <right style="thick">
        <color indexed="57"/>
      </right>
      <top/>
      <bottom style="hair">
        <color indexed="64"/>
      </bottom>
      <diagonal/>
    </border>
    <border>
      <left style="thick">
        <color indexed="57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theme="8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indexed="10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auto="1"/>
      </right>
      <top style="hair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hair">
        <color theme="8" tint="-0.499984740745262"/>
      </left>
      <right style="hair">
        <color theme="8" tint="-0.499984740745262"/>
      </right>
      <top/>
      <bottom style="hair">
        <color theme="8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hair">
        <color theme="8" tint="-0.499984740745262"/>
      </top>
      <bottom/>
      <diagonal/>
    </border>
    <border>
      <left style="thin">
        <color indexed="64"/>
      </left>
      <right style="hair">
        <color theme="8" tint="-0.499984740745262"/>
      </right>
      <top/>
      <bottom style="hair">
        <color theme="8" tint="-0.499984740745262"/>
      </bottom>
      <diagonal/>
    </border>
    <border>
      <left style="thin">
        <color indexed="64"/>
      </left>
      <right style="hair">
        <color theme="8" tint="-0.499984740745262"/>
      </right>
      <top style="hair">
        <color theme="8" tint="-0.499984740745262"/>
      </top>
      <bottom/>
      <diagonal/>
    </border>
    <border>
      <left style="hair">
        <color theme="8" tint="-0.499984740745262"/>
      </left>
      <right style="medium">
        <color auto="1"/>
      </right>
      <top/>
      <bottom style="hair">
        <color theme="8" tint="-0.499984740745262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theme="8" tint="-0.499984740745262"/>
      </left>
      <right style="medium">
        <color auto="1"/>
      </right>
      <top style="hair">
        <color theme="8" tint="-0.499984740745262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0000CC"/>
      </left>
      <right/>
      <top style="medium">
        <color rgb="FF0000CC"/>
      </top>
      <bottom/>
      <diagonal/>
    </border>
    <border>
      <left/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0000CC"/>
      </left>
      <right/>
      <top/>
      <bottom/>
      <diagonal/>
    </border>
    <border>
      <left/>
      <right style="medium">
        <color rgb="FF0000CC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0000CC"/>
      </left>
      <right/>
      <top/>
      <bottom style="medium">
        <color rgb="FF0000CC"/>
      </bottom>
      <diagonal/>
    </border>
    <border>
      <left/>
      <right/>
      <top/>
      <bottom style="medium">
        <color rgb="FF0000CC"/>
      </bottom>
      <diagonal/>
    </border>
    <border>
      <left/>
      <right style="medium">
        <color rgb="FF0000CC"/>
      </right>
      <top/>
      <bottom style="medium">
        <color rgb="FF0000CC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rgb="FF0033CC"/>
      </left>
      <right/>
      <top/>
      <bottom/>
      <diagonal/>
    </border>
  </borders>
  <cellStyleXfs count="1">
    <xf numFmtId="0" fontId="0" fillId="0" borderId="0"/>
  </cellStyleXfs>
  <cellXfs count="53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" fontId="8" fillId="2" borderId="0" xfId="0" quotePrefix="1" applyNumberFormat="1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16" fontId="12" fillId="2" borderId="0" xfId="0" quotePrefix="1" applyNumberFormat="1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/>
    </xf>
    <xf numFmtId="0" fontId="22" fillId="5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/>
    </xf>
    <xf numFmtId="0" fontId="23" fillId="2" borderId="35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23" fillId="2" borderId="37" xfId="0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left" vertical="center"/>
    </xf>
    <xf numFmtId="0" fontId="29" fillId="2" borderId="0" xfId="0" applyFont="1" applyFill="1" applyBorder="1" applyAlignment="1">
      <alignment horizontal="left" vertical="center"/>
    </xf>
    <xf numFmtId="0" fontId="23" fillId="2" borderId="52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23" fillId="2" borderId="54" xfId="0" applyFont="1" applyFill="1" applyBorder="1" applyAlignment="1">
      <alignment horizontal="center" vertical="center"/>
    </xf>
    <xf numFmtId="0" fontId="23" fillId="2" borderId="47" xfId="0" applyFont="1" applyFill="1" applyBorder="1" applyAlignment="1">
      <alignment horizontal="center" vertical="center"/>
    </xf>
    <xf numFmtId="0" fontId="27" fillId="2" borderId="48" xfId="0" applyFont="1" applyFill="1" applyBorder="1" applyAlignment="1">
      <alignment horizontal="center" vertical="center"/>
    </xf>
    <xf numFmtId="0" fontId="27" fillId="2" borderId="49" xfId="0" applyFont="1" applyFill="1" applyBorder="1" applyAlignment="1">
      <alignment horizontal="center" vertical="center"/>
    </xf>
    <xf numFmtId="0" fontId="31" fillId="8" borderId="55" xfId="0" applyFont="1" applyFill="1" applyBorder="1" applyAlignment="1">
      <alignment horizontal="left" vertical="center"/>
    </xf>
    <xf numFmtId="0" fontId="31" fillId="8" borderId="14" xfId="0" applyFont="1" applyFill="1" applyBorder="1" applyAlignment="1">
      <alignment horizontal="left" vertical="center"/>
    </xf>
    <xf numFmtId="0" fontId="31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left" vertical="center"/>
    </xf>
    <xf numFmtId="0" fontId="30" fillId="2" borderId="0" xfId="0" applyFont="1" applyFill="1" applyBorder="1" applyAlignment="1">
      <alignment horizontal="center" vertical="center"/>
    </xf>
    <xf numFmtId="0" fontId="23" fillId="2" borderId="57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16" fontId="35" fillId="2" borderId="0" xfId="0" quotePrefix="1" applyNumberFormat="1" applyFont="1" applyFill="1" applyBorder="1" applyAlignment="1">
      <alignment horizontal="left" vertical="center"/>
    </xf>
    <xf numFmtId="0" fontId="36" fillId="2" borderId="15" xfId="0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horizontal="left" vertical="center"/>
    </xf>
    <xf numFmtId="0" fontId="37" fillId="2" borderId="0" xfId="0" applyFont="1" applyFill="1" applyBorder="1" applyAlignment="1">
      <alignment horizontal="left" vertical="center"/>
    </xf>
    <xf numFmtId="0" fontId="23" fillId="2" borderId="59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center" vertical="center"/>
    </xf>
    <xf numFmtId="0" fontId="34" fillId="2" borderId="62" xfId="0" applyFont="1" applyFill="1" applyBorder="1" applyAlignment="1">
      <alignment horizontal="center" vertical="center"/>
    </xf>
    <xf numFmtId="16" fontId="35" fillId="2" borderId="21" xfId="0" quotePrefix="1" applyNumberFormat="1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23" fillId="2" borderId="63" xfId="0" applyFont="1" applyFill="1" applyBorder="1" applyAlignment="1">
      <alignment horizontal="center" vertical="center"/>
    </xf>
    <xf numFmtId="0" fontId="23" fillId="2" borderId="64" xfId="0" applyFont="1" applyFill="1" applyBorder="1" applyAlignment="1">
      <alignment horizontal="center" vertical="center"/>
    </xf>
    <xf numFmtId="0" fontId="23" fillId="2" borderId="65" xfId="0" applyFont="1" applyFill="1" applyBorder="1" applyAlignment="1">
      <alignment horizontal="center" vertical="center"/>
    </xf>
    <xf numFmtId="0" fontId="23" fillId="2" borderId="66" xfId="0" applyFont="1" applyFill="1" applyBorder="1" applyAlignment="1">
      <alignment horizontal="center" vertical="center"/>
    </xf>
    <xf numFmtId="0" fontId="23" fillId="2" borderId="67" xfId="0" applyFont="1" applyFill="1" applyBorder="1" applyAlignment="1">
      <alignment horizontal="center" vertical="center"/>
    </xf>
    <xf numFmtId="0" fontId="41" fillId="7" borderId="43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left" vertical="center"/>
    </xf>
    <xf numFmtId="0" fontId="47" fillId="2" borderId="0" xfId="0" applyFont="1" applyFill="1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0" fontId="49" fillId="10" borderId="79" xfId="0" applyFont="1" applyFill="1" applyBorder="1" applyAlignment="1">
      <alignment horizontal="center" vertical="center"/>
    </xf>
    <xf numFmtId="0" fontId="50" fillId="2" borderId="87" xfId="0" applyFont="1" applyFill="1" applyBorder="1" applyAlignment="1">
      <alignment horizontal="center" vertical="center"/>
    </xf>
    <xf numFmtId="0" fontId="46" fillId="10" borderId="88" xfId="0" applyFont="1" applyFill="1" applyBorder="1" applyAlignment="1">
      <alignment horizontal="center" vertical="center"/>
    </xf>
    <xf numFmtId="0" fontId="51" fillId="2" borderId="0" xfId="0" applyFont="1" applyFill="1" applyBorder="1" applyAlignment="1">
      <alignment horizontal="center" vertical="center"/>
    </xf>
    <xf numFmtId="0" fontId="50" fillId="2" borderId="92" xfId="0" applyFont="1" applyFill="1" applyBorder="1" applyAlignment="1">
      <alignment horizontal="center" vertical="center"/>
    </xf>
    <xf numFmtId="0" fontId="49" fillId="10" borderId="73" xfId="0" applyFont="1" applyFill="1" applyBorder="1" applyAlignment="1">
      <alignment horizontal="center" vertical="center"/>
    </xf>
    <xf numFmtId="0" fontId="44" fillId="2" borderId="0" xfId="0" applyFont="1" applyFill="1" applyBorder="1" applyAlignment="1">
      <alignment horizontal="center" vertical="center"/>
    </xf>
    <xf numFmtId="0" fontId="52" fillId="2" borderId="7" xfId="0" applyFont="1" applyFill="1" applyBorder="1" applyAlignment="1">
      <alignment horizontal="center" vertical="center"/>
    </xf>
    <xf numFmtId="0" fontId="53" fillId="2" borderId="23" xfId="0" applyFont="1" applyFill="1" applyBorder="1" applyAlignment="1">
      <alignment horizontal="center" vertical="center"/>
    </xf>
    <xf numFmtId="0" fontId="3" fillId="2" borderId="10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/>
    </xf>
    <xf numFmtId="0" fontId="54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4" fillId="2" borderId="105" xfId="0" applyFont="1" applyFill="1" applyBorder="1" applyAlignment="1">
      <alignment horizontal="center" vertical="center"/>
    </xf>
    <xf numFmtId="0" fontId="54" fillId="2" borderId="106" xfId="0" applyFont="1" applyFill="1" applyBorder="1" applyAlignment="1">
      <alignment horizontal="center" vertical="center"/>
    </xf>
    <xf numFmtId="0" fontId="54" fillId="2" borderId="107" xfId="0" applyFont="1" applyFill="1" applyBorder="1" applyAlignment="1">
      <alignment horizontal="center" vertical="center"/>
    </xf>
    <xf numFmtId="0" fontId="56" fillId="2" borderId="108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2" fillId="2" borderId="109" xfId="0" applyFont="1" applyFill="1" applyBorder="1" applyAlignment="1">
      <alignment horizontal="center" vertical="center"/>
    </xf>
    <xf numFmtId="0" fontId="58" fillId="2" borderId="110" xfId="0" applyFont="1" applyFill="1" applyBorder="1" applyAlignment="1">
      <alignment horizontal="center" vertical="center"/>
    </xf>
    <xf numFmtId="0" fontId="58" fillId="2" borderId="111" xfId="0" applyFont="1" applyFill="1" applyBorder="1" applyAlignment="1">
      <alignment horizontal="center" vertical="center"/>
    </xf>
    <xf numFmtId="0" fontId="58" fillId="2" borderId="112" xfId="0" applyFont="1" applyFill="1" applyBorder="1" applyAlignment="1">
      <alignment horizontal="center" vertical="center"/>
    </xf>
    <xf numFmtId="0" fontId="2" fillId="2" borderId="113" xfId="0" applyFont="1" applyFill="1" applyBorder="1" applyAlignment="1">
      <alignment horizontal="center" vertical="center"/>
    </xf>
    <xf numFmtId="0" fontId="2" fillId="2" borderId="113" xfId="0" applyFont="1" applyFill="1" applyBorder="1" applyAlignment="1">
      <alignment horizontal="left" vertical="center"/>
    </xf>
    <xf numFmtId="0" fontId="55" fillId="2" borderId="0" xfId="0" applyFont="1" applyFill="1" applyBorder="1" applyAlignment="1">
      <alignment horizontal="center" vertical="center"/>
    </xf>
    <xf numFmtId="0" fontId="54" fillId="0" borderId="114" xfId="0" applyFont="1" applyFill="1" applyBorder="1" applyAlignment="1">
      <alignment horizontal="center" vertical="center"/>
    </xf>
    <xf numFmtId="0" fontId="54" fillId="0" borderId="115" xfId="0" applyFont="1" applyFill="1" applyBorder="1" applyAlignment="1">
      <alignment horizontal="center" vertical="center"/>
    </xf>
    <xf numFmtId="0" fontId="54" fillId="0" borderId="116" xfId="0" applyFont="1" applyFill="1" applyBorder="1" applyAlignment="1">
      <alignment horizontal="center" vertical="center"/>
    </xf>
    <xf numFmtId="0" fontId="55" fillId="2" borderId="117" xfId="0" applyFont="1" applyFill="1" applyBorder="1" applyAlignment="1">
      <alignment horizontal="center" vertical="center"/>
    </xf>
    <xf numFmtId="0" fontId="56" fillId="2" borderId="117" xfId="0" applyFont="1" applyFill="1" applyBorder="1" applyAlignment="1">
      <alignment horizontal="left" vertical="center"/>
    </xf>
    <xf numFmtId="0" fontId="56" fillId="2" borderId="117" xfId="0" applyFont="1" applyFill="1" applyBorder="1" applyAlignment="1">
      <alignment horizontal="center" vertical="center"/>
    </xf>
    <xf numFmtId="0" fontId="59" fillId="2" borderId="0" xfId="0" applyFont="1" applyFill="1" applyBorder="1" applyAlignment="1">
      <alignment horizontal="center" vertical="center"/>
    </xf>
    <xf numFmtId="0" fontId="57" fillId="2" borderId="0" xfId="0" applyFont="1" applyFill="1" applyBorder="1" applyAlignment="1">
      <alignment horizontal="center" vertical="center"/>
    </xf>
    <xf numFmtId="0" fontId="58" fillId="0" borderId="110" xfId="0" applyFont="1" applyFill="1" applyBorder="1" applyAlignment="1">
      <alignment horizontal="center" vertical="center"/>
    </xf>
    <xf numFmtId="0" fontId="58" fillId="0" borderId="111" xfId="0" applyFont="1" applyFill="1" applyBorder="1" applyAlignment="1">
      <alignment horizontal="center" vertical="center"/>
    </xf>
    <xf numFmtId="0" fontId="58" fillId="0" borderId="112" xfId="0" applyFont="1" applyFill="1" applyBorder="1" applyAlignment="1">
      <alignment horizontal="center" vertical="center"/>
    </xf>
    <xf numFmtId="0" fontId="57" fillId="2" borderId="11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top"/>
    </xf>
    <xf numFmtId="0" fontId="54" fillId="0" borderId="118" xfId="0" applyFont="1" applyFill="1" applyBorder="1" applyAlignment="1">
      <alignment horizontal="center" vertical="center"/>
    </xf>
    <xf numFmtId="0" fontId="54" fillId="2" borderId="117" xfId="0" applyFont="1" applyFill="1" applyBorder="1" applyAlignment="1">
      <alignment horizontal="center" vertical="center"/>
    </xf>
    <xf numFmtId="0" fontId="56" fillId="2" borderId="0" xfId="0" applyFont="1" applyFill="1" applyBorder="1" applyAlignment="1">
      <alignment horizontal="center" vertical="center"/>
    </xf>
    <xf numFmtId="0" fontId="58" fillId="0" borderId="119" xfId="0" applyFont="1" applyFill="1" applyBorder="1" applyAlignment="1">
      <alignment horizontal="center" vertical="center"/>
    </xf>
    <xf numFmtId="0" fontId="58" fillId="0" borderId="120" xfId="0" applyFont="1" applyFill="1" applyBorder="1" applyAlignment="1">
      <alignment horizontal="center" vertical="center"/>
    </xf>
    <xf numFmtId="0" fontId="58" fillId="0" borderId="121" xfId="0" applyFont="1" applyFill="1" applyBorder="1" applyAlignment="1">
      <alignment horizontal="center" vertical="center"/>
    </xf>
    <xf numFmtId="0" fontId="6" fillId="2" borderId="122" xfId="0" applyFont="1" applyFill="1" applyBorder="1" applyAlignment="1">
      <alignment horizontal="center" vertical="center"/>
    </xf>
    <xf numFmtId="0" fontId="2" fillId="2" borderId="122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26" fillId="2" borderId="126" xfId="0" applyFont="1" applyFill="1" applyBorder="1" applyAlignment="1">
      <alignment horizontal="center" vertical="center"/>
    </xf>
    <xf numFmtId="0" fontId="6" fillId="2" borderId="126" xfId="0" applyFont="1" applyFill="1" applyBorder="1" applyAlignment="1">
      <alignment horizontal="center" vertical="center"/>
    </xf>
    <xf numFmtId="0" fontId="44" fillId="2" borderId="124" xfId="0" applyFont="1" applyFill="1" applyBorder="1" applyAlignment="1">
      <alignment horizontal="center" vertical="center"/>
    </xf>
    <xf numFmtId="0" fontId="2" fillId="2" borderId="140" xfId="0" applyFont="1" applyFill="1" applyBorder="1" applyAlignment="1">
      <alignment horizontal="center" vertical="center"/>
    </xf>
    <xf numFmtId="0" fontId="46" fillId="10" borderId="13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23" fillId="3" borderId="53" xfId="0" applyFont="1" applyFill="1" applyBorder="1" applyAlignment="1">
      <alignment horizontal="center" vertical="center"/>
    </xf>
    <xf numFmtId="0" fontId="27" fillId="3" borderId="43" xfId="0" applyFont="1" applyFill="1" applyBorder="1" applyAlignment="1">
      <alignment horizontal="center" vertical="center"/>
    </xf>
    <xf numFmtId="0" fontId="23" fillId="3" borderId="54" xfId="0" applyFont="1" applyFill="1" applyBorder="1" applyAlignment="1">
      <alignment horizontal="center" vertical="center"/>
    </xf>
    <xf numFmtId="0" fontId="27" fillId="3" borderId="44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center" vertical="center"/>
    </xf>
    <xf numFmtId="0" fontId="27" fillId="3" borderId="58" xfId="0" applyFont="1" applyFill="1" applyBorder="1" applyAlignment="1">
      <alignment horizontal="center" vertical="center"/>
    </xf>
    <xf numFmtId="0" fontId="23" fillId="3" borderId="64" xfId="0" applyFont="1" applyFill="1" applyBorder="1" applyAlignment="1">
      <alignment horizontal="center" vertical="center"/>
    </xf>
    <xf numFmtId="0" fontId="27" fillId="3" borderId="128" xfId="0" applyFont="1" applyFill="1" applyBorder="1" applyAlignment="1">
      <alignment horizontal="center" vertical="center"/>
    </xf>
    <xf numFmtId="0" fontId="42" fillId="0" borderId="127" xfId="0" applyFont="1" applyFill="1" applyBorder="1" applyAlignment="1">
      <alignment horizontal="center" vertical="center"/>
    </xf>
    <xf numFmtId="0" fontId="27" fillId="0" borderId="128" xfId="0" applyFont="1" applyFill="1" applyBorder="1" applyAlignment="1">
      <alignment horizontal="center" vertical="center"/>
    </xf>
    <xf numFmtId="0" fontId="27" fillId="0" borderId="130" xfId="0" applyFont="1" applyFill="1" applyBorder="1" applyAlignment="1">
      <alignment horizontal="center" vertical="center"/>
    </xf>
    <xf numFmtId="0" fontId="27" fillId="0" borderId="132" xfId="0" applyFont="1" applyFill="1" applyBorder="1" applyAlignment="1">
      <alignment horizontal="center" vertical="center"/>
    </xf>
    <xf numFmtId="0" fontId="27" fillId="0" borderId="127" xfId="0" applyFont="1" applyFill="1" applyBorder="1" applyAlignment="1">
      <alignment horizontal="center" vertical="center"/>
    </xf>
    <xf numFmtId="0" fontId="40" fillId="13" borderId="68" xfId="0" applyFont="1" applyFill="1" applyBorder="1" applyAlignment="1">
      <alignment horizontal="center" vertical="center"/>
    </xf>
    <xf numFmtId="0" fontId="23" fillId="13" borderId="64" xfId="0" applyFont="1" applyFill="1" applyBorder="1" applyAlignment="1">
      <alignment horizontal="center" vertical="center"/>
    </xf>
    <xf numFmtId="0" fontId="23" fillId="13" borderId="69" xfId="0" applyFont="1" applyFill="1" applyBorder="1" applyAlignment="1">
      <alignment horizontal="center" vertical="center"/>
    </xf>
    <xf numFmtId="0" fontId="23" fillId="13" borderId="70" xfId="0" applyFont="1" applyFill="1" applyBorder="1" applyAlignment="1">
      <alignment horizontal="center" vertical="center"/>
    </xf>
    <xf numFmtId="0" fontId="23" fillId="13" borderId="71" xfId="0" applyFont="1" applyFill="1" applyBorder="1" applyAlignment="1">
      <alignment horizontal="center" vertical="center"/>
    </xf>
    <xf numFmtId="0" fontId="27" fillId="3" borderId="101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62" fillId="0" borderId="0" xfId="0" applyFont="1"/>
    <xf numFmtId="0" fontId="63" fillId="2" borderId="0" xfId="0" applyFont="1" applyFill="1" applyAlignment="1">
      <alignment horizontal="center" vertical="center"/>
    </xf>
    <xf numFmtId="0" fontId="63" fillId="2" borderId="0" xfId="0" applyFont="1" applyFill="1" applyBorder="1" applyAlignment="1">
      <alignment horizontal="center" vertical="center"/>
    </xf>
    <xf numFmtId="0" fontId="64" fillId="4" borderId="6" xfId="0" applyFont="1" applyFill="1" applyBorder="1" applyAlignment="1">
      <alignment horizontal="center" vertical="center"/>
    </xf>
    <xf numFmtId="0" fontId="65" fillId="4" borderId="14" xfId="0" applyFont="1" applyFill="1" applyBorder="1" applyAlignment="1">
      <alignment horizontal="center" vertical="center"/>
    </xf>
    <xf numFmtId="0" fontId="64" fillId="4" borderId="14" xfId="0" applyFont="1" applyFill="1" applyBorder="1" applyAlignment="1">
      <alignment horizontal="center" vertical="center"/>
    </xf>
    <xf numFmtId="0" fontId="65" fillId="4" borderId="31" xfId="0" applyFont="1" applyFill="1" applyBorder="1" applyAlignment="1">
      <alignment horizontal="center" vertical="center"/>
    </xf>
    <xf numFmtId="0" fontId="64" fillId="7" borderId="41" xfId="0" applyFont="1" applyFill="1" applyBorder="1" applyAlignment="1">
      <alignment horizontal="center" vertical="center"/>
    </xf>
    <xf numFmtId="0" fontId="65" fillId="7" borderId="50" xfId="0" applyFont="1" applyFill="1" applyBorder="1" applyAlignment="1">
      <alignment horizontal="center" vertical="center"/>
    </xf>
    <xf numFmtId="0" fontId="64" fillId="9" borderId="50" xfId="0" applyFont="1" applyFill="1" applyBorder="1" applyAlignment="1">
      <alignment horizontal="center" vertical="center"/>
    </xf>
    <xf numFmtId="0" fontId="64" fillId="7" borderId="50" xfId="0" applyFont="1" applyFill="1" applyBorder="1" applyAlignment="1">
      <alignment horizontal="center" vertical="center"/>
    </xf>
    <xf numFmtId="0" fontId="65" fillId="7" borderId="127" xfId="0" applyFont="1" applyFill="1" applyBorder="1" applyAlignment="1">
      <alignment horizontal="center" vertical="center"/>
    </xf>
    <xf numFmtId="0" fontId="66" fillId="2" borderId="139" xfId="0" applyFont="1" applyFill="1" applyBorder="1" applyAlignment="1">
      <alignment horizontal="center" vertical="center"/>
    </xf>
    <xf numFmtId="0" fontId="67" fillId="12" borderId="77" xfId="0" applyFont="1" applyFill="1" applyBorder="1" applyAlignment="1">
      <alignment horizontal="center" vertical="center"/>
    </xf>
    <xf numFmtId="0" fontId="66" fillId="2" borderId="86" xfId="0" applyFont="1" applyFill="1" applyBorder="1" applyAlignment="1">
      <alignment horizontal="center" vertical="center"/>
    </xf>
    <xf numFmtId="0" fontId="67" fillId="12" borderId="91" xfId="0" applyFont="1" applyFill="1" applyBorder="1" applyAlignment="1">
      <alignment horizontal="center" vertical="center"/>
    </xf>
    <xf numFmtId="0" fontId="66" fillId="2" borderId="93" xfId="0" applyFont="1" applyFill="1" applyBorder="1" applyAlignment="1">
      <alignment horizontal="center" vertical="center"/>
    </xf>
    <xf numFmtId="0" fontId="67" fillId="12" borderId="103" xfId="0" applyFont="1" applyFill="1" applyBorder="1" applyAlignment="1">
      <alignment horizontal="center" vertical="center"/>
    </xf>
    <xf numFmtId="0" fontId="68" fillId="2" borderId="104" xfId="0" applyFont="1" applyFill="1" applyBorder="1" applyAlignment="1">
      <alignment horizontal="center" vertical="center"/>
    </xf>
    <xf numFmtId="0" fontId="63" fillId="2" borderId="108" xfId="0" applyFont="1" applyFill="1" applyBorder="1" applyAlignment="1">
      <alignment horizontal="center" vertical="center"/>
    </xf>
    <xf numFmtId="0" fontId="63" fillId="11" borderId="113" xfId="0" applyFont="1" applyFill="1" applyBorder="1" applyAlignment="1">
      <alignment horizontal="center" vertical="center"/>
    </xf>
    <xf numFmtId="0" fontId="63" fillId="2" borderId="117" xfId="0" applyFont="1" applyFill="1" applyBorder="1" applyAlignment="1">
      <alignment horizontal="center" vertical="center"/>
    </xf>
    <xf numFmtId="0" fontId="63" fillId="11" borderId="122" xfId="0" applyFont="1" applyFill="1" applyBorder="1" applyAlignment="1">
      <alignment horizontal="center" vertical="center"/>
    </xf>
    <xf numFmtId="0" fontId="23" fillId="0" borderId="150" xfId="0" applyFont="1" applyFill="1" applyBorder="1" applyAlignment="1">
      <alignment horizontal="center" vertical="center"/>
    </xf>
    <xf numFmtId="0" fontId="23" fillId="0" borderId="151" xfId="0" applyFont="1" applyFill="1" applyBorder="1" applyAlignment="1">
      <alignment horizontal="center" vertical="center"/>
    </xf>
    <xf numFmtId="0" fontId="30" fillId="0" borderId="151" xfId="0" applyFont="1" applyFill="1" applyBorder="1" applyAlignment="1">
      <alignment horizontal="center" vertical="center"/>
    </xf>
    <xf numFmtId="0" fontId="23" fillId="0" borderId="152" xfId="0" applyFont="1" applyFill="1" applyBorder="1" applyAlignment="1">
      <alignment horizontal="center" vertical="center"/>
    </xf>
    <xf numFmtId="0" fontId="27" fillId="0" borderId="150" xfId="0" applyFont="1" applyFill="1" applyBorder="1" applyAlignment="1">
      <alignment horizontal="center" vertical="center"/>
    </xf>
    <xf numFmtId="0" fontId="27" fillId="0" borderId="151" xfId="0" applyFont="1" applyFill="1" applyBorder="1" applyAlignment="1">
      <alignment horizontal="center" vertical="center"/>
    </xf>
    <xf numFmtId="0" fontId="32" fillId="0" borderId="151" xfId="0" applyFont="1" applyFill="1" applyBorder="1" applyAlignment="1">
      <alignment horizontal="center" vertical="center"/>
    </xf>
    <xf numFmtId="0" fontId="27" fillId="0" borderId="152" xfId="0" applyFont="1" applyFill="1" applyBorder="1" applyAlignment="1">
      <alignment horizontal="center" vertical="center"/>
    </xf>
    <xf numFmtId="0" fontId="23" fillId="0" borderId="146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147" xfId="0" applyFont="1" applyFill="1" applyBorder="1" applyAlignment="1">
      <alignment horizontal="center" vertical="center"/>
    </xf>
    <xf numFmtId="0" fontId="23" fillId="0" borderId="148" xfId="0" applyFont="1" applyFill="1" applyBorder="1" applyAlignment="1">
      <alignment horizontal="center" vertical="center"/>
    </xf>
    <xf numFmtId="0" fontId="23" fillId="0" borderId="149" xfId="0" applyFont="1" applyFill="1" applyBorder="1" applyAlignment="1">
      <alignment horizontal="center" vertical="center"/>
    </xf>
    <xf numFmtId="0" fontId="27" fillId="0" borderId="42" xfId="0" applyFont="1" applyFill="1" applyBorder="1" applyAlignment="1">
      <alignment horizontal="center" vertical="center"/>
    </xf>
    <xf numFmtId="0" fontId="27" fillId="0" borderId="43" xfId="0" applyFont="1" applyFill="1" applyBorder="1" applyAlignment="1">
      <alignment horizontal="center" vertical="center"/>
    </xf>
    <xf numFmtId="0" fontId="27" fillId="0" borderId="58" xfId="0" applyFont="1" applyFill="1" applyBorder="1" applyAlignment="1">
      <alignment horizontal="center" vertical="center"/>
    </xf>
    <xf numFmtId="0" fontId="27" fillId="0" borderId="44" xfId="0" applyFont="1" applyFill="1" applyBorder="1" applyAlignment="1">
      <alignment horizontal="center" vertical="center"/>
    </xf>
    <xf numFmtId="0" fontId="27" fillId="0" borderId="45" xfId="0" applyFont="1" applyFill="1" applyBorder="1" applyAlignment="1">
      <alignment horizontal="center" vertical="center"/>
    </xf>
    <xf numFmtId="0" fontId="27" fillId="0" borderId="46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57" xfId="0" applyFont="1" applyFill="1" applyBorder="1" applyAlignment="1">
      <alignment horizontal="center" vertical="center"/>
    </xf>
    <xf numFmtId="0" fontId="23" fillId="0" borderId="53" xfId="0" applyFont="1" applyFill="1" applyBorder="1" applyAlignment="1">
      <alignment horizontal="center" vertical="center"/>
    </xf>
    <xf numFmtId="0" fontId="30" fillId="0" borderId="53" xfId="0" applyFont="1" applyFill="1" applyBorder="1" applyAlignment="1">
      <alignment horizontal="center" vertical="center"/>
    </xf>
    <xf numFmtId="0" fontId="23" fillId="0" borderId="54" xfId="0" applyFont="1" applyFill="1" applyBorder="1" applyAlignment="1">
      <alignment horizontal="center" vertical="center"/>
    </xf>
    <xf numFmtId="0" fontId="23" fillId="0" borderId="52" xfId="0" applyFont="1" applyFill="1" applyBorder="1" applyAlignment="1">
      <alignment horizontal="center" vertical="center"/>
    </xf>
    <xf numFmtId="0" fontId="23" fillId="0" borderId="46" xfId="0" applyFont="1" applyFill="1" applyBorder="1" applyAlignment="1">
      <alignment horizontal="center" vertical="center"/>
    </xf>
    <xf numFmtId="0" fontId="23" fillId="0" borderId="47" xfId="0" applyFont="1" applyFill="1" applyBorder="1" applyAlignment="1">
      <alignment horizontal="center" vertical="center"/>
    </xf>
    <xf numFmtId="0" fontId="39" fillId="0" borderId="43" xfId="0" applyFont="1" applyFill="1" applyBorder="1" applyAlignment="1">
      <alignment horizontal="center" vertical="center"/>
    </xf>
    <xf numFmtId="0" fontId="27" fillId="0" borderId="47" xfId="0" applyFont="1" applyFill="1" applyBorder="1" applyAlignment="1">
      <alignment horizontal="center" vertical="center"/>
    </xf>
    <xf numFmtId="0" fontId="6" fillId="0" borderId="48" xfId="0" applyFont="1" applyFill="1" applyBorder="1" applyAlignment="1">
      <alignment horizontal="center" vertical="center"/>
    </xf>
    <xf numFmtId="0" fontId="27" fillId="0" borderId="101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3" fillId="0" borderId="35" xfId="0" applyFont="1" applyFill="1" applyBorder="1" applyAlignment="1">
      <alignment horizontal="center" vertical="center"/>
    </xf>
    <xf numFmtId="0" fontId="23" fillId="0" borderId="36" xfId="0" applyFont="1" applyFill="1" applyBorder="1" applyAlignment="1">
      <alignment horizontal="center" vertical="center"/>
    </xf>
    <xf numFmtId="0" fontId="23" fillId="0" borderId="51" xfId="0" applyFont="1" applyFill="1" applyBorder="1" applyAlignment="1">
      <alignment horizontal="center" vertical="center"/>
    </xf>
    <xf numFmtId="0" fontId="27" fillId="0" borderId="56" xfId="0" applyFont="1" applyFill="1" applyBorder="1" applyAlignment="1">
      <alignment horizontal="center" vertical="center"/>
    </xf>
    <xf numFmtId="0" fontId="32" fillId="0" borderId="43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27" fillId="0" borderId="48" xfId="0" applyFont="1" applyFill="1" applyBorder="1" applyAlignment="1">
      <alignment horizontal="center" vertical="center"/>
    </xf>
    <xf numFmtId="0" fontId="27" fillId="0" borderId="49" xfId="0" applyFont="1" applyFill="1" applyBorder="1" applyAlignment="1">
      <alignment horizontal="center" vertical="center"/>
    </xf>
    <xf numFmtId="0" fontId="27" fillId="0" borderId="60" xfId="0" applyFont="1" applyFill="1" applyBorder="1" applyAlignment="1">
      <alignment horizontal="center" vertical="center"/>
    </xf>
    <xf numFmtId="0" fontId="27" fillId="0" borderId="100" xfId="0" applyFont="1" applyFill="1" applyBorder="1" applyAlignment="1">
      <alignment horizontal="center" vertical="center"/>
    </xf>
    <xf numFmtId="0" fontId="27" fillId="0" borderId="141" xfId="0" applyFont="1" applyFill="1" applyBorder="1" applyAlignment="1">
      <alignment horizontal="center" vertical="center"/>
    </xf>
    <xf numFmtId="0" fontId="27" fillId="0" borderId="142" xfId="0" applyFont="1" applyFill="1" applyBorder="1" applyAlignment="1">
      <alignment horizontal="center" vertical="center"/>
    </xf>
    <xf numFmtId="0" fontId="27" fillId="0" borderId="143" xfId="0" applyFont="1" applyFill="1" applyBorder="1" applyAlignment="1">
      <alignment horizontal="center" vertical="center"/>
    </xf>
    <xf numFmtId="0" fontId="27" fillId="0" borderId="144" xfId="0" applyFont="1" applyFill="1" applyBorder="1" applyAlignment="1">
      <alignment horizontal="center" vertical="center"/>
    </xf>
    <xf numFmtId="0" fontId="27" fillId="0" borderId="145" xfId="0" applyFont="1" applyFill="1" applyBorder="1" applyAlignment="1">
      <alignment horizontal="center" vertical="center"/>
    </xf>
    <xf numFmtId="0" fontId="27" fillId="0" borderId="129" xfId="0" applyFont="1" applyFill="1" applyBorder="1" applyAlignment="1">
      <alignment horizontal="center" vertical="center"/>
    </xf>
    <xf numFmtId="0" fontId="27" fillId="0" borderId="131" xfId="0" applyFont="1" applyFill="1" applyBorder="1" applyAlignment="1">
      <alignment horizontal="center" vertical="center"/>
    </xf>
    <xf numFmtId="0" fontId="27" fillId="0" borderId="133" xfId="0" applyFont="1" applyFill="1" applyBorder="1" applyAlignment="1">
      <alignment horizontal="center" vertical="center"/>
    </xf>
    <xf numFmtId="0" fontId="27" fillId="0" borderId="134" xfId="0" applyFont="1" applyFill="1" applyBorder="1" applyAlignment="1">
      <alignment horizontal="center" vertical="center"/>
    </xf>
    <xf numFmtId="0" fontId="14" fillId="15" borderId="53" xfId="0" applyFont="1" applyFill="1" applyBorder="1" applyAlignment="1">
      <alignment horizontal="center" vertical="center"/>
    </xf>
    <xf numFmtId="0" fontId="19" fillId="15" borderId="43" xfId="0" applyFont="1" applyFill="1" applyBorder="1" applyAlignment="1">
      <alignment horizontal="center" vertical="center"/>
    </xf>
    <xf numFmtId="0" fontId="60" fillId="16" borderId="54" xfId="0" applyFont="1" applyFill="1" applyBorder="1" applyAlignment="1">
      <alignment horizontal="center" vertical="center"/>
    </xf>
    <xf numFmtId="0" fontId="61" fillId="16" borderId="141" xfId="0" applyFont="1" applyFill="1" applyBorder="1" applyAlignment="1">
      <alignment horizontal="center" vertical="center"/>
    </xf>
    <xf numFmtId="0" fontId="60" fillId="16" borderId="53" xfId="0" applyFont="1" applyFill="1" applyBorder="1" applyAlignment="1">
      <alignment horizontal="center" vertical="center"/>
    </xf>
    <xf numFmtId="0" fontId="61" fillId="16" borderId="43" xfId="0" applyFont="1" applyFill="1" applyBorder="1" applyAlignment="1">
      <alignment horizontal="center" vertical="center"/>
    </xf>
    <xf numFmtId="0" fontId="14" fillId="15" borderId="17" xfId="0" applyFont="1" applyFill="1" applyBorder="1" applyAlignment="1">
      <alignment horizontal="center" vertical="center"/>
    </xf>
    <xf numFmtId="0" fontId="19" fillId="15" borderId="25" xfId="0" applyFont="1" applyFill="1" applyBorder="1" applyAlignment="1">
      <alignment horizontal="center" vertical="center"/>
    </xf>
    <xf numFmtId="0" fontId="43" fillId="17" borderId="126" xfId="0" applyFont="1" applyFill="1" applyBorder="1" applyAlignment="1">
      <alignment horizontal="center" vertical="center"/>
    </xf>
    <xf numFmtId="0" fontId="54" fillId="3" borderId="115" xfId="0" applyFont="1" applyFill="1" applyBorder="1" applyAlignment="1">
      <alignment horizontal="center" vertical="center"/>
    </xf>
    <xf numFmtId="0" fontId="0" fillId="0" borderId="154" xfId="0" applyFont="1" applyBorder="1"/>
    <xf numFmtId="0" fontId="69" fillId="0" borderId="156" xfId="0" applyFont="1" applyBorder="1" applyAlignment="1">
      <alignment horizontal="center"/>
    </xf>
    <xf numFmtId="0" fontId="71" fillId="3" borderId="2" xfId="0" applyFont="1" applyFill="1" applyBorder="1" applyAlignment="1">
      <alignment horizontal="center" vertical="center"/>
    </xf>
    <xf numFmtId="0" fontId="72" fillId="3" borderId="153" xfId="0" applyFont="1" applyFill="1" applyBorder="1" applyAlignment="1">
      <alignment horizontal="center" vertical="center"/>
    </xf>
    <xf numFmtId="0" fontId="73" fillId="3" borderId="101" xfId="0" applyFont="1" applyFill="1" applyBorder="1" applyAlignment="1">
      <alignment horizontal="center" vertical="center"/>
    </xf>
    <xf numFmtId="0" fontId="74" fillId="3" borderId="155" xfId="0" applyFont="1" applyFill="1" applyBorder="1" applyAlignment="1">
      <alignment horizontal="center" vertical="center"/>
    </xf>
    <xf numFmtId="0" fontId="69" fillId="0" borderId="154" xfId="0" applyFont="1" applyBorder="1"/>
    <xf numFmtId="0" fontId="69" fillId="0" borderId="0" xfId="0" applyFont="1" applyAlignment="1">
      <alignment horizontal="center"/>
    </xf>
    <xf numFmtId="0" fontId="75" fillId="3" borderId="159" xfId="0" applyFont="1" applyFill="1" applyBorder="1" applyAlignment="1">
      <alignment horizontal="center" vertical="center"/>
    </xf>
    <xf numFmtId="0" fontId="75" fillId="3" borderId="157" xfId="0" applyFont="1" applyFill="1" applyBorder="1" applyAlignment="1">
      <alignment horizontal="center" vertical="center"/>
    </xf>
    <xf numFmtId="0" fontId="76" fillId="3" borderId="160" xfId="0" applyFont="1" applyFill="1" applyBorder="1" applyAlignment="1">
      <alignment horizontal="center" vertical="center"/>
    </xf>
    <xf numFmtId="0" fontId="76" fillId="3" borderId="158" xfId="0" applyFont="1" applyFill="1" applyBorder="1" applyAlignment="1">
      <alignment horizontal="center" vertical="center"/>
    </xf>
    <xf numFmtId="0" fontId="77" fillId="3" borderId="2" xfId="0" applyFont="1" applyFill="1" applyBorder="1" applyAlignment="1">
      <alignment horizontal="center" vertical="center"/>
    </xf>
    <xf numFmtId="0" fontId="77" fillId="3" borderId="153" xfId="0" applyFont="1" applyFill="1" applyBorder="1" applyAlignment="1">
      <alignment horizontal="center" vertical="center"/>
    </xf>
    <xf numFmtId="0" fontId="78" fillId="3" borderId="101" xfId="0" applyFont="1" applyFill="1" applyBorder="1" applyAlignment="1">
      <alignment horizontal="center" vertical="center"/>
    </xf>
    <xf numFmtId="0" fontId="78" fillId="3" borderId="155" xfId="0" applyFont="1" applyFill="1" applyBorder="1" applyAlignment="1">
      <alignment horizontal="center" vertical="center"/>
    </xf>
    <xf numFmtId="0" fontId="79" fillId="2" borderId="135" xfId="0" applyFont="1" applyFill="1" applyBorder="1" applyAlignment="1">
      <alignment horizontal="center" vertical="center"/>
    </xf>
    <xf numFmtId="0" fontId="79" fillId="2" borderId="136" xfId="0" applyFont="1" applyFill="1" applyBorder="1" applyAlignment="1">
      <alignment horizontal="center" vertical="center"/>
    </xf>
    <xf numFmtId="0" fontId="79" fillId="4" borderId="136" xfId="0" applyFont="1" applyFill="1" applyBorder="1" applyAlignment="1">
      <alignment horizontal="center" vertical="top"/>
    </xf>
    <xf numFmtId="0" fontId="79" fillId="2" borderId="137" xfId="0" applyFont="1" applyFill="1" applyBorder="1" applyAlignment="1">
      <alignment horizontal="center" vertical="center"/>
    </xf>
    <xf numFmtId="0" fontId="80" fillId="2" borderId="138" xfId="0" applyFont="1" applyFill="1" applyBorder="1" applyAlignment="1">
      <alignment horizontal="center" vertical="center"/>
    </xf>
    <xf numFmtId="0" fontId="80" fillId="2" borderId="124" xfId="0" applyFont="1" applyFill="1" applyBorder="1" applyAlignment="1">
      <alignment horizontal="center" vertical="center"/>
    </xf>
    <xf numFmtId="0" fontId="80" fillId="2" borderId="72" xfId="0" applyFont="1" applyFill="1" applyBorder="1" applyAlignment="1">
      <alignment horizontal="center" vertical="center"/>
    </xf>
    <xf numFmtId="0" fontId="80" fillId="2" borderId="73" xfId="0" applyFont="1" applyFill="1" applyBorder="1" applyAlignment="1">
      <alignment horizontal="center" vertical="center"/>
    </xf>
    <xf numFmtId="0" fontId="80" fillId="3" borderId="73" xfId="0" applyFont="1" applyFill="1" applyBorder="1" applyAlignment="1">
      <alignment horizontal="center" vertical="center"/>
    </xf>
    <xf numFmtId="0" fontId="80" fillId="2" borderId="74" xfId="0" applyFont="1" applyFill="1" applyBorder="1" applyAlignment="1">
      <alignment horizontal="center" vertical="center"/>
    </xf>
    <xf numFmtId="0" fontId="80" fillId="2" borderId="75" xfId="0" applyFont="1" applyFill="1" applyBorder="1" applyAlignment="1">
      <alignment horizontal="center" vertical="center"/>
    </xf>
    <xf numFmtId="0" fontId="80" fillId="2" borderId="76" xfId="0" applyFont="1" applyFill="1" applyBorder="1" applyAlignment="1">
      <alignment horizontal="center" vertical="center"/>
    </xf>
    <xf numFmtId="0" fontId="79" fillId="2" borderId="80" xfId="0" applyFont="1" applyFill="1" applyBorder="1" applyAlignment="1">
      <alignment horizontal="center" vertical="center"/>
    </xf>
    <xf numFmtId="0" fontId="79" fillId="0" borderId="81" xfId="0" applyFont="1" applyFill="1" applyBorder="1" applyAlignment="1">
      <alignment horizontal="center" vertical="center"/>
    </xf>
    <xf numFmtId="0" fontId="79" fillId="3" borderId="81" xfId="0" applyFont="1" applyFill="1" applyBorder="1" applyAlignment="1">
      <alignment horizontal="center" vertical="center"/>
    </xf>
    <xf numFmtId="0" fontId="79" fillId="2" borderId="82" xfId="0" applyFont="1" applyFill="1" applyBorder="1" applyAlignment="1">
      <alignment horizontal="center" vertical="center"/>
    </xf>
    <xf numFmtId="0" fontId="80" fillId="2" borderId="83" xfId="0" applyFont="1" applyFill="1" applyBorder="1" applyAlignment="1">
      <alignment horizontal="center" vertical="center"/>
    </xf>
    <xf numFmtId="0" fontId="80" fillId="2" borderId="84" xfId="0" applyFont="1" applyFill="1" applyBorder="1" applyAlignment="1">
      <alignment horizontal="center" vertical="center"/>
    </xf>
    <xf numFmtId="0" fontId="80" fillId="2" borderId="85" xfId="0" applyFont="1" applyFill="1" applyBorder="1" applyAlignment="1">
      <alignment horizontal="center" vertical="center"/>
    </xf>
    <xf numFmtId="0" fontId="80" fillId="0" borderId="73" xfId="0" applyFont="1" applyFill="1" applyBorder="1" applyAlignment="1">
      <alignment horizontal="center" vertical="center"/>
    </xf>
    <xf numFmtId="0" fontId="80" fillId="2" borderId="89" xfId="0" applyFont="1" applyFill="1" applyBorder="1" applyAlignment="1">
      <alignment horizontal="center" vertical="center"/>
    </xf>
    <xf numFmtId="0" fontId="80" fillId="2" borderId="90" xfId="0" applyFont="1" applyFill="1" applyBorder="1" applyAlignment="1">
      <alignment horizontal="center" vertical="center"/>
    </xf>
    <xf numFmtId="0" fontId="79" fillId="2" borderId="81" xfId="0" applyFont="1" applyFill="1" applyBorder="1" applyAlignment="1">
      <alignment horizontal="center" vertical="center"/>
    </xf>
    <xf numFmtId="0" fontId="80" fillId="0" borderId="74" xfId="0" applyFont="1" applyFill="1" applyBorder="1" applyAlignment="1">
      <alignment horizontal="center" vertical="center"/>
    </xf>
    <xf numFmtId="0" fontId="80" fillId="0" borderId="72" xfId="0" applyFont="1" applyFill="1" applyBorder="1" applyAlignment="1">
      <alignment horizontal="center" vertical="center"/>
    </xf>
    <xf numFmtId="0" fontId="81" fillId="2" borderId="0" xfId="0" applyFont="1" applyFill="1"/>
    <xf numFmtId="0" fontId="82" fillId="2" borderId="84" xfId="0" applyFont="1" applyFill="1" applyBorder="1" applyAlignment="1">
      <alignment horizontal="center" vertical="center"/>
    </xf>
    <xf numFmtId="0" fontId="82" fillId="2" borderId="90" xfId="0" applyFont="1" applyFill="1" applyBorder="1" applyAlignment="1">
      <alignment horizontal="center" vertical="center"/>
    </xf>
    <xf numFmtId="0" fontId="79" fillId="2" borderId="94" xfId="0" applyFont="1" applyFill="1" applyBorder="1" applyAlignment="1">
      <alignment horizontal="center" vertical="center"/>
    </xf>
    <xf numFmtId="0" fontId="79" fillId="0" borderId="95" xfId="0" applyFont="1" applyFill="1" applyBorder="1" applyAlignment="1">
      <alignment horizontal="center" vertical="center"/>
    </xf>
    <xf numFmtId="0" fontId="79" fillId="2" borderId="95" xfId="0" applyFont="1" applyFill="1" applyBorder="1" applyAlignment="1">
      <alignment horizontal="center" vertical="center"/>
    </xf>
    <xf numFmtId="0" fontId="79" fillId="2" borderId="96" xfId="0" applyFont="1" applyFill="1" applyBorder="1" applyAlignment="1">
      <alignment horizontal="center" vertical="center"/>
    </xf>
    <xf numFmtId="0" fontId="82" fillId="2" borderId="83" xfId="0" applyFont="1" applyFill="1" applyBorder="1" applyAlignment="1">
      <alignment horizontal="center" vertical="center"/>
    </xf>
    <xf numFmtId="0" fontId="80" fillId="2" borderId="97" xfId="0" applyFont="1" applyFill="1" applyBorder="1" applyAlignment="1">
      <alignment horizontal="center" vertical="center"/>
    </xf>
    <xf numFmtId="0" fontId="80" fillId="0" borderId="98" xfId="0" applyFont="1" applyFill="1" applyBorder="1" applyAlignment="1">
      <alignment horizontal="center" vertical="center"/>
    </xf>
    <xf numFmtId="0" fontId="80" fillId="0" borderId="97" xfId="0" applyFont="1" applyFill="1" applyBorder="1" applyAlignment="1">
      <alignment horizontal="center" vertical="center"/>
    </xf>
    <xf numFmtId="0" fontId="80" fillId="2" borderId="98" xfId="0" applyFont="1" applyFill="1" applyBorder="1" applyAlignment="1">
      <alignment horizontal="center" vertical="center"/>
    </xf>
    <xf numFmtId="0" fontId="80" fillId="2" borderId="99" xfId="0" applyFont="1" applyFill="1" applyBorder="1" applyAlignment="1">
      <alignment horizontal="center" vertical="center"/>
    </xf>
    <xf numFmtId="0" fontId="82" fillId="2" borderId="89" xfId="0" applyFont="1" applyFill="1" applyBorder="1" applyAlignment="1">
      <alignment horizontal="center" vertical="center"/>
    </xf>
    <xf numFmtId="0" fontId="79" fillId="10" borderId="82" xfId="0" applyFont="1" applyFill="1" applyBorder="1" applyAlignment="1">
      <alignment horizontal="center" vertical="center"/>
    </xf>
    <xf numFmtId="0" fontId="79" fillId="2" borderId="83" xfId="0" applyFont="1" applyFill="1" applyBorder="1" applyAlignment="1">
      <alignment horizontal="center" vertical="center"/>
    </xf>
    <xf numFmtId="0" fontId="79" fillId="2" borderId="84" xfId="0" applyFont="1" applyFill="1" applyBorder="1" applyAlignment="1">
      <alignment horizontal="center" vertical="center"/>
    </xf>
    <xf numFmtId="0" fontId="80" fillId="2" borderId="100" xfId="0" applyFont="1" applyFill="1" applyBorder="1" applyAlignment="1">
      <alignment horizontal="center" vertical="center"/>
    </xf>
    <xf numFmtId="0" fontId="80" fillId="2" borderId="101" xfId="0" applyFont="1" applyFill="1" applyBorder="1" applyAlignment="1">
      <alignment horizontal="center" vertical="center"/>
    </xf>
    <xf numFmtId="0" fontId="80" fillId="2" borderId="62" xfId="0" applyFont="1" applyFill="1" applyBorder="1" applyAlignment="1">
      <alignment horizontal="center" vertical="center"/>
    </xf>
    <xf numFmtId="0" fontId="80" fillId="3" borderId="101" xfId="0" applyFont="1" applyFill="1" applyBorder="1" applyAlignment="1">
      <alignment horizontal="center" vertical="center"/>
    </xf>
    <xf numFmtId="0" fontId="83" fillId="10" borderId="101" xfId="0" applyFont="1" applyFill="1" applyBorder="1" applyAlignment="1">
      <alignment horizontal="center" vertical="center"/>
    </xf>
    <xf numFmtId="0" fontId="80" fillId="2" borderId="102" xfId="0" applyFont="1" applyFill="1" applyBorder="1" applyAlignment="1">
      <alignment horizontal="center" vertical="center"/>
    </xf>
    <xf numFmtId="0" fontId="80" fillId="2" borderId="0" xfId="0" applyFont="1" applyFill="1" applyBorder="1" applyAlignment="1">
      <alignment horizontal="center" vertical="center"/>
    </xf>
    <xf numFmtId="0" fontId="84" fillId="0" borderId="81" xfId="0" applyFont="1" applyFill="1" applyBorder="1" applyAlignment="1">
      <alignment horizontal="center" vertical="center"/>
    </xf>
    <xf numFmtId="0" fontId="14" fillId="3" borderId="136" xfId="0" applyFont="1" applyFill="1" applyBorder="1" applyAlignment="1">
      <alignment horizontal="center" vertical="center"/>
    </xf>
    <xf numFmtId="0" fontId="21" fillId="3" borderId="73" xfId="0" applyFont="1" applyFill="1" applyBorder="1" applyAlignment="1">
      <alignment horizontal="center" vertical="center"/>
    </xf>
    <xf numFmtId="0" fontId="14" fillId="2" borderId="136" xfId="0" applyFont="1" applyFill="1" applyBorder="1" applyAlignment="1">
      <alignment horizontal="center" vertical="center"/>
    </xf>
    <xf numFmtId="0" fontId="21" fillId="2" borderId="73" xfId="0" applyFont="1" applyFill="1" applyBorder="1" applyAlignment="1">
      <alignment horizontal="center" vertical="center"/>
    </xf>
    <xf numFmtId="0" fontId="85" fillId="2" borderId="124" xfId="0" applyFont="1" applyFill="1" applyBorder="1" applyAlignment="1">
      <alignment horizontal="center" vertical="center"/>
    </xf>
    <xf numFmtId="0" fontId="86" fillId="2" borderId="0" xfId="0" applyFont="1" applyFill="1" applyAlignment="1">
      <alignment horizontal="center" vertical="center"/>
    </xf>
    <xf numFmtId="0" fontId="87" fillId="2" borderId="0" xfId="0" applyFont="1" applyFill="1" applyAlignment="1">
      <alignment horizontal="center" vertical="center"/>
    </xf>
    <xf numFmtId="41" fontId="70" fillId="0" borderId="156" xfId="0" quotePrefix="1" applyNumberFormat="1" applyFont="1" applyBorder="1" applyAlignment="1">
      <alignment horizontal="center"/>
    </xf>
    <xf numFmtId="41" fontId="70" fillId="0" borderId="154" xfId="0" applyNumberFormat="1" applyFont="1" applyBorder="1" applyAlignment="1">
      <alignment horizontal="center"/>
    </xf>
    <xf numFmtId="0" fontId="75" fillId="3" borderId="161" xfId="0" applyFont="1" applyFill="1" applyBorder="1" applyAlignment="1">
      <alignment horizontal="center" vertical="center"/>
    </xf>
    <xf numFmtId="0" fontId="45" fillId="3" borderId="162" xfId="0" applyFont="1" applyFill="1" applyBorder="1" applyAlignment="1">
      <alignment horizontal="center" vertical="center"/>
    </xf>
    <xf numFmtId="0" fontId="76" fillId="3" borderId="163" xfId="0" applyFont="1" applyFill="1" applyBorder="1" applyAlignment="1">
      <alignment horizontal="center" vertical="center"/>
    </xf>
    <xf numFmtId="0" fontId="48" fillId="3" borderId="164" xfId="0" applyFont="1" applyFill="1" applyBorder="1" applyAlignment="1">
      <alignment horizontal="center" vertical="center"/>
    </xf>
    <xf numFmtId="0" fontId="69" fillId="0" borderId="165" xfId="0" applyFont="1" applyBorder="1" applyAlignment="1">
      <alignment horizontal="center"/>
    </xf>
    <xf numFmtId="41" fontId="70" fillId="0" borderId="165" xfId="0" applyNumberFormat="1" applyFont="1" applyBorder="1" applyAlignment="1">
      <alignment horizontal="center"/>
    </xf>
    <xf numFmtId="41" fontId="70" fillId="0" borderId="2" xfId="0" applyNumberFormat="1" applyFont="1" applyBorder="1" applyAlignment="1">
      <alignment horizontal="center"/>
    </xf>
    <xf numFmtId="41" fontId="70" fillId="0" borderId="101" xfId="0" applyNumberFormat="1" applyFont="1" applyBorder="1" applyAlignment="1">
      <alignment horizontal="center"/>
    </xf>
    <xf numFmtId="41" fontId="70" fillId="0" borderId="151" xfId="0" applyNumberFormat="1" applyFont="1" applyBorder="1" applyAlignment="1">
      <alignment horizontal="center"/>
    </xf>
    <xf numFmtId="0" fontId="0" fillId="0" borderId="5" xfId="0" applyFont="1" applyBorder="1"/>
    <xf numFmtId="0" fontId="0" fillId="0" borderId="6" xfId="0" applyFont="1" applyBorder="1"/>
    <xf numFmtId="41" fontId="70" fillId="14" borderId="156" xfId="0" applyNumberFormat="1" applyFont="1" applyFill="1" applyBorder="1" applyAlignment="1">
      <alignment horizontal="center"/>
    </xf>
    <xf numFmtId="0" fontId="91" fillId="3" borderId="111" xfId="0" applyFont="1" applyFill="1" applyBorder="1" applyAlignment="1">
      <alignment horizontal="center" vertical="center"/>
    </xf>
    <xf numFmtId="0" fontId="0" fillId="0" borderId="62" xfId="0" applyFont="1" applyBorder="1"/>
    <xf numFmtId="0" fontId="0" fillId="0" borderId="167" xfId="0" applyFont="1" applyBorder="1"/>
    <xf numFmtId="0" fontId="0" fillId="0" borderId="167" xfId="0" applyFont="1" applyBorder="1" applyAlignment="1">
      <alignment horizontal="center"/>
    </xf>
    <xf numFmtId="0" fontId="62" fillId="0" borderId="167" xfId="0" applyFont="1" applyBorder="1"/>
    <xf numFmtId="0" fontId="0" fillId="0" borderId="168" xfId="0" applyFont="1" applyBorder="1"/>
    <xf numFmtId="0" fontId="0" fillId="0" borderId="0" xfId="0" applyFont="1" applyBorder="1"/>
    <xf numFmtId="0" fontId="0" fillId="0" borderId="103" xfId="0" applyFont="1" applyBorder="1"/>
    <xf numFmtId="0" fontId="0" fillId="0" borderId="7" xfId="0" applyFont="1" applyBorder="1"/>
    <xf numFmtId="0" fontId="69" fillId="0" borderId="0" xfId="0" applyFont="1" applyBorder="1"/>
    <xf numFmtId="0" fontId="69" fillId="0" borderId="0" xfId="0" applyFont="1" applyBorder="1" applyAlignment="1">
      <alignment horizontal="center"/>
    </xf>
    <xf numFmtId="41" fontId="70" fillId="0" borderId="7" xfId="0" applyNumberFormat="1" applyFont="1" applyBorder="1" applyAlignment="1">
      <alignment horizontal="center"/>
    </xf>
    <xf numFmtId="41" fontId="70" fillId="0" borderId="0" xfId="0" applyNumberFormat="1" applyFont="1" applyBorder="1" applyAlignment="1">
      <alignment horizontal="center"/>
    </xf>
    <xf numFmtId="41" fontId="70" fillId="14" borderId="0" xfId="0" applyNumberFormat="1" applyFont="1" applyFill="1" applyBorder="1" applyAlignment="1">
      <alignment horizontal="center"/>
    </xf>
    <xf numFmtId="41" fontId="88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2" fillId="0" borderId="0" xfId="0" applyFont="1" applyBorder="1"/>
    <xf numFmtId="0" fontId="0" fillId="0" borderId="0" xfId="0" applyFont="1" applyBorder="1" applyAlignment="1">
      <alignment horizontal="right"/>
    </xf>
    <xf numFmtId="0" fontId="62" fillId="0" borderId="0" xfId="0" quotePrefix="1" applyFont="1" applyBorder="1"/>
    <xf numFmtId="0" fontId="0" fillId="0" borderId="15" xfId="0" applyFont="1" applyBorder="1"/>
    <xf numFmtId="0" fontId="0" fillId="0" borderId="5" xfId="0" applyFont="1" applyBorder="1" applyAlignment="1">
      <alignment horizontal="center"/>
    </xf>
    <xf numFmtId="0" fontId="62" fillId="0" borderId="5" xfId="0" applyFont="1" applyBorder="1"/>
    <xf numFmtId="0" fontId="93" fillId="0" borderId="0" xfId="0" applyFont="1"/>
    <xf numFmtId="0" fontId="93" fillId="0" borderId="0" xfId="0" applyFont="1" applyAlignment="1">
      <alignment vertical="center"/>
    </xf>
    <xf numFmtId="0" fontId="94" fillId="0" borderId="169" xfId="0" applyFont="1" applyBorder="1" applyAlignment="1">
      <alignment vertical="center"/>
    </xf>
    <xf numFmtId="0" fontId="94" fillId="0" borderId="170" xfId="0" applyFont="1" applyBorder="1" applyAlignment="1">
      <alignment vertical="center"/>
    </xf>
    <xf numFmtId="0" fontId="95" fillId="0" borderId="170" xfId="0" applyFont="1" applyBorder="1" applyAlignment="1">
      <alignment horizontal="center" vertical="center"/>
    </xf>
    <xf numFmtId="0" fontId="94" fillId="0" borderId="171" xfId="0" applyFont="1" applyBorder="1" applyAlignment="1">
      <alignment vertical="center"/>
    </xf>
    <xf numFmtId="0" fontId="96" fillId="0" borderId="0" xfId="0" applyFont="1" applyAlignment="1">
      <alignment vertical="center"/>
    </xf>
    <xf numFmtId="0" fontId="97" fillId="0" borderId="172" xfId="0" applyFont="1" applyBorder="1" applyAlignment="1">
      <alignment vertical="center"/>
    </xf>
    <xf numFmtId="0" fontId="97" fillId="0" borderId="173" xfId="0" applyFont="1" applyBorder="1" applyAlignment="1">
      <alignment vertical="center"/>
    </xf>
    <xf numFmtId="0" fontId="98" fillId="0" borderId="173" xfId="0" applyFont="1" applyBorder="1" applyAlignment="1">
      <alignment horizontal="center" vertical="center"/>
    </xf>
    <xf numFmtId="0" fontId="97" fillId="0" borderId="174" xfId="0" applyFont="1" applyBorder="1" applyAlignment="1">
      <alignment vertical="center"/>
    </xf>
    <xf numFmtId="0" fontId="94" fillId="0" borderId="175" xfId="0" applyFont="1" applyBorder="1"/>
    <xf numFmtId="0" fontId="94" fillId="0" borderId="0" xfId="0" applyFont="1" applyBorder="1"/>
    <xf numFmtId="0" fontId="94" fillId="0" borderId="176" xfId="0" applyFont="1" applyBorder="1"/>
    <xf numFmtId="0" fontId="96" fillId="0" borderId="0" xfId="0" applyFont="1"/>
    <xf numFmtId="0" fontId="97" fillId="0" borderId="177" xfId="0" applyFont="1" applyBorder="1"/>
    <xf numFmtId="0" fontId="97" fillId="0" borderId="0" xfId="0" applyFont="1" applyBorder="1"/>
    <xf numFmtId="0" fontId="97" fillId="0" borderId="178" xfId="0" applyFont="1" applyBorder="1"/>
    <xf numFmtId="0" fontId="100" fillId="0" borderId="0" xfId="0" applyFont="1" applyBorder="1"/>
    <xf numFmtId="0" fontId="99" fillId="0" borderId="0" xfId="0" applyFont="1" applyBorder="1"/>
    <xf numFmtId="0" fontId="101" fillId="0" borderId="0" xfId="0" applyFont="1" applyBorder="1"/>
    <xf numFmtId="0" fontId="94" fillId="0" borderId="179" xfId="0" applyFont="1" applyBorder="1"/>
    <xf numFmtId="0" fontId="93" fillId="0" borderId="180" xfId="0" applyFont="1" applyBorder="1"/>
    <xf numFmtId="0" fontId="94" fillId="0" borderId="180" xfId="0" applyFont="1" applyBorder="1"/>
    <xf numFmtId="0" fontId="94" fillId="0" borderId="181" xfId="0" applyFont="1" applyBorder="1"/>
    <xf numFmtId="0" fontId="97" fillId="0" borderId="182" xfId="0" applyFont="1" applyBorder="1"/>
    <xf numFmtId="0" fontId="97" fillId="0" borderId="183" xfId="0" applyFont="1" applyBorder="1"/>
    <xf numFmtId="0" fontId="97" fillId="0" borderId="184" xfId="0" applyFont="1" applyBorder="1"/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5" fillId="0" borderId="0" xfId="0" applyFont="1" applyBorder="1"/>
    <xf numFmtId="0" fontId="106" fillId="0" borderId="0" xfId="0" applyFont="1" applyBorder="1"/>
    <xf numFmtId="0" fontId="105" fillId="0" borderId="0" xfId="0" applyFont="1" applyFill="1" applyBorder="1"/>
    <xf numFmtId="0" fontId="93" fillId="0" borderId="0" xfId="0" applyFont="1" applyBorder="1"/>
    <xf numFmtId="0" fontId="96" fillId="0" borderId="0" xfId="0" applyFont="1" applyBorder="1"/>
    <xf numFmtId="0" fontId="108" fillId="0" borderId="0" xfId="0" applyFont="1" applyAlignment="1">
      <alignment horizontal="center"/>
    </xf>
    <xf numFmtId="0" fontId="0" fillId="0" borderId="5" xfId="0" applyFont="1" applyBorder="1" applyAlignment="1">
      <alignment horizontal="left"/>
    </xf>
    <xf numFmtId="0" fontId="0" fillId="0" borderId="0" xfId="0" applyFill="1"/>
    <xf numFmtId="0" fontId="0" fillId="0" borderId="123" xfId="0" applyFill="1" applyBorder="1"/>
    <xf numFmtId="0" fontId="0" fillId="0" borderId="124" xfId="0" applyBorder="1"/>
    <xf numFmtId="0" fontId="0" fillId="0" borderId="125" xfId="0" applyFill="1" applyBorder="1"/>
    <xf numFmtId="0" fontId="0" fillId="0" borderId="154" xfId="0" applyFill="1" applyBorder="1"/>
    <xf numFmtId="0" fontId="0" fillId="0" borderId="0" xfId="0" applyBorder="1"/>
    <xf numFmtId="0" fontId="116" fillId="0" borderId="0" xfId="0" applyFont="1" applyBorder="1" applyAlignment="1">
      <alignment horizontal="center"/>
    </xf>
    <xf numFmtId="0" fontId="0" fillId="0" borderId="156" xfId="0" applyFill="1" applyBorder="1"/>
    <xf numFmtId="0" fontId="90" fillId="0" borderId="0" xfId="0" applyFont="1" applyBorder="1" applyAlignment="1">
      <alignment horizontal="center"/>
    </xf>
    <xf numFmtId="0" fontId="0" fillId="0" borderId="0" xfId="0" quotePrefix="1" applyBorder="1"/>
    <xf numFmtId="0" fontId="0" fillId="0" borderId="185" xfId="0" applyFill="1" applyBorder="1"/>
    <xf numFmtId="0" fontId="0" fillId="0" borderId="126" xfId="0" applyBorder="1"/>
    <xf numFmtId="0" fontId="0" fillId="0" borderId="186" xfId="0" applyFill="1" applyBorder="1"/>
    <xf numFmtId="0" fontId="118" fillId="0" borderId="0" xfId="0" applyFont="1"/>
    <xf numFmtId="0" fontId="0" fillId="0" borderId="0" xfId="0" applyFill="1" applyBorder="1"/>
    <xf numFmtId="0" fontId="120" fillId="0" borderId="0" xfId="0" applyFont="1" applyBorder="1"/>
    <xf numFmtId="0" fontId="0" fillId="0" borderId="123" xfId="0" applyBorder="1"/>
    <xf numFmtId="0" fontId="0" fillId="0" borderId="125" xfId="0" applyBorder="1"/>
    <xf numFmtId="0" fontId="0" fillId="0" borderId="154" xfId="0" applyBorder="1"/>
    <xf numFmtId="0" fontId="0" fillId="0" borderId="156" xfId="0" applyBorder="1"/>
    <xf numFmtId="0" fontId="0" fillId="0" borderId="185" xfId="0" applyBorder="1"/>
    <xf numFmtId="0" fontId="0" fillId="0" borderId="186" xfId="0" applyBorder="1"/>
    <xf numFmtId="0" fontId="118" fillId="0" borderId="123" xfId="0" applyFont="1" applyBorder="1"/>
    <xf numFmtId="0" fontId="118" fillId="0" borderId="124" xfId="0" applyFont="1" applyBorder="1"/>
    <xf numFmtId="0" fontId="118" fillId="0" borderId="154" xfId="0" applyFont="1" applyBorder="1"/>
    <xf numFmtId="0" fontId="118" fillId="0" borderId="0" xfId="0" applyFont="1" applyBorder="1"/>
    <xf numFmtId="14" fontId="118" fillId="0" borderId="0" xfId="0" applyNumberFormat="1" applyFont="1" applyBorder="1"/>
    <xf numFmtId="0" fontId="0" fillId="0" borderId="187" xfId="0" applyBorder="1"/>
    <xf numFmtId="0" fontId="0" fillId="0" borderId="188" xfId="0" applyBorder="1"/>
    <xf numFmtId="0" fontId="0" fillId="0" borderId="189" xfId="0" applyBorder="1"/>
    <xf numFmtId="0" fontId="0" fillId="0" borderId="190" xfId="0" applyBorder="1"/>
    <xf numFmtId="0" fontId="12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22" fillId="0" borderId="0" xfId="0" applyFont="1" applyBorder="1"/>
    <xf numFmtId="0" fontId="120" fillId="0" borderId="126" xfId="0" applyFont="1" applyBorder="1"/>
    <xf numFmtId="0" fontId="126" fillId="0" borderId="0" xfId="0" applyFont="1"/>
    <xf numFmtId="0" fontId="127" fillId="0" borderId="0" xfId="0" applyFont="1"/>
    <xf numFmtId="0" fontId="129" fillId="0" borderId="0" xfId="0" applyFont="1"/>
    <xf numFmtId="0" fontId="130" fillId="0" borderId="0" xfId="0" applyFont="1" applyBorder="1" applyAlignment="1">
      <alignment horizontal="right"/>
    </xf>
    <xf numFmtId="0" fontId="131" fillId="3" borderId="111" xfId="0" applyFont="1" applyFill="1" applyBorder="1" applyAlignment="1">
      <alignment horizontal="center" vertical="center"/>
    </xf>
    <xf numFmtId="0" fontId="132" fillId="3" borderId="111" xfId="0" applyFont="1" applyFill="1" applyBorder="1" applyAlignment="1">
      <alignment horizontal="center" vertical="center"/>
    </xf>
    <xf numFmtId="0" fontId="0" fillId="0" borderId="191" xfId="0" applyBorder="1"/>
    <xf numFmtId="0" fontId="0" fillId="0" borderId="192" xfId="0" applyBorder="1"/>
    <xf numFmtId="0" fontId="0" fillId="0" borderId="193" xfId="0" applyBorder="1"/>
    <xf numFmtId="0" fontId="140" fillId="0" borderId="0" xfId="0" applyFont="1"/>
    <xf numFmtId="0" fontId="118" fillId="0" borderId="125" xfId="0" applyFont="1" applyFill="1" applyBorder="1"/>
    <xf numFmtId="0" fontId="118" fillId="0" borderId="156" xfId="0" applyFont="1" applyFill="1" applyBorder="1"/>
    <xf numFmtId="0" fontId="118" fillId="0" borderId="0" xfId="0" applyFont="1" applyFill="1"/>
    <xf numFmtId="0" fontId="93" fillId="0" borderId="0" xfId="0" quotePrefix="1" applyFont="1" applyFill="1" applyBorder="1" applyAlignment="1"/>
    <xf numFmtId="166" fontId="145" fillId="0" borderId="0" xfId="0" applyNumberFormat="1" applyFont="1" applyFill="1" applyBorder="1" applyAlignment="1">
      <alignment horizontal="right"/>
    </xf>
    <xf numFmtId="165" fontId="145" fillId="0" borderId="0" xfId="0" applyNumberFormat="1" applyFont="1" applyFill="1" applyBorder="1" applyAlignment="1">
      <alignment horizontal="right"/>
    </xf>
    <xf numFmtId="0" fontId="93" fillId="0" borderId="0" xfId="0" applyFont="1" applyFill="1" applyBorder="1" applyAlignment="1"/>
    <xf numFmtId="0" fontId="151" fillId="0" borderId="0" xfId="0" applyFont="1" applyFill="1" applyBorder="1" applyAlignment="1">
      <alignment horizontal="left" vertical="center"/>
    </xf>
    <xf numFmtId="41" fontId="133" fillId="0" borderId="0" xfId="0" applyNumberFormat="1" applyFont="1" applyFill="1" applyBorder="1" applyAlignment="1">
      <alignment vertical="center"/>
    </xf>
    <xf numFmtId="0" fontId="147" fillId="0" borderId="0" xfId="0" applyFont="1" applyFill="1" applyBorder="1" applyAlignment="1"/>
    <xf numFmtId="0" fontId="149" fillId="0" borderId="0" xfId="0" applyFont="1" applyFill="1" applyBorder="1" applyAlignment="1">
      <alignment horizontal="center" vertical="center"/>
    </xf>
    <xf numFmtId="0" fontId="155" fillId="0" borderId="0" xfId="0" applyFont="1" applyFill="1" applyBorder="1"/>
    <xf numFmtId="0" fontId="147" fillId="0" borderId="0" xfId="0" applyFont="1" applyFill="1" applyBorder="1" applyAlignment="1">
      <alignment horizontal="center"/>
    </xf>
    <xf numFmtId="0" fontId="93" fillId="0" borderId="0" xfId="0" quotePrefix="1" applyFont="1" applyFill="1" applyBorder="1" applyAlignment="1">
      <alignment horizontal="center" vertical="center"/>
    </xf>
    <xf numFmtId="0" fontId="142" fillId="0" borderId="0" xfId="0" applyFont="1" applyFill="1" applyBorder="1" applyAlignment="1">
      <alignment horizontal="center" vertical="center"/>
    </xf>
    <xf numFmtId="0" fontId="142" fillId="0" borderId="0" xfId="0" applyFont="1" applyFill="1" applyBorder="1" applyAlignment="1"/>
    <xf numFmtId="0" fontId="139" fillId="0" borderId="0" xfId="0" applyFont="1" applyFill="1" applyBorder="1" applyAlignment="1">
      <alignment horizontal="left" vertical="center"/>
    </xf>
    <xf numFmtId="0" fontId="142" fillId="0" borderId="0" xfId="0" applyFont="1" applyFill="1" applyBorder="1" applyAlignment="1">
      <alignment vertical="center"/>
    </xf>
    <xf numFmtId="0" fontId="93" fillId="0" borderId="0" xfId="0" applyFont="1" applyFill="1" applyBorder="1" applyAlignment="1">
      <alignment vertical="center"/>
    </xf>
    <xf numFmtId="0" fontId="149" fillId="0" borderId="0" xfId="0" applyFont="1" applyFill="1" applyBorder="1" applyAlignment="1"/>
    <xf numFmtId="164" fontId="145" fillId="0" borderId="0" xfId="0" applyNumberFormat="1" applyFont="1" applyFill="1" applyBorder="1" applyAlignment="1">
      <alignment horizontal="right"/>
    </xf>
    <xf numFmtId="2" fontId="146" fillId="0" borderId="0" xfId="0" applyNumberFormat="1" applyFont="1" applyFill="1" applyBorder="1" applyAlignment="1">
      <alignment horizontal="right"/>
    </xf>
    <xf numFmtId="164" fontId="93" fillId="0" borderId="0" xfId="0" applyNumberFormat="1" applyFont="1" applyFill="1" applyBorder="1" applyAlignment="1"/>
    <xf numFmtId="0" fontId="150" fillId="0" borderId="0" xfId="0" applyFont="1" applyFill="1" applyBorder="1" applyAlignment="1">
      <alignment horizontal="left" vertical="center"/>
    </xf>
    <xf numFmtId="0" fontId="141" fillId="0" borderId="0" xfId="0" applyFont="1" applyFill="1" applyBorder="1"/>
    <xf numFmtId="165" fontId="0" fillId="0" borderId="0" xfId="0" applyNumberFormat="1" applyFill="1" applyBorder="1"/>
    <xf numFmtId="164" fontId="135" fillId="0" borderId="0" xfId="0" applyNumberFormat="1" applyFont="1" applyFill="1" applyBorder="1"/>
    <xf numFmtId="0" fontId="135" fillId="0" borderId="0" xfId="0" applyFont="1" applyFill="1" applyBorder="1"/>
    <xf numFmtId="164" fontId="0" fillId="0" borderId="0" xfId="0" applyNumberFormat="1" applyFill="1" applyBorder="1"/>
    <xf numFmtId="164" fontId="136" fillId="0" borderId="0" xfId="0" applyNumberFormat="1" applyFont="1" applyFill="1" applyBorder="1"/>
    <xf numFmtId="0" fontId="136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 applyAlignment="1">
      <alignment horizontal="center"/>
    </xf>
    <xf numFmtId="2" fontId="137" fillId="0" borderId="0" xfId="0" applyNumberFormat="1" applyFont="1" applyFill="1" applyBorder="1"/>
    <xf numFmtId="0" fontId="134" fillId="0" borderId="0" xfId="0" applyFont="1" applyFill="1" applyBorder="1"/>
    <xf numFmtId="41" fontId="63" fillId="0" borderId="0" xfId="0" applyNumberFormat="1" applyFont="1" applyFill="1" applyBorder="1" applyAlignment="1">
      <alignment vertical="center"/>
    </xf>
    <xf numFmtId="0" fontId="156" fillId="0" borderId="0" xfId="0" applyFont="1" applyFill="1" applyBorder="1"/>
    <xf numFmtId="0" fontId="93" fillId="0" borderId="0" xfId="0" applyFont="1" applyFill="1" applyBorder="1" applyAlignment="1">
      <alignment horizontal="center" vertical="center"/>
    </xf>
    <xf numFmtId="0" fontId="70" fillId="0" borderId="0" xfId="0" applyFont="1" applyFill="1" applyBorder="1" applyAlignment="1">
      <alignment horizontal="center" vertical="center"/>
    </xf>
    <xf numFmtId="41" fontId="155" fillId="0" borderId="0" xfId="0" applyNumberFormat="1" applyFont="1" applyFill="1" applyBorder="1" applyAlignment="1">
      <alignment vertical="center"/>
    </xf>
    <xf numFmtId="0" fontId="133" fillId="0" borderId="0" xfId="0" applyFont="1" applyFill="1" applyBorder="1" applyAlignment="1">
      <alignment horizontal="right" vertical="center"/>
    </xf>
    <xf numFmtId="41" fontId="155" fillId="0" borderId="0" xfId="0" applyNumberFormat="1" applyFont="1" applyFill="1" applyBorder="1" applyAlignment="1">
      <alignment horizontal="left" vertical="center"/>
    </xf>
    <xf numFmtId="41" fontId="155" fillId="0" borderId="0" xfId="0" applyNumberFormat="1" applyFont="1" applyFill="1" applyBorder="1" applyAlignment="1">
      <alignment horizontal="right" vertical="center"/>
    </xf>
    <xf numFmtId="0" fontId="142" fillId="0" borderId="0" xfId="0" applyFont="1" applyFill="1" applyBorder="1" applyAlignment="1">
      <alignment horizontal="right"/>
    </xf>
    <xf numFmtId="2" fontId="143" fillId="0" borderId="0" xfId="0" applyNumberFormat="1" applyFont="1" applyFill="1" applyBorder="1" applyAlignment="1"/>
    <xf numFmtId="0" fontId="93" fillId="0" borderId="0" xfId="0" applyFont="1" applyFill="1" applyBorder="1" applyAlignment="1">
      <alignment horizontal="left"/>
    </xf>
    <xf numFmtId="2" fontId="148" fillId="0" borderId="0" xfId="0" applyNumberFormat="1" applyFont="1" applyFill="1" applyBorder="1" applyAlignment="1">
      <alignment horizontal="right"/>
    </xf>
    <xf numFmtId="165" fontId="143" fillId="0" borderId="0" xfId="0" applyNumberFormat="1" applyFont="1" applyFill="1" applyBorder="1" applyAlignment="1"/>
    <xf numFmtId="166" fontId="146" fillId="0" borderId="0" xfId="0" applyNumberFormat="1" applyFont="1" applyFill="1" applyBorder="1" applyAlignment="1">
      <alignment horizontal="right"/>
    </xf>
    <xf numFmtId="0" fontId="144" fillId="0" borderId="0" xfId="0" applyFont="1" applyFill="1" applyBorder="1" applyAlignment="1">
      <alignment horizontal="left"/>
    </xf>
    <xf numFmtId="0" fontId="93" fillId="0" borderId="0" xfId="0" applyFont="1" applyFill="1" applyBorder="1" applyAlignment="1">
      <alignment horizontal="left" vertical="center"/>
    </xf>
    <xf numFmtId="0" fontId="155" fillId="0" borderId="0" xfId="0" applyFont="1" applyFill="1" applyBorder="1" applyAlignment="1">
      <alignment horizontal="right" vertical="center"/>
    </xf>
    <xf numFmtId="164" fontId="146" fillId="0" borderId="0" xfId="0" applyNumberFormat="1" applyFont="1" applyFill="1" applyBorder="1" applyAlignment="1">
      <alignment horizontal="right"/>
    </xf>
    <xf numFmtId="2" fontId="93" fillId="0" borderId="0" xfId="0" applyNumberFormat="1" applyFont="1" applyFill="1" applyBorder="1" applyAlignment="1"/>
    <xf numFmtId="167" fontId="154" fillId="0" borderId="0" xfId="0" applyNumberFormat="1" applyFont="1" applyFill="1" applyBorder="1" applyAlignment="1">
      <alignment vertical="center"/>
    </xf>
    <xf numFmtId="167" fontId="154" fillId="0" borderId="0" xfId="0" applyNumberFormat="1" applyFont="1" applyFill="1" applyBorder="1" applyAlignment="1">
      <alignment horizontal="right" vertical="center"/>
    </xf>
    <xf numFmtId="1" fontId="134" fillId="0" borderId="0" xfId="0" applyNumberFormat="1" applyFont="1" applyFill="1" applyBorder="1" applyAlignment="1">
      <alignment horizontal="right" vertical="center"/>
    </xf>
    <xf numFmtId="164" fontId="0" fillId="0" borderId="0" xfId="0" applyNumberFormat="1" applyFont="1" applyFill="1" applyBorder="1"/>
    <xf numFmtId="167" fontId="152" fillId="0" borderId="0" xfId="0" applyNumberFormat="1" applyFont="1" applyFill="1" applyBorder="1" applyAlignment="1">
      <alignment vertical="center"/>
    </xf>
    <xf numFmtId="167" fontId="153" fillId="0" borderId="0" xfId="0" applyNumberFormat="1" applyFont="1" applyFill="1" applyBorder="1" applyAlignment="1">
      <alignment horizontal="right" vertical="center"/>
    </xf>
    <xf numFmtId="41" fontId="134" fillId="0" borderId="0" xfId="0" applyNumberFormat="1" applyFont="1" applyFill="1" applyBorder="1" applyAlignment="1">
      <alignment vertical="center"/>
    </xf>
    <xf numFmtId="41" fontId="134" fillId="0" borderId="0" xfId="0" applyNumberFormat="1" applyFont="1" applyFill="1" applyBorder="1" applyAlignment="1">
      <alignment horizontal="left" vertical="center"/>
    </xf>
    <xf numFmtId="0" fontId="60" fillId="18" borderId="17" xfId="0" applyFont="1" applyFill="1" applyBorder="1" applyAlignment="1">
      <alignment horizontal="center" vertical="center"/>
    </xf>
    <xf numFmtId="0" fontId="61" fillId="18" borderId="25" xfId="0" applyFont="1" applyFill="1" applyBorder="1" applyAlignment="1">
      <alignment horizontal="center" vertical="center"/>
    </xf>
    <xf numFmtId="0" fontId="0" fillId="0" borderId="0" xfId="0" quotePrefix="1" applyBorder="1" applyAlignment="1">
      <alignment vertical="center"/>
    </xf>
    <xf numFmtId="0" fontId="0" fillId="0" borderId="0" xfId="0" applyBorder="1" applyAlignment="1">
      <alignment vertical="center"/>
    </xf>
    <xf numFmtId="0" fontId="159" fillId="0" borderId="102" xfId="0" applyFont="1" applyBorder="1" applyAlignment="1">
      <alignment horizontal="center"/>
    </xf>
    <xf numFmtId="0" fontId="160" fillId="0" borderId="0" xfId="0" applyFont="1" applyBorder="1" applyAlignment="1">
      <alignment horizontal="center"/>
    </xf>
    <xf numFmtId="0" fontId="157" fillId="0" borderId="0" xfId="0" quotePrefix="1" applyFont="1" applyBorder="1" applyAlignment="1">
      <alignment vertical="top"/>
    </xf>
    <xf numFmtId="0" fontId="161" fillId="0" borderId="0" xfId="0" quotePrefix="1" applyFont="1" applyBorder="1" applyAlignment="1">
      <alignment horizontal="center" vertical="center"/>
    </xf>
    <xf numFmtId="41" fontId="162" fillId="0" borderId="166" xfId="0" applyNumberFormat="1" applyFont="1" applyBorder="1" applyAlignment="1">
      <alignment horizontal="center"/>
    </xf>
    <xf numFmtId="0" fontId="16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3300"/>
      <color rgb="FF009900"/>
      <color rgb="FF006666"/>
      <color rgb="FF0000FF"/>
      <color rgb="FFBCBF51"/>
      <color rgb="FF333399"/>
      <color rgb="FFFF0066"/>
      <color rgb="FF7F7649"/>
      <color rgb="FF9900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bing.com/images/search?view=detailV2&amp;ccid=7cRCYaEb&amp;id=05F0D8F0913F3669F0CCDD4434850F72A1DB07B1&amp;thid=OIP.7cRCYaEbUuk8g2e7YN7n0QD6D6&amp;q=cia+seal&amp;simid=608035919207006650&amp;selectedIndex=2&amp;qpvt=cia+sea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161926</xdr:colOff>
      <xdr:row>0</xdr:row>
      <xdr:rowOff>152401</xdr:rowOff>
    </xdr:from>
    <xdr:to>
      <xdr:col>51</xdr:col>
      <xdr:colOff>19051</xdr:colOff>
      <xdr:row>11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3276" y="152401"/>
          <a:ext cx="2171700" cy="2076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77</xdr:row>
      <xdr:rowOff>0</xdr:rowOff>
    </xdr:from>
    <xdr:to>
      <xdr:col>15</xdr:col>
      <xdr:colOff>161925</xdr:colOff>
      <xdr:row>84</xdr:row>
      <xdr:rowOff>28575</xdr:rowOff>
    </xdr:to>
    <xdr:sp macro="" textlink="">
      <xdr:nvSpPr>
        <xdr:cNvPr id="3074" name="emb173781528" descr="Image result for cia seal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2952750" y="18335625"/>
          <a:ext cx="17049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19050</xdr:colOff>
      <xdr:row>29</xdr:row>
      <xdr:rowOff>85725</xdr:rowOff>
    </xdr:from>
    <xdr:to>
      <xdr:col>22</xdr:col>
      <xdr:colOff>180762</xdr:colOff>
      <xdr:row>36</xdr:row>
      <xdr:rowOff>114088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2025" y="6991350"/>
          <a:ext cx="1704762" cy="1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4"/>
  <sheetViews>
    <sheetView showGridLines="0" tabSelected="1" zoomScaleNormal="100" workbookViewId="0"/>
  </sheetViews>
  <sheetFormatPr defaultColWidth="3.85546875" defaultRowHeight="15" x14ac:dyDescent="0.25"/>
  <cols>
    <col min="1" max="1" width="3.85546875" style="416"/>
    <col min="26" max="26" width="3.85546875" style="416"/>
    <col min="54" max="67" width="6.7109375" customWidth="1"/>
    <col min="68" max="68" width="5.7109375" customWidth="1"/>
    <col min="69" max="70" width="8.7109375" customWidth="1"/>
    <col min="71" max="71" width="5.7109375" customWidth="1"/>
    <col min="72" max="73" width="8.7109375" customWidth="1"/>
    <col min="74" max="74" width="5.7109375" customWidth="1"/>
    <col min="75" max="75" width="6.7109375" customWidth="1"/>
  </cols>
  <sheetData>
    <row r="1" spans="1:53" x14ac:dyDescent="0.25">
      <c r="A1" s="417"/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9"/>
      <c r="AA1" s="443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5"/>
      <c r="BA1" s="458"/>
    </row>
    <row r="2" spans="1:53" ht="15.75" x14ac:dyDescent="0.25">
      <c r="A2" s="420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2" t="s">
        <v>159</v>
      </c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3"/>
      <c r="AA2" s="434"/>
      <c r="AB2" s="421"/>
      <c r="AC2" s="421"/>
      <c r="AD2" s="421"/>
      <c r="AE2" s="421"/>
      <c r="AF2" s="421"/>
      <c r="AG2" s="421"/>
      <c r="AH2" s="421"/>
      <c r="AI2" s="421"/>
      <c r="AJ2" s="421"/>
      <c r="AK2" s="421"/>
      <c r="AL2" s="421"/>
      <c r="AM2" s="421"/>
      <c r="AN2" s="421"/>
      <c r="AO2" s="421"/>
      <c r="AP2" s="421"/>
      <c r="AQ2" s="421"/>
      <c r="AR2" s="421"/>
      <c r="AS2" s="421"/>
      <c r="AT2" s="421"/>
      <c r="AU2" s="421"/>
      <c r="AV2" s="421"/>
      <c r="AW2" s="421"/>
      <c r="AX2" s="421"/>
      <c r="AY2" s="421"/>
      <c r="AZ2" s="446"/>
      <c r="BA2" s="459"/>
    </row>
    <row r="3" spans="1:53" x14ac:dyDescent="0.25">
      <c r="A3" s="420"/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3"/>
      <c r="AA3" s="434"/>
      <c r="AB3" s="421"/>
      <c r="AC3" s="421"/>
      <c r="AD3" s="421"/>
      <c r="AE3" s="421"/>
      <c r="AF3" s="421"/>
      <c r="AG3" s="421"/>
      <c r="AH3" s="421"/>
      <c r="AI3" s="421"/>
      <c r="AJ3" s="421"/>
      <c r="AK3" s="421"/>
      <c r="AL3" s="421"/>
      <c r="AM3" s="421"/>
      <c r="AN3" s="421"/>
      <c r="AO3" s="421"/>
      <c r="AP3" s="421"/>
      <c r="AQ3" s="421"/>
      <c r="AR3" s="421"/>
      <c r="AS3" s="421"/>
      <c r="AT3" s="421"/>
      <c r="AU3" s="421"/>
      <c r="AV3" s="421"/>
      <c r="AW3" s="421"/>
      <c r="AX3" s="421"/>
      <c r="AY3" s="421"/>
      <c r="AZ3" s="446"/>
      <c r="BA3" s="459"/>
    </row>
    <row r="4" spans="1:53" x14ac:dyDescent="0.25">
      <c r="A4" s="420"/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4" t="s">
        <v>82</v>
      </c>
      <c r="N4" s="421"/>
      <c r="O4" s="421"/>
      <c r="P4" s="421"/>
      <c r="Q4" s="421"/>
      <c r="R4" s="421"/>
      <c r="S4" s="421"/>
      <c r="T4" s="421"/>
      <c r="U4" s="421"/>
      <c r="V4" s="421"/>
      <c r="W4" s="421"/>
      <c r="X4" s="421"/>
      <c r="Y4" s="421"/>
      <c r="Z4" s="423"/>
      <c r="AA4" s="434"/>
      <c r="AB4" s="421"/>
      <c r="AC4" s="421"/>
      <c r="AD4" s="421"/>
      <c r="AE4" s="421"/>
      <c r="AF4" s="421"/>
      <c r="AG4" s="421"/>
      <c r="AH4" s="421"/>
      <c r="AI4" s="421"/>
      <c r="AJ4" s="421"/>
      <c r="AK4" s="421"/>
      <c r="AL4" s="421"/>
      <c r="AM4" s="421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46"/>
      <c r="BA4" s="459"/>
    </row>
    <row r="5" spans="1:53" x14ac:dyDescent="0.25">
      <c r="A5" s="420"/>
      <c r="B5" s="421"/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3"/>
      <c r="AA5" s="434"/>
      <c r="AC5" s="421"/>
      <c r="AD5" s="421"/>
      <c r="AE5" s="421"/>
      <c r="AF5" s="421"/>
      <c r="AG5" s="421"/>
      <c r="AH5" s="421"/>
      <c r="AI5" s="421"/>
      <c r="AJ5" s="421"/>
      <c r="AK5" s="421"/>
      <c r="AL5" s="421"/>
      <c r="AM5" s="421"/>
      <c r="AN5" s="421"/>
      <c r="AO5" s="421"/>
      <c r="AP5" s="421"/>
      <c r="AQ5" s="421"/>
      <c r="AR5" s="421"/>
      <c r="AS5" s="421"/>
      <c r="AT5" s="421"/>
      <c r="AU5" s="421"/>
      <c r="AV5" s="421"/>
      <c r="AW5" s="421"/>
      <c r="AX5" s="421"/>
      <c r="AY5" s="421"/>
      <c r="AZ5" s="446"/>
      <c r="BA5" s="459"/>
    </row>
    <row r="6" spans="1:53" x14ac:dyDescent="0.25">
      <c r="A6" s="420"/>
      <c r="B6" s="421" t="s">
        <v>126</v>
      </c>
      <c r="C6" s="421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3"/>
      <c r="AA6" s="434"/>
      <c r="AC6" s="421"/>
      <c r="AD6" s="421"/>
      <c r="AE6" s="421"/>
      <c r="AF6" s="421"/>
      <c r="AG6" s="421"/>
      <c r="AH6" s="421"/>
      <c r="AI6" s="421"/>
      <c r="AJ6" s="421"/>
      <c r="AK6" s="421"/>
      <c r="AL6" s="421"/>
      <c r="AM6" s="421"/>
      <c r="AN6" s="421"/>
      <c r="AO6" s="421"/>
      <c r="AP6" s="421"/>
      <c r="AQ6" s="421"/>
      <c r="AR6" s="421"/>
      <c r="AS6" s="421"/>
      <c r="AT6" s="421"/>
      <c r="AU6" s="421"/>
      <c r="AV6" s="421"/>
      <c r="AW6" s="421"/>
      <c r="AX6" s="421"/>
      <c r="AY6" s="421"/>
      <c r="AZ6" s="446"/>
      <c r="BA6" s="459"/>
    </row>
    <row r="7" spans="1:53" x14ac:dyDescent="0.25">
      <c r="A7" s="420"/>
      <c r="B7" s="421" t="s">
        <v>127</v>
      </c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3"/>
      <c r="AA7" s="434"/>
      <c r="AB7" s="421" t="s">
        <v>197</v>
      </c>
      <c r="AC7" s="421"/>
      <c r="AD7" s="421"/>
      <c r="AE7" s="421"/>
      <c r="AF7" s="421"/>
      <c r="AG7" s="421"/>
      <c r="AH7" s="421"/>
      <c r="AI7" s="421"/>
      <c r="AJ7" s="421"/>
      <c r="AK7" s="421"/>
      <c r="AL7" s="421"/>
      <c r="AM7" s="421"/>
      <c r="AN7" s="421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46"/>
      <c r="BA7" s="459"/>
    </row>
    <row r="8" spans="1:53" x14ac:dyDescent="0.25">
      <c r="A8" s="420"/>
      <c r="B8" s="421" t="s">
        <v>129</v>
      </c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1"/>
      <c r="Q8" s="421"/>
      <c r="R8" s="421"/>
      <c r="S8" s="421"/>
      <c r="T8" s="421"/>
      <c r="U8" s="421"/>
      <c r="V8" s="421"/>
      <c r="W8" s="421"/>
      <c r="X8" s="421"/>
      <c r="Y8" s="421"/>
      <c r="Z8" s="423"/>
      <c r="AA8" s="434"/>
      <c r="AB8" s="421"/>
      <c r="AC8" s="421"/>
      <c r="AD8" s="421"/>
      <c r="AE8" s="421"/>
      <c r="AF8" s="421"/>
      <c r="AG8" s="421"/>
      <c r="AH8" s="421"/>
      <c r="AI8" s="421"/>
      <c r="AJ8" s="421"/>
      <c r="AK8" s="421"/>
      <c r="AL8" s="421"/>
      <c r="AM8" s="421"/>
      <c r="AN8" s="421"/>
      <c r="AO8" s="421"/>
      <c r="AP8" s="421"/>
      <c r="AQ8" s="421"/>
      <c r="AR8" s="421"/>
      <c r="AS8" s="421"/>
      <c r="AT8" s="421"/>
      <c r="AU8" s="421"/>
      <c r="AV8" s="421"/>
      <c r="AW8" s="421"/>
      <c r="AX8" s="421"/>
      <c r="AY8" s="421"/>
      <c r="AZ8" s="446"/>
      <c r="BA8" s="459"/>
    </row>
    <row r="9" spans="1:53" x14ac:dyDescent="0.25">
      <c r="A9" s="420"/>
      <c r="B9" s="421" t="s">
        <v>128</v>
      </c>
      <c r="C9" s="421"/>
      <c r="D9" s="421"/>
      <c r="E9" s="421"/>
      <c r="F9" s="421"/>
      <c r="G9" s="421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  <c r="S9" s="421"/>
      <c r="T9" s="421"/>
      <c r="U9" s="421"/>
      <c r="V9" s="421"/>
      <c r="W9" s="421"/>
      <c r="X9" s="421"/>
      <c r="Y9" s="421"/>
      <c r="Z9" s="423"/>
      <c r="AA9" s="434"/>
      <c r="AB9" s="421" t="s">
        <v>198</v>
      </c>
      <c r="AD9" s="421"/>
      <c r="AE9" s="421"/>
      <c r="AF9" s="421"/>
      <c r="AG9" s="421"/>
      <c r="AH9" s="421"/>
      <c r="AI9" s="421"/>
      <c r="AJ9" s="421"/>
      <c r="AK9" s="421"/>
      <c r="AL9" s="421"/>
      <c r="AM9" s="421"/>
      <c r="AN9" s="421"/>
      <c r="AO9" s="421"/>
      <c r="AP9" s="421"/>
      <c r="AQ9" s="421"/>
      <c r="AR9" s="421"/>
      <c r="AS9" s="421"/>
      <c r="AT9" s="421"/>
      <c r="AU9" s="421"/>
      <c r="AV9" s="421"/>
      <c r="AW9" s="421"/>
      <c r="AX9" s="421"/>
      <c r="AY9" s="421"/>
      <c r="AZ9" s="446"/>
      <c r="BA9" s="459"/>
    </row>
    <row r="10" spans="1:53" x14ac:dyDescent="0.25">
      <c r="A10" s="420"/>
      <c r="B10" s="421"/>
      <c r="C10" s="421"/>
      <c r="D10" s="421"/>
      <c r="E10" s="421"/>
      <c r="F10" s="421"/>
      <c r="G10" s="421"/>
      <c r="H10" s="421"/>
      <c r="I10" s="421"/>
      <c r="J10" s="421"/>
      <c r="K10" s="421"/>
      <c r="L10" s="421"/>
      <c r="M10" s="421"/>
      <c r="N10" s="421"/>
      <c r="O10" s="421"/>
      <c r="P10" s="421"/>
      <c r="Q10" s="421"/>
      <c r="R10" s="421"/>
      <c r="S10" s="421"/>
      <c r="T10" s="421"/>
      <c r="U10" s="421"/>
      <c r="V10" s="421"/>
      <c r="W10" s="421"/>
      <c r="X10" s="421"/>
      <c r="Y10" s="421"/>
      <c r="Z10" s="423"/>
      <c r="AA10" s="434"/>
      <c r="AB10" s="421"/>
      <c r="AD10" s="421"/>
      <c r="AE10" s="421"/>
      <c r="AF10" s="421"/>
      <c r="AG10" s="421"/>
      <c r="AH10" s="421"/>
      <c r="AI10" s="421"/>
      <c r="AJ10" s="421"/>
      <c r="AK10" s="421"/>
      <c r="AL10" s="421"/>
      <c r="AM10" s="421"/>
      <c r="AN10" s="421"/>
      <c r="AO10" s="421"/>
      <c r="AP10" s="421"/>
      <c r="AQ10" s="421"/>
      <c r="AR10" s="421"/>
      <c r="AS10" s="421"/>
      <c r="AT10" s="421"/>
      <c r="AU10" s="421"/>
      <c r="AV10" s="421"/>
      <c r="AW10" s="421"/>
      <c r="AX10" s="421"/>
      <c r="AY10" s="421"/>
      <c r="AZ10" s="446"/>
      <c r="BA10" s="459"/>
    </row>
    <row r="11" spans="1:53" x14ac:dyDescent="0.25">
      <c r="A11" s="420"/>
      <c r="B11" s="421" t="s">
        <v>84</v>
      </c>
      <c r="C11" s="421"/>
      <c r="D11" s="421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421"/>
      <c r="P11" s="421"/>
      <c r="Q11" s="421"/>
      <c r="R11" s="421"/>
      <c r="S11" s="421"/>
      <c r="T11" s="421"/>
      <c r="U11" s="421"/>
      <c r="V11" s="421"/>
      <c r="W11" s="421"/>
      <c r="X11" s="421"/>
      <c r="Y11" s="421"/>
      <c r="Z11" s="423"/>
      <c r="AA11" s="434"/>
      <c r="AB11" s="421" t="s">
        <v>200</v>
      </c>
      <c r="AD11" s="421"/>
      <c r="AE11" s="421"/>
      <c r="AF11" s="421"/>
      <c r="AG11" s="421"/>
      <c r="AH11" s="421"/>
      <c r="AI11" s="421"/>
      <c r="AJ11" s="421"/>
      <c r="AK11" s="421"/>
      <c r="AL11" s="421"/>
      <c r="AM11" s="421"/>
      <c r="AN11" s="421"/>
      <c r="AO11" s="421"/>
      <c r="AP11" s="421"/>
      <c r="AQ11" s="421"/>
      <c r="AR11" s="421"/>
      <c r="AS11" s="421"/>
      <c r="AT11" s="421"/>
      <c r="AU11" s="421"/>
      <c r="AV11" s="421"/>
      <c r="AW11" s="421"/>
      <c r="AX11" s="421"/>
      <c r="AY11" s="421"/>
      <c r="AZ11" s="446"/>
      <c r="BA11" s="459"/>
    </row>
    <row r="12" spans="1:53" x14ac:dyDescent="0.25">
      <c r="A12" s="420"/>
      <c r="B12" s="421" t="s">
        <v>85</v>
      </c>
      <c r="C12" s="421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421"/>
      <c r="S12" s="421"/>
      <c r="T12" s="421"/>
      <c r="U12" s="421"/>
      <c r="V12" s="421"/>
      <c r="W12" s="421"/>
      <c r="X12" s="421"/>
      <c r="Y12" s="421"/>
      <c r="Z12" s="423"/>
      <c r="AA12" s="434"/>
      <c r="AB12" s="421"/>
      <c r="AD12" s="421"/>
      <c r="AE12" s="421"/>
      <c r="AF12" s="421"/>
      <c r="AG12" s="421"/>
      <c r="AH12" s="421"/>
      <c r="AI12" s="421"/>
      <c r="AJ12" s="421"/>
      <c r="AK12" s="421"/>
      <c r="AL12" s="421"/>
      <c r="AM12" s="421"/>
      <c r="AN12" s="421"/>
      <c r="AO12" s="421"/>
      <c r="AP12" s="421"/>
      <c r="AQ12" s="421"/>
      <c r="AR12" s="421"/>
      <c r="AS12" s="421"/>
      <c r="AT12" s="421"/>
      <c r="AU12" s="421"/>
      <c r="AV12" s="421"/>
      <c r="AW12" s="421"/>
      <c r="AX12" s="421"/>
      <c r="AY12" s="421"/>
      <c r="AZ12" s="446"/>
      <c r="BA12" s="459"/>
    </row>
    <row r="13" spans="1:53" x14ac:dyDescent="0.25">
      <c r="A13" s="420"/>
      <c r="B13" s="421" t="s">
        <v>122</v>
      </c>
      <c r="C13" s="421"/>
      <c r="D13" s="421"/>
      <c r="E13" s="421"/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21"/>
      <c r="X13" s="421"/>
      <c r="Y13" s="421"/>
      <c r="Z13" s="423"/>
      <c r="AA13" s="434"/>
      <c r="AB13" s="421" t="s">
        <v>199</v>
      </c>
      <c r="AC13" s="421"/>
      <c r="AD13" s="421"/>
      <c r="AE13" s="421"/>
      <c r="AF13" s="421"/>
      <c r="AG13" s="421"/>
      <c r="AH13" s="421"/>
      <c r="AI13" s="421"/>
      <c r="AJ13" s="421"/>
      <c r="AK13" s="421"/>
      <c r="AL13" s="421"/>
      <c r="AM13" s="421"/>
      <c r="AN13" s="421"/>
      <c r="AO13" s="421"/>
      <c r="AP13" s="421"/>
      <c r="AQ13" s="421"/>
      <c r="AR13" s="421"/>
      <c r="AS13" s="421"/>
      <c r="AT13" s="421"/>
      <c r="AU13" s="421"/>
      <c r="AV13" s="421"/>
      <c r="AW13" s="421"/>
      <c r="AX13" s="421"/>
      <c r="AY13" s="421"/>
      <c r="AZ13" s="446"/>
      <c r="BA13" s="459"/>
    </row>
    <row r="14" spans="1:53" x14ac:dyDescent="0.25">
      <c r="A14" s="420"/>
      <c r="B14" s="526" t="s">
        <v>123</v>
      </c>
      <c r="C14" s="421"/>
      <c r="D14" s="421"/>
      <c r="E14" s="421"/>
      <c r="F14" s="421"/>
      <c r="G14" s="421"/>
      <c r="H14" s="421"/>
      <c r="I14" s="421"/>
      <c r="J14" s="421"/>
      <c r="K14" s="421"/>
      <c r="L14" s="421"/>
      <c r="M14" s="421"/>
      <c r="N14" s="421"/>
      <c r="O14" s="421"/>
      <c r="P14" s="421"/>
      <c r="Q14" s="421"/>
      <c r="R14" s="421"/>
      <c r="S14" s="421"/>
      <c r="T14" s="421"/>
      <c r="U14" s="421"/>
      <c r="V14" s="421"/>
      <c r="W14" s="421"/>
      <c r="X14" s="421"/>
      <c r="Y14" s="421"/>
      <c r="Z14" s="423"/>
      <c r="AA14" s="434"/>
      <c r="AB14" s="421"/>
      <c r="AC14" s="421"/>
      <c r="AD14" s="421"/>
      <c r="AE14" s="421"/>
      <c r="AF14" s="421"/>
      <c r="AG14" s="421"/>
      <c r="AH14" s="421"/>
      <c r="AI14" s="421"/>
      <c r="AJ14" s="421"/>
      <c r="AK14" s="421"/>
      <c r="AL14" s="421"/>
      <c r="AM14" s="421"/>
      <c r="AN14" s="421"/>
      <c r="AO14" s="421"/>
      <c r="AP14" s="421"/>
      <c r="AQ14" s="421"/>
      <c r="AR14" s="421"/>
      <c r="AS14" s="421"/>
      <c r="AT14" s="421"/>
      <c r="AU14" s="421"/>
      <c r="AV14" s="421"/>
      <c r="AW14" s="421"/>
      <c r="AX14" s="421"/>
      <c r="AY14" s="421"/>
      <c r="AZ14" s="446"/>
      <c r="BA14" s="459"/>
    </row>
    <row r="15" spans="1:53" ht="17.25" x14ac:dyDescent="0.25">
      <c r="A15" s="420"/>
      <c r="B15" s="527" t="s">
        <v>132</v>
      </c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421"/>
      <c r="O15" s="421"/>
      <c r="P15" s="421"/>
      <c r="Q15" s="421"/>
      <c r="R15" s="421"/>
      <c r="S15" s="421"/>
      <c r="T15" s="421"/>
      <c r="U15" s="421"/>
      <c r="V15" s="421"/>
      <c r="W15" s="421"/>
      <c r="X15" s="421"/>
      <c r="Y15" s="421"/>
      <c r="Z15" s="423"/>
      <c r="AA15" s="434"/>
      <c r="AB15" s="421" t="s">
        <v>298</v>
      </c>
      <c r="AC15" s="421"/>
      <c r="AD15" s="421"/>
      <c r="AF15" s="421"/>
      <c r="AG15" s="421"/>
      <c r="AH15" s="421"/>
      <c r="AI15" s="421"/>
      <c r="AJ15" s="421"/>
      <c r="AK15" s="421"/>
      <c r="AL15" s="421"/>
      <c r="AM15" s="421"/>
      <c r="AN15" s="421"/>
      <c r="AO15" s="421"/>
      <c r="AP15" s="421"/>
      <c r="AQ15" s="421"/>
      <c r="AR15" s="421"/>
      <c r="AS15" s="421"/>
      <c r="AT15" s="421"/>
      <c r="AU15" s="421"/>
      <c r="AV15" s="421"/>
      <c r="AW15" s="421"/>
      <c r="AX15" s="421"/>
      <c r="AY15" s="421"/>
      <c r="AZ15" s="446"/>
      <c r="BA15" s="459"/>
    </row>
    <row r="16" spans="1:53" x14ac:dyDescent="0.25">
      <c r="A16" s="420"/>
      <c r="B16" s="425" t="s">
        <v>133</v>
      </c>
      <c r="C16" s="421"/>
      <c r="D16" s="421"/>
      <c r="E16" s="421"/>
      <c r="F16" s="421"/>
      <c r="G16" s="421"/>
      <c r="H16" s="421"/>
      <c r="I16" s="421"/>
      <c r="J16" s="421"/>
      <c r="K16" s="421"/>
      <c r="L16" s="421"/>
      <c r="M16" s="421"/>
      <c r="N16" s="421"/>
      <c r="O16" s="421"/>
      <c r="P16" s="421"/>
      <c r="Q16" s="421"/>
      <c r="R16" s="421"/>
      <c r="S16" s="421"/>
      <c r="T16" s="421"/>
      <c r="U16" s="421"/>
      <c r="V16" s="421"/>
      <c r="W16" s="421"/>
      <c r="X16" s="421"/>
      <c r="Y16" s="421"/>
      <c r="Z16" s="423"/>
      <c r="AA16" s="434"/>
      <c r="AB16" s="421"/>
      <c r="AC16" s="421"/>
      <c r="AD16" s="421"/>
      <c r="AF16" s="421"/>
      <c r="AG16" s="421"/>
      <c r="AH16" s="421"/>
      <c r="AI16" s="421"/>
      <c r="AJ16" s="421"/>
      <c r="AK16" s="421"/>
      <c r="AL16" s="421"/>
      <c r="AM16" s="421"/>
      <c r="AN16" s="421"/>
      <c r="AO16" s="421"/>
      <c r="AP16" s="421"/>
      <c r="AQ16" s="421"/>
      <c r="AR16" s="421"/>
      <c r="AS16" s="421"/>
      <c r="AT16" s="421"/>
      <c r="AU16" s="421"/>
      <c r="AV16" s="421"/>
      <c r="AW16" s="421"/>
      <c r="AX16" s="421"/>
      <c r="AY16" s="421"/>
      <c r="AZ16" s="446"/>
      <c r="BA16" s="459"/>
    </row>
    <row r="17" spans="1:53" ht="17.25" x14ac:dyDescent="0.25">
      <c r="A17" s="420"/>
      <c r="B17" s="527" t="s">
        <v>124</v>
      </c>
      <c r="C17" s="421"/>
      <c r="D17" s="421"/>
      <c r="E17" s="421"/>
      <c r="F17" s="421"/>
      <c r="G17" s="421"/>
      <c r="H17" s="421"/>
      <c r="I17" s="421"/>
      <c r="J17" s="421"/>
      <c r="K17" s="421"/>
      <c r="L17" s="421"/>
      <c r="M17" s="421"/>
      <c r="N17" s="421"/>
      <c r="O17" s="421"/>
      <c r="P17" s="421"/>
      <c r="Q17" s="421"/>
      <c r="R17" s="421"/>
      <c r="S17" s="421"/>
      <c r="T17" s="421"/>
      <c r="U17" s="421"/>
      <c r="V17" s="421"/>
      <c r="W17" s="421"/>
      <c r="X17" s="421"/>
      <c r="Y17" s="421"/>
      <c r="Z17" s="423"/>
      <c r="AA17" s="434"/>
      <c r="AB17" s="421" t="s">
        <v>274</v>
      </c>
      <c r="AC17" s="421"/>
      <c r="AD17" s="421"/>
      <c r="AF17" s="421"/>
      <c r="AG17" s="421"/>
      <c r="AH17" s="421"/>
      <c r="AI17" s="421"/>
      <c r="AJ17" s="421"/>
      <c r="AK17" s="421"/>
      <c r="AL17" s="421"/>
      <c r="AM17" s="421"/>
      <c r="AN17" s="421"/>
      <c r="AO17" s="421"/>
      <c r="AP17" s="421"/>
      <c r="AQ17" s="421"/>
      <c r="AR17" s="421"/>
      <c r="AS17" s="421"/>
      <c r="AT17" s="421"/>
      <c r="AU17" s="421"/>
      <c r="AV17" s="421"/>
      <c r="AW17" s="421"/>
      <c r="AX17" s="421"/>
      <c r="AY17" s="421"/>
      <c r="AZ17" s="446"/>
      <c r="BA17" s="459"/>
    </row>
    <row r="18" spans="1:53" x14ac:dyDescent="0.25">
      <c r="A18" s="420"/>
      <c r="B18" s="421" t="s">
        <v>125</v>
      </c>
      <c r="C18" s="421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421"/>
      <c r="S18" s="421"/>
      <c r="T18" s="421"/>
      <c r="U18" s="421"/>
      <c r="V18" s="421"/>
      <c r="W18" s="421"/>
      <c r="X18" s="421"/>
      <c r="Y18" s="421"/>
      <c r="Z18" s="423"/>
      <c r="AA18" s="434"/>
      <c r="AB18" s="421"/>
      <c r="AC18" s="447" t="s">
        <v>183</v>
      </c>
      <c r="AD18" s="447"/>
      <c r="AF18" s="421"/>
      <c r="AG18" s="421"/>
      <c r="AH18" s="421"/>
      <c r="AI18" s="421"/>
      <c r="AJ18" s="421"/>
      <c r="AK18" s="421"/>
      <c r="AL18" s="421"/>
      <c r="AM18" s="421"/>
      <c r="AN18" s="421"/>
      <c r="AO18" s="421"/>
      <c r="AP18" s="421"/>
      <c r="AQ18" s="421"/>
      <c r="AR18" s="421"/>
      <c r="AS18" s="421"/>
      <c r="AT18" s="421"/>
      <c r="AU18" s="421"/>
      <c r="AV18" s="421"/>
      <c r="AW18" s="421"/>
      <c r="AX18" s="421"/>
      <c r="AY18" s="421"/>
      <c r="AZ18" s="446"/>
      <c r="BA18" s="459"/>
    </row>
    <row r="19" spans="1:53" x14ac:dyDescent="0.25">
      <c r="A19" s="420"/>
      <c r="B19" s="421" t="s">
        <v>130</v>
      </c>
      <c r="C19" s="421"/>
      <c r="D19" s="421"/>
      <c r="E19" s="421"/>
      <c r="F19" s="421"/>
      <c r="G19" s="421"/>
      <c r="H19" s="421"/>
      <c r="I19" s="421"/>
      <c r="J19" s="421"/>
      <c r="K19" s="421"/>
      <c r="L19" s="42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423"/>
      <c r="AA19" s="434"/>
      <c r="AB19" s="421"/>
      <c r="AC19" s="447" t="s">
        <v>184</v>
      </c>
      <c r="AD19" s="447"/>
      <c r="AF19" s="421"/>
      <c r="AG19" s="421"/>
      <c r="AH19" s="421"/>
      <c r="AI19" s="421"/>
      <c r="AJ19" s="421"/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46"/>
      <c r="BA19" s="459"/>
    </row>
    <row r="20" spans="1:53" x14ac:dyDescent="0.25">
      <c r="A20" s="420"/>
      <c r="B20" s="421" t="s">
        <v>131</v>
      </c>
      <c r="C20" s="421"/>
      <c r="D20" s="421"/>
      <c r="E20" s="421"/>
      <c r="F20" s="421"/>
      <c r="G20" s="421"/>
      <c r="H20" s="421"/>
      <c r="I20" s="421"/>
      <c r="J20" s="421"/>
      <c r="K20" s="421"/>
      <c r="L20" s="421"/>
      <c r="M20" s="421"/>
      <c r="N20" s="421"/>
      <c r="O20" s="421"/>
      <c r="P20" s="421"/>
      <c r="Q20" s="421"/>
      <c r="R20" s="421"/>
      <c r="S20" s="421"/>
      <c r="T20" s="421"/>
      <c r="U20" s="421"/>
      <c r="V20" s="421"/>
      <c r="W20" s="421"/>
      <c r="X20" s="421"/>
      <c r="Y20" s="421"/>
      <c r="Z20" s="423"/>
      <c r="AA20" s="434"/>
      <c r="AB20" s="421"/>
      <c r="AC20" s="447" t="s">
        <v>185</v>
      </c>
      <c r="AD20" s="447"/>
      <c r="AF20" s="421"/>
      <c r="AG20" s="421"/>
      <c r="AH20" s="421"/>
      <c r="AI20" s="421"/>
      <c r="AJ20" s="421"/>
      <c r="AK20" s="421"/>
      <c r="AL20" s="421"/>
      <c r="AM20" s="421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1"/>
      <c r="AZ20" s="446"/>
      <c r="BA20" s="459"/>
    </row>
    <row r="21" spans="1:53" x14ac:dyDescent="0.25">
      <c r="A21" s="420"/>
      <c r="B21" s="421"/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3"/>
      <c r="AA21" s="434"/>
      <c r="AB21" s="421"/>
      <c r="AF21" s="421"/>
      <c r="AG21" s="421"/>
      <c r="AH21" s="421"/>
      <c r="AI21" s="421"/>
      <c r="AJ21" s="421"/>
      <c r="AK21" s="421"/>
      <c r="AL21" s="421"/>
      <c r="AM21" s="421"/>
      <c r="AN21" s="421"/>
      <c r="AO21" s="421"/>
      <c r="AP21" s="421"/>
      <c r="AQ21" s="421"/>
      <c r="AR21" s="421"/>
      <c r="AS21" s="421"/>
      <c r="AT21" s="421"/>
      <c r="AU21" s="421"/>
      <c r="AV21" s="421"/>
      <c r="AW21" s="421"/>
      <c r="AX21" s="421"/>
      <c r="AY21" s="421"/>
      <c r="AZ21" s="446"/>
      <c r="BA21" s="459"/>
    </row>
    <row r="22" spans="1:53" x14ac:dyDescent="0.25">
      <c r="A22" s="420"/>
      <c r="B22" s="421" t="s">
        <v>277</v>
      </c>
      <c r="C22" s="421"/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1"/>
      <c r="W22" s="421"/>
      <c r="X22" s="421"/>
      <c r="Y22" s="421"/>
      <c r="Z22" s="423"/>
      <c r="AA22" s="434"/>
      <c r="AB22" s="421"/>
      <c r="AC22" s="447" t="s">
        <v>186</v>
      </c>
      <c r="AD22" s="447"/>
      <c r="AF22" s="421"/>
      <c r="AG22" s="421"/>
      <c r="AH22" s="421"/>
      <c r="AI22" s="421"/>
      <c r="AJ22" s="421"/>
      <c r="AK22" s="421"/>
      <c r="AL22" s="421"/>
      <c r="AM22" s="421"/>
      <c r="AN22" s="421"/>
      <c r="AO22" s="421"/>
      <c r="AP22" s="421"/>
      <c r="AQ22" s="421"/>
      <c r="AR22" s="421"/>
      <c r="AS22" s="421"/>
      <c r="AT22" s="421"/>
      <c r="AU22" s="421"/>
      <c r="AV22" s="421"/>
      <c r="AW22" s="421"/>
      <c r="AX22" s="421"/>
      <c r="AY22" s="421"/>
      <c r="AZ22" s="446"/>
      <c r="BA22" s="459"/>
    </row>
    <row r="23" spans="1:53" x14ac:dyDescent="0.25">
      <c r="A23" s="420"/>
      <c r="B23" s="421" t="s">
        <v>278</v>
      </c>
      <c r="C23" s="421"/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421"/>
      <c r="S23" s="421"/>
      <c r="T23" s="421"/>
      <c r="U23" s="421"/>
      <c r="V23" s="421"/>
      <c r="W23" s="421"/>
      <c r="X23" s="421"/>
      <c r="Y23" s="421"/>
      <c r="Z23" s="423"/>
      <c r="AA23" s="434"/>
      <c r="AB23" s="421"/>
      <c r="AC23" s="447" t="s">
        <v>187</v>
      </c>
      <c r="AD23" s="447"/>
      <c r="AF23" s="421"/>
      <c r="AG23" s="421"/>
      <c r="AH23" s="421"/>
      <c r="AI23" s="421"/>
      <c r="AJ23" s="421"/>
      <c r="AK23" s="421"/>
      <c r="AL23" s="421"/>
      <c r="AM23" s="421"/>
      <c r="AN23" s="421"/>
      <c r="AO23" s="421"/>
      <c r="AP23" s="421"/>
      <c r="AQ23" s="421"/>
      <c r="AR23" s="421"/>
      <c r="AS23" s="421"/>
      <c r="AT23" s="421"/>
      <c r="AU23" s="421"/>
      <c r="AV23" s="421"/>
      <c r="AW23" s="421"/>
      <c r="AX23" s="421"/>
      <c r="AY23" s="421"/>
      <c r="AZ23" s="446"/>
      <c r="BA23" s="459"/>
    </row>
    <row r="24" spans="1:53" x14ac:dyDescent="0.25">
      <c r="A24" s="420"/>
      <c r="B24" s="421" t="s">
        <v>279</v>
      </c>
      <c r="C24" s="421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421"/>
      <c r="S24" s="421"/>
      <c r="T24" s="421"/>
      <c r="U24" s="421"/>
      <c r="V24" s="421"/>
      <c r="W24" s="421"/>
      <c r="X24" s="421"/>
      <c r="Y24" s="421"/>
      <c r="Z24" s="423"/>
      <c r="AA24" s="434"/>
      <c r="AB24" s="421"/>
      <c r="AC24" s="447" t="s">
        <v>188</v>
      </c>
      <c r="AD24" s="447"/>
      <c r="AF24" s="421"/>
      <c r="AG24" s="421"/>
      <c r="AH24" s="421"/>
      <c r="AI24" s="421"/>
      <c r="AJ24" s="421"/>
      <c r="AK24" s="421"/>
      <c r="AL24" s="421"/>
      <c r="AM24" s="421"/>
      <c r="AN24" s="421"/>
      <c r="AO24" s="421"/>
      <c r="AP24" s="421"/>
      <c r="AQ24" s="421"/>
      <c r="AR24" s="421"/>
      <c r="AS24" s="421"/>
      <c r="AT24" s="421"/>
      <c r="AU24" s="421"/>
      <c r="AV24" s="421"/>
      <c r="AW24" s="421"/>
      <c r="AX24" s="421"/>
      <c r="AY24" s="421"/>
      <c r="AZ24" s="446"/>
      <c r="BA24" s="459"/>
    </row>
    <row r="25" spans="1:53" x14ac:dyDescent="0.25">
      <c r="A25" s="420"/>
      <c r="B25" s="421" t="s">
        <v>280</v>
      </c>
      <c r="C25" s="421"/>
      <c r="D25" s="421"/>
      <c r="E25" s="421"/>
      <c r="F25" s="421"/>
      <c r="G25" s="421"/>
      <c r="H25" s="421"/>
      <c r="I25" s="421"/>
      <c r="J25" s="421"/>
      <c r="K25" s="421"/>
      <c r="L25" s="421"/>
      <c r="M25" s="421"/>
      <c r="N25" s="421"/>
      <c r="O25" s="421"/>
      <c r="P25" s="421"/>
      <c r="Q25" s="421"/>
      <c r="R25" s="421"/>
      <c r="S25" s="421"/>
      <c r="T25" s="421"/>
      <c r="U25" s="421"/>
      <c r="V25" s="421"/>
      <c r="W25" s="421"/>
      <c r="X25" s="421"/>
      <c r="Y25" s="421"/>
      <c r="Z25" s="423"/>
      <c r="AA25" s="434"/>
      <c r="AB25" s="421"/>
      <c r="AC25" s="447" t="s">
        <v>189</v>
      </c>
      <c r="AD25" s="447"/>
      <c r="AF25" s="421"/>
      <c r="AG25" s="421"/>
      <c r="AH25" s="421"/>
      <c r="AI25" s="421"/>
      <c r="AJ25" s="421"/>
      <c r="AK25" s="421"/>
      <c r="AL25" s="421"/>
      <c r="AM25" s="421"/>
      <c r="AN25" s="421"/>
      <c r="AO25" s="421"/>
      <c r="AP25" s="421"/>
      <c r="AQ25" s="421"/>
      <c r="AR25" s="421"/>
      <c r="AS25" s="421"/>
      <c r="AT25" s="421"/>
      <c r="AU25" s="421"/>
      <c r="AV25" s="421"/>
      <c r="AW25" s="421"/>
      <c r="AX25" s="421"/>
      <c r="AY25" s="421"/>
      <c r="AZ25" s="446"/>
      <c r="BA25" s="459"/>
    </row>
    <row r="26" spans="1:53" x14ac:dyDescent="0.25">
      <c r="A26" s="420"/>
      <c r="B26" s="421" t="s">
        <v>281</v>
      </c>
      <c r="C26" s="421"/>
      <c r="D26" s="421"/>
      <c r="E26" s="421"/>
      <c r="F26" s="421"/>
      <c r="G26" s="421"/>
      <c r="H26" s="421"/>
      <c r="I26" s="421"/>
      <c r="J26" s="421"/>
      <c r="K26" s="421"/>
      <c r="L26" s="421"/>
      <c r="M26" s="421"/>
      <c r="N26" s="421"/>
      <c r="O26" s="421"/>
      <c r="P26" s="421"/>
      <c r="Q26" s="421"/>
      <c r="R26" s="421"/>
      <c r="S26" s="421"/>
      <c r="T26" s="421"/>
      <c r="U26" s="421"/>
      <c r="V26" s="421"/>
      <c r="W26" s="421"/>
      <c r="X26" s="421"/>
      <c r="Y26" s="421"/>
      <c r="Z26" s="423"/>
      <c r="AA26" s="434"/>
      <c r="AB26" s="421"/>
      <c r="AC26" s="421"/>
      <c r="AD26" s="421"/>
      <c r="AF26" s="421"/>
      <c r="AG26" s="421"/>
      <c r="AH26" s="421"/>
      <c r="AI26" s="421"/>
      <c r="AJ26" s="421"/>
      <c r="AK26" s="421"/>
      <c r="AL26" s="421"/>
      <c r="AM26" s="421"/>
      <c r="AN26" s="421"/>
      <c r="AO26" s="421"/>
      <c r="AP26" s="421"/>
      <c r="AQ26" s="421"/>
      <c r="AR26" s="421"/>
      <c r="AS26" s="421"/>
      <c r="AT26" s="421"/>
      <c r="AU26" s="421"/>
      <c r="AV26" s="421"/>
      <c r="AW26" s="421"/>
      <c r="AX26" s="421"/>
      <c r="AY26" s="421"/>
      <c r="AZ26" s="446"/>
      <c r="BA26" s="460"/>
    </row>
    <row r="27" spans="1:53" x14ac:dyDescent="0.25">
      <c r="A27" s="420"/>
      <c r="B27" s="421" t="s">
        <v>282</v>
      </c>
      <c r="C27" s="421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421"/>
      <c r="S27" s="421"/>
      <c r="T27" s="421"/>
      <c r="U27" s="421"/>
      <c r="V27" s="421"/>
      <c r="W27" s="421"/>
      <c r="X27" s="421"/>
      <c r="Y27" s="421"/>
      <c r="Z27" s="423"/>
      <c r="AA27" s="434"/>
      <c r="AB27" s="421"/>
      <c r="AC27" s="421" t="s">
        <v>190</v>
      </c>
      <c r="AD27" s="421"/>
      <c r="AF27" s="421"/>
      <c r="AG27" s="421"/>
      <c r="AH27" s="421"/>
      <c r="AI27" s="421"/>
      <c r="AJ27" s="421"/>
      <c r="AK27" s="421"/>
      <c r="AL27" s="421"/>
      <c r="AM27" s="421"/>
      <c r="AN27" s="421"/>
      <c r="AO27" s="421"/>
      <c r="AP27" s="421"/>
      <c r="AQ27" s="421"/>
      <c r="AR27" s="421"/>
      <c r="AS27" s="421"/>
      <c r="AT27" s="421"/>
      <c r="AU27" s="421"/>
      <c r="AV27" s="421"/>
      <c r="AW27" s="421"/>
      <c r="AX27" s="421"/>
      <c r="AY27" s="421"/>
      <c r="AZ27" s="446"/>
      <c r="BA27" s="460"/>
    </row>
    <row r="28" spans="1:53" x14ac:dyDescent="0.25">
      <c r="A28" s="420"/>
      <c r="B28" s="421" t="s">
        <v>283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V28" s="421"/>
      <c r="W28" s="421"/>
      <c r="X28" s="421"/>
      <c r="Y28" s="421"/>
      <c r="Z28" s="423"/>
      <c r="AA28" s="434"/>
      <c r="AB28" s="421"/>
      <c r="AC28" s="421" t="s">
        <v>191</v>
      </c>
      <c r="AD28" s="421"/>
      <c r="AF28" s="421"/>
      <c r="AG28" s="421"/>
      <c r="AH28" s="421"/>
      <c r="AI28" s="421"/>
      <c r="AJ28" s="421"/>
      <c r="AK28" s="421"/>
      <c r="AL28" s="421"/>
      <c r="AM28" s="421"/>
      <c r="AN28" s="421"/>
      <c r="AO28" s="421"/>
      <c r="AP28" s="421"/>
      <c r="AQ28" s="421"/>
      <c r="AR28" s="421"/>
      <c r="AS28" s="421"/>
      <c r="AT28" s="421"/>
      <c r="AU28" s="421"/>
      <c r="AV28" s="421"/>
      <c r="AW28" s="421"/>
      <c r="AX28" s="421"/>
      <c r="AY28" s="421"/>
      <c r="AZ28" s="446"/>
      <c r="BA28" s="460"/>
    </row>
    <row r="29" spans="1:53" x14ac:dyDescent="0.25">
      <c r="A29" s="420"/>
      <c r="B29" s="421" t="s">
        <v>284</v>
      </c>
      <c r="C29" s="421"/>
      <c r="D29" s="421"/>
      <c r="E29" s="421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1"/>
      <c r="Z29" s="423"/>
      <c r="AA29" s="434"/>
      <c r="AB29" s="421"/>
      <c r="AC29" s="421" t="s">
        <v>192</v>
      </c>
      <c r="AD29" s="421"/>
      <c r="AF29" s="421"/>
      <c r="AG29" s="421"/>
      <c r="AH29" s="421"/>
      <c r="AI29" s="421"/>
      <c r="AJ29" s="421"/>
      <c r="AK29" s="421"/>
      <c r="AL29" s="421"/>
      <c r="AM29" s="421"/>
      <c r="AN29" s="421"/>
      <c r="AO29" s="421"/>
      <c r="AP29" s="421"/>
      <c r="AQ29" s="421"/>
      <c r="AR29" s="421"/>
      <c r="AS29" s="421"/>
      <c r="AT29" s="421"/>
      <c r="AU29" s="421"/>
      <c r="AV29" s="421"/>
      <c r="AW29" s="421"/>
      <c r="AX29" s="421"/>
      <c r="AY29" s="421"/>
      <c r="AZ29" s="446"/>
      <c r="BA29" s="460"/>
    </row>
    <row r="30" spans="1:53" x14ac:dyDescent="0.25">
      <c r="A30" s="420"/>
      <c r="B30" s="421" t="s">
        <v>285</v>
      </c>
      <c r="C30" s="421"/>
      <c r="D30" s="421"/>
      <c r="E30" s="421"/>
      <c r="F30" s="421"/>
      <c r="G30" s="421"/>
      <c r="H30" s="421"/>
      <c r="I30" s="421"/>
      <c r="J30" s="421"/>
      <c r="K30" s="421"/>
      <c r="L30" s="421"/>
      <c r="M30" s="421"/>
      <c r="N30" s="421"/>
      <c r="O30" s="421"/>
      <c r="P30" s="421"/>
      <c r="Q30" s="421"/>
      <c r="R30" s="421"/>
      <c r="S30" s="421"/>
      <c r="T30" s="421"/>
      <c r="U30" s="421"/>
      <c r="V30" s="421"/>
      <c r="W30" s="421"/>
      <c r="X30" s="421"/>
      <c r="Y30" s="421"/>
      <c r="Z30" s="423"/>
      <c r="AA30" s="434"/>
      <c r="AB30" s="421"/>
      <c r="AC30" s="421" t="s">
        <v>201</v>
      </c>
      <c r="AD30" s="421"/>
      <c r="AF30" s="421"/>
      <c r="AG30" s="421"/>
      <c r="AH30" s="421"/>
      <c r="AI30" s="421"/>
      <c r="AJ30" s="421"/>
      <c r="AK30" s="421"/>
      <c r="AL30" s="421"/>
      <c r="AM30" s="421"/>
      <c r="AN30" s="421"/>
      <c r="AO30" s="421"/>
      <c r="AP30" s="421"/>
      <c r="AQ30" s="421"/>
      <c r="AR30" s="421"/>
      <c r="AS30" s="421"/>
      <c r="AT30" s="421"/>
      <c r="AU30" s="421"/>
      <c r="AV30" s="421"/>
      <c r="AW30" s="421"/>
      <c r="AX30" s="421"/>
      <c r="AY30" s="421"/>
      <c r="AZ30" s="446"/>
      <c r="BA30" s="460"/>
    </row>
    <row r="31" spans="1:53" x14ac:dyDescent="0.25">
      <c r="A31" s="420"/>
      <c r="B31" s="421"/>
      <c r="C31" s="421"/>
      <c r="D31" s="421"/>
      <c r="E31" s="421"/>
      <c r="F31" s="421"/>
      <c r="G31" s="421"/>
      <c r="H31" s="421"/>
      <c r="I31" s="421"/>
      <c r="J31" s="421"/>
      <c r="K31" s="421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3"/>
      <c r="AA31" s="434"/>
      <c r="AB31" s="421"/>
      <c r="AC31" s="421" t="s">
        <v>202</v>
      </c>
      <c r="AD31" s="421"/>
      <c r="AF31" s="421"/>
      <c r="AG31" s="421"/>
      <c r="AH31" s="421"/>
      <c r="AI31" s="421"/>
      <c r="AJ31" s="421"/>
      <c r="AK31" s="421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46"/>
      <c r="BA31" s="460"/>
    </row>
    <row r="32" spans="1:53" x14ac:dyDescent="0.25">
      <c r="A32" s="420"/>
      <c r="B32" s="421" t="s">
        <v>134</v>
      </c>
      <c r="C32" s="421"/>
      <c r="D32" s="421"/>
      <c r="E32" s="421"/>
      <c r="F32" s="421"/>
      <c r="G32" s="421"/>
      <c r="H32" s="421"/>
      <c r="I32" s="421"/>
      <c r="J32" s="421"/>
      <c r="K32" s="421"/>
      <c r="L32" s="421"/>
      <c r="M32" s="421"/>
      <c r="N32" s="421"/>
      <c r="O32" s="421"/>
      <c r="P32" s="421"/>
      <c r="Q32" s="421"/>
      <c r="R32" s="421"/>
      <c r="S32" s="421"/>
      <c r="T32" s="421"/>
      <c r="U32" s="421"/>
      <c r="V32" s="421"/>
      <c r="W32" s="421"/>
      <c r="X32" s="421"/>
      <c r="Y32" s="421"/>
      <c r="Z32" s="423"/>
      <c r="AA32" s="434"/>
      <c r="AB32" s="421"/>
      <c r="AC32" s="421"/>
      <c r="AD32" s="421"/>
      <c r="AF32" s="421"/>
      <c r="AG32" s="421"/>
      <c r="AH32" s="421"/>
      <c r="AI32" s="421"/>
      <c r="AJ32" s="421"/>
      <c r="AK32" s="421"/>
      <c r="AL32" s="421"/>
      <c r="AM32" s="421"/>
      <c r="AN32" s="421"/>
      <c r="AO32" s="421"/>
      <c r="AP32" s="421"/>
      <c r="AQ32" s="421"/>
      <c r="AR32" s="421"/>
      <c r="AS32" s="421"/>
      <c r="AT32" s="421"/>
      <c r="AU32" s="421"/>
      <c r="AV32" s="421"/>
      <c r="AW32" s="421"/>
      <c r="AX32" s="421"/>
      <c r="AY32" s="421"/>
      <c r="AZ32" s="446"/>
      <c r="BA32" s="421"/>
    </row>
    <row r="33" spans="1:52" x14ac:dyDescent="0.25">
      <c r="A33" s="420"/>
      <c r="B33" s="421" t="s">
        <v>135</v>
      </c>
      <c r="C33" s="421"/>
      <c r="D33" s="421"/>
      <c r="E33" s="421"/>
      <c r="F33" s="421"/>
      <c r="G33" s="421"/>
      <c r="H33" s="421"/>
      <c r="I33" s="421"/>
      <c r="J33" s="421"/>
      <c r="K33" s="421"/>
      <c r="L33" s="421"/>
      <c r="M33" s="421"/>
      <c r="N33" s="421"/>
      <c r="O33" s="421"/>
      <c r="P33" s="421"/>
      <c r="Q33" s="421"/>
      <c r="R33" s="421"/>
      <c r="S33" s="421"/>
      <c r="T33" s="421"/>
      <c r="U33" s="421"/>
      <c r="V33" s="421"/>
      <c r="W33" s="421"/>
      <c r="X33" s="421"/>
      <c r="Y33" s="421"/>
      <c r="Z33" s="423"/>
      <c r="AA33" s="434"/>
      <c r="AB33" s="421"/>
      <c r="AC33" s="421" t="s">
        <v>193</v>
      </c>
      <c r="AD33" s="421"/>
      <c r="AF33" s="421"/>
      <c r="AG33" s="421"/>
      <c r="AH33" s="421"/>
      <c r="AI33" s="421"/>
      <c r="AJ33" s="421"/>
      <c r="AK33" s="421"/>
      <c r="AL33" s="421"/>
      <c r="AM33" s="421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46"/>
    </row>
    <row r="34" spans="1:52" x14ac:dyDescent="0.25">
      <c r="A34" s="420"/>
      <c r="B34" s="421" t="s">
        <v>136</v>
      </c>
      <c r="C34" s="421"/>
      <c r="D34" s="421"/>
      <c r="E34" s="421"/>
      <c r="F34" s="421"/>
      <c r="G34" s="421"/>
      <c r="H34" s="421"/>
      <c r="I34" s="421"/>
      <c r="J34" s="421"/>
      <c r="K34" s="421"/>
      <c r="L34" s="421"/>
      <c r="M34" s="421"/>
      <c r="N34" s="421"/>
      <c r="O34" s="421"/>
      <c r="P34" s="421"/>
      <c r="Q34" s="421"/>
      <c r="R34" s="421"/>
      <c r="S34" s="421"/>
      <c r="T34" s="421"/>
      <c r="U34" s="421"/>
      <c r="V34" s="421"/>
      <c r="W34" s="421"/>
      <c r="X34" s="421"/>
      <c r="Y34" s="421"/>
      <c r="Z34" s="423"/>
      <c r="AA34" s="434"/>
      <c r="AB34" s="421"/>
      <c r="AC34" s="421" t="s">
        <v>194</v>
      </c>
      <c r="AD34" s="421"/>
      <c r="AF34" s="421"/>
      <c r="AG34" s="421"/>
      <c r="AH34" s="421"/>
      <c r="AI34" s="421"/>
      <c r="AJ34" s="421"/>
      <c r="AK34" s="421"/>
      <c r="AL34" s="421"/>
      <c r="AM34" s="421"/>
      <c r="AN34" s="421"/>
      <c r="AO34" s="421"/>
      <c r="AP34" s="421"/>
      <c r="AQ34" s="421"/>
      <c r="AR34" s="421"/>
      <c r="AS34" s="421"/>
      <c r="AT34" s="421"/>
      <c r="AU34" s="421"/>
      <c r="AV34" s="421"/>
      <c r="AW34" s="421"/>
      <c r="AX34" s="421"/>
      <c r="AY34" s="421"/>
      <c r="AZ34" s="446"/>
    </row>
    <row r="35" spans="1:52" x14ac:dyDescent="0.25">
      <c r="A35" s="420"/>
      <c r="B35" s="421" t="s">
        <v>138</v>
      </c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3"/>
      <c r="AA35" s="434"/>
      <c r="AB35" s="421"/>
      <c r="AC35" s="421" t="s">
        <v>195</v>
      </c>
      <c r="AD35" s="421"/>
      <c r="AF35" s="421"/>
      <c r="AG35" s="421"/>
      <c r="AH35" s="421"/>
      <c r="AI35" s="421"/>
      <c r="AJ35" s="421"/>
      <c r="AK35" s="421"/>
      <c r="AL35" s="421"/>
      <c r="AM35" s="421"/>
      <c r="AN35" s="421"/>
      <c r="AO35" s="421"/>
      <c r="AP35" s="421"/>
      <c r="AQ35" s="421"/>
      <c r="AR35" s="421"/>
      <c r="AS35" s="421"/>
      <c r="AT35" s="421"/>
      <c r="AU35" s="421"/>
      <c r="AV35" s="421"/>
      <c r="AW35" s="421"/>
      <c r="AX35" s="421"/>
      <c r="AY35" s="421"/>
      <c r="AZ35" s="446"/>
    </row>
    <row r="36" spans="1:52" x14ac:dyDescent="0.25">
      <c r="A36" s="420"/>
      <c r="B36" s="425" t="s">
        <v>139</v>
      </c>
      <c r="C36" s="421"/>
      <c r="D36" s="421"/>
      <c r="E36" s="421"/>
      <c r="F36" s="421"/>
      <c r="G36" s="421"/>
      <c r="H36" s="421"/>
      <c r="I36" s="421"/>
      <c r="J36" s="421"/>
      <c r="K36" s="421"/>
      <c r="L36" s="421"/>
      <c r="M36" s="421"/>
      <c r="N36" s="421"/>
      <c r="O36" s="421"/>
      <c r="P36" s="421"/>
      <c r="Q36" s="421"/>
      <c r="R36" s="421"/>
      <c r="S36" s="421"/>
      <c r="T36" s="421"/>
      <c r="U36" s="421"/>
      <c r="V36" s="421"/>
      <c r="W36" s="421"/>
      <c r="X36" s="421"/>
      <c r="Y36" s="421"/>
      <c r="Z36" s="423"/>
      <c r="AA36" s="434"/>
      <c r="AB36" s="421"/>
      <c r="AC36" s="421" t="s">
        <v>196</v>
      </c>
      <c r="AD36" s="421"/>
      <c r="AF36" s="421"/>
      <c r="AG36" s="421"/>
      <c r="AH36" s="421"/>
      <c r="AI36" s="421"/>
      <c r="AJ36" s="421"/>
      <c r="AK36" s="421"/>
      <c r="AL36" s="421"/>
      <c r="AM36" s="421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/>
      <c r="AZ36" s="446"/>
    </row>
    <row r="37" spans="1:52" x14ac:dyDescent="0.25">
      <c r="A37" s="420"/>
      <c r="B37" s="421" t="s">
        <v>137</v>
      </c>
      <c r="C37" s="421"/>
      <c r="D37" s="421"/>
      <c r="E37" s="421"/>
      <c r="F37" s="421"/>
      <c r="G37" s="421"/>
      <c r="H37" s="421"/>
      <c r="I37" s="421"/>
      <c r="J37" s="421"/>
      <c r="K37" s="421"/>
      <c r="L37" s="421"/>
      <c r="M37" s="421"/>
      <c r="N37" s="421"/>
      <c r="O37" s="421"/>
      <c r="P37" s="421"/>
      <c r="Q37" s="421"/>
      <c r="R37" s="421"/>
      <c r="S37" s="421"/>
      <c r="T37" s="421"/>
      <c r="U37" s="421"/>
      <c r="V37" s="421"/>
      <c r="W37" s="421"/>
      <c r="X37" s="421"/>
      <c r="Y37" s="421"/>
      <c r="Z37" s="423"/>
      <c r="AA37" s="434"/>
      <c r="AB37" s="421"/>
      <c r="AC37" s="421" t="s">
        <v>211</v>
      </c>
      <c r="AD37" s="421"/>
      <c r="AF37" s="421"/>
      <c r="AG37" s="421"/>
      <c r="AH37" s="421"/>
      <c r="AI37" s="421"/>
      <c r="AJ37" s="421"/>
      <c r="AK37" s="421"/>
      <c r="AL37" s="421"/>
      <c r="AM37" s="421"/>
      <c r="AN37" s="421"/>
      <c r="AO37" s="421"/>
      <c r="AP37" s="421"/>
      <c r="AQ37" s="421"/>
      <c r="AR37" s="421"/>
      <c r="AS37" s="421"/>
      <c r="AT37" s="421"/>
      <c r="AU37" s="421"/>
      <c r="AV37" s="421"/>
      <c r="AW37" s="421"/>
      <c r="AX37" s="421"/>
      <c r="AY37" s="421"/>
      <c r="AZ37" s="446"/>
    </row>
    <row r="38" spans="1:52" x14ac:dyDescent="0.25">
      <c r="A38" s="420"/>
      <c r="B38" s="421" t="s">
        <v>286</v>
      </c>
      <c r="C38" s="421"/>
      <c r="D38" s="421"/>
      <c r="E38" s="421"/>
      <c r="F38" s="421"/>
      <c r="G38" s="421"/>
      <c r="H38" s="421"/>
      <c r="I38" s="421"/>
      <c r="J38" s="421"/>
      <c r="K38" s="421"/>
      <c r="L38" s="421"/>
      <c r="M38" s="421"/>
      <c r="N38" s="421"/>
      <c r="O38" s="421"/>
      <c r="P38" s="421"/>
      <c r="Q38" s="421"/>
      <c r="R38" s="421"/>
      <c r="S38" s="421"/>
      <c r="T38" s="421"/>
      <c r="U38" s="421"/>
      <c r="V38" s="421"/>
      <c r="W38" s="421"/>
      <c r="X38" s="421"/>
      <c r="Y38" s="421"/>
      <c r="Z38" s="423"/>
      <c r="AA38" s="434"/>
      <c r="AB38" s="421"/>
      <c r="AC38" s="421"/>
      <c r="AF38" s="421"/>
      <c r="AG38" s="421"/>
      <c r="AH38" s="421"/>
      <c r="AI38" s="421"/>
      <c r="AJ38" s="421"/>
      <c r="AK38" s="421"/>
      <c r="AL38" s="421"/>
      <c r="AM38" s="421"/>
      <c r="AN38" s="421"/>
      <c r="AO38" s="421"/>
      <c r="AP38" s="421"/>
      <c r="AQ38" s="421"/>
      <c r="AR38" s="421"/>
      <c r="AS38" s="421"/>
      <c r="AT38" s="421"/>
      <c r="AU38" s="421"/>
      <c r="AV38" s="421"/>
      <c r="AW38" s="421"/>
      <c r="AX38" s="421"/>
      <c r="AY38" s="421"/>
      <c r="AZ38" s="446"/>
    </row>
    <row r="39" spans="1:52" x14ac:dyDescent="0.25">
      <c r="A39" s="420"/>
      <c r="B39" s="421" t="s">
        <v>140</v>
      </c>
      <c r="C39" s="421"/>
      <c r="D39" s="421"/>
      <c r="E39" s="421"/>
      <c r="F39" s="421"/>
      <c r="G39" s="421"/>
      <c r="H39" s="421"/>
      <c r="I39" s="421"/>
      <c r="J39" s="421"/>
      <c r="K39" s="421"/>
      <c r="L39" s="421"/>
      <c r="M39" s="421"/>
      <c r="N39" s="421"/>
      <c r="O39" s="421"/>
      <c r="P39" s="421"/>
      <c r="Q39" s="421"/>
      <c r="R39" s="421"/>
      <c r="S39" s="421"/>
      <c r="T39" s="421"/>
      <c r="U39" s="421"/>
      <c r="V39" s="421"/>
      <c r="W39" s="421"/>
      <c r="X39" s="421"/>
      <c r="Y39" s="421"/>
      <c r="Z39" s="423"/>
      <c r="AA39" s="434"/>
      <c r="AB39" s="421"/>
      <c r="AG39" s="421"/>
      <c r="AH39" s="421"/>
      <c r="AI39" s="421"/>
      <c r="AJ39" s="421"/>
      <c r="AK39" s="421"/>
      <c r="AL39" s="421"/>
      <c r="AM39" s="421"/>
      <c r="AN39" s="421"/>
      <c r="AO39" s="421"/>
      <c r="AP39" s="421"/>
      <c r="AQ39" s="421"/>
      <c r="AR39" s="421"/>
      <c r="AS39" s="421"/>
      <c r="AT39" s="421"/>
      <c r="AU39" s="421"/>
      <c r="AV39" s="421"/>
      <c r="AW39" s="421"/>
      <c r="AX39" s="421"/>
      <c r="AY39" s="421"/>
      <c r="AZ39" s="446"/>
    </row>
    <row r="40" spans="1:52" ht="17.25" x14ac:dyDescent="0.25">
      <c r="A40" s="420"/>
      <c r="B40" s="527" t="s">
        <v>141</v>
      </c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21"/>
      <c r="O40" s="421"/>
      <c r="P40" s="421"/>
      <c r="Q40" s="421"/>
      <c r="R40" s="421"/>
      <c r="S40" s="421"/>
      <c r="T40" s="421"/>
      <c r="U40" s="421"/>
      <c r="V40" s="421"/>
      <c r="W40" s="421"/>
      <c r="X40" s="421"/>
      <c r="Y40" s="421"/>
      <c r="Z40" s="423"/>
      <c r="AA40" s="434"/>
      <c r="AB40" t="s">
        <v>275</v>
      </c>
      <c r="AX40" s="421"/>
      <c r="AY40" s="421"/>
      <c r="AZ40" s="446"/>
    </row>
    <row r="41" spans="1:52" x14ac:dyDescent="0.25">
      <c r="A41" s="420"/>
      <c r="B41" s="421" t="s">
        <v>287</v>
      </c>
      <c r="C41" s="421"/>
      <c r="D41" s="421"/>
      <c r="E41" s="421"/>
      <c r="F41" s="421"/>
      <c r="G41" s="421"/>
      <c r="H41" s="421"/>
      <c r="I41" s="421"/>
      <c r="J41" s="421"/>
      <c r="K41" s="421"/>
      <c r="L41" s="421"/>
      <c r="M41" s="421"/>
      <c r="N41" s="421"/>
      <c r="O41" s="421"/>
      <c r="P41" s="421"/>
      <c r="Q41" s="421"/>
      <c r="R41" s="421"/>
      <c r="S41" s="421"/>
      <c r="T41" s="421"/>
      <c r="U41" s="421"/>
      <c r="V41" s="421"/>
      <c r="W41" s="421"/>
      <c r="X41" s="421"/>
      <c r="Y41" s="421"/>
      <c r="Z41" s="423"/>
      <c r="AA41" s="434"/>
      <c r="AX41" s="421"/>
      <c r="AY41" s="421"/>
      <c r="AZ41" s="446"/>
    </row>
    <row r="42" spans="1:52" x14ac:dyDescent="0.25">
      <c r="A42" s="420"/>
      <c r="B42" s="421" t="s">
        <v>142</v>
      </c>
      <c r="C42" s="421"/>
      <c r="D42" s="421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3"/>
      <c r="AA42" s="434"/>
      <c r="AX42" s="421"/>
      <c r="AY42" s="421"/>
      <c r="AZ42" s="446"/>
    </row>
    <row r="43" spans="1:52" x14ac:dyDescent="0.25">
      <c r="A43" s="420"/>
      <c r="B43" s="421" t="s">
        <v>143</v>
      </c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3"/>
      <c r="AA43" s="434"/>
      <c r="AX43" s="421"/>
      <c r="AY43" s="421"/>
      <c r="AZ43" s="446"/>
    </row>
    <row r="44" spans="1:52" x14ac:dyDescent="0.25">
      <c r="A44" s="420"/>
      <c r="B44" s="421"/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3"/>
      <c r="AA44" s="434"/>
      <c r="AX44" s="421"/>
      <c r="AY44" s="421"/>
      <c r="AZ44" s="446"/>
    </row>
    <row r="45" spans="1:52" x14ac:dyDescent="0.25">
      <c r="A45" s="420"/>
      <c r="B45" s="421" t="s">
        <v>144</v>
      </c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1"/>
      <c r="V45" s="421"/>
      <c r="W45" s="421"/>
      <c r="X45" s="421"/>
      <c r="Y45" s="421"/>
      <c r="Z45" s="423"/>
      <c r="AA45" s="434"/>
      <c r="AX45" s="421"/>
      <c r="AY45" s="421"/>
      <c r="AZ45" s="446"/>
    </row>
    <row r="46" spans="1:52" x14ac:dyDescent="0.25">
      <c r="A46" s="420"/>
      <c r="B46" s="421" t="s">
        <v>145</v>
      </c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  <c r="N46" s="421"/>
      <c r="O46" s="421"/>
      <c r="P46" s="421"/>
      <c r="Q46" s="421"/>
      <c r="R46" s="421"/>
      <c r="S46" s="421"/>
      <c r="T46" s="421"/>
      <c r="U46" s="421"/>
      <c r="V46" s="421"/>
      <c r="W46" s="421"/>
      <c r="X46" s="421"/>
      <c r="Y46" s="421"/>
      <c r="Z46" s="423"/>
      <c r="AA46" s="434"/>
      <c r="AX46" s="421"/>
      <c r="AY46" s="421"/>
      <c r="AZ46" s="446"/>
    </row>
    <row r="47" spans="1:52" x14ac:dyDescent="0.25">
      <c r="A47" s="420"/>
      <c r="B47" s="421" t="s">
        <v>146</v>
      </c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  <c r="N47" s="421"/>
      <c r="O47" s="421"/>
      <c r="P47" s="421"/>
      <c r="Q47" s="421"/>
      <c r="R47" s="421"/>
      <c r="S47" s="421"/>
      <c r="T47" s="421"/>
      <c r="U47" s="421"/>
      <c r="V47" s="421"/>
      <c r="W47" s="421"/>
      <c r="X47" s="421"/>
      <c r="Y47" s="421"/>
      <c r="Z47" s="423"/>
      <c r="AA47" s="434"/>
      <c r="AW47" s="421"/>
      <c r="AX47" s="421"/>
      <c r="AY47" s="421"/>
      <c r="AZ47" s="446"/>
    </row>
    <row r="48" spans="1:52" x14ac:dyDescent="0.25">
      <c r="A48" s="420"/>
      <c r="B48" s="421" t="s">
        <v>288</v>
      </c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  <c r="N48" s="421"/>
      <c r="O48" s="421"/>
      <c r="P48" s="421"/>
      <c r="Q48" s="421"/>
      <c r="R48" s="421"/>
      <c r="S48" s="421"/>
      <c r="T48" s="421"/>
      <c r="U48" s="421"/>
      <c r="V48" s="421"/>
      <c r="W48" s="421"/>
      <c r="X48" s="421"/>
      <c r="Y48" s="421"/>
      <c r="Z48" s="423"/>
      <c r="AA48" s="434"/>
      <c r="AW48" s="421"/>
      <c r="AX48" s="421"/>
      <c r="AY48" s="421"/>
      <c r="AZ48" s="421"/>
    </row>
    <row r="49" spans="1:26" x14ac:dyDescent="0.25">
      <c r="A49" s="420"/>
      <c r="B49" s="421" t="s">
        <v>289</v>
      </c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  <c r="N49" s="421"/>
      <c r="O49" s="421"/>
      <c r="P49" s="421"/>
      <c r="Q49" s="421"/>
      <c r="R49" s="421"/>
      <c r="S49" s="421"/>
      <c r="T49" s="421"/>
      <c r="U49" s="421"/>
      <c r="V49" s="421"/>
      <c r="W49" s="421"/>
      <c r="X49" s="421"/>
      <c r="Y49" s="421"/>
      <c r="Z49" s="423"/>
    </row>
    <row r="50" spans="1:26" x14ac:dyDescent="0.25">
      <c r="A50" s="420"/>
      <c r="B50" s="421" t="s">
        <v>290</v>
      </c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23"/>
    </row>
    <row r="51" spans="1:26" x14ac:dyDescent="0.25">
      <c r="A51" s="420"/>
      <c r="B51" s="421" t="s">
        <v>291</v>
      </c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3"/>
    </row>
    <row r="52" spans="1:26" x14ac:dyDescent="0.25">
      <c r="A52" s="420"/>
      <c r="B52" s="421" t="s">
        <v>150</v>
      </c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  <c r="N52" s="421"/>
      <c r="O52" s="421"/>
      <c r="P52" s="421"/>
      <c r="Q52" s="421"/>
      <c r="R52" s="421"/>
      <c r="S52" s="421"/>
      <c r="T52" s="421"/>
      <c r="U52" s="421"/>
      <c r="V52" s="421"/>
      <c r="W52" s="421"/>
      <c r="X52" s="421"/>
      <c r="Y52" s="421"/>
      <c r="Z52" s="423"/>
    </row>
    <row r="53" spans="1:26" x14ac:dyDescent="0.25">
      <c r="A53" s="420"/>
      <c r="B53" s="421" t="s">
        <v>147</v>
      </c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3"/>
    </row>
    <row r="54" spans="1:26" x14ac:dyDescent="0.25">
      <c r="A54" s="420"/>
      <c r="B54" s="421" t="s">
        <v>148</v>
      </c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  <c r="N54" s="421"/>
      <c r="O54" s="421"/>
      <c r="P54" s="421"/>
      <c r="Q54" s="421"/>
      <c r="R54" s="421"/>
      <c r="S54" s="421"/>
      <c r="T54" s="421"/>
      <c r="U54" s="421"/>
      <c r="V54" s="421"/>
      <c r="W54" s="421"/>
      <c r="X54" s="421"/>
      <c r="Y54" s="421"/>
      <c r="Z54" s="423"/>
    </row>
    <row r="55" spans="1:26" x14ac:dyDescent="0.25">
      <c r="A55" s="420"/>
      <c r="B55" s="421" t="s">
        <v>149</v>
      </c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1"/>
      <c r="R55" s="421"/>
      <c r="S55" s="421"/>
      <c r="T55" s="421"/>
      <c r="U55" s="421"/>
      <c r="V55" s="421"/>
      <c r="W55" s="421"/>
      <c r="X55" s="421"/>
      <c r="Y55" s="421"/>
      <c r="Z55" s="423"/>
    </row>
    <row r="56" spans="1:26" x14ac:dyDescent="0.25">
      <c r="A56" s="420"/>
      <c r="B56" s="421" t="s">
        <v>230</v>
      </c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  <c r="N56" s="421"/>
      <c r="O56" s="421"/>
      <c r="P56" s="421"/>
      <c r="Q56" s="421"/>
      <c r="R56" s="421"/>
      <c r="S56" s="421"/>
      <c r="T56" s="421"/>
      <c r="U56" s="421"/>
      <c r="V56" s="421"/>
      <c r="W56" s="421"/>
      <c r="X56" s="421"/>
      <c r="Y56" s="421"/>
      <c r="Z56" s="423"/>
    </row>
    <row r="57" spans="1:26" x14ac:dyDescent="0.25">
      <c r="A57" s="420"/>
      <c r="B57" s="421" t="s">
        <v>212</v>
      </c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  <c r="N57" s="421"/>
      <c r="O57" s="421"/>
      <c r="P57" s="421"/>
      <c r="Q57" s="421"/>
      <c r="R57" s="421"/>
      <c r="S57" s="421"/>
      <c r="T57" s="421"/>
      <c r="U57" s="421"/>
      <c r="V57" s="421"/>
      <c r="W57" s="421"/>
      <c r="X57" s="421"/>
      <c r="Y57" s="421"/>
      <c r="Z57" s="423"/>
    </row>
    <row r="58" spans="1:26" x14ac:dyDescent="0.25">
      <c r="A58" s="420"/>
      <c r="B58" s="421" t="s">
        <v>151</v>
      </c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  <c r="N58" s="421"/>
      <c r="O58" s="421"/>
      <c r="P58" s="421"/>
      <c r="Q58" s="421"/>
      <c r="R58" s="421"/>
      <c r="S58" s="421"/>
      <c r="T58" s="421"/>
      <c r="U58" s="421"/>
      <c r="V58" s="421"/>
      <c r="W58" s="421"/>
      <c r="X58" s="421"/>
      <c r="Y58" s="421"/>
      <c r="Z58" s="423"/>
    </row>
    <row r="59" spans="1:26" x14ac:dyDescent="0.25">
      <c r="A59" s="420"/>
      <c r="B59" s="421" t="s">
        <v>152</v>
      </c>
      <c r="C59" s="421"/>
      <c r="D59" s="421"/>
      <c r="E59" s="421"/>
      <c r="F59" s="421"/>
      <c r="G59" s="421"/>
      <c r="H59" s="421"/>
      <c r="I59" s="421"/>
      <c r="J59" s="421"/>
      <c r="K59" s="421"/>
      <c r="L59" s="421"/>
      <c r="M59" s="421"/>
      <c r="N59" s="421"/>
      <c r="O59" s="421"/>
      <c r="P59" s="421"/>
      <c r="Q59" s="421"/>
      <c r="R59" s="421"/>
      <c r="S59" s="421"/>
      <c r="T59" s="421"/>
      <c r="U59" s="421"/>
      <c r="V59" s="421"/>
      <c r="W59" s="421"/>
      <c r="X59" s="421"/>
      <c r="Y59" s="421"/>
      <c r="Z59" s="423"/>
    </row>
    <row r="60" spans="1:26" x14ac:dyDescent="0.25">
      <c r="A60" s="420"/>
      <c r="B60" s="421" t="s">
        <v>153</v>
      </c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1"/>
      <c r="P60" s="421"/>
      <c r="Q60" s="421"/>
      <c r="R60" s="421"/>
      <c r="S60" s="421"/>
      <c r="T60" s="421"/>
      <c r="U60" s="421"/>
      <c r="V60" s="421"/>
      <c r="W60" s="421"/>
      <c r="X60" s="421"/>
      <c r="Y60" s="421"/>
      <c r="Z60" s="423"/>
    </row>
    <row r="61" spans="1:26" x14ac:dyDescent="0.25">
      <c r="A61" s="420"/>
      <c r="B61" s="421" t="s">
        <v>154</v>
      </c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V61" s="421"/>
      <c r="W61" s="421"/>
      <c r="X61" s="421"/>
      <c r="Y61" s="421"/>
      <c r="Z61" s="423"/>
    </row>
    <row r="62" spans="1:26" x14ac:dyDescent="0.25">
      <c r="A62" s="420"/>
      <c r="B62" s="421" t="s">
        <v>231</v>
      </c>
      <c r="C62" s="421"/>
      <c r="D62" s="421"/>
      <c r="E62" s="421"/>
      <c r="F62" s="421"/>
      <c r="G62" s="421"/>
      <c r="H62" s="421"/>
      <c r="I62" s="421"/>
      <c r="J62" s="421"/>
      <c r="K62" s="421"/>
      <c r="L62" s="421"/>
      <c r="M62" s="421"/>
      <c r="N62" s="421"/>
      <c r="O62" s="421"/>
      <c r="P62" s="421"/>
      <c r="Q62" s="421"/>
      <c r="R62" s="421"/>
      <c r="S62" s="421"/>
      <c r="T62" s="421"/>
      <c r="U62" s="421"/>
      <c r="V62" s="421"/>
      <c r="W62" s="421"/>
      <c r="X62" s="421"/>
      <c r="Y62" s="421"/>
      <c r="Z62" s="423"/>
    </row>
    <row r="63" spans="1:26" x14ac:dyDescent="0.25">
      <c r="A63" s="420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  <c r="N63" s="421"/>
      <c r="O63" s="421"/>
      <c r="P63" s="421"/>
      <c r="Q63" s="421"/>
      <c r="R63" s="421"/>
      <c r="S63" s="421"/>
      <c r="T63" s="421"/>
      <c r="U63" s="421"/>
      <c r="V63" s="421"/>
      <c r="W63" s="421"/>
      <c r="X63" s="421"/>
      <c r="Y63" s="421"/>
      <c r="Z63" s="423"/>
    </row>
    <row r="64" spans="1:26" x14ac:dyDescent="0.25">
      <c r="A64" s="420"/>
      <c r="B64" s="421" t="s">
        <v>156</v>
      </c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3"/>
    </row>
    <row r="65" spans="1:26" x14ac:dyDescent="0.25">
      <c r="A65" s="420"/>
      <c r="B65" s="421" t="s">
        <v>155</v>
      </c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Y65" s="421"/>
      <c r="Z65" s="423"/>
    </row>
    <row r="66" spans="1:26" x14ac:dyDescent="0.25">
      <c r="A66" s="420"/>
      <c r="B66" s="421" t="s">
        <v>157</v>
      </c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  <c r="N66" s="421"/>
      <c r="O66" s="421"/>
      <c r="P66" s="421"/>
      <c r="Q66" s="421"/>
      <c r="R66" s="421"/>
      <c r="S66" s="421"/>
      <c r="T66" s="421"/>
      <c r="U66" s="421"/>
      <c r="V66" s="421"/>
      <c r="W66" s="421"/>
      <c r="X66" s="421"/>
      <c r="Y66" s="421"/>
      <c r="Z66" s="423"/>
    </row>
    <row r="67" spans="1:26" x14ac:dyDescent="0.25">
      <c r="A67" s="420"/>
      <c r="B67" s="421" t="s">
        <v>158</v>
      </c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  <c r="N67" s="421"/>
      <c r="O67" s="421"/>
      <c r="P67" s="421"/>
      <c r="Q67" s="421"/>
      <c r="R67" s="421"/>
      <c r="S67" s="421"/>
      <c r="T67" s="421"/>
      <c r="U67" s="421"/>
      <c r="V67" s="421"/>
      <c r="W67" s="421"/>
      <c r="X67" s="421"/>
      <c r="Y67" s="421"/>
      <c r="Z67" s="423"/>
    </row>
    <row r="68" spans="1:26" x14ac:dyDescent="0.25">
      <c r="A68" s="420"/>
      <c r="B68" s="421" t="s">
        <v>292</v>
      </c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  <c r="N68" s="421"/>
      <c r="O68" s="421"/>
      <c r="P68" s="421"/>
      <c r="Q68" s="421"/>
      <c r="R68" s="421"/>
      <c r="S68" s="421"/>
      <c r="T68" s="421"/>
      <c r="U68" s="421"/>
      <c r="V68" s="421"/>
      <c r="W68" s="421"/>
      <c r="X68" s="421"/>
      <c r="Y68" s="421"/>
      <c r="Z68" s="423"/>
    </row>
    <row r="69" spans="1:26" x14ac:dyDescent="0.25">
      <c r="A69" s="420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  <c r="N69" s="421"/>
      <c r="O69" s="421"/>
      <c r="P69" s="421"/>
      <c r="Q69" s="421"/>
      <c r="R69" s="421"/>
      <c r="S69" s="421"/>
      <c r="T69" s="421"/>
      <c r="U69" s="421"/>
      <c r="V69" s="421"/>
      <c r="W69" s="421"/>
      <c r="X69" s="421"/>
      <c r="Y69" s="421"/>
      <c r="Z69" s="423"/>
    </row>
    <row r="70" spans="1:26" x14ac:dyDescent="0.25">
      <c r="A70" s="420"/>
      <c r="B70" s="421" t="s">
        <v>160</v>
      </c>
      <c r="C70" s="421"/>
      <c r="D70" s="421"/>
      <c r="E70" s="421"/>
      <c r="F70" s="421"/>
      <c r="G70" s="421"/>
      <c r="H70" s="421"/>
      <c r="I70" s="421"/>
      <c r="J70" s="421"/>
      <c r="K70" s="421"/>
      <c r="L70" s="421"/>
      <c r="M70" s="421"/>
      <c r="N70" s="421"/>
      <c r="O70" s="421"/>
      <c r="P70" s="421"/>
      <c r="Q70" s="421"/>
      <c r="R70" s="421"/>
      <c r="S70" s="421"/>
      <c r="T70" s="421"/>
      <c r="U70" s="421"/>
      <c r="V70" s="421"/>
      <c r="W70" s="421"/>
      <c r="X70" s="421"/>
      <c r="Y70" s="421"/>
      <c r="Z70" s="423"/>
    </row>
    <row r="71" spans="1:26" x14ac:dyDescent="0.25">
      <c r="A71" s="420"/>
      <c r="B71" s="421" t="s">
        <v>293</v>
      </c>
      <c r="C71" s="421"/>
      <c r="D71" s="421"/>
      <c r="E71" s="421"/>
      <c r="F71" s="421"/>
      <c r="G71" s="421"/>
      <c r="H71" s="421"/>
      <c r="I71" s="421"/>
      <c r="J71" s="421"/>
      <c r="K71" s="421"/>
      <c r="L71" s="421"/>
      <c r="M71" s="421"/>
      <c r="N71" s="421"/>
      <c r="O71" s="421"/>
      <c r="P71" s="421"/>
      <c r="Q71" s="421"/>
      <c r="R71" s="421"/>
      <c r="S71" s="421"/>
      <c r="T71" s="421"/>
      <c r="U71" s="421"/>
      <c r="V71" s="421"/>
      <c r="W71" s="421"/>
      <c r="X71" s="421"/>
      <c r="Y71" s="421"/>
      <c r="Z71" s="423"/>
    </row>
    <row r="72" spans="1:26" x14ac:dyDescent="0.25">
      <c r="A72" s="420"/>
      <c r="B72" s="421" t="s">
        <v>294</v>
      </c>
      <c r="C72" s="421"/>
      <c r="D72" s="421"/>
      <c r="E72" s="421"/>
      <c r="F72" s="421"/>
      <c r="G72" s="421"/>
      <c r="H72" s="421"/>
      <c r="I72" s="421"/>
      <c r="J72" s="421"/>
      <c r="K72" s="421"/>
      <c r="L72" s="421"/>
      <c r="M72" s="421"/>
      <c r="N72" s="421"/>
      <c r="O72" s="421"/>
      <c r="P72" s="421"/>
      <c r="Q72" s="421"/>
      <c r="R72" s="421"/>
      <c r="S72" s="421"/>
      <c r="T72" s="421"/>
      <c r="U72" s="421"/>
      <c r="V72" s="421"/>
      <c r="W72" s="421"/>
      <c r="X72" s="421"/>
      <c r="Y72" s="421"/>
      <c r="Z72" s="423"/>
    </row>
    <row r="73" spans="1:26" x14ac:dyDescent="0.25">
      <c r="A73" s="420"/>
      <c r="B73" s="421" t="s">
        <v>182</v>
      </c>
      <c r="C73" s="421"/>
      <c r="D73" s="421"/>
      <c r="E73" s="421"/>
      <c r="F73" s="421"/>
      <c r="G73" s="421"/>
      <c r="H73" s="421"/>
      <c r="I73" s="421"/>
      <c r="J73" s="421"/>
      <c r="K73" s="421"/>
      <c r="L73" s="421"/>
      <c r="M73" s="421"/>
      <c r="N73" s="421"/>
      <c r="O73" s="421"/>
      <c r="P73" s="421"/>
      <c r="Q73" s="421"/>
      <c r="R73" s="421"/>
      <c r="S73" s="421"/>
      <c r="T73" s="421"/>
      <c r="U73" s="421"/>
      <c r="V73" s="421"/>
      <c r="W73" s="421"/>
      <c r="X73" s="421"/>
      <c r="Y73" s="421"/>
      <c r="Z73" s="423"/>
    </row>
    <row r="74" spans="1:26" x14ac:dyDescent="0.25">
      <c r="A74" s="420"/>
      <c r="B74" s="421" t="s">
        <v>161</v>
      </c>
      <c r="C74" s="421"/>
      <c r="D74" s="421"/>
      <c r="E74" s="421"/>
      <c r="F74" s="421"/>
      <c r="G74" s="421"/>
      <c r="H74" s="421"/>
      <c r="I74" s="421"/>
      <c r="J74" s="421"/>
      <c r="K74" s="421"/>
      <c r="L74" s="421"/>
      <c r="M74" s="421"/>
      <c r="N74" s="421"/>
      <c r="O74" s="421"/>
      <c r="P74" s="421"/>
      <c r="Q74" s="421"/>
      <c r="R74" s="421"/>
      <c r="S74" s="421"/>
      <c r="T74" s="421"/>
      <c r="U74" s="421"/>
      <c r="V74" s="421"/>
      <c r="W74" s="421"/>
      <c r="X74" s="421"/>
      <c r="Y74" s="421"/>
      <c r="Z74" s="423"/>
    </row>
    <row r="75" spans="1:26" x14ac:dyDescent="0.25">
      <c r="A75" s="420"/>
      <c r="B75" s="421" t="s">
        <v>162</v>
      </c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23"/>
    </row>
    <row r="76" spans="1:26" x14ac:dyDescent="0.25">
      <c r="A76" s="420"/>
      <c r="B76" s="421" t="s">
        <v>203</v>
      </c>
      <c r="C76" s="421"/>
      <c r="D76" s="421"/>
      <c r="E76" s="421"/>
      <c r="F76" s="421"/>
      <c r="G76" s="421"/>
      <c r="H76" s="421"/>
      <c r="I76" s="421"/>
      <c r="J76" s="421"/>
      <c r="K76" s="421"/>
      <c r="L76" s="421"/>
      <c r="M76" s="421"/>
      <c r="N76" s="421"/>
      <c r="O76" s="421"/>
      <c r="P76" s="421"/>
      <c r="Q76" s="421"/>
      <c r="R76" s="421"/>
      <c r="S76" s="421"/>
      <c r="T76" s="421"/>
      <c r="U76" s="421"/>
      <c r="V76" s="421"/>
      <c r="W76" s="421"/>
      <c r="X76" s="421"/>
      <c r="Y76" s="421"/>
      <c r="Z76" s="423"/>
    </row>
    <row r="77" spans="1:26" x14ac:dyDescent="0.25">
      <c r="A77" s="420"/>
      <c r="B77" s="421" t="s">
        <v>163</v>
      </c>
      <c r="C77" s="421"/>
      <c r="D77" s="421"/>
      <c r="E77" s="421"/>
      <c r="F77" s="421"/>
      <c r="G77" s="421"/>
      <c r="H77" s="421"/>
      <c r="I77" s="421"/>
      <c r="J77" s="421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23"/>
    </row>
    <row r="78" spans="1:26" x14ac:dyDescent="0.25">
      <c r="A78" s="420"/>
      <c r="B78" s="421" t="s">
        <v>164</v>
      </c>
      <c r="C78" s="421"/>
      <c r="D78" s="421"/>
      <c r="E78" s="421"/>
      <c r="F78" s="421"/>
      <c r="G78" s="421"/>
      <c r="H78" s="421"/>
      <c r="I78" s="421"/>
      <c r="J78" s="421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23"/>
    </row>
    <row r="79" spans="1:26" x14ac:dyDescent="0.25">
      <c r="A79" s="420"/>
      <c r="B79" s="421" t="s">
        <v>295</v>
      </c>
      <c r="C79" s="421"/>
      <c r="D79" s="421"/>
      <c r="E79" s="421"/>
      <c r="F79" s="421"/>
      <c r="G79" s="421"/>
      <c r="H79" s="421"/>
      <c r="I79" s="421"/>
      <c r="J79" s="421"/>
      <c r="K79" s="421"/>
      <c r="L79" s="421"/>
      <c r="M79" s="421"/>
      <c r="N79" s="421"/>
      <c r="O79" s="421"/>
      <c r="P79" s="421"/>
      <c r="Q79" s="421"/>
      <c r="R79" s="421"/>
      <c r="S79" s="421"/>
      <c r="T79" s="421"/>
      <c r="U79" s="421"/>
      <c r="V79" s="421"/>
      <c r="W79" s="421"/>
      <c r="X79" s="421"/>
      <c r="Y79" s="421"/>
      <c r="Z79" s="423"/>
    </row>
    <row r="80" spans="1:26" x14ac:dyDescent="0.25">
      <c r="A80" s="420"/>
      <c r="B80" s="421" t="s">
        <v>296</v>
      </c>
      <c r="C80" s="421"/>
      <c r="D80" s="421"/>
      <c r="E80" s="421"/>
      <c r="F80" s="421"/>
      <c r="G80" s="421"/>
      <c r="H80" s="421"/>
      <c r="I80" s="421"/>
      <c r="J80" s="421"/>
      <c r="K80" s="421"/>
      <c r="L80" s="421"/>
      <c r="M80" s="421"/>
      <c r="N80" s="421"/>
      <c r="O80" s="421"/>
      <c r="P80" s="421"/>
      <c r="Q80" s="421"/>
      <c r="R80" s="421"/>
      <c r="S80" s="421"/>
      <c r="T80" s="421"/>
      <c r="U80" s="421"/>
      <c r="V80" s="421"/>
      <c r="W80" s="421"/>
      <c r="X80" s="421"/>
      <c r="Y80" s="421"/>
      <c r="Z80" s="423"/>
    </row>
    <row r="81" spans="1:26" x14ac:dyDescent="0.25">
      <c r="A81" s="420"/>
      <c r="B81" s="421" t="s">
        <v>297</v>
      </c>
      <c r="C81" s="421"/>
      <c r="D81" s="421"/>
      <c r="E81" s="421"/>
      <c r="F81" s="421"/>
      <c r="G81" s="421"/>
      <c r="H81" s="421"/>
      <c r="I81" s="421"/>
      <c r="J81" s="421"/>
      <c r="K81" s="421"/>
      <c r="L81" s="421"/>
      <c r="M81" s="421"/>
      <c r="N81" s="421"/>
      <c r="O81" s="421"/>
      <c r="P81" s="421"/>
      <c r="Q81" s="421"/>
      <c r="R81" s="421"/>
      <c r="S81" s="421"/>
      <c r="T81" s="421"/>
      <c r="U81" s="421"/>
      <c r="V81" s="421"/>
      <c r="W81" s="421"/>
      <c r="X81" s="421"/>
      <c r="Y81" s="421"/>
      <c r="Z81" s="423"/>
    </row>
    <row r="82" spans="1:26" x14ac:dyDescent="0.25">
      <c r="A82" s="420"/>
      <c r="B82" s="421" t="s">
        <v>165</v>
      </c>
      <c r="C82" s="421"/>
      <c r="D82" s="421"/>
      <c r="E82" s="421"/>
      <c r="F82" s="421"/>
      <c r="G82" s="421"/>
      <c r="H82" s="421"/>
      <c r="I82" s="421"/>
      <c r="J82" s="421"/>
      <c r="K82" s="421"/>
      <c r="L82" s="421"/>
      <c r="M82" s="421"/>
      <c r="N82" s="421"/>
      <c r="O82" s="421"/>
      <c r="P82" s="421"/>
      <c r="Q82" s="421"/>
      <c r="R82" s="421"/>
      <c r="S82" s="421"/>
      <c r="T82" s="421"/>
      <c r="U82" s="421"/>
      <c r="V82" s="421"/>
      <c r="W82" s="421"/>
      <c r="X82" s="421"/>
      <c r="Y82" s="421"/>
      <c r="Z82" s="423"/>
    </row>
    <row r="83" spans="1:26" x14ac:dyDescent="0.25">
      <c r="A83" s="420"/>
      <c r="B83" s="421" t="s">
        <v>166</v>
      </c>
      <c r="C83" s="421"/>
      <c r="D83" s="421"/>
      <c r="E83" s="421"/>
      <c r="F83" s="421"/>
      <c r="G83" s="421"/>
      <c r="H83" s="421"/>
      <c r="I83" s="421"/>
      <c r="J83" s="421"/>
      <c r="K83" s="421"/>
      <c r="L83" s="421"/>
      <c r="M83" s="421"/>
      <c r="N83" s="421"/>
      <c r="O83" s="421"/>
      <c r="P83" s="421"/>
      <c r="Q83" s="421"/>
      <c r="R83" s="421"/>
      <c r="S83" s="421"/>
      <c r="T83" s="421"/>
      <c r="U83" s="421"/>
      <c r="V83" s="421"/>
      <c r="W83" s="421"/>
      <c r="X83" s="421"/>
      <c r="Y83" s="421"/>
      <c r="Z83" s="423"/>
    </row>
    <row r="84" spans="1:26" x14ac:dyDescent="0.25">
      <c r="A84" s="420"/>
      <c r="B84" s="421" t="s">
        <v>167</v>
      </c>
      <c r="C84" s="421"/>
      <c r="D84" s="421"/>
      <c r="E84" s="421"/>
      <c r="F84" s="421"/>
      <c r="G84" s="421"/>
      <c r="H84" s="421"/>
      <c r="I84" s="421"/>
      <c r="J84" s="421"/>
      <c r="K84" s="421"/>
      <c r="L84" s="421"/>
      <c r="M84" s="421"/>
      <c r="N84" s="421"/>
      <c r="O84" s="421"/>
      <c r="P84" s="421"/>
      <c r="Q84" s="421"/>
      <c r="R84" s="421"/>
      <c r="S84" s="421"/>
      <c r="T84" s="421"/>
      <c r="U84" s="421"/>
      <c r="V84" s="421"/>
      <c r="W84" s="421"/>
      <c r="X84" s="421"/>
      <c r="Y84" s="421"/>
      <c r="Z84" s="423"/>
    </row>
    <row r="85" spans="1:26" x14ac:dyDescent="0.25">
      <c r="A85" s="420"/>
      <c r="B85" s="421" t="s">
        <v>214</v>
      </c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/>
      <c r="X85" s="421"/>
      <c r="Y85" s="421"/>
      <c r="Z85" s="423"/>
    </row>
    <row r="86" spans="1:26" x14ac:dyDescent="0.25">
      <c r="A86" s="420"/>
      <c r="B86" s="421" t="s">
        <v>215</v>
      </c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23"/>
    </row>
    <row r="87" spans="1:26" x14ac:dyDescent="0.25">
      <c r="A87" s="420"/>
      <c r="C87" s="421"/>
      <c r="D87" s="421"/>
      <c r="E87" s="421"/>
      <c r="F87" s="421"/>
      <c r="G87" s="421"/>
      <c r="H87" s="421"/>
      <c r="I87" s="421"/>
      <c r="J87" s="421"/>
      <c r="K87" s="421"/>
      <c r="L87" s="421"/>
      <c r="M87" s="421"/>
      <c r="N87" s="421"/>
      <c r="O87" s="421"/>
      <c r="P87" s="421"/>
      <c r="Q87" s="421"/>
      <c r="R87" s="421"/>
      <c r="S87" s="421"/>
      <c r="T87" s="421"/>
      <c r="U87" s="421"/>
      <c r="V87" s="421"/>
      <c r="W87" s="421"/>
      <c r="X87" s="421"/>
      <c r="Y87" s="421"/>
      <c r="Z87" s="423"/>
    </row>
    <row r="88" spans="1:26" x14ac:dyDescent="0.25">
      <c r="A88" s="420"/>
      <c r="B88" s="430" t="s">
        <v>172</v>
      </c>
      <c r="C88" s="421"/>
      <c r="D88" s="421"/>
      <c r="E88" s="421"/>
      <c r="F88" s="421"/>
      <c r="G88" s="421"/>
      <c r="H88" s="421"/>
      <c r="I88" s="421"/>
      <c r="J88" s="421"/>
      <c r="K88" s="421"/>
      <c r="L88" s="421"/>
      <c r="M88" s="421"/>
      <c r="N88" s="421"/>
      <c r="O88" s="421"/>
      <c r="P88" s="421"/>
      <c r="Q88" s="421"/>
      <c r="R88" s="421"/>
      <c r="S88" s="421"/>
      <c r="T88" s="421"/>
      <c r="U88" s="421"/>
      <c r="V88" s="421"/>
      <c r="W88" s="421"/>
      <c r="X88" s="421"/>
      <c r="Y88" s="421"/>
      <c r="Z88" s="423"/>
    </row>
    <row r="89" spans="1:26" x14ac:dyDescent="0.25">
      <c r="A89" s="420"/>
      <c r="B89" s="430" t="s">
        <v>234</v>
      </c>
      <c r="F89" s="421"/>
      <c r="G89" s="421"/>
      <c r="H89" s="421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3"/>
    </row>
    <row r="90" spans="1:26" x14ac:dyDescent="0.25">
      <c r="A90" s="420"/>
      <c r="B90" s="430" t="s">
        <v>232</v>
      </c>
      <c r="F90" s="421"/>
      <c r="G90" s="421"/>
      <c r="H90" s="421"/>
      <c r="I90" s="421"/>
      <c r="J90" s="421"/>
      <c r="K90" s="421"/>
      <c r="L90" s="421"/>
      <c r="M90" s="421"/>
      <c r="N90" s="421"/>
      <c r="O90" s="421"/>
      <c r="P90" s="421"/>
      <c r="Q90" s="421"/>
      <c r="R90" s="421"/>
      <c r="S90" s="421"/>
      <c r="T90" s="421"/>
      <c r="U90" s="421"/>
      <c r="V90" s="421"/>
      <c r="W90" s="421"/>
      <c r="X90" s="421"/>
      <c r="Y90" s="421"/>
      <c r="Z90" s="423"/>
    </row>
    <row r="91" spans="1:26" x14ac:dyDescent="0.25">
      <c r="A91" s="420"/>
      <c r="B91" s="430" t="s">
        <v>233</v>
      </c>
      <c r="C91" s="421"/>
      <c r="D91" s="421"/>
      <c r="E91" s="421"/>
      <c r="F91" s="421"/>
      <c r="G91" s="421"/>
      <c r="H91" s="421"/>
      <c r="I91" s="421"/>
      <c r="J91" s="421"/>
      <c r="K91" s="421"/>
      <c r="L91" s="421"/>
      <c r="M91" s="421"/>
      <c r="N91" s="421"/>
      <c r="O91" s="421"/>
      <c r="P91" s="421"/>
      <c r="Q91" s="421"/>
      <c r="R91" s="421"/>
      <c r="S91" s="421"/>
      <c r="T91" s="421"/>
      <c r="U91" s="421"/>
      <c r="V91" s="421"/>
      <c r="W91" s="421"/>
      <c r="X91" s="421"/>
      <c r="Y91" s="421"/>
      <c r="Z91" s="423"/>
    </row>
    <row r="92" spans="1:26" x14ac:dyDescent="0.25">
      <c r="A92" s="420"/>
      <c r="E92" s="421"/>
      <c r="F92" s="421"/>
      <c r="G92" s="421"/>
      <c r="H92" s="421"/>
      <c r="I92" s="421"/>
      <c r="J92" s="421"/>
      <c r="K92" s="421"/>
      <c r="L92" s="421"/>
      <c r="M92" s="421"/>
      <c r="N92" s="421"/>
      <c r="O92" s="421"/>
      <c r="P92" s="421"/>
      <c r="Q92" s="421"/>
      <c r="R92" s="421"/>
      <c r="S92" s="421"/>
      <c r="T92" s="421"/>
      <c r="U92" s="421"/>
      <c r="V92" s="421"/>
      <c r="W92" s="421"/>
      <c r="X92" s="421"/>
      <c r="Y92" s="421"/>
      <c r="Z92" s="423"/>
    </row>
    <row r="93" spans="1:26" x14ac:dyDescent="0.25">
      <c r="A93" s="420"/>
      <c r="B93" s="431" t="s">
        <v>180</v>
      </c>
      <c r="C93" s="431"/>
      <c r="D93" s="431"/>
      <c r="E93" s="421"/>
      <c r="F93" s="421"/>
      <c r="G93" s="421"/>
      <c r="H93" s="421"/>
      <c r="I93" s="421"/>
      <c r="J93" s="421"/>
      <c r="K93" s="421"/>
      <c r="L93" s="421"/>
      <c r="M93" s="421"/>
      <c r="N93" s="421"/>
      <c r="O93" s="421"/>
      <c r="P93" s="421"/>
      <c r="Q93" s="421"/>
      <c r="R93" s="421"/>
      <c r="S93" s="421"/>
      <c r="T93" s="421"/>
      <c r="U93" s="421"/>
      <c r="V93" s="421"/>
      <c r="W93" s="421"/>
      <c r="X93" s="421"/>
      <c r="Y93" s="421"/>
      <c r="Z93" s="423"/>
    </row>
    <row r="94" spans="1:26" x14ac:dyDescent="0.25">
      <c r="A94" s="426"/>
      <c r="B94" s="451"/>
      <c r="C94" s="451" t="s">
        <v>181</v>
      </c>
      <c r="D94" s="451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8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42"/>
  <sheetViews>
    <sheetView showGridLines="0" zoomScaleNormal="100" workbookViewId="0"/>
  </sheetViews>
  <sheetFormatPr defaultColWidth="3.7109375" defaultRowHeight="17.25" customHeight="1" x14ac:dyDescent="0.3"/>
  <cols>
    <col min="1" max="4" width="4.7109375" style="1" customWidth="1"/>
    <col min="5" max="6" width="3.7109375" style="1" customWidth="1"/>
    <col min="7" max="7" width="3.7109375" style="1"/>
    <col min="8" max="8" width="3.7109375" style="1" customWidth="1"/>
    <col min="9" max="9" width="3.7109375" style="1"/>
    <col min="10" max="10" width="3.7109375" style="1" customWidth="1"/>
    <col min="11" max="12" width="4.28515625" style="1" bestFit="1" customWidth="1"/>
    <col min="13" max="13" width="3.7109375" style="1"/>
    <col min="14" max="15" width="3.7109375" style="2"/>
    <col min="16" max="38" width="3.7109375" style="1"/>
    <col min="39" max="39" width="5.7109375" style="175" customWidth="1"/>
    <col min="40" max="42" width="5.7109375" style="1" customWidth="1"/>
    <col min="43" max="46" width="3.7109375" style="1"/>
    <col min="47" max="47" width="5.5703125" style="493" customWidth="1"/>
    <col min="48" max="48" width="5.7109375" style="493" customWidth="1"/>
    <col min="49" max="56" width="5.5703125" style="493" customWidth="1"/>
    <col min="57" max="57" width="5.85546875" style="493" customWidth="1"/>
    <col min="58" max="60" width="6" style="493" customWidth="1"/>
    <col min="61" max="61" width="2.7109375" style="468" customWidth="1"/>
    <col min="62" max="62" width="9.7109375" style="468" customWidth="1"/>
    <col min="63" max="63" width="5.7109375" style="468" customWidth="1"/>
    <col min="64" max="64" width="2.7109375" style="468" customWidth="1"/>
    <col min="65" max="65" width="9.7109375" style="468" customWidth="1"/>
    <col min="66" max="66" width="5.7109375" style="468" customWidth="1"/>
    <col min="67" max="67" width="2.7109375" style="468" customWidth="1"/>
    <col min="68" max="68" width="9.7109375" style="468" customWidth="1"/>
    <col min="69" max="69" width="2.7109375" style="468" customWidth="1"/>
    <col min="70" max="16384" width="3.7109375" style="1"/>
  </cols>
  <sheetData>
    <row r="1" spans="3:70" ht="17.25" customHeight="1" x14ac:dyDescent="0.3">
      <c r="N1" s="1"/>
      <c r="O1" s="1"/>
      <c r="BQ1" s="499"/>
    </row>
    <row r="2" spans="3:70" ht="17.25" customHeight="1" x14ac:dyDescent="0.3">
      <c r="C2" s="3"/>
      <c r="D2" s="3"/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4">
        <v>10</v>
      </c>
      <c r="O2" s="4">
        <v>11</v>
      </c>
      <c r="P2" s="4">
        <v>12</v>
      </c>
      <c r="Q2" s="4">
        <v>13</v>
      </c>
      <c r="R2" s="4">
        <v>14</v>
      </c>
      <c r="S2" s="4">
        <v>15</v>
      </c>
      <c r="T2" s="4">
        <v>16</v>
      </c>
      <c r="U2" s="4">
        <v>17</v>
      </c>
      <c r="V2" s="4">
        <v>18</v>
      </c>
      <c r="W2" s="4">
        <v>19</v>
      </c>
      <c r="X2" s="4">
        <v>20</v>
      </c>
      <c r="Y2" s="4">
        <v>21</v>
      </c>
      <c r="Z2" s="4">
        <v>22</v>
      </c>
      <c r="AA2" s="4">
        <v>23</v>
      </c>
      <c r="AB2" s="4">
        <v>24</v>
      </c>
      <c r="AC2" s="4">
        <v>25</v>
      </c>
      <c r="AD2" s="4">
        <v>26</v>
      </c>
      <c r="AE2" s="4">
        <v>27</v>
      </c>
      <c r="AF2" s="4">
        <v>28</v>
      </c>
      <c r="AG2" s="4">
        <v>29</v>
      </c>
      <c r="AH2" s="4">
        <v>30</v>
      </c>
      <c r="AI2" s="4">
        <v>31</v>
      </c>
      <c r="AJ2" s="4">
        <v>32</v>
      </c>
      <c r="AK2" s="4">
        <v>33</v>
      </c>
      <c r="AL2" s="4">
        <v>34</v>
      </c>
      <c r="AM2" s="176"/>
      <c r="AN2" s="3"/>
      <c r="AO2" s="5"/>
      <c r="AP2" s="5"/>
      <c r="AQ2" s="5"/>
      <c r="BQ2" s="499"/>
      <c r="BR2" s="421"/>
    </row>
    <row r="3" spans="3:70" ht="17.25" customHeight="1" x14ac:dyDescent="0.3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177"/>
      <c r="AN3" s="3"/>
      <c r="AO3" s="5"/>
      <c r="AP3" s="5"/>
      <c r="AQ3" s="5"/>
      <c r="AU3" s="469"/>
      <c r="AV3" s="470"/>
      <c r="AW3" s="500"/>
      <c r="AX3" s="500"/>
      <c r="AY3" s="500"/>
      <c r="AZ3" s="500"/>
      <c r="BA3" s="500"/>
      <c r="BB3" s="500"/>
      <c r="BC3" s="500"/>
      <c r="BD3" s="500"/>
      <c r="BE3" s="500"/>
      <c r="BF3" s="500"/>
      <c r="BG3" s="500"/>
      <c r="BH3" s="500"/>
      <c r="BJ3" s="471"/>
      <c r="BP3" s="477"/>
      <c r="BQ3" s="472"/>
      <c r="BR3" s="421"/>
    </row>
    <row r="4" spans="3:70" ht="17.25" customHeight="1" x14ac:dyDescent="0.35">
      <c r="C4" s="6" t="s">
        <v>0</v>
      </c>
      <c r="D4" s="7"/>
      <c r="E4" s="142" t="s">
        <v>1</v>
      </c>
      <c r="F4" s="143" t="s">
        <v>2</v>
      </c>
      <c r="G4" s="143" t="s">
        <v>3</v>
      </c>
      <c r="H4" s="143" t="s">
        <v>4</v>
      </c>
      <c r="I4" s="143" t="s">
        <v>5</v>
      </c>
      <c r="J4" s="143" t="s">
        <v>6</v>
      </c>
      <c r="K4" s="143" t="s">
        <v>7</v>
      </c>
      <c r="L4" s="8" t="s">
        <v>8</v>
      </c>
      <c r="M4" s="143" t="s">
        <v>9</v>
      </c>
      <c r="N4" s="144" t="s">
        <v>4</v>
      </c>
      <c r="O4" s="142" t="s">
        <v>10</v>
      </c>
      <c r="P4" s="143" t="s">
        <v>11</v>
      </c>
      <c r="Q4" s="143" t="s">
        <v>12</v>
      </c>
      <c r="R4" s="143" t="s">
        <v>3</v>
      </c>
      <c r="S4" s="143" t="s">
        <v>13</v>
      </c>
      <c r="T4" s="143" t="s">
        <v>14</v>
      </c>
      <c r="U4" s="143" t="s">
        <v>15</v>
      </c>
      <c r="V4" s="143" t="s">
        <v>16</v>
      </c>
      <c r="W4" s="143" t="s">
        <v>7</v>
      </c>
      <c r="X4" s="9" t="s">
        <v>8</v>
      </c>
      <c r="Y4" s="142" t="s">
        <v>14</v>
      </c>
      <c r="Z4" s="143" t="s">
        <v>16</v>
      </c>
      <c r="AA4" s="143" t="s">
        <v>9</v>
      </c>
      <c r="AB4" s="143" t="s">
        <v>17</v>
      </c>
      <c r="AC4" s="143" t="s">
        <v>13</v>
      </c>
      <c r="AD4" s="143" t="s">
        <v>6</v>
      </c>
      <c r="AE4" s="143" t="s">
        <v>18</v>
      </c>
      <c r="AF4" s="143" t="s">
        <v>17</v>
      </c>
      <c r="AG4" s="143" t="s">
        <v>4</v>
      </c>
      <c r="AH4" s="144" t="s">
        <v>19</v>
      </c>
      <c r="AI4" s="142" t="s">
        <v>20</v>
      </c>
      <c r="AJ4" s="10" t="s">
        <v>15</v>
      </c>
      <c r="AK4" s="11"/>
      <c r="AL4" s="11"/>
      <c r="AM4" s="178">
        <f>(COUNTA(E4:AL4)-COUNTIF(E4:AL4,"~?"))</f>
        <v>32</v>
      </c>
      <c r="AN4" s="12" t="s">
        <v>8</v>
      </c>
      <c r="AO4" s="13" t="s">
        <v>21</v>
      </c>
      <c r="AP4" s="14"/>
      <c r="AQ4" s="14"/>
      <c r="AR4" s="14"/>
      <c r="AU4" s="430"/>
      <c r="AV4" s="473"/>
      <c r="AW4" s="501"/>
      <c r="AX4" s="501"/>
      <c r="AY4" s="501"/>
      <c r="AZ4" s="501"/>
      <c r="BA4" s="501"/>
      <c r="BB4" s="501"/>
      <c r="BC4" s="501"/>
      <c r="BD4" s="501"/>
      <c r="BE4" s="501"/>
      <c r="BF4" s="501"/>
      <c r="BG4" s="501"/>
      <c r="BH4" s="501"/>
      <c r="BP4" s="477"/>
      <c r="BQ4" s="472"/>
      <c r="BR4" s="421"/>
    </row>
    <row r="5" spans="3:70" ht="17.25" customHeight="1" x14ac:dyDescent="0.3">
      <c r="C5" s="15">
        <f>COUNTA(E4:AL4)</f>
        <v>32</v>
      </c>
      <c r="D5" s="16"/>
      <c r="E5" s="145" t="s">
        <v>22</v>
      </c>
      <c r="F5" s="146" t="s">
        <v>23</v>
      </c>
      <c r="G5" s="146" t="s">
        <v>24</v>
      </c>
      <c r="H5" s="146" t="s">
        <v>25</v>
      </c>
      <c r="I5" s="146" t="s">
        <v>23</v>
      </c>
      <c r="J5" s="146" t="s">
        <v>23</v>
      </c>
      <c r="K5" s="146" t="s">
        <v>26</v>
      </c>
      <c r="L5" s="152" t="s">
        <v>27</v>
      </c>
      <c r="M5" s="146" t="s">
        <v>28</v>
      </c>
      <c r="N5" s="147" t="s">
        <v>22</v>
      </c>
      <c r="O5" s="145" t="s">
        <v>24</v>
      </c>
      <c r="P5" s="146" t="s">
        <v>29</v>
      </c>
      <c r="Q5" s="146" t="s">
        <v>23</v>
      </c>
      <c r="R5" s="146" t="s">
        <v>27</v>
      </c>
      <c r="S5" s="146" t="s">
        <v>30</v>
      </c>
      <c r="T5" s="146" t="s">
        <v>31</v>
      </c>
      <c r="U5" s="146" t="s">
        <v>32</v>
      </c>
      <c r="V5" s="146" t="s">
        <v>33</v>
      </c>
      <c r="W5" s="146" t="s">
        <v>26</v>
      </c>
      <c r="X5" s="153" t="s">
        <v>34</v>
      </c>
      <c r="Y5" s="145" t="s">
        <v>31</v>
      </c>
      <c r="Z5" s="146" t="s">
        <v>26</v>
      </c>
      <c r="AA5" s="146" t="s">
        <v>32</v>
      </c>
      <c r="AB5" s="146" t="s">
        <v>24</v>
      </c>
      <c r="AC5" s="146" t="s">
        <v>30</v>
      </c>
      <c r="AD5" s="146" t="s">
        <v>23</v>
      </c>
      <c r="AE5" s="146" t="s">
        <v>31</v>
      </c>
      <c r="AF5" s="146" t="s">
        <v>22</v>
      </c>
      <c r="AG5" s="146" t="s">
        <v>27</v>
      </c>
      <c r="AH5" s="147" t="s">
        <v>23</v>
      </c>
      <c r="AI5" s="148" t="s">
        <v>26</v>
      </c>
      <c r="AJ5" s="240" t="s">
        <v>35</v>
      </c>
      <c r="AK5" s="241"/>
      <c r="AL5" s="241"/>
      <c r="AM5" s="179">
        <f>AM4</f>
        <v>32</v>
      </c>
      <c r="AN5" s="17" t="s">
        <v>23</v>
      </c>
      <c r="AO5" s="18" t="s">
        <v>36</v>
      </c>
      <c r="AP5" s="19"/>
      <c r="AQ5" s="19"/>
      <c r="AR5" s="19"/>
      <c r="AU5" s="502"/>
      <c r="AV5" s="503"/>
      <c r="AW5" s="504"/>
      <c r="AX5" s="504"/>
      <c r="AY5" s="504"/>
      <c r="AZ5" s="504"/>
      <c r="BA5" s="504"/>
      <c r="BB5" s="504"/>
      <c r="BC5" s="504"/>
      <c r="BD5" s="504"/>
      <c r="BE5" s="504"/>
      <c r="BF5" s="504"/>
      <c r="BG5" s="504"/>
      <c r="BH5" s="504"/>
      <c r="BJ5" s="474"/>
      <c r="BK5" s="474"/>
      <c r="BL5" s="474"/>
      <c r="BM5" s="474"/>
      <c r="BN5" s="474"/>
      <c r="BP5" s="477"/>
      <c r="BQ5" s="475"/>
      <c r="BR5" s="421"/>
    </row>
    <row r="6" spans="3:70" ht="17.25" customHeight="1" thickBot="1" x14ac:dyDescent="0.35">
      <c r="C6" s="15">
        <f>COUNTA(E6:AL6)</f>
        <v>31</v>
      </c>
      <c r="D6" s="14"/>
      <c r="E6" s="149" t="s">
        <v>12</v>
      </c>
      <c r="F6" s="135" t="s">
        <v>37</v>
      </c>
      <c r="G6" s="135" t="s">
        <v>38</v>
      </c>
      <c r="H6" s="135" t="s">
        <v>37</v>
      </c>
      <c r="I6" s="135" t="s">
        <v>3</v>
      </c>
      <c r="J6" s="135" t="s">
        <v>11</v>
      </c>
      <c r="K6" s="135" t="s">
        <v>37</v>
      </c>
      <c r="L6" s="150" t="s">
        <v>39</v>
      </c>
      <c r="M6" s="136" t="s">
        <v>37</v>
      </c>
      <c r="N6" s="135" t="s">
        <v>20</v>
      </c>
      <c r="O6" s="135" t="s">
        <v>12</v>
      </c>
      <c r="P6" s="135" t="s">
        <v>3</v>
      </c>
      <c r="Q6" s="135" t="s">
        <v>20</v>
      </c>
      <c r="R6" s="20" t="s">
        <v>8</v>
      </c>
      <c r="S6" s="524" t="s">
        <v>8</v>
      </c>
      <c r="T6" s="135" t="s">
        <v>38</v>
      </c>
      <c r="U6" s="135" t="s">
        <v>9</v>
      </c>
      <c r="V6" s="150" t="s">
        <v>1</v>
      </c>
      <c r="W6" s="136" t="s">
        <v>20</v>
      </c>
      <c r="X6" s="135" t="s">
        <v>15</v>
      </c>
      <c r="Y6" s="135" t="s">
        <v>12</v>
      </c>
      <c r="Z6" s="135" t="s">
        <v>37</v>
      </c>
      <c r="AA6" s="135" t="s">
        <v>38</v>
      </c>
      <c r="AB6" s="135" t="s">
        <v>2</v>
      </c>
      <c r="AC6" s="265" t="s">
        <v>16</v>
      </c>
      <c r="AD6" s="135" t="s">
        <v>12</v>
      </c>
      <c r="AE6" s="135" t="s">
        <v>9</v>
      </c>
      <c r="AF6" s="150" t="s">
        <v>14</v>
      </c>
      <c r="AG6" s="136" t="s">
        <v>2</v>
      </c>
      <c r="AH6" s="135" t="s">
        <v>4</v>
      </c>
      <c r="AI6" s="151" t="s">
        <v>14</v>
      </c>
      <c r="AJ6" s="21"/>
      <c r="AK6" s="22"/>
      <c r="AL6" s="22"/>
      <c r="AM6" s="180">
        <f>(COUNTA(E6:AL6)-COUNTIF(E6:AL6,"~?"))</f>
        <v>31</v>
      </c>
      <c r="AN6" s="23" t="s">
        <v>40</v>
      </c>
      <c r="AO6" s="24">
        <v>57</v>
      </c>
      <c r="AP6" s="25"/>
      <c r="AQ6" s="26">
        <v>11</v>
      </c>
      <c r="AR6" s="27">
        <v>23</v>
      </c>
      <c r="AU6" s="502"/>
      <c r="AV6" s="503"/>
      <c r="AW6" s="504"/>
      <c r="AX6" s="504"/>
      <c r="AY6" s="504"/>
      <c r="AZ6" s="504"/>
      <c r="BA6" s="504"/>
      <c r="BB6" s="504"/>
      <c r="BC6" s="504"/>
      <c r="BD6" s="504"/>
      <c r="BE6" s="504"/>
      <c r="BF6" s="504"/>
      <c r="BG6" s="504"/>
      <c r="BH6" s="504"/>
      <c r="BJ6" s="474"/>
      <c r="BK6" s="474"/>
      <c r="BL6" s="474"/>
      <c r="BM6" s="474"/>
      <c r="BN6" s="474"/>
      <c r="BP6" s="477"/>
      <c r="BQ6" s="475"/>
      <c r="BR6" s="421"/>
    </row>
    <row r="7" spans="3:70" ht="17.25" customHeight="1" thickTop="1" thickBot="1" x14ac:dyDescent="0.35">
      <c r="C7" s="28">
        <f>SUM(C5:C6)</f>
        <v>63</v>
      </c>
      <c r="D7" s="29">
        <f>SUM(C7)</f>
        <v>63</v>
      </c>
      <c r="E7" s="230" t="s">
        <v>23</v>
      </c>
      <c r="F7" s="231" t="s">
        <v>41</v>
      </c>
      <c r="G7" s="231" t="s">
        <v>42</v>
      </c>
      <c r="H7" s="231" t="s">
        <v>29</v>
      </c>
      <c r="I7" s="231" t="s">
        <v>33</v>
      </c>
      <c r="J7" s="231" t="s">
        <v>34</v>
      </c>
      <c r="K7" s="231" t="s">
        <v>30</v>
      </c>
      <c r="L7" s="232" t="s">
        <v>24</v>
      </c>
      <c r="M7" s="233" t="s">
        <v>29</v>
      </c>
      <c r="N7" s="231" t="s">
        <v>33</v>
      </c>
      <c r="O7" s="231" t="s">
        <v>23</v>
      </c>
      <c r="P7" s="231" t="s">
        <v>27</v>
      </c>
      <c r="Q7" s="231" t="s">
        <v>24</v>
      </c>
      <c r="R7" s="154" t="s">
        <v>30</v>
      </c>
      <c r="S7" s="525" t="s">
        <v>23</v>
      </c>
      <c r="T7" s="231" t="s">
        <v>26</v>
      </c>
      <c r="U7" s="231" t="s">
        <v>28</v>
      </c>
      <c r="V7" s="232" t="s">
        <v>31</v>
      </c>
      <c r="W7" s="233" t="s">
        <v>26</v>
      </c>
      <c r="X7" s="231" t="s">
        <v>35</v>
      </c>
      <c r="Y7" s="231" t="s">
        <v>23</v>
      </c>
      <c r="Z7" s="231" t="s">
        <v>41</v>
      </c>
      <c r="AA7" s="231" t="s">
        <v>42</v>
      </c>
      <c r="AB7" s="231" t="s">
        <v>33</v>
      </c>
      <c r="AC7" s="266" t="s">
        <v>43</v>
      </c>
      <c r="AD7" s="231" t="s">
        <v>29</v>
      </c>
      <c r="AE7" s="231" t="s">
        <v>28</v>
      </c>
      <c r="AF7" s="232" t="s">
        <v>27</v>
      </c>
      <c r="AG7" s="233" t="s">
        <v>33</v>
      </c>
      <c r="AH7" s="231" t="s">
        <v>41</v>
      </c>
      <c r="AI7" s="242" t="s">
        <v>26</v>
      </c>
      <c r="AJ7" s="243"/>
      <c r="AK7" s="244"/>
      <c r="AL7" s="244"/>
      <c r="AM7" s="181">
        <f>SUM(AM5,AM6)</f>
        <v>63</v>
      </c>
      <c r="AN7" s="30" t="s">
        <v>29</v>
      </c>
      <c r="AO7" s="31"/>
      <c r="AP7" s="25"/>
      <c r="AQ7" s="32">
        <v>17</v>
      </c>
      <c r="AR7" s="33">
        <v>12</v>
      </c>
      <c r="AU7" s="502"/>
      <c r="AV7" s="503"/>
      <c r="AW7" s="504"/>
      <c r="AX7" s="504"/>
      <c r="AY7" s="504"/>
      <c r="AZ7" s="504"/>
      <c r="BA7" s="504"/>
      <c r="BB7" s="504"/>
      <c r="BC7" s="504"/>
      <c r="BD7" s="504"/>
      <c r="BE7" s="504"/>
      <c r="BF7" s="504"/>
      <c r="BG7" s="504"/>
      <c r="BH7" s="504"/>
      <c r="BJ7" s="471"/>
      <c r="BK7" s="471"/>
      <c r="BL7" s="471"/>
      <c r="BM7" s="471"/>
      <c r="BN7" s="471"/>
      <c r="BP7" s="505"/>
      <c r="BQ7" s="476"/>
      <c r="BR7" s="421"/>
    </row>
    <row r="8" spans="3:70" ht="17.25" customHeight="1" thickTop="1" x14ac:dyDescent="0.3">
      <c r="C8" s="34" t="s">
        <v>44</v>
      </c>
      <c r="D8" s="35"/>
      <c r="E8" s="218" t="s">
        <v>20</v>
      </c>
      <c r="F8" s="234" t="s">
        <v>4</v>
      </c>
      <c r="G8" s="234" t="s">
        <v>5</v>
      </c>
      <c r="H8" s="234" t="s">
        <v>15</v>
      </c>
      <c r="I8" s="234" t="s">
        <v>3</v>
      </c>
      <c r="J8" s="234" t="s">
        <v>14</v>
      </c>
      <c r="K8" s="234" t="s">
        <v>1</v>
      </c>
      <c r="L8" s="235" t="s">
        <v>1</v>
      </c>
      <c r="M8" s="236" t="s">
        <v>6</v>
      </c>
      <c r="N8" s="234" t="s">
        <v>7</v>
      </c>
      <c r="O8" s="234" t="s">
        <v>40</v>
      </c>
      <c r="P8" s="234" t="s">
        <v>1</v>
      </c>
      <c r="Q8" s="234" t="s">
        <v>38</v>
      </c>
      <c r="R8" s="234" t="s">
        <v>7</v>
      </c>
      <c r="S8" s="234" t="s">
        <v>12</v>
      </c>
      <c r="T8" s="235" t="s">
        <v>20</v>
      </c>
      <c r="U8" s="236" t="s">
        <v>18</v>
      </c>
      <c r="V8" s="234" t="s">
        <v>40</v>
      </c>
      <c r="W8" s="234" t="s">
        <v>6</v>
      </c>
      <c r="X8" s="234" t="s">
        <v>16</v>
      </c>
      <c r="Y8" s="234" t="s">
        <v>16</v>
      </c>
      <c r="Z8" s="234" t="s">
        <v>37</v>
      </c>
      <c r="AA8" s="234" t="s">
        <v>1</v>
      </c>
      <c r="AB8" s="37" t="s">
        <v>38</v>
      </c>
      <c r="AC8" s="38" t="s">
        <v>18</v>
      </c>
      <c r="AD8" s="36" t="s">
        <v>4</v>
      </c>
      <c r="AE8" s="36" t="s">
        <v>37</v>
      </c>
      <c r="AF8" s="36" t="s">
        <v>15</v>
      </c>
      <c r="AG8" s="36" t="s">
        <v>17</v>
      </c>
      <c r="AH8" s="39" t="s">
        <v>45</v>
      </c>
      <c r="AI8" s="40" t="s">
        <v>1</v>
      </c>
      <c r="AJ8" s="41"/>
      <c r="AK8" s="42"/>
      <c r="AL8" s="42"/>
      <c r="AM8" s="182">
        <f>(COUNTA(E8:AL8)-COUNTIF(E8:AL8,"~?"))</f>
        <v>31</v>
      </c>
      <c r="AN8" s="43"/>
      <c r="AO8" s="44"/>
      <c r="AP8" s="25"/>
      <c r="AQ8" s="25"/>
      <c r="AR8" s="25"/>
      <c r="AU8" s="502"/>
      <c r="AV8" s="503"/>
      <c r="AW8" s="504"/>
      <c r="AX8" s="504"/>
      <c r="AY8" s="504"/>
      <c r="AZ8" s="504"/>
      <c r="BA8" s="504"/>
      <c r="BB8" s="504"/>
      <c r="BC8" s="504"/>
      <c r="BD8" s="504"/>
      <c r="BE8" s="504"/>
      <c r="BF8" s="504"/>
      <c r="BG8" s="504"/>
      <c r="BH8" s="504"/>
      <c r="BR8" s="421"/>
    </row>
    <row r="9" spans="3:70" ht="17.25" customHeight="1" x14ac:dyDescent="0.3">
      <c r="C9" s="45">
        <f>COUNTA(E8:AL8)</f>
        <v>31</v>
      </c>
      <c r="D9" s="14"/>
      <c r="E9" s="212" t="s">
        <v>33</v>
      </c>
      <c r="F9" s="213" t="s">
        <v>24</v>
      </c>
      <c r="G9" s="213" t="s">
        <v>25</v>
      </c>
      <c r="H9" s="213" t="s">
        <v>31</v>
      </c>
      <c r="I9" s="213" t="s">
        <v>27</v>
      </c>
      <c r="J9" s="213" t="s">
        <v>24</v>
      </c>
      <c r="K9" s="213" t="s">
        <v>41</v>
      </c>
      <c r="L9" s="215" t="s">
        <v>24</v>
      </c>
      <c r="M9" s="216" t="s">
        <v>31</v>
      </c>
      <c r="N9" s="213" t="s">
        <v>29</v>
      </c>
      <c r="O9" s="213" t="s">
        <v>29</v>
      </c>
      <c r="P9" s="213" t="s">
        <v>46</v>
      </c>
      <c r="Q9" s="213" t="s">
        <v>33</v>
      </c>
      <c r="R9" s="213" t="s">
        <v>26</v>
      </c>
      <c r="S9" s="213" t="s">
        <v>47</v>
      </c>
      <c r="T9" s="215" t="s">
        <v>33</v>
      </c>
      <c r="U9" s="216" t="s">
        <v>27</v>
      </c>
      <c r="V9" s="213" t="s">
        <v>33</v>
      </c>
      <c r="W9" s="213" t="s">
        <v>22</v>
      </c>
      <c r="X9" s="213" t="s">
        <v>29</v>
      </c>
      <c r="Y9" s="213" t="s">
        <v>23</v>
      </c>
      <c r="Z9" s="213" t="s">
        <v>30</v>
      </c>
      <c r="AA9" s="213" t="s">
        <v>41</v>
      </c>
      <c r="AB9" s="215" t="s">
        <v>25</v>
      </c>
      <c r="AC9" s="216" t="s">
        <v>27</v>
      </c>
      <c r="AD9" s="213" t="s">
        <v>24</v>
      </c>
      <c r="AE9" s="213" t="s">
        <v>30</v>
      </c>
      <c r="AF9" s="213" t="s">
        <v>31</v>
      </c>
      <c r="AG9" s="213" t="s">
        <v>24</v>
      </c>
      <c r="AH9" s="217" t="s">
        <v>48</v>
      </c>
      <c r="AI9" s="227" t="s">
        <v>41</v>
      </c>
      <c r="AJ9" s="228"/>
      <c r="AK9" s="245"/>
      <c r="AL9" s="245"/>
      <c r="AM9" s="183">
        <f>AM8</f>
        <v>31</v>
      </c>
      <c r="AN9" s="48"/>
      <c r="AO9" s="49"/>
      <c r="AP9" s="14"/>
      <c r="AQ9" s="14"/>
      <c r="AR9" s="14"/>
      <c r="AU9" s="502"/>
      <c r="AV9" s="503"/>
      <c r="AW9" s="504"/>
      <c r="AX9" s="504"/>
      <c r="AY9" s="504"/>
      <c r="AZ9" s="504"/>
      <c r="BA9" s="504"/>
      <c r="BB9" s="504"/>
      <c r="BC9" s="504"/>
      <c r="BD9" s="504"/>
      <c r="BE9" s="504"/>
      <c r="BF9" s="504"/>
      <c r="BG9" s="504"/>
      <c r="BH9" s="504"/>
      <c r="BJ9" s="506"/>
      <c r="BM9" s="506"/>
      <c r="BP9" s="506"/>
      <c r="BR9" s="421"/>
    </row>
    <row r="10" spans="3:70" ht="17.25" customHeight="1" x14ac:dyDescent="0.3">
      <c r="C10" s="45"/>
      <c r="D10" s="14"/>
      <c r="E10" s="237" t="s">
        <v>18</v>
      </c>
      <c r="F10" s="223" t="s">
        <v>18</v>
      </c>
      <c r="G10" s="220" t="s">
        <v>40</v>
      </c>
      <c r="H10" s="220" t="s">
        <v>6</v>
      </c>
      <c r="I10" s="220" t="s">
        <v>16</v>
      </c>
      <c r="J10" s="220" t="s">
        <v>16</v>
      </c>
      <c r="K10" s="221" t="s">
        <v>49</v>
      </c>
      <c r="L10" s="220" t="s">
        <v>14</v>
      </c>
      <c r="M10" s="220" t="s">
        <v>37</v>
      </c>
      <c r="N10" s="222" t="s">
        <v>2</v>
      </c>
      <c r="O10" s="223" t="s">
        <v>45</v>
      </c>
      <c r="P10" s="220" t="s">
        <v>5</v>
      </c>
      <c r="Q10" s="220" t="s">
        <v>4</v>
      </c>
      <c r="R10" s="220" t="s">
        <v>37</v>
      </c>
      <c r="S10" s="220" t="s">
        <v>7</v>
      </c>
      <c r="T10" s="220" t="s">
        <v>14</v>
      </c>
      <c r="U10" s="220" t="s">
        <v>37</v>
      </c>
      <c r="V10" s="222" t="s">
        <v>2</v>
      </c>
      <c r="W10" s="223" t="s">
        <v>2</v>
      </c>
      <c r="X10" s="220" t="s">
        <v>19</v>
      </c>
      <c r="Y10" s="220" t="s">
        <v>10</v>
      </c>
      <c r="Z10" s="220" t="s">
        <v>18</v>
      </c>
      <c r="AA10" s="220" t="s">
        <v>5</v>
      </c>
      <c r="AB10" s="51" t="s">
        <v>4</v>
      </c>
      <c r="AC10" s="51" t="s">
        <v>11</v>
      </c>
      <c r="AD10" s="52" t="s">
        <v>6</v>
      </c>
      <c r="AE10" s="50" t="s">
        <v>37</v>
      </c>
      <c r="AF10" s="51" t="s">
        <v>9</v>
      </c>
      <c r="AG10" s="155" t="s">
        <v>8</v>
      </c>
      <c r="AH10" s="53" t="s">
        <v>18</v>
      </c>
      <c r="AI10" s="54"/>
      <c r="AJ10" s="55"/>
      <c r="AK10" s="55"/>
      <c r="AL10" s="55"/>
      <c r="AM10" s="184">
        <f>(COUNTA(E10:AL10)-COUNTIF(E10:AL10,"~?"))</f>
        <v>29</v>
      </c>
      <c r="AN10" s="56" t="s">
        <v>50</v>
      </c>
      <c r="AO10" s="57"/>
      <c r="AP10" s="58"/>
      <c r="AU10" s="502"/>
      <c r="AV10" s="503"/>
      <c r="AW10" s="504"/>
      <c r="AX10" s="504"/>
      <c r="AY10" s="504"/>
      <c r="AZ10" s="504"/>
      <c r="BA10" s="504"/>
      <c r="BB10" s="504"/>
      <c r="BC10" s="504"/>
      <c r="BD10" s="504"/>
      <c r="BE10" s="504"/>
      <c r="BF10" s="504"/>
      <c r="BG10" s="504"/>
      <c r="BH10" s="504"/>
      <c r="BJ10" s="482"/>
      <c r="BM10" s="482"/>
      <c r="BN10" s="507"/>
      <c r="BP10" s="482"/>
      <c r="BQ10" s="477"/>
      <c r="BR10" s="421"/>
    </row>
    <row r="11" spans="3:70" ht="17.25" customHeight="1" x14ac:dyDescent="0.3">
      <c r="C11" s="45">
        <f>COUNTA(E10:AL10)</f>
        <v>30</v>
      </c>
      <c r="D11" s="14"/>
      <c r="E11" s="238" t="s">
        <v>27</v>
      </c>
      <c r="F11" s="216" t="s">
        <v>27</v>
      </c>
      <c r="G11" s="213" t="s">
        <v>33</v>
      </c>
      <c r="H11" s="213" t="s">
        <v>22</v>
      </c>
      <c r="I11" s="213" t="s">
        <v>29</v>
      </c>
      <c r="J11" s="213" t="s">
        <v>23</v>
      </c>
      <c r="K11" s="239" t="s">
        <v>51</v>
      </c>
      <c r="L11" s="213" t="s">
        <v>24</v>
      </c>
      <c r="M11" s="213" t="s">
        <v>30</v>
      </c>
      <c r="N11" s="215" t="s">
        <v>23</v>
      </c>
      <c r="O11" s="216" t="s">
        <v>46</v>
      </c>
      <c r="P11" s="213" t="s">
        <v>28</v>
      </c>
      <c r="Q11" s="213" t="s">
        <v>27</v>
      </c>
      <c r="R11" s="213" t="s">
        <v>23</v>
      </c>
      <c r="S11" s="213" t="s">
        <v>32</v>
      </c>
      <c r="T11" s="213" t="s">
        <v>24</v>
      </c>
      <c r="U11" s="213" t="s">
        <v>30</v>
      </c>
      <c r="V11" s="215" t="s">
        <v>23</v>
      </c>
      <c r="W11" s="216" t="s">
        <v>23</v>
      </c>
      <c r="X11" s="213" t="s">
        <v>31</v>
      </c>
      <c r="Y11" s="213" t="s">
        <v>52</v>
      </c>
      <c r="Z11" s="213" t="s">
        <v>24</v>
      </c>
      <c r="AA11" s="213" t="s">
        <v>30</v>
      </c>
      <c r="AB11" s="213" t="s">
        <v>27</v>
      </c>
      <c r="AC11" s="213" t="s">
        <v>53</v>
      </c>
      <c r="AD11" s="215" t="s">
        <v>31</v>
      </c>
      <c r="AE11" s="216" t="s">
        <v>34</v>
      </c>
      <c r="AF11" s="213" t="s">
        <v>26</v>
      </c>
      <c r="AG11" s="156" t="s">
        <v>23</v>
      </c>
      <c r="AH11" s="227" t="s">
        <v>24</v>
      </c>
      <c r="AI11" s="246"/>
      <c r="AJ11" s="247"/>
      <c r="AK11" s="247"/>
      <c r="AL11" s="247"/>
      <c r="AM11" s="183">
        <f>SUM(AM9,AM10)</f>
        <v>60</v>
      </c>
      <c r="AN11" s="48"/>
      <c r="AO11" s="59"/>
      <c r="AP11" s="60"/>
      <c r="AU11" s="502"/>
      <c r="AV11" s="503"/>
      <c r="AW11" s="504"/>
      <c r="AX11" s="504"/>
      <c r="AY11" s="504"/>
      <c r="AZ11" s="504"/>
      <c r="BA11" s="504"/>
      <c r="BB11" s="504"/>
      <c r="BC11" s="504"/>
      <c r="BD11" s="504"/>
      <c r="BE11" s="504"/>
      <c r="BF11" s="504"/>
      <c r="BG11" s="504"/>
      <c r="BH11" s="504"/>
      <c r="BJ11" s="482"/>
      <c r="BK11" s="477"/>
      <c r="BM11" s="482"/>
      <c r="BP11" s="482"/>
      <c r="BQ11" s="507"/>
      <c r="BR11" s="421"/>
    </row>
    <row r="12" spans="3:70" ht="17.25" customHeight="1" x14ac:dyDescent="0.3">
      <c r="C12" s="45"/>
      <c r="D12" s="14"/>
      <c r="E12" s="219" t="s">
        <v>38</v>
      </c>
      <c r="F12" s="220" t="s">
        <v>19</v>
      </c>
      <c r="G12" s="220" t="s">
        <v>2</v>
      </c>
      <c r="H12" s="222" t="s">
        <v>20</v>
      </c>
      <c r="I12" s="223" t="s">
        <v>2</v>
      </c>
      <c r="J12" s="220" t="s">
        <v>7</v>
      </c>
      <c r="K12" s="220" t="s">
        <v>15</v>
      </c>
      <c r="L12" s="220" t="s">
        <v>10</v>
      </c>
      <c r="M12" s="220" t="s">
        <v>17</v>
      </c>
      <c r="N12" s="220" t="s">
        <v>37</v>
      </c>
      <c r="O12" s="155" t="s">
        <v>8</v>
      </c>
      <c r="P12" s="222" t="s">
        <v>20</v>
      </c>
      <c r="Q12" s="223" t="s">
        <v>16</v>
      </c>
      <c r="R12" s="220" t="s">
        <v>37</v>
      </c>
      <c r="S12" s="220" t="s">
        <v>1</v>
      </c>
      <c r="T12" s="220" t="s">
        <v>14</v>
      </c>
      <c r="U12" s="220" t="s">
        <v>10</v>
      </c>
      <c r="V12" s="220" t="s">
        <v>18</v>
      </c>
      <c r="W12" s="220" t="s">
        <v>14</v>
      </c>
      <c r="X12" s="222" t="s">
        <v>20</v>
      </c>
      <c r="Y12" s="223" t="s">
        <v>4</v>
      </c>
      <c r="Z12" s="220" t="s">
        <v>9</v>
      </c>
      <c r="AA12" s="220" t="s">
        <v>5</v>
      </c>
      <c r="AB12" s="51" t="s">
        <v>15</v>
      </c>
      <c r="AC12" s="263" t="s">
        <v>3</v>
      </c>
      <c r="AD12" s="51" t="s">
        <v>17</v>
      </c>
      <c r="AE12" s="51" t="s">
        <v>18</v>
      </c>
      <c r="AF12" s="52" t="s">
        <v>1</v>
      </c>
      <c r="AG12" s="51" t="s">
        <v>3</v>
      </c>
      <c r="AH12" s="62" t="s">
        <v>17</v>
      </c>
      <c r="AI12" s="53" t="s">
        <v>10</v>
      </c>
      <c r="AJ12" s="46"/>
      <c r="AK12" s="47"/>
      <c r="AL12" s="55"/>
      <c r="AM12" s="185">
        <f>(COUNTA(E12:AL12)-COUNTIF(E12:AL12,"~?"))</f>
        <v>31</v>
      </c>
      <c r="AN12" s="63" t="s">
        <v>3</v>
      </c>
      <c r="AO12" s="64" t="s">
        <v>54</v>
      </c>
      <c r="AP12" s="14"/>
      <c r="AQ12" s="14"/>
      <c r="AR12" s="14"/>
      <c r="AU12" s="502"/>
      <c r="AV12" s="503"/>
      <c r="AW12" s="504"/>
      <c r="AX12" s="504"/>
      <c r="AY12" s="504"/>
      <c r="AZ12" s="504"/>
      <c r="BA12" s="504"/>
      <c r="BB12" s="504"/>
      <c r="BC12" s="504"/>
      <c r="BD12" s="504"/>
      <c r="BE12" s="504"/>
      <c r="BF12" s="504"/>
      <c r="BG12" s="504"/>
      <c r="BH12" s="504"/>
      <c r="BJ12" s="483"/>
      <c r="BM12" s="508"/>
      <c r="BN12" s="465"/>
      <c r="BP12" s="482"/>
      <c r="BR12" s="421"/>
    </row>
    <row r="13" spans="3:70" ht="17.25" customHeight="1" x14ac:dyDescent="0.3">
      <c r="C13" s="45">
        <f>COUNTA(E12:AL12)</f>
        <v>31</v>
      </c>
      <c r="D13" s="14"/>
      <c r="E13" s="214" t="s">
        <v>33</v>
      </c>
      <c r="F13" s="213" t="s">
        <v>35</v>
      </c>
      <c r="G13" s="213" t="s">
        <v>42</v>
      </c>
      <c r="H13" s="215" t="s">
        <v>33</v>
      </c>
      <c r="I13" s="216" t="s">
        <v>23</v>
      </c>
      <c r="J13" s="213" t="s">
        <v>29</v>
      </c>
      <c r="K13" s="213" t="s">
        <v>32</v>
      </c>
      <c r="L13" s="213" t="s">
        <v>55</v>
      </c>
      <c r="M13" s="213" t="s">
        <v>24</v>
      </c>
      <c r="N13" s="213" t="s">
        <v>30</v>
      </c>
      <c r="O13" s="156" t="s">
        <v>23</v>
      </c>
      <c r="P13" s="215" t="s">
        <v>33</v>
      </c>
      <c r="Q13" s="216" t="s">
        <v>26</v>
      </c>
      <c r="R13" s="213" t="s">
        <v>42</v>
      </c>
      <c r="S13" s="213" t="s">
        <v>41</v>
      </c>
      <c r="T13" s="213" t="s">
        <v>52</v>
      </c>
      <c r="U13" s="213" t="s">
        <v>53</v>
      </c>
      <c r="V13" s="213" t="s">
        <v>31</v>
      </c>
      <c r="W13" s="213" t="s">
        <v>24</v>
      </c>
      <c r="X13" s="215" t="s">
        <v>33</v>
      </c>
      <c r="Y13" s="216" t="s">
        <v>41</v>
      </c>
      <c r="Z13" s="213" t="s">
        <v>26</v>
      </c>
      <c r="AA13" s="213" t="s">
        <v>25</v>
      </c>
      <c r="AB13" s="213" t="s">
        <v>31</v>
      </c>
      <c r="AC13" s="264" t="s">
        <v>27</v>
      </c>
      <c r="AD13" s="213" t="s">
        <v>34</v>
      </c>
      <c r="AE13" s="213" t="s">
        <v>31</v>
      </c>
      <c r="AF13" s="215" t="s">
        <v>24</v>
      </c>
      <c r="AG13" s="213" t="s">
        <v>30</v>
      </c>
      <c r="AH13" s="217" t="s">
        <v>23</v>
      </c>
      <c r="AI13" s="227" t="s">
        <v>52</v>
      </c>
      <c r="AJ13" s="228"/>
      <c r="AK13" s="245"/>
      <c r="AL13" s="247"/>
      <c r="AM13" s="183">
        <f>SUM(AM11,AM12)</f>
        <v>91</v>
      </c>
      <c r="AN13" s="65" t="s">
        <v>27</v>
      </c>
      <c r="AO13" s="66" t="s">
        <v>56</v>
      </c>
      <c r="AP13" s="67"/>
      <c r="AQ13" s="67"/>
      <c r="AR13" s="67"/>
      <c r="AU13" s="502"/>
      <c r="AV13" s="503"/>
      <c r="AW13" s="504"/>
      <c r="AX13" s="504"/>
      <c r="AY13" s="504"/>
      <c r="AZ13" s="504"/>
      <c r="BA13" s="504"/>
      <c r="BB13" s="504"/>
      <c r="BC13" s="504"/>
      <c r="BD13" s="504"/>
      <c r="BE13" s="504"/>
      <c r="BF13" s="504"/>
      <c r="BG13" s="504"/>
      <c r="BH13" s="504"/>
      <c r="BM13" s="482"/>
      <c r="BN13" s="507"/>
      <c r="BP13" s="483"/>
      <c r="BQ13" s="465"/>
      <c r="BR13" s="421"/>
    </row>
    <row r="14" spans="3:70" ht="17.25" customHeight="1" x14ac:dyDescent="0.3">
      <c r="C14" s="45"/>
      <c r="D14" s="14"/>
      <c r="E14" s="219" t="s">
        <v>37</v>
      </c>
      <c r="F14" s="220" t="s">
        <v>7</v>
      </c>
      <c r="G14" s="220" t="s">
        <v>18</v>
      </c>
      <c r="H14" s="220" t="s">
        <v>7</v>
      </c>
      <c r="I14" s="157" t="s">
        <v>8</v>
      </c>
      <c r="J14" s="223" t="s">
        <v>1</v>
      </c>
      <c r="K14" s="220" t="s">
        <v>45</v>
      </c>
      <c r="L14" s="220" t="s">
        <v>18</v>
      </c>
      <c r="M14" s="220" t="s">
        <v>12</v>
      </c>
      <c r="N14" s="220" t="s">
        <v>3</v>
      </c>
      <c r="O14" s="220" t="s">
        <v>11</v>
      </c>
      <c r="P14" s="220" t="s">
        <v>3</v>
      </c>
      <c r="Q14" s="222" t="s">
        <v>1</v>
      </c>
      <c r="R14" s="223" t="s">
        <v>1</v>
      </c>
      <c r="S14" s="220" t="s">
        <v>17</v>
      </c>
      <c r="T14" s="220" t="s">
        <v>15</v>
      </c>
      <c r="U14" s="220" t="s">
        <v>38</v>
      </c>
      <c r="V14" s="220" t="s">
        <v>39</v>
      </c>
      <c r="W14" s="220" t="s">
        <v>15</v>
      </c>
      <c r="X14" s="155" t="s">
        <v>8</v>
      </c>
      <c r="Y14" s="222" t="s">
        <v>39</v>
      </c>
      <c r="Z14" s="223" t="s">
        <v>37</v>
      </c>
      <c r="AA14" s="220" t="s">
        <v>45</v>
      </c>
      <c r="AB14" s="259" t="s">
        <v>9</v>
      </c>
      <c r="AC14" s="51" t="s">
        <v>38</v>
      </c>
      <c r="AD14" s="51" t="s">
        <v>39</v>
      </c>
      <c r="AE14" s="51" t="s">
        <v>15</v>
      </c>
      <c r="AF14" s="51" t="s">
        <v>14</v>
      </c>
      <c r="AG14" s="52" t="s">
        <v>4</v>
      </c>
      <c r="AH14" s="51" t="s">
        <v>6</v>
      </c>
      <c r="AI14" s="51" t="s">
        <v>9</v>
      </c>
      <c r="AJ14" s="68" t="s">
        <v>9</v>
      </c>
      <c r="AK14" s="55"/>
      <c r="AL14" s="55"/>
      <c r="AM14" s="185">
        <f>(COUNTA(E14:AL14)-COUNTIF(E14:AL14,"~?"))</f>
        <v>32</v>
      </c>
      <c r="AN14" s="69" t="s">
        <v>1</v>
      </c>
      <c r="AO14" s="24"/>
      <c r="AP14" s="70"/>
      <c r="AQ14" s="26">
        <v>18</v>
      </c>
      <c r="AR14" s="27">
        <v>5</v>
      </c>
      <c r="AU14" s="502"/>
      <c r="AV14" s="503"/>
      <c r="AW14" s="504"/>
      <c r="AX14" s="504"/>
      <c r="AY14" s="504"/>
      <c r="AZ14" s="504"/>
      <c r="BA14" s="504"/>
      <c r="BB14" s="504"/>
      <c r="BC14" s="504"/>
      <c r="BD14" s="504"/>
      <c r="BE14" s="504"/>
      <c r="BF14" s="504"/>
      <c r="BG14" s="504"/>
      <c r="BH14" s="504"/>
      <c r="BJ14" s="509"/>
      <c r="BM14" s="482"/>
      <c r="BN14" s="477"/>
      <c r="BR14" s="421"/>
    </row>
    <row r="15" spans="3:70" ht="17.25" customHeight="1" x14ac:dyDescent="0.3">
      <c r="C15" s="45">
        <f>COUNTA(E14:AL14)</f>
        <v>32</v>
      </c>
      <c r="D15" s="14"/>
      <c r="E15" s="214" t="s">
        <v>23</v>
      </c>
      <c r="F15" s="213" t="s">
        <v>32</v>
      </c>
      <c r="G15" s="213" t="s">
        <v>31</v>
      </c>
      <c r="H15" s="213" t="s">
        <v>26</v>
      </c>
      <c r="I15" s="158" t="s">
        <v>32</v>
      </c>
      <c r="J15" s="216" t="s">
        <v>24</v>
      </c>
      <c r="K15" s="213" t="s">
        <v>52</v>
      </c>
      <c r="L15" s="213" t="s">
        <v>31</v>
      </c>
      <c r="M15" s="213" t="s">
        <v>26</v>
      </c>
      <c r="N15" s="213" t="s">
        <v>27</v>
      </c>
      <c r="O15" s="213" t="s">
        <v>53</v>
      </c>
      <c r="P15" s="213" t="s">
        <v>33</v>
      </c>
      <c r="Q15" s="215" t="s">
        <v>24</v>
      </c>
      <c r="R15" s="216" t="s">
        <v>24</v>
      </c>
      <c r="S15" s="213" t="s">
        <v>23</v>
      </c>
      <c r="T15" s="213" t="s">
        <v>32</v>
      </c>
      <c r="U15" s="213" t="s">
        <v>28</v>
      </c>
      <c r="V15" s="213" t="s">
        <v>26</v>
      </c>
      <c r="W15" s="213" t="s">
        <v>32</v>
      </c>
      <c r="X15" s="156" t="s">
        <v>23</v>
      </c>
      <c r="Y15" s="215" t="s">
        <v>52</v>
      </c>
      <c r="Z15" s="216" t="s">
        <v>34</v>
      </c>
      <c r="AA15" s="213" t="s">
        <v>52</v>
      </c>
      <c r="AB15" s="260" t="s">
        <v>28</v>
      </c>
      <c r="AC15" s="213" t="s">
        <v>28</v>
      </c>
      <c r="AD15" s="213" t="s">
        <v>26</v>
      </c>
      <c r="AE15" s="213" t="s">
        <v>32</v>
      </c>
      <c r="AF15" s="213" t="s">
        <v>24</v>
      </c>
      <c r="AG15" s="215" t="s">
        <v>41</v>
      </c>
      <c r="AH15" s="213" t="s">
        <v>31</v>
      </c>
      <c r="AI15" s="213" t="s">
        <v>26</v>
      </c>
      <c r="AJ15" s="248" t="s">
        <v>28</v>
      </c>
      <c r="AK15" s="247"/>
      <c r="AL15" s="247"/>
      <c r="AM15" s="183">
        <f>SUM(AM13,AM14)</f>
        <v>123</v>
      </c>
      <c r="AN15" s="71" t="s">
        <v>41</v>
      </c>
      <c r="AO15" s="72" t="s">
        <v>57</v>
      </c>
      <c r="AP15" s="70"/>
      <c r="AQ15" s="32">
        <v>21</v>
      </c>
      <c r="AR15" s="33">
        <v>15</v>
      </c>
      <c r="AU15" s="502"/>
      <c r="AV15" s="503"/>
      <c r="AW15" s="504"/>
      <c r="AX15" s="504"/>
      <c r="AY15" s="504"/>
      <c r="AZ15" s="504"/>
      <c r="BA15" s="504"/>
      <c r="BB15" s="504"/>
      <c r="BC15" s="504"/>
      <c r="BD15" s="504"/>
      <c r="BE15" s="504"/>
      <c r="BF15" s="504"/>
      <c r="BG15" s="504"/>
      <c r="BH15" s="504"/>
      <c r="BJ15" s="510"/>
      <c r="BK15" s="507"/>
      <c r="BM15" s="483"/>
      <c r="BP15" s="506"/>
      <c r="BR15" s="421"/>
    </row>
    <row r="16" spans="3:70" ht="17.25" customHeight="1" x14ac:dyDescent="0.3">
      <c r="C16" s="45"/>
      <c r="D16" s="14"/>
      <c r="E16" s="61" t="s">
        <v>12</v>
      </c>
      <c r="F16" s="61" t="s">
        <v>19</v>
      </c>
      <c r="G16" s="51" t="s">
        <v>7</v>
      </c>
      <c r="H16" s="51" t="s">
        <v>1</v>
      </c>
      <c r="I16" s="52" t="s">
        <v>38</v>
      </c>
      <c r="J16" s="50" t="s">
        <v>16</v>
      </c>
      <c r="K16" s="51" t="s">
        <v>7</v>
      </c>
      <c r="L16" s="51" t="s">
        <v>1</v>
      </c>
      <c r="M16" s="51" t="s">
        <v>2</v>
      </c>
      <c r="N16" s="51" t="s">
        <v>20</v>
      </c>
      <c r="O16" s="51" t="s">
        <v>14</v>
      </c>
      <c r="P16" s="51" t="s">
        <v>3</v>
      </c>
      <c r="Q16" s="261" t="s">
        <v>4</v>
      </c>
      <c r="R16" s="50" t="s">
        <v>16</v>
      </c>
      <c r="S16" s="51" t="s">
        <v>13</v>
      </c>
      <c r="T16" s="51" t="s">
        <v>15</v>
      </c>
      <c r="U16" s="51" t="s">
        <v>6</v>
      </c>
      <c r="V16" s="51" t="s">
        <v>16</v>
      </c>
      <c r="W16" s="51" t="s">
        <v>4</v>
      </c>
      <c r="X16" s="51" t="s">
        <v>40</v>
      </c>
      <c r="Y16" s="52" t="s">
        <v>6</v>
      </c>
      <c r="Z16" s="50" t="s">
        <v>16</v>
      </c>
      <c r="AA16" s="51" t="s">
        <v>3</v>
      </c>
      <c r="AB16" s="51" t="s">
        <v>40</v>
      </c>
      <c r="AC16" s="51" t="s">
        <v>37</v>
      </c>
      <c r="AD16" s="155" t="s">
        <v>8</v>
      </c>
      <c r="AE16" s="62" t="s">
        <v>13</v>
      </c>
      <c r="AF16" s="62" t="s">
        <v>7</v>
      </c>
      <c r="AG16" s="73" t="s">
        <v>4</v>
      </c>
      <c r="AH16" s="62" t="s">
        <v>38</v>
      </c>
      <c r="AI16" s="53" t="s">
        <v>19</v>
      </c>
      <c r="AJ16" s="55"/>
      <c r="AK16" s="55"/>
      <c r="AL16" s="55"/>
      <c r="AM16" s="185">
        <f>(COUNTA(E16:AL16)-COUNTIF(E16:AL16,"~?"))</f>
        <v>31</v>
      </c>
      <c r="AN16" s="74" t="s">
        <v>4</v>
      </c>
      <c r="AO16" s="75" t="s">
        <v>58</v>
      </c>
      <c r="AP16" s="14"/>
      <c r="AQ16" s="14"/>
      <c r="AR16" s="14"/>
      <c r="AU16" s="502"/>
      <c r="AV16" s="503"/>
      <c r="AW16" s="504"/>
      <c r="AX16" s="504"/>
      <c r="AY16" s="504"/>
      <c r="AZ16" s="504"/>
      <c r="BA16" s="504"/>
      <c r="BB16" s="504"/>
      <c r="BC16" s="504"/>
      <c r="BD16" s="504"/>
      <c r="BE16" s="504"/>
      <c r="BF16" s="504"/>
      <c r="BG16" s="504"/>
      <c r="BH16" s="504"/>
      <c r="BP16" s="506"/>
      <c r="BR16" s="421"/>
    </row>
    <row r="17" spans="3:70" ht="17.25" customHeight="1" x14ac:dyDescent="0.3">
      <c r="C17" s="45">
        <f>COUNTA(E16:AL16)</f>
        <v>31</v>
      </c>
      <c r="D17" s="14"/>
      <c r="E17" s="249" t="s">
        <v>26</v>
      </c>
      <c r="F17" s="249" t="s">
        <v>59</v>
      </c>
      <c r="G17" s="229" t="s">
        <v>26</v>
      </c>
      <c r="H17" s="229" t="s">
        <v>41</v>
      </c>
      <c r="I17" s="250" t="s">
        <v>25</v>
      </c>
      <c r="J17" s="251" t="s">
        <v>26</v>
      </c>
      <c r="K17" s="229" t="s">
        <v>29</v>
      </c>
      <c r="L17" s="229" t="s">
        <v>41</v>
      </c>
      <c r="M17" s="229" t="s">
        <v>35</v>
      </c>
      <c r="N17" s="229" t="s">
        <v>31</v>
      </c>
      <c r="O17" s="229" t="s">
        <v>24</v>
      </c>
      <c r="P17" s="229" t="s">
        <v>33</v>
      </c>
      <c r="Q17" s="262" t="s">
        <v>41</v>
      </c>
      <c r="R17" s="251" t="s">
        <v>26</v>
      </c>
      <c r="S17" s="229" t="s">
        <v>55</v>
      </c>
      <c r="T17" s="229" t="s">
        <v>32</v>
      </c>
      <c r="U17" s="229" t="s">
        <v>41</v>
      </c>
      <c r="V17" s="229" t="s">
        <v>23</v>
      </c>
      <c r="W17" s="229" t="s">
        <v>27</v>
      </c>
      <c r="X17" s="229" t="s">
        <v>29</v>
      </c>
      <c r="Y17" s="250" t="s">
        <v>31</v>
      </c>
      <c r="Z17" s="251" t="s">
        <v>26</v>
      </c>
      <c r="AA17" s="229" t="s">
        <v>34</v>
      </c>
      <c r="AB17" s="229" t="s">
        <v>29</v>
      </c>
      <c r="AC17" s="229" t="s">
        <v>23</v>
      </c>
      <c r="AD17" s="173" t="s">
        <v>46</v>
      </c>
      <c r="AE17" s="252" t="s">
        <v>59</v>
      </c>
      <c r="AF17" s="252" t="s">
        <v>26</v>
      </c>
      <c r="AG17" s="253" t="s">
        <v>41</v>
      </c>
      <c r="AH17" s="252" t="s">
        <v>25</v>
      </c>
      <c r="AI17" s="254" t="s">
        <v>31</v>
      </c>
      <c r="AJ17" s="247"/>
      <c r="AK17" s="247"/>
      <c r="AL17" s="247"/>
      <c r="AM17" s="183">
        <f>SUM(AM15,AM16)</f>
        <v>154</v>
      </c>
      <c r="AN17" s="65" t="s">
        <v>41</v>
      </c>
      <c r="AO17" s="66" t="s">
        <v>60</v>
      </c>
      <c r="AP17" s="14"/>
      <c r="AQ17" s="14"/>
      <c r="AR17" s="14"/>
      <c r="BJ17" s="506"/>
      <c r="BM17" s="506"/>
      <c r="BP17" s="482"/>
      <c r="BQ17" s="465"/>
      <c r="BR17" s="421"/>
    </row>
    <row r="18" spans="3:70" ht="17.25" customHeight="1" x14ac:dyDescent="0.3">
      <c r="C18" s="45"/>
      <c r="D18" s="14"/>
      <c r="E18" s="198" t="s">
        <v>6</v>
      </c>
      <c r="F18" s="199" t="s">
        <v>6</v>
      </c>
      <c r="G18" s="199" t="s">
        <v>14</v>
      </c>
      <c r="H18" s="199" t="s">
        <v>14</v>
      </c>
      <c r="I18" s="199" t="s">
        <v>14</v>
      </c>
      <c r="J18" s="199" t="s">
        <v>3</v>
      </c>
      <c r="K18" s="199" t="s">
        <v>20</v>
      </c>
      <c r="L18" s="199" t="s">
        <v>6</v>
      </c>
      <c r="M18" s="200" t="s">
        <v>49</v>
      </c>
      <c r="N18" s="199" t="s">
        <v>14</v>
      </c>
      <c r="O18" s="199" t="s">
        <v>40</v>
      </c>
      <c r="P18" s="199" t="s">
        <v>16</v>
      </c>
      <c r="Q18" s="199" t="s">
        <v>39</v>
      </c>
      <c r="R18" s="199" t="s">
        <v>4</v>
      </c>
      <c r="S18" s="199" t="s">
        <v>3</v>
      </c>
      <c r="T18" s="199" t="s">
        <v>4</v>
      </c>
      <c r="U18" s="199" t="s">
        <v>5</v>
      </c>
      <c r="V18" s="199" t="s">
        <v>40</v>
      </c>
      <c r="W18" s="199" t="s">
        <v>17</v>
      </c>
      <c r="X18" s="199" t="s">
        <v>38</v>
      </c>
      <c r="Y18" s="199" t="s">
        <v>14</v>
      </c>
      <c r="Z18" s="199" t="s">
        <v>4</v>
      </c>
      <c r="AA18" s="199" t="s">
        <v>19</v>
      </c>
      <c r="AB18" s="199" t="s">
        <v>12</v>
      </c>
      <c r="AC18" s="199" t="s">
        <v>45</v>
      </c>
      <c r="AD18" s="199" t="s">
        <v>3</v>
      </c>
      <c r="AE18" s="199" t="s">
        <v>37</v>
      </c>
      <c r="AF18" s="199" t="s">
        <v>7</v>
      </c>
      <c r="AG18" s="199" t="s">
        <v>1</v>
      </c>
      <c r="AH18" s="199" t="s">
        <v>9</v>
      </c>
      <c r="AI18" s="201" t="s">
        <v>1</v>
      </c>
      <c r="AJ18" s="55"/>
      <c r="AK18" s="55"/>
      <c r="AL18" s="55"/>
      <c r="AM18" s="184">
        <f>(COUNTA(E18:AL18)-COUNTIF(E18:AL18,"~?"))</f>
        <v>30</v>
      </c>
      <c r="AN18" s="56" t="s">
        <v>61</v>
      </c>
      <c r="AO18" s="57"/>
      <c r="AP18" s="60"/>
      <c r="AQ18" s="60"/>
      <c r="AR18" s="60"/>
      <c r="AU18" s="430"/>
      <c r="AV18" s="430"/>
      <c r="AW18" s="430"/>
      <c r="AX18" s="430"/>
      <c r="AY18" s="430"/>
      <c r="AZ18" s="430"/>
      <c r="BA18" s="430"/>
      <c r="BB18" s="430"/>
      <c r="BC18" s="430"/>
      <c r="BD18" s="430"/>
      <c r="BE18" s="430"/>
      <c r="BF18" s="430"/>
      <c r="BG18" s="430"/>
      <c r="BH18" s="430"/>
      <c r="BJ18" s="483"/>
      <c r="BK18" s="477"/>
      <c r="BM18" s="482"/>
      <c r="BN18" s="507"/>
      <c r="BP18" s="482"/>
      <c r="BQ18" s="507"/>
      <c r="BR18" s="421"/>
    </row>
    <row r="19" spans="3:70" ht="17.25" customHeight="1" x14ac:dyDescent="0.3">
      <c r="C19" s="45">
        <f>COUNTA(E18:AL18)</f>
        <v>31</v>
      </c>
      <c r="D19" s="14"/>
      <c r="E19" s="202" t="s">
        <v>22</v>
      </c>
      <c r="F19" s="203" t="s">
        <v>41</v>
      </c>
      <c r="G19" s="203" t="s">
        <v>28</v>
      </c>
      <c r="H19" s="203" t="s">
        <v>24</v>
      </c>
      <c r="I19" s="203" t="s">
        <v>24</v>
      </c>
      <c r="J19" s="203" t="s">
        <v>30</v>
      </c>
      <c r="K19" s="203" t="s">
        <v>33</v>
      </c>
      <c r="L19" s="203" t="s">
        <v>27</v>
      </c>
      <c r="M19" s="204" t="s">
        <v>62</v>
      </c>
      <c r="N19" s="203" t="s">
        <v>24</v>
      </c>
      <c r="O19" s="203" t="s">
        <v>30</v>
      </c>
      <c r="P19" s="203" t="s">
        <v>23</v>
      </c>
      <c r="Q19" s="203" t="s">
        <v>46</v>
      </c>
      <c r="R19" s="203" t="s">
        <v>27</v>
      </c>
      <c r="S19" s="203" t="s">
        <v>30</v>
      </c>
      <c r="T19" s="203" t="s">
        <v>41</v>
      </c>
      <c r="U19" s="203" t="s">
        <v>28</v>
      </c>
      <c r="V19" s="203" t="s">
        <v>29</v>
      </c>
      <c r="W19" s="203" t="s">
        <v>32</v>
      </c>
      <c r="X19" s="203" t="s">
        <v>33</v>
      </c>
      <c r="Y19" s="203" t="s">
        <v>24</v>
      </c>
      <c r="Z19" s="203" t="s">
        <v>27</v>
      </c>
      <c r="AA19" s="203" t="s">
        <v>22</v>
      </c>
      <c r="AB19" s="203" t="s">
        <v>28</v>
      </c>
      <c r="AC19" s="203" t="s">
        <v>52</v>
      </c>
      <c r="AD19" s="203" t="s">
        <v>33</v>
      </c>
      <c r="AE19" s="203" t="s">
        <v>23</v>
      </c>
      <c r="AF19" s="203" t="s">
        <v>32</v>
      </c>
      <c r="AG19" s="203" t="s">
        <v>41</v>
      </c>
      <c r="AH19" s="203" t="s">
        <v>28</v>
      </c>
      <c r="AI19" s="205" t="s">
        <v>24</v>
      </c>
      <c r="AJ19" s="247"/>
      <c r="AK19" s="247"/>
      <c r="AL19" s="247"/>
      <c r="AM19" s="183">
        <f>SUM(AM17,AM18)</f>
        <v>184</v>
      </c>
      <c r="AN19" s="70"/>
      <c r="AO19" s="70"/>
      <c r="AP19" s="60"/>
      <c r="AQ19" s="60"/>
      <c r="AR19" s="60"/>
      <c r="BM19" s="482"/>
      <c r="BP19" s="482"/>
      <c r="BR19" s="421"/>
    </row>
    <row r="20" spans="3:70" ht="17.25" customHeight="1" x14ac:dyDescent="0.3">
      <c r="C20" s="45"/>
      <c r="D20" s="14"/>
      <c r="E20" s="206" t="s">
        <v>1</v>
      </c>
      <c r="F20" s="207" t="s">
        <v>20</v>
      </c>
      <c r="G20" s="174" t="s">
        <v>8</v>
      </c>
      <c r="H20" s="207" t="s">
        <v>14</v>
      </c>
      <c r="I20" s="208" t="s">
        <v>16</v>
      </c>
      <c r="J20" s="207" t="s">
        <v>4</v>
      </c>
      <c r="K20" s="207" t="s">
        <v>1</v>
      </c>
      <c r="L20" s="209" t="s">
        <v>7</v>
      </c>
      <c r="M20" s="210" t="s">
        <v>2</v>
      </c>
      <c r="N20" s="207" t="s">
        <v>63</v>
      </c>
      <c r="O20" s="207" t="s">
        <v>37</v>
      </c>
      <c r="P20" s="207" t="s">
        <v>37</v>
      </c>
      <c r="Q20" s="207" t="s">
        <v>15</v>
      </c>
      <c r="R20" s="174" t="s">
        <v>8</v>
      </c>
      <c r="S20" s="207" t="s">
        <v>38</v>
      </c>
      <c r="T20" s="209" t="s">
        <v>38</v>
      </c>
      <c r="U20" s="210" t="s">
        <v>3</v>
      </c>
      <c r="V20" s="207" t="s">
        <v>18</v>
      </c>
      <c r="W20" s="207" t="s">
        <v>13</v>
      </c>
      <c r="X20" s="207" t="s">
        <v>12</v>
      </c>
      <c r="Y20" s="207" t="s">
        <v>37</v>
      </c>
      <c r="Z20" s="207" t="s">
        <v>5</v>
      </c>
      <c r="AA20" s="207" t="s">
        <v>4</v>
      </c>
      <c r="AB20" s="209" t="s">
        <v>1</v>
      </c>
      <c r="AC20" s="210" t="s">
        <v>3</v>
      </c>
      <c r="AD20" s="207" t="s">
        <v>17</v>
      </c>
      <c r="AE20" s="174" t="s">
        <v>8</v>
      </c>
      <c r="AF20" s="207" t="s">
        <v>10</v>
      </c>
      <c r="AG20" s="211" t="s">
        <v>20</v>
      </c>
      <c r="AH20" s="211" t="s">
        <v>19</v>
      </c>
      <c r="AI20" s="211" t="s">
        <v>14</v>
      </c>
      <c r="AJ20" s="53" t="s">
        <v>11</v>
      </c>
      <c r="AK20" s="55"/>
      <c r="AL20" s="55"/>
      <c r="AM20" s="185">
        <f>(COUNTA(E20:AL20)-COUNTIF(E20:AL20,"~?"))</f>
        <v>32</v>
      </c>
      <c r="AN20" s="70"/>
      <c r="AO20" s="70"/>
      <c r="AP20" s="14"/>
      <c r="AQ20" s="14"/>
      <c r="AR20" s="14"/>
      <c r="BJ20" s="506"/>
      <c r="BM20" s="508"/>
      <c r="BN20" s="465"/>
      <c r="BP20" s="483"/>
      <c r="BQ20" s="465"/>
      <c r="BR20" s="421"/>
    </row>
    <row r="21" spans="3:70" ht="17.25" customHeight="1" x14ac:dyDescent="0.3">
      <c r="C21" s="45">
        <f>COUNTA(E20:AL20)</f>
        <v>32</v>
      </c>
      <c r="D21" s="14"/>
      <c r="E21" s="212" t="s">
        <v>24</v>
      </c>
      <c r="F21" s="213" t="s">
        <v>30</v>
      </c>
      <c r="G21" s="156" t="s">
        <v>23</v>
      </c>
      <c r="H21" s="213" t="s">
        <v>52</v>
      </c>
      <c r="I21" s="214" t="s">
        <v>23</v>
      </c>
      <c r="J21" s="213" t="s">
        <v>27</v>
      </c>
      <c r="K21" s="213" t="s">
        <v>41</v>
      </c>
      <c r="L21" s="215" t="s">
        <v>53</v>
      </c>
      <c r="M21" s="216" t="s">
        <v>23</v>
      </c>
      <c r="N21" s="213" t="s">
        <v>25</v>
      </c>
      <c r="O21" s="213" t="s">
        <v>30</v>
      </c>
      <c r="P21" s="213" t="s">
        <v>23</v>
      </c>
      <c r="Q21" s="213" t="s">
        <v>52</v>
      </c>
      <c r="R21" s="156" t="s">
        <v>23</v>
      </c>
      <c r="S21" s="213" t="s">
        <v>55</v>
      </c>
      <c r="T21" s="215" t="s">
        <v>25</v>
      </c>
      <c r="U21" s="216" t="s">
        <v>30</v>
      </c>
      <c r="V21" s="213" t="s">
        <v>41</v>
      </c>
      <c r="W21" s="213" t="s">
        <v>59</v>
      </c>
      <c r="X21" s="213" t="s">
        <v>26</v>
      </c>
      <c r="Y21" s="213" t="s">
        <v>41</v>
      </c>
      <c r="Z21" s="213" t="s">
        <v>25</v>
      </c>
      <c r="AA21" s="213" t="s">
        <v>27</v>
      </c>
      <c r="AB21" s="215" t="s">
        <v>24</v>
      </c>
      <c r="AC21" s="216" t="s">
        <v>30</v>
      </c>
      <c r="AD21" s="213" t="s">
        <v>23</v>
      </c>
      <c r="AE21" s="156" t="s">
        <v>23</v>
      </c>
      <c r="AF21" s="213" t="s">
        <v>55</v>
      </c>
      <c r="AG21" s="217" t="s">
        <v>31</v>
      </c>
      <c r="AH21" s="217" t="s">
        <v>35</v>
      </c>
      <c r="AI21" s="217" t="s">
        <v>24</v>
      </c>
      <c r="AJ21" s="227" t="s">
        <v>29</v>
      </c>
      <c r="AK21" s="247"/>
      <c r="AL21" s="247"/>
      <c r="AM21" s="183">
        <f>SUM(AM19,AM20)</f>
        <v>216</v>
      </c>
      <c r="AN21" s="70"/>
      <c r="AO21" s="76"/>
      <c r="AP21" s="14"/>
      <c r="AQ21" s="14"/>
      <c r="AR21" s="14"/>
      <c r="AU21" s="478"/>
      <c r="AV21" s="470"/>
      <c r="AW21" s="500"/>
      <c r="AX21" s="500"/>
      <c r="AY21" s="500"/>
      <c r="AZ21" s="500"/>
      <c r="BA21" s="500"/>
      <c r="BB21" s="500"/>
      <c r="BC21" s="500"/>
      <c r="BD21" s="500"/>
      <c r="BE21" s="500"/>
      <c r="BF21" s="500"/>
      <c r="BG21" s="500"/>
      <c r="BH21" s="500"/>
      <c r="BJ21" s="483"/>
      <c r="BK21" s="477"/>
      <c r="BM21" s="482"/>
      <c r="BN21" s="507"/>
      <c r="BR21" s="421"/>
    </row>
    <row r="22" spans="3:70" ht="17.25" customHeight="1" x14ac:dyDescent="0.35">
      <c r="C22" s="45"/>
      <c r="D22" s="14"/>
      <c r="E22" s="218" t="s">
        <v>4</v>
      </c>
      <c r="F22" s="159" t="s">
        <v>8</v>
      </c>
      <c r="G22" s="220" t="s">
        <v>18</v>
      </c>
      <c r="H22" s="220" t="s">
        <v>18</v>
      </c>
      <c r="I22" s="220" t="s">
        <v>38</v>
      </c>
      <c r="J22" s="220" t="s">
        <v>1</v>
      </c>
      <c r="K22" s="220" t="s">
        <v>7</v>
      </c>
      <c r="L22" s="221" t="s">
        <v>49</v>
      </c>
      <c r="M22" s="222" t="s">
        <v>4</v>
      </c>
      <c r="N22" s="223" t="s">
        <v>16</v>
      </c>
      <c r="O22" s="220" t="s">
        <v>7</v>
      </c>
      <c r="P22" s="220" t="s">
        <v>39</v>
      </c>
      <c r="Q22" s="220" t="s">
        <v>13</v>
      </c>
      <c r="R22" s="220" t="s">
        <v>4</v>
      </c>
      <c r="S22" s="220" t="s">
        <v>14</v>
      </c>
      <c r="T22" s="220" t="s">
        <v>37</v>
      </c>
      <c r="U22" s="222" t="s">
        <v>20</v>
      </c>
      <c r="V22" s="223" t="s">
        <v>18</v>
      </c>
      <c r="W22" s="220" t="s">
        <v>63</v>
      </c>
      <c r="X22" s="220" t="s">
        <v>18</v>
      </c>
      <c r="Y22" s="220" t="s">
        <v>19</v>
      </c>
      <c r="Z22" s="220" t="s">
        <v>5</v>
      </c>
      <c r="AA22" s="220" t="s">
        <v>3</v>
      </c>
      <c r="AB22" s="220" t="s">
        <v>4</v>
      </c>
      <c r="AC22" s="222" t="s">
        <v>11</v>
      </c>
      <c r="AD22" s="223" t="s">
        <v>6</v>
      </c>
      <c r="AE22" s="220" t="s">
        <v>6</v>
      </c>
      <c r="AF22" s="220" t="s">
        <v>14</v>
      </c>
      <c r="AG22" s="220" t="s">
        <v>9</v>
      </c>
      <c r="AH22" s="224" t="s">
        <v>16</v>
      </c>
      <c r="AI22" s="225" t="s">
        <v>4</v>
      </c>
      <c r="AJ22" s="54"/>
      <c r="AK22" s="55"/>
      <c r="AL22" s="55"/>
      <c r="AM22" s="184">
        <f>(COUNTA(E22:AL22)-COUNTIF(E22:AL22,"~?"))</f>
        <v>30</v>
      </c>
      <c r="AN22" s="56" t="s">
        <v>64</v>
      </c>
      <c r="AO22" s="57"/>
      <c r="AP22" s="70"/>
      <c r="AQ22" s="70"/>
      <c r="AR22" s="70"/>
      <c r="AU22" s="430"/>
      <c r="AV22" s="473"/>
      <c r="AW22" s="501"/>
      <c r="AX22" s="501"/>
      <c r="AY22" s="501"/>
      <c r="AZ22" s="501"/>
      <c r="BA22" s="501"/>
      <c r="BB22" s="501"/>
      <c r="BC22" s="501"/>
      <c r="BD22" s="501"/>
      <c r="BE22" s="501"/>
      <c r="BF22" s="501"/>
      <c r="BG22" s="501"/>
      <c r="BH22" s="501"/>
      <c r="BM22" s="482"/>
      <c r="BN22" s="477"/>
      <c r="BP22" s="506"/>
      <c r="BQ22" s="511"/>
      <c r="BR22" s="421"/>
    </row>
    <row r="23" spans="3:70" ht="17.25" customHeight="1" x14ac:dyDescent="0.3">
      <c r="C23" s="45">
        <f>COUNTA(E22:AL22)</f>
        <v>31</v>
      </c>
      <c r="D23" s="14"/>
      <c r="E23" s="212" t="s">
        <v>41</v>
      </c>
      <c r="F23" s="160" t="s">
        <v>35</v>
      </c>
      <c r="G23" s="213" t="s">
        <v>31</v>
      </c>
      <c r="H23" s="213" t="s">
        <v>24</v>
      </c>
      <c r="I23" s="213" t="s">
        <v>33</v>
      </c>
      <c r="J23" s="213" t="s">
        <v>41</v>
      </c>
      <c r="K23" s="213" t="s">
        <v>26</v>
      </c>
      <c r="L23" s="226">
        <v>61</v>
      </c>
      <c r="M23" s="215" t="s">
        <v>41</v>
      </c>
      <c r="N23" s="216" t="s">
        <v>26</v>
      </c>
      <c r="O23" s="213" t="s">
        <v>29</v>
      </c>
      <c r="P23" s="213" t="s">
        <v>46</v>
      </c>
      <c r="Q23" s="213" t="s">
        <v>25</v>
      </c>
      <c r="R23" s="213" t="s">
        <v>25</v>
      </c>
      <c r="S23" s="213" t="s">
        <v>24</v>
      </c>
      <c r="T23" s="213" t="s">
        <v>30</v>
      </c>
      <c r="U23" s="215" t="s">
        <v>33</v>
      </c>
      <c r="V23" s="216" t="s">
        <v>27</v>
      </c>
      <c r="W23" s="213" t="s">
        <v>25</v>
      </c>
      <c r="X23" s="213" t="s">
        <v>31</v>
      </c>
      <c r="Y23" s="213" t="s">
        <v>27</v>
      </c>
      <c r="Z23" s="213" t="s">
        <v>30</v>
      </c>
      <c r="AA23" s="213" t="s">
        <v>33</v>
      </c>
      <c r="AB23" s="213" t="s">
        <v>27</v>
      </c>
      <c r="AC23" s="215" t="s">
        <v>29</v>
      </c>
      <c r="AD23" s="216" t="s">
        <v>31</v>
      </c>
      <c r="AE23" s="213" t="s">
        <v>27</v>
      </c>
      <c r="AF23" s="213" t="s">
        <v>24</v>
      </c>
      <c r="AG23" s="213" t="s">
        <v>53</v>
      </c>
      <c r="AH23" s="217" t="s">
        <v>23</v>
      </c>
      <c r="AI23" s="227" t="s">
        <v>27</v>
      </c>
      <c r="AJ23" s="246"/>
      <c r="AK23" s="247"/>
      <c r="AL23" s="247"/>
      <c r="AM23" s="183">
        <f>SUM(AM21,AM22)</f>
        <v>246</v>
      </c>
      <c r="AN23" s="70"/>
      <c r="AO23" s="76"/>
      <c r="AP23" s="70"/>
      <c r="AQ23" s="70"/>
      <c r="AR23" s="70"/>
      <c r="AU23" s="502"/>
      <c r="AV23" s="503"/>
      <c r="AW23" s="504"/>
      <c r="AX23" s="504"/>
      <c r="AY23" s="504"/>
      <c r="AZ23" s="504"/>
      <c r="BA23" s="504"/>
      <c r="BB23" s="504"/>
      <c r="BC23" s="504"/>
      <c r="BD23" s="504"/>
      <c r="BE23" s="504"/>
      <c r="BF23" s="504"/>
      <c r="BG23" s="504"/>
      <c r="BH23" s="504"/>
      <c r="BJ23" s="506"/>
      <c r="BK23" s="511"/>
      <c r="BM23" s="483"/>
      <c r="BP23" s="482"/>
      <c r="BQ23" s="507"/>
      <c r="BR23" s="421"/>
    </row>
    <row r="24" spans="3:70" ht="17.25" customHeight="1" x14ac:dyDescent="0.3">
      <c r="C24" s="45"/>
      <c r="D24" s="14"/>
      <c r="E24" s="208" t="s">
        <v>4</v>
      </c>
      <c r="F24" s="222" t="s">
        <v>6</v>
      </c>
      <c r="G24" s="223" t="s">
        <v>37</v>
      </c>
      <c r="H24" s="220" t="s">
        <v>17</v>
      </c>
      <c r="I24" s="220" t="s">
        <v>38</v>
      </c>
      <c r="J24" s="220" t="s">
        <v>18</v>
      </c>
      <c r="K24" s="220" t="s">
        <v>5</v>
      </c>
      <c r="L24" s="220" t="s">
        <v>3</v>
      </c>
      <c r="M24" s="220" t="s">
        <v>10</v>
      </c>
      <c r="N24" s="222" t="s">
        <v>1</v>
      </c>
      <c r="O24" s="223" t="s">
        <v>45</v>
      </c>
      <c r="P24" s="220" t="s">
        <v>17</v>
      </c>
      <c r="Q24" s="220" t="s">
        <v>3</v>
      </c>
      <c r="R24" s="220" t="s">
        <v>20</v>
      </c>
      <c r="S24" s="220" t="s">
        <v>5</v>
      </c>
      <c r="T24" s="220" t="s">
        <v>14</v>
      </c>
      <c r="U24" s="220" t="s">
        <v>15</v>
      </c>
      <c r="V24" s="222" t="s">
        <v>2</v>
      </c>
      <c r="W24" s="223" t="s">
        <v>37</v>
      </c>
      <c r="X24" s="220" t="s">
        <v>45</v>
      </c>
      <c r="Y24" s="155" t="s">
        <v>8</v>
      </c>
      <c r="Z24" s="220" t="s">
        <v>37</v>
      </c>
      <c r="AA24" s="220" t="s">
        <v>3</v>
      </c>
      <c r="AB24" s="220" t="s">
        <v>2</v>
      </c>
      <c r="AC24" s="220" t="s">
        <v>3</v>
      </c>
      <c r="AD24" s="222" t="s">
        <v>17</v>
      </c>
      <c r="AE24" s="220" t="s">
        <v>1</v>
      </c>
      <c r="AF24" s="220" t="s">
        <v>14</v>
      </c>
      <c r="AG24" s="220" t="s">
        <v>4</v>
      </c>
      <c r="AH24" s="225" t="s">
        <v>37</v>
      </c>
      <c r="AI24" s="228"/>
      <c r="AJ24" s="47"/>
      <c r="AK24" s="47"/>
      <c r="AL24" s="55"/>
      <c r="AM24" s="185">
        <f>(COUNTA(E24:AL24)-COUNTIF(E24:AL24,"~?"))</f>
        <v>30</v>
      </c>
      <c r="AN24" s="14"/>
      <c r="AU24" s="502"/>
      <c r="AV24" s="503"/>
      <c r="AW24" s="504"/>
      <c r="AX24" s="504"/>
      <c r="AY24" s="504"/>
      <c r="AZ24" s="504"/>
      <c r="BA24" s="504"/>
      <c r="BB24" s="504"/>
      <c r="BC24" s="504"/>
      <c r="BD24" s="504"/>
      <c r="BE24" s="504"/>
      <c r="BF24" s="504"/>
      <c r="BG24" s="504"/>
      <c r="BH24" s="504"/>
      <c r="BJ24" s="482"/>
      <c r="BK24" s="512"/>
      <c r="BP24" s="483"/>
      <c r="BQ24" s="477"/>
      <c r="BR24" s="421"/>
    </row>
    <row r="25" spans="3:70" ht="17.25" customHeight="1" x14ac:dyDescent="0.3">
      <c r="C25" s="45">
        <f>COUNTA(E24:AL24)</f>
        <v>30</v>
      </c>
      <c r="D25" s="14"/>
      <c r="E25" s="214" t="s">
        <v>27</v>
      </c>
      <c r="F25" s="215" t="s">
        <v>31</v>
      </c>
      <c r="G25" s="216" t="s">
        <v>34</v>
      </c>
      <c r="H25" s="213" t="s">
        <v>23</v>
      </c>
      <c r="I25" s="213" t="s">
        <v>55</v>
      </c>
      <c r="J25" s="213" t="s">
        <v>24</v>
      </c>
      <c r="K25" s="213" t="s">
        <v>30</v>
      </c>
      <c r="L25" s="213" t="s">
        <v>33</v>
      </c>
      <c r="M25" s="213" t="s">
        <v>52</v>
      </c>
      <c r="N25" s="215" t="s">
        <v>24</v>
      </c>
      <c r="O25" s="216" t="s">
        <v>46</v>
      </c>
      <c r="P25" s="213" t="s">
        <v>23</v>
      </c>
      <c r="Q25" s="213" t="s">
        <v>33</v>
      </c>
      <c r="R25" s="213" t="s">
        <v>34</v>
      </c>
      <c r="S25" s="213" t="s">
        <v>30</v>
      </c>
      <c r="T25" s="213" t="s">
        <v>24</v>
      </c>
      <c r="U25" s="213" t="s">
        <v>32</v>
      </c>
      <c r="V25" s="215" t="s">
        <v>23</v>
      </c>
      <c r="W25" s="216" t="s">
        <v>34</v>
      </c>
      <c r="X25" s="213" t="s">
        <v>52</v>
      </c>
      <c r="Y25" s="156" t="s">
        <v>23</v>
      </c>
      <c r="Z25" s="213" t="s">
        <v>23</v>
      </c>
      <c r="AA25" s="213" t="s">
        <v>27</v>
      </c>
      <c r="AB25" s="213" t="s">
        <v>42</v>
      </c>
      <c r="AC25" s="213" t="s">
        <v>33</v>
      </c>
      <c r="AD25" s="215" t="s">
        <v>42</v>
      </c>
      <c r="AE25" s="213" t="s">
        <v>24</v>
      </c>
      <c r="AF25" s="213" t="s">
        <v>46</v>
      </c>
      <c r="AG25" s="213" t="s">
        <v>27</v>
      </c>
      <c r="AH25" s="227" t="s">
        <v>23</v>
      </c>
      <c r="AI25" s="228"/>
      <c r="AJ25" s="245"/>
      <c r="AK25" s="245"/>
      <c r="AL25" s="247"/>
      <c r="AM25" s="183">
        <f>SUM(AM23,AM24)</f>
        <v>276</v>
      </c>
      <c r="AN25" s="14"/>
      <c r="AU25" s="502"/>
      <c r="AV25" s="503"/>
      <c r="AW25" s="504"/>
      <c r="AX25" s="513"/>
      <c r="AY25" s="504"/>
      <c r="AZ25" s="504"/>
      <c r="BA25" s="504"/>
      <c r="BB25" s="504"/>
      <c r="BC25" s="504"/>
      <c r="BD25" s="504"/>
      <c r="BE25" s="504"/>
      <c r="BF25" s="504"/>
      <c r="BG25" s="504"/>
      <c r="BH25" s="504"/>
      <c r="BJ25" s="483"/>
      <c r="BK25" s="479"/>
      <c r="BM25" s="506"/>
      <c r="BN25" s="511"/>
      <c r="BR25" s="421"/>
    </row>
    <row r="26" spans="3:70" ht="17.25" customHeight="1" x14ac:dyDescent="0.3">
      <c r="C26" s="45"/>
      <c r="D26" s="14"/>
      <c r="E26" s="219" t="s">
        <v>1</v>
      </c>
      <c r="F26" s="155" t="s">
        <v>8</v>
      </c>
      <c r="G26" s="220" t="s">
        <v>7</v>
      </c>
      <c r="H26" s="222" t="s">
        <v>7</v>
      </c>
      <c r="I26" s="220" t="s">
        <v>20</v>
      </c>
      <c r="J26" s="220" t="s">
        <v>9</v>
      </c>
      <c r="K26" s="220" t="s">
        <v>9</v>
      </c>
      <c r="L26" s="220" t="s">
        <v>18</v>
      </c>
      <c r="M26" s="220" t="s">
        <v>16</v>
      </c>
      <c r="N26" s="220" t="s">
        <v>4</v>
      </c>
      <c r="O26" s="220" t="s">
        <v>4</v>
      </c>
      <c r="P26" s="222" t="s">
        <v>20</v>
      </c>
      <c r="Q26" s="220" t="s">
        <v>63</v>
      </c>
      <c r="R26" s="220" t="s">
        <v>1</v>
      </c>
      <c r="S26" s="220" t="s">
        <v>1</v>
      </c>
      <c r="T26" s="220" t="s">
        <v>11</v>
      </c>
      <c r="U26" s="220" t="s">
        <v>39</v>
      </c>
      <c r="V26" s="220" t="s">
        <v>14</v>
      </c>
      <c r="W26" s="220" t="s">
        <v>2</v>
      </c>
      <c r="X26" s="222" t="s">
        <v>20</v>
      </c>
      <c r="Y26" s="220" t="s">
        <v>5</v>
      </c>
      <c r="Z26" s="220" t="s">
        <v>17</v>
      </c>
      <c r="AA26" s="220" t="s">
        <v>4</v>
      </c>
      <c r="AB26" s="220" t="s">
        <v>37</v>
      </c>
      <c r="AC26" s="220" t="s">
        <v>11</v>
      </c>
      <c r="AD26" s="220" t="s">
        <v>1</v>
      </c>
      <c r="AE26" s="220" t="s">
        <v>7</v>
      </c>
      <c r="AF26" s="157" t="s">
        <v>8</v>
      </c>
      <c r="AG26" s="220" t="s">
        <v>18</v>
      </c>
      <c r="AH26" s="224" t="s">
        <v>9</v>
      </c>
      <c r="AI26" s="225" t="s">
        <v>1</v>
      </c>
      <c r="AJ26" s="54"/>
      <c r="AK26" s="55"/>
      <c r="AL26" s="55"/>
      <c r="AM26" s="185">
        <f>(COUNTA(E26:AL26)-COUNTIF(E26:AL26,"~?"))</f>
        <v>31</v>
      </c>
      <c r="AN26" s="70"/>
      <c r="AO26" s="76"/>
      <c r="AP26" s="70"/>
      <c r="AQ26" s="70"/>
      <c r="AR26" s="70"/>
      <c r="AU26" s="502"/>
      <c r="AV26" s="503"/>
      <c r="AW26" s="504"/>
      <c r="AX26" s="504"/>
      <c r="AY26" s="513"/>
      <c r="AZ26" s="504"/>
      <c r="BA26" s="504"/>
      <c r="BB26" s="504"/>
      <c r="BC26" s="504"/>
      <c r="BD26" s="504"/>
      <c r="BE26" s="504"/>
      <c r="BF26" s="504"/>
      <c r="BG26" s="504"/>
      <c r="BH26" s="504"/>
      <c r="BM26" s="482"/>
      <c r="BN26" s="512"/>
      <c r="BR26" s="421"/>
    </row>
    <row r="27" spans="3:70" ht="17.25" customHeight="1" x14ac:dyDescent="0.3">
      <c r="C27" s="45">
        <f>COUNTA(E26:AL26)</f>
        <v>31</v>
      </c>
      <c r="D27" s="14"/>
      <c r="E27" s="214" t="s">
        <v>47</v>
      </c>
      <c r="F27" s="156" t="s">
        <v>23</v>
      </c>
      <c r="G27" s="213" t="s">
        <v>26</v>
      </c>
      <c r="H27" s="215" t="s">
        <v>53</v>
      </c>
      <c r="I27" s="213" t="s">
        <v>33</v>
      </c>
      <c r="J27" s="213" t="s">
        <v>26</v>
      </c>
      <c r="K27" s="213" t="s">
        <v>28</v>
      </c>
      <c r="L27" s="213" t="s">
        <v>24</v>
      </c>
      <c r="M27" s="213" t="s">
        <v>23</v>
      </c>
      <c r="N27" s="213" t="s">
        <v>27</v>
      </c>
      <c r="O27" s="213" t="s">
        <v>27</v>
      </c>
      <c r="P27" s="215" t="s">
        <v>33</v>
      </c>
      <c r="Q27" s="213" t="s">
        <v>55</v>
      </c>
      <c r="R27" s="213" t="s">
        <v>48</v>
      </c>
      <c r="S27" s="213" t="s">
        <v>41</v>
      </c>
      <c r="T27" s="213" t="s">
        <v>33</v>
      </c>
      <c r="U27" s="213" t="s">
        <v>26</v>
      </c>
      <c r="V27" s="213" t="s">
        <v>24</v>
      </c>
      <c r="W27" s="213" t="s">
        <v>42</v>
      </c>
      <c r="X27" s="215" t="s">
        <v>33</v>
      </c>
      <c r="Y27" s="213" t="s">
        <v>47</v>
      </c>
      <c r="Z27" s="213" t="s">
        <v>23</v>
      </c>
      <c r="AA27" s="213" t="s">
        <v>27</v>
      </c>
      <c r="AB27" s="213" t="s">
        <v>23</v>
      </c>
      <c r="AC27" s="213" t="s">
        <v>35</v>
      </c>
      <c r="AD27" s="213" t="s">
        <v>41</v>
      </c>
      <c r="AE27" s="213" t="s">
        <v>26</v>
      </c>
      <c r="AF27" s="158" t="s">
        <v>32</v>
      </c>
      <c r="AG27" s="213" t="s">
        <v>27</v>
      </c>
      <c r="AH27" s="217" t="s">
        <v>26</v>
      </c>
      <c r="AI27" s="227" t="s">
        <v>41</v>
      </c>
      <c r="AJ27" s="246"/>
      <c r="AK27" s="247"/>
      <c r="AL27" s="247"/>
      <c r="AM27" s="183">
        <f>SUM(AM25,AM26)</f>
        <v>307</v>
      </c>
      <c r="AN27" s="70"/>
      <c r="AO27" s="76"/>
      <c r="AP27" s="70"/>
      <c r="AQ27" s="70"/>
      <c r="AR27" s="70"/>
      <c r="AU27" s="502"/>
      <c r="AV27" s="503"/>
      <c r="AW27" s="504"/>
      <c r="AX27" s="504"/>
      <c r="AY27" s="504"/>
      <c r="AZ27" s="513"/>
      <c r="BA27" s="504"/>
      <c r="BB27" s="504"/>
      <c r="BC27" s="504"/>
      <c r="BD27" s="504"/>
      <c r="BE27" s="504"/>
      <c r="BF27" s="504"/>
      <c r="BG27" s="504"/>
      <c r="BH27" s="504"/>
      <c r="BM27" s="482"/>
      <c r="BN27" s="479"/>
      <c r="BR27" s="421"/>
    </row>
    <row r="28" spans="3:70" ht="17.25" customHeight="1" x14ac:dyDescent="0.3">
      <c r="C28" s="45"/>
      <c r="D28" s="14"/>
      <c r="E28" s="219" t="s">
        <v>14</v>
      </c>
      <c r="F28" s="220" t="s">
        <v>17</v>
      </c>
      <c r="G28" s="220" t="s">
        <v>37</v>
      </c>
      <c r="H28" s="220" t="s">
        <v>4</v>
      </c>
      <c r="I28" s="222" t="s">
        <v>2</v>
      </c>
      <c r="J28" s="223" t="s">
        <v>5</v>
      </c>
      <c r="K28" s="220" t="s">
        <v>17</v>
      </c>
      <c r="L28" s="220" t="s">
        <v>7</v>
      </c>
      <c r="M28" s="220" t="s">
        <v>18</v>
      </c>
      <c r="N28" s="155" t="s">
        <v>8</v>
      </c>
      <c r="O28" s="220" t="s">
        <v>4</v>
      </c>
      <c r="P28" s="155" t="s">
        <v>8</v>
      </c>
      <c r="Q28" s="222" t="s">
        <v>5</v>
      </c>
      <c r="R28" s="223" t="s">
        <v>2</v>
      </c>
      <c r="S28" s="220" t="s">
        <v>9</v>
      </c>
      <c r="T28" s="220" t="s">
        <v>15</v>
      </c>
      <c r="U28" s="220" t="s">
        <v>37</v>
      </c>
      <c r="V28" s="220" t="s">
        <v>12</v>
      </c>
      <c r="W28" s="220" t="s">
        <v>10</v>
      </c>
      <c r="X28" s="155" t="s">
        <v>8</v>
      </c>
      <c r="Y28" s="222" t="s">
        <v>2</v>
      </c>
      <c r="Z28" s="223" t="s">
        <v>18</v>
      </c>
      <c r="AA28" s="220" t="s">
        <v>17</v>
      </c>
      <c r="AB28" s="220" t="s">
        <v>3</v>
      </c>
      <c r="AC28" s="220" t="s">
        <v>20</v>
      </c>
      <c r="AD28" s="220" t="s">
        <v>5</v>
      </c>
      <c r="AE28" s="220" t="s">
        <v>14</v>
      </c>
      <c r="AF28" s="220" t="s">
        <v>11</v>
      </c>
      <c r="AG28" s="222" t="s">
        <v>20</v>
      </c>
      <c r="AH28" s="224" t="s">
        <v>16</v>
      </c>
      <c r="AI28" s="225" t="s">
        <v>5</v>
      </c>
      <c r="AJ28" s="47"/>
      <c r="AK28" s="47"/>
      <c r="AL28" s="55"/>
      <c r="AM28" s="185">
        <f>(COUNTA(E28:AL28)-COUNTIF(E28:AL28,"~?"))</f>
        <v>31</v>
      </c>
      <c r="AN28" s="14"/>
      <c r="AO28" s="77"/>
      <c r="AP28" s="14"/>
      <c r="AQ28" s="14"/>
      <c r="AR28" s="14"/>
      <c r="AU28" s="502"/>
      <c r="AV28" s="503"/>
      <c r="AW28" s="504"/>
      <c r="AX28" s="504"/>
      <c r="AY28" s="504"/>
      <c r="AZ28" s="504"/>
      <c r="BA28" s="513"/>
      <c r="BB28" s="504"/>
      <c r="BC28" s="504"/>
      <c r="BD28" s="504"/>
      <c r="BE28" s="504"/>
      <c r="BF28" s="504"/>
      <c r="BG28" s="504"/>
      <c r="BH28" s="504"/>
      <c r="BM28" s="483"/>
      <c r="BN28" s="480"/>
      <c r="BR28" s="421"/>
    </row>
    <row r="29" spans="3:70" ht="17.25" customHeight="1" x14ac:dyDescent="0.3">
      <c r="C29" s="45">
        <f>COUNTA(E28:AL28)</f>
        <v>31</v>
      </c>
      <c r="D29" s="14"/>
      <c r="E29" s="214" t="s">
        <v>52</v>
      </c>
      <c r="F29" s="213" t="s">
        <v>24</v>
      </c>
      <c r="G29" s="213" t="s">
        <v>30</v>
      </c>
      <c r="H29" s="213" t="s">
        <v>27</v>
      </c>
      <c r="I29" s="215" t="s">
        <v>23</v>
      </c>
      <c r="J29" s="216" t="s">
        <v>47</v>
      </c>
      <c r="K29" s="213" t="s">
        <v>23</v>
      </c>
      <c r="L29" s="213" t="s">
        <v>26</v>
      </c>
      <c r="M29" s="213" t="s">
        <v>24</v>
      </c>
      <c r="N29" s="156" t="s">
        <v>46</v>
      </c>
      <c r="O29" s="213" t="s">
        <v>27</v>
      </c>
      <c r="P29" s="156" t="s">
        <v>23</v>
      </c>
      <c r="Q29" s="215" t="s">
        <v>47</v>
      </c>
      <c r="R29" s="216" t="s">
        <v>23</v>
      </c>
      <c r="S29" s="213" t="s">
        <v>26</v>
      </c>
      <c r="T29" s="213" t="s">
        <v>32</v>
      </c>
      <c r="U29" s="213" t="s">
        <v>23</v>
      </c>
      <c r="V29" s="213" t="s">
        <v>34</v>
      </c>
      <c r="W29" s="213" t="s">
        <v>52</v>
      </c>
      <c r="X29" s="156" t="s">
        <v>23</v>
      </c>
      <c r="Y29" s="215" t="s">
        <v>23</v>
      </c>
      <c r="Z29" s="216" t="s">
        <v>27</v>
      </c>
      <c r="AA29" s="213" t="s">
        <v>23</v>
      </c>
      <c r="AB29" s="213" t="s">
        <v>33</v>
      </c>
      <c r="AC29" s="213" t="s">
        <v>34</v>
      </c>
      <c r="AD29" s="213" t="s">
        <v>30</v>
      </c>
      <c r="AE29" s="213" t="s">
        <v>24</v>
      </c>
      <c r="AF29" s="213" t="s">
        <v>53</v>
      </c>
      <c r="AG29" s="215" t="s">
        <v>33</v>
      </c>
      <c r="AH29" s="217" t="s">
        <v>26</v>
      </c>
      <c r="AI29" s="227" t="s">
        <v>28</v>
      </c>
      <c r="AJ29" s="245"/>
      <c r="AK29" s="245"/>
      <c r="AL29" s="247"/>
      <c r="AM29" s="183">
        <f>SUM(AM27,AM28)</f>
        <v>338</v>
      </c>
      <c r="AN29" s="14"/>
      <c r="AO29" s="77"/>
      <c r="AP29" s="14"/>
      <c r="AQ29" s="14"/>
      <c r="AR29" s="14"/>
      <c r="AU29" s="502"/>
      <c r="AV29" s="503"/>
      <c r="AW29" s="504"/>
      <c r="AX29" s="504"/>
      <c r="AY29" s="504"/>
      <c r="AZ29" s="504"/>
      <c r="BA29" s="504"/>
      <c r="BB29" s="513"/>
      <c r="BC29" s="504"/>
      <c r="BD29" s="504"/>
      <c r="BE29" s="504"/>
      <c r="BF29" s="504"/>
      <c r="BG29" s="504"/>
      <c r="BH29" s="504"/>
      <c r="BR29" s="421"/>
    </row>
    <row r="30" spans="3:70" ht="17.25" customHeight="1" x14ac:dyDescent="0.3">
      <c r="C30" s="45"/>
      <c r="D30" s="14"/>
      <c r="E30" s="78" t="s">
        <v>14</v>
      </c>
      <c r="F30" s="79" t="s">
        <v>37</v>
      </c>
      <c r="G30" s="79" t="s">
        <v>3</v>
      </c>
      <c r="H30" s="79" t="s">
        <v>2</v>
      </c>
      <c r="I30" s="79" t="s">
        <v>1</v>
      </c>
      <c r="J30" s="80" t="s">
        <v>39</v>
      </c>
      <c r="K30" s="79" t="s">
        <v>1</v>
      </c>
      <c r="L30" s="79" t="s">
        <v>14</v>
      </c>
      <c r="M30" s="79" t="s">
        <v>2</v>
      </c>
      <c r="N30" s="79" t="s">
        <v>6</v>
      </c>
      <c r="O30" s="79" t="s">
        <v>14</v>
      </c>
      <c r="P30" s="79" t="s">
        <v>10</v>
      </c>
      <c r="Q30" s="79" t="s">
        <v>4</v>
      </c>
      <c r="R30" s="80" t="s">
        <v>2</v>
      </c>
      <c r="S30" s="79" t="s">
        <v>15</v>
      </c>
      <c r="T30" s="79" t="s">
        <v>18</v>
      </c>
      <c r="U30" s="79" t="s">
        <v>7</v>
      </c>
      <c r="V30" s="79" t="s">
        <v>17</v>
      </c>
      <c r="W30" s="79" t="s">
        <v>3</v>
      </c>
      <c r="X30" s="79" t="s">
        <v>5</v>
      </c>
      <c r="Y30" s="155" t="s">
        <v>8</v>
      </c>
      <c r="Z30" s="81" t="s">
        <v>18</v>
      </c>
      <c r="AA30" s="82" t="s">
        <v>1</v>
      </c>
      <c r="AB30" s="168" t="s">
        <v>13</v>
      </c>
      <c r="AC30" s="169" t="s">
        <v>40</v>
      </c>
      <c r="AD30" s="169" t="s">
        <v>15</v>
      </c>
      <c r="AE30" s="161" t="s">
        <v>8</v>
      </c>
      <c r="AF30" s="161" t="s">
        <v>8</v>
      </c>
      <c r="AG30" s="169" t="s">
        <v>10</v>
      </c>
      <c r="AH30" s="170" t="s">
        <v>1</v>
      </c>
      <c r="AI30" s="171" t="s">
        <v>38</v>
      </c>
      <c r="AJ30" s="172" t="s">
        <v>18</v>
      </c>
      <c r="AK30" s="54"/>
      <c r="AL30" s="55"/>
      <c r="AM30" s="185">
        <f>(COUNTA(E30:AL30)-COUNTIF(E30:AL30,"~?"))</f>
        <v>32</v>
      </c>
      <c r="AN30" s="83" t="s">
        <v>65</v>
      </c>
      <c r="AO30" s="84"/>
      <c r="AP30" s="70"/>
      <c r="AQ30" s="70"/>
      <c r="AR30" s="70"/>
      <c r="AU30" s="502"/>
      <c r="AV30" s="503"/>
      <c r="AW30" s="504"/>
      <c r="AX30" s="504"/>
      <c r="AY30" s="504"/>
      <c r="AZ30" s="504"/>
      <c r="BA30" s="504"/>
      <c r="BB30" s="504"/>
      <c r="BC30" s="513"/>
      <c r="BD30" s="504"/>
      <c r="BE30" s="504"/>
      <c r="BF30" s="504"/>
      <c r="BG30" s="504"/>
      <c r="BH30" s="504"/>
      <c r="BR30" s="421"/>
    </row>
    <row r="31" spans="3:70" ht="17.25" customHeight="1" x14ac:dyDescent="0.3">
      <c r="C31" s="137">
        <f>COUNTA(E30:AL30)</f>
        <v>32</v>
      </c>
      <c r="D31" s="138"/>
      <c r="E31" s="167" t="s">
        <v>24</v>
      </c>
      <c r="F31" s="164" t="s">
        <v>23</v>
      </c>
      <c r="G31" s="164" t="s">
        <v>27</v>
      </c>
      <c r="H31" s="164" t="s">
        <v>42</v>
      </c>
      <c r="I31" s="164" t="s">
        <v>41</v>
      </c>
      <c r="J31" s="255" t="s">
        <v>52</v>
      </c>
      <c r="K31" s="164" t="s">
        <v>24</v>
      </c>
      <c r="L31" s="164" t="s">
        <v>46</v>
      </c>
      <c r="M31" s="164" t="s">
        <v>42</v>
      </c>
      <c r="N31" s="164" t="s">
        <v>41</v>
      </c>
      <c r="O31" s="164" t="s">
        <v>28</v>
      </c>
      <c r="P31" s="164" t="s">
        <v>52</v>
      </c>
      <c r="Q31" s="164" t="s">
        <v>27</v>
      </c>
      <c r="R31" s="255" t="s">
        <v>23</v>
      </c>
      <c r="S31" s="164" t="s">
        <v>35</v>
      </c>
      <c r="T31" s="164" t="s">
        <v>41</v>
      </c>
      <c r="U31" s="164" t="s">
        <v>26</v>
      </c>
      <c r="V31" s="164" t="s">
        <v>32</v>
      </c>
      <c r="W31" s="164" t="s">
        <v>27</v>
      </c>
      <c r="X31" s="164" t="s">
        <v>25</v>
      </c>
      <c r="Y31" s="156" t="s">
        <v>23</v>
      </c>
      <c r="Z31" s="165" t="s">
        <v>27</v>
      </c>
      <c r="AA31" s="256" t="s">
        <v>24</v>
      </c>
      <c r="AB31" s="163" t="s">
        <v>55</v>
      </c>
      <c r="AC31" s="164" t="s">
        <v>29</v>
      </c>
      <c r="AD31" s="164" t="s">
        <v>31</v>
      </c>
      <c r="AE31" s="162" t="s">
        <v>46</v>
      </c>
      <c r="AF31" s="162" t="s">
        <v>23</v>
      </c>
      <c r="AG31" s="164" t="s">
        <v>52</v>
      </c>
      <c r="AH31" s="165" t="s">
        <v>24</v>
      </c>
      <c r="AI31" s="166" t="s">
        <v>25</v>
      </c>
      <c r="AJ31" s="167" t="s">
        <v>41</v>
      </c>
      <c r="AK31" s="257"/>
      <c r="AL31" s="258"/>
      <c r="AM31" s="186">
        <f>SUM(AM29,AM30)</f>
        <v>370</v>
      </c>
      <c r="AN31" s="267">
        <f>370-178</f>
        <v>192</v>
      </c>
      <c r="AO31" s="138"/>
      <c r="AP31" s="25"/>
      <c r="AQ31" s="25"/>
      <c r="AR31" s="25"/>
      <c r="AU31" s="502"/>
      <c r="AV31" s="503"/>
      <c r="AW31" s="504"/>
      <c r="AX31" s="504"/>
      <c r="AY31" s="504"/>
      <c r="AZ31" s="504"/>
      <c r="BA31" s="504"/>
      <c r="BB31" s="504"/>
      <c r="BC31" s="504"/>
      <c r="BD31" s="513"/>
      <c r="BE31" s="504"/>
      <c r="BF31" s="504"/>
      <c r="BG31" s="504"/>
      <c r="BH31" s="504"/>
      <c r="BR31" s="421"/>
    </row>
    <row r="32" spans="3:70" ht="17.25" customHeight="1" x14ac:dyDescent="0.3">
      <c r="C32" s="339" t="s">
        <v>66</v>
      </c>
      <c r="D32" s="139"/>
      <c r="E32" s="285" t="s">
        <v>1</v>
      </c>
      <c r="F32" s="286" t="s">
        <v>17</v>
      </c>
      <c r="G32" s="286" t="s">
        <v>14</v>
      </c>
      <c r="H32" s="287" t="s">
        <v>12</v>
      </c>
      <c r="I32" s="287" t="s">
        <v>10</v>
      </c>
      <c r="J32" s="286" t="s">
        <v>6</v>
      </c>
      <c r="K32" s="287" t="s">
        <v>9</v>
      </c>
      <c r="L32" s="286" t="s">
        <v>63</v>
      </c>
      <c r="M32" s="286" t="s">
        <v>6</v>
      </c>
      <c r="N32" s="286" t="s">
        <v>17</v>
      </c>
      <c r="O32" s="335" t="s">
        <v>8</v>
      </c>
      <c r="P32" s="286" t="s">
        <v>13</v>
      </c>
      <c r="Q32" s="286" t="s">
        <v>9</v>
      </c>
      <c r="R32" s="286" t="s">
        <v>6</v>
      </c>
      <c r="S32" s="337" t="s">
        <v>1</v>
      </c>
      <c r="T32" s="286" t="s">
        <v>63</v>
      </c>
      <c r="U32" s="286" t="s">
        <v>45</v>
      </c>
      <c r="V32" s="286" t="s">
        <v>5</v>
      </c>
      <c r="W32" s="286" t="s">
        <v>38</v>
      </c>
      <c r="X32" s="286" t="s">
        <v>1</v>
      </c>
      <c r="Y32" s="286" t="s">
        <v>63</v>
      </c>
      <c r="Z32" s="286" t="s">
        <v>19</v>
      </c>
      <c r="AA32" s="286" t="s">
        <v>39</v>
      </c>
      <c r="AB32" s="286" t="s">
        <v>19</v>
      </c>
      <c r="AC32" s="286" t="s">
        <v>14</v>
      </c>
      <c r="AD32" s="286" t="s">
        <v>12</v>
      </c>
      <c r="AE32" s="286" t="s">
        <v>13</v>
      </c>
      <c r="AF32" s="286" t="s">
        <v>6</v>
      </c>
      <c r="AG32" s="286" t="s">
        <v>17</v>
      </c>
      <c r="AH32" s="286" t="s">
        <v>10</v>
      </c>
      <c r="AI32" s="286" t="s">
        <v>19</v>
      </c>
      <c r="AJ32" s="288" t="s">
        <v>10</v>
      </c>
      <c r="AK32" s="289"/>
      <c r="AL32" s="290"/>
      <c r="AM32" s="187">
        <v>32</v>
      </c>
      <c r="AN32" s="140">
        <v>447</v>
      </c>
      <c r="AO32" s="141" t="s">
        <v>67</v>
      </c>
      <c r="AP32" s="14"/>
      <c r="AQ32" s="14"/>
      <c r="AR32" s="14"/>
      <c r="AU32" s="502"/>
      <c r="AV32" s="503"/>
      <c r="AW32" s="504"/>
      <c r="AX32" s="504"/>
      <c r="AY32" s="504"/>
      <c r="AZ32" s="504"/>
      <c r="BA32" s="504"/>
      <c r="BB32" s="504"/>
      <c r="BC32" s="504"/>
      <c r="BD32" s="504"/>
      <c r="BE32" s="513"/>
      <c r="BF32" s="504"/>
      <c r="BG32" s="504"/>
      <c r="BH32" s="504"/>
      <c r="BR32" s="421"/>
    </row>
    <row r="33" spans="3:81" ht="17.25" customHeight="1" x14ac:dyDescent="0.3">
      <c r="C33" s="340">
        <f>COUNTA(E32:AL32)</f>
        <v>32</v>
      </c>
      <c r="D33" s="85"/>
      <c r="E33" s="291" t="s">
        <v>27</v>
      </c>
      <c r="F33" s="292" t="s">
        <v>29</v>
      </c>
      <c r="G33" s="292" t="s">
        <v>41</v>
      </c>
      <c r="H33" s="292" t="s">
        <v>25</v>
      </c>
      <c r="I33" s="292" t="s">
        <v>29</v>
      </c>
      <c r="J33" s="292" t="s">
        <v>46</v>
      </c>
      <c r="K33" s="292" t="s">
        <v>32</v>
      </c>
      <c r="L33" s="292" t="s">
        <v>23</v>
      </c>
      <c r="M33" s="292" t="s">
        <v>27</v>
      </c>
      <c r="N33" s="292" t="s">
        <v>48</v>
      </c>
      <c r="O33" s="336" t="s">
        <v>31</v>
      </c>
      <c r="P33" s="292" t="s">
        <v>52</v>
      </c>
      <c r="Q33" s="292" t="s">
        <v>31</v>
      </c>
      <c r="R33" s="292" t="s">
        <v>24</v>
      </c>
      <c r="S33" s="338" t="s">
        <v>29</v>
      </c>
      <c r="T33" s="292" t="s">
        <v>46</v>
      </c>
      <c r="U33" s="292" t="s">
        <v>27</v>
      </c>
      <c r="V33" s="292" t="s">
        <v>29</v>
      </c>
      <c r="W33" s="292" t="s">
        <v>41</v>
      </c>
      <c r="X33" s="292" t="s">
        <v>25</v>
      </c>
      <c r="Y33" s="292" t="s">
        <v>29</v>
      </c>
      <c r="Z33" s="292" t="s">
        <v>46</v>
      </c>
      <c r="AA33" s="292" t="s">
        <v>24</v>
      </c>
      <c r="AB33" s="292" t="s">
        <v>30</v>
      </c>
      <c r="AC33" s="292" t="s">
        <v>23</v>
      </c>
      <c r="AD33" s="292" t="s">
        <v>52</v>
      </c>
      <c r="AE33" s="292" t="s">
        <v>23</v>
      </c>
      <c r="AF33" s="292" t="s">
        <v>53</v>
      </c>
      <c r="AG33" s="292" t="s">
        <v>31</v>
      </c>
      <c r="AH33" s="292" t="s">
        <v>33</v>
      </c>
      <c r="AI33" s="294" t="s">
        <v>26</v>
      </c>
      <c r="AJ33" s="294" t="s">
        <v>27</v>
      </c>
      <c r="AK33" s="295"/>
      <c r="AL33" s="296"/>
      <c r="AM33" s="188">
        <f>SUM(AL31,AM32)</f>
        <v>32</v>
      </c>
      <c r="AN33" s="86"/>
      <c r="AO33" s="87" t="s">
        <v>1</v>
      </c>
      <c r="AP33" s="14"/>
      <c r="AQ33" s="14"/>
      <c r="AR33" s="14"/>
      <c r="AU33" s="502"/>
      <c r="AV33" s="503"/>
      <c r="AW33" s="504"/>
      <c r="AX33" s="504"/>
      <c r="AY33" s="504"/>
      <c r="AZ33" s="504"/>
      <c r="BA33" s="504"/>
      <c r="BB33" s="504"/>
      <c r="BC33" s="504"/>
      <c r="BD33" s="504"/>
      <c r="BE33" s="504"/>
      <c r="BF33" s="513"/>
      <c r="BG33" s="504"/>
      <c r="BH33" s="504"/>
      <c r="BR33" s="421"/>
    </row>
    <row r="34" spans="3:81" ht="17.25" customHeight="1" x14ac:dyDescent="0.3">
      <c r="C34" s="340"/>
      <c r="D34" s="85"/>
      <c r="E34" s="297" t="s">
        <v>45</v>
      </c>
      <c r="F34" s="298" t="s">
        <v>6</v>
      </c>
      <c r="G34" s="298" t="s">
        <v>38</v>
      </c>
      <c r="H34" s="298" t="s">
        <v>17</v>
      </c>
      <c r="I34" s="298" t="s">
        <v>9</v>
      </c>
      <c r="J34" s="298" t="s">
        <v>1</v>
      </c>
      <c r="K34" s="298" t="s">
        <v>12</v>
      </c>
      <c r="L34" s="298" t="s">
        <v>3</v>
      </c>
      <c r="M34" s="299" t="s">
        <v>8</v>
      </c>
      <c r="N34" s="298" t="s">
        <v>14</v>
      </c>
      <c r="O34" s="298" t="s">
        <v>13</v>
      </c>
      <c r="P34" s="299" t="s">
        <v>8</v>
      </c>
      <c r="Q34" s="299" t="s">
        <v>8</v>
      </c>
      <c r="R34" s="298" t="s">
        <v>13</v>
      </c>
      <c r="S34" s="299" t="s">
        <v>8</v>
      </c>
      <c r="T34" s="299" t="s">
        <v>8</v>
      </c>
      <c r="U34" s="298" t="s">
        <v>17</v>
      </c>
      <c r="V34" s="298" t="s">
        <v>63</v>
      </c>
      <c r="W34" s="298" t="s">
        <v>6</v>
      </c>
      <c r="X34" s="298" t="s">
        <v>13</v>
      </c>
      <c r="Y34" s="298" t="s">
        <v>17</v>
      </c>
      <c r="Z34" s="298" t="s">
        <v>63</v>
      </c>
      <c r="AA34" s="298" t="s">
        <v>13</v>
      </c>
      <c r="AB34" s="298" t="s">
        <v>2</v>
      </c>
      <c r="AC34" s="298" t="s">
        <v>9</v>
      </c>
      <c r="AD34" s="298" t="s">
        <v>40</v>
      </c>
      <c r="AE34" s="298" t="s">
        <v>11</v>
      </c>
      <c r="AF34" s="298" t="s">
        <v>2</v>
      </c>
      <c r="AG34" s="298" t="s">
        <v>17</v>
      </c>
      <c r="AH34" s="300" t="s">
        <v>1</v>
      </c>
      <c r="AI34" s="301"/>
      <c r="AJ34" s="302"/>
      <c r="AK34" s="303"/>
      <c r="AL34" s="303"/>
      <c r="AM34" s="189">
        <v>30</v>
      </c>
      <c r="AN34" s="88">
        <v>451</v>
      </c>
      <c r="AO34" s="89" t="s">
        <v>68</v>
      </c>
      <c r="AP34" s="90"/>
      <c r="AQ34" s="90"/>
      <c r="AR34" s="90"/>
      <c r="AU34" s="502"/>
      <c r="AV34" s="503"/>
      <c r="AW34" s="504"/>
      <c r="AX34" s="504"/>
      <c r="AY34" s="504"/>
      <c r="AZ34" s="504"/>
      <c r="BA34" s="504"/>
      <c r="BB34" s="504"/>
      <c r="BC34" s="504"/>
      <c r="BD34" s="504"/>
      <c r="BE34" s="504"/>
      <c r="BF34" s="504"/>
      <c r="BG34" s="513"/>
      <c r="BH34" s="504"/>
      <c r="BR34" s="421"/>
    </row>
    <row r="35" spans="3:81" ht="17.25" customHeight="1" x14ac:dyDescent="0.3">
      <c r="C35" s="340">
        <f>COUNTA(E34:AM34)</f>
        <v>31</v>
      </c>
      <c r="D35" s="85"/>
      <c r="E35" s="291" t="s">
        <v>41</v>
      </c>
      <c r="F35" s="304" t="s">
        <v>42</v>
      </c>
      <c r="G35" s="304" t="s">
        <v>48</v>
      </c>
      <c r="H35" s="304" t="s">
        <v>31</v>
      </c>
      <c r="I35" s="304" t="s">
        <v>27</v>
      </c>
      <c r="J35" s="304" t="s">
        <v>27</v>
      </c>
      <c r="K35" s="304" t="s">
        <v>31</v>
      </c>
      <c r="L35" s="304" t="s">
        <v>34</v>
      </c>
      <c r="M35" s="293" t="s">
        <v>23</v>
      </c>
      <c r="N35" s="304" t="s">
        <v>32</v>
      </c>
      <c r="O35" s="304" t="s">
        <v>23</v>
      </c>
      <c r="P35" s="293" t="s">
        <v>22</v>
      </c>
      <c r="Q35" s="293" t="s">
        <v>52</v>
      </c>
      <c r="R35" s="304" t="s">
        <v>33</v>
      </c>
      <c r="S35" s="293" t="s">
        <v>27</v>
      </c>
      <c r="T35" s="293" t="s">
        <v>24</v>
      </c>
      <c r="U35" s="304" t="s">
        <v>30</v>
      </c>
      <c r="V35" s="304" t="s">
        <v>31</v>
      </c>
      <c r="W35" s="304" t="s">
        <v>24</v>
      </c>
      <c r="X35" s="304" t="s">
        <v>23</v>
      </c>
      <c r="Y35" s="304" t="s">
        <v>26</v>
      </c>
      <c r="Z35" s="304" t="s">
        <v>35</v>
      </c>
      <c r="AA35" s="304" t="s">
        <v>28</v>
      </c>
      <c r="AB35" s="304" t="s">
        <v>53</v>
      </c>
      <c r="AC35" s="304" t="s">
        <v>22</v>
      </c>
      <c r="AD35" s="304" t="s">
        <v>23</v>
      </c>
      <c r="AE35" s="304" t="s">
        <v>52</v>
      </c>
      <c r="AF35" s="304" t="s">
        <v>23</v>
      </c>
      <c r="AG35" s="304" t="s">
        <v>32</v>
      </c>
      <c r="AH35" s="294" t="s">
        <v>24</v>
      </c>
      <c r="AI35" s="305"/>
      <c r="AJ35" s="306"/>
      <c r="AK35" s="306"/>
      <c r="AL35" s="306"/>
      <c r="AM35" s="190">
        <f>SUM(AM33,AM34)</f>
        <v>62</v>
      </c>
      <c r="AN35" s="91"/>
      <c r="AO35" s="92" t="s">
        <v>1</v>
      </c>
      <c r="AP35" s="90"/>
      <c r="AQ35" s="90"/>
      <c r="AR35" s="90"/>
      <c r="AU35" s="430"/>
      <c r="AV35" s="430"/>
      <c r="AW35" s="430"/>
      <c r="AX35" s="430"/>
      <c r="AY35" s="430"/>
      <c r="AZ35" s="430"/>
      <c r="BA35" s="430"/>
      <c r="BB35" s="430"/>
      <c r="BC35" s="430"/>
      <c r="BD35" s="430"/>
      <c r="BE35" s="430"/>
      <c r="BF35" s="430"/>
      <c r="BG35" s="430"/>
      <c r="BJ35" s="493"/>
      <c r="BR35" s="421"/>
    </row>
    <row r="36" spans="3:81" ht="17.25" customHeight="1" x14ac:dyDescent="0.3">
      <c r="C36" s="341"/>
      <c r="D36" s="93"/>
      <c r="E36" s="297" t="s">
        <v>38</v>
      </c>
      <c r="F36" s="334" t="s">
        <v>5</v>
      </c>
      <c r="G36" s="334" t="s">
        <v>9</v>
      </c>
      <c r="H36" s="334" t="s">
        <v>17</v>
      </c>
      <c r="I36" s="334" t="s">
        <v>18</v>
      </c>
      <c r="J36" s="298" t="s">
        <v>10</v>
      </c>
      <c r="K36" s="298" t="s">
        <v>38</v>
      </c>
      <c r="L36" s="298" t="s">
        <v>19</v>
      </c>
      <c r="M36" s="298" t="s">
        <v>6</v>
      </c>
      <c r="N36" s="298" t="s">
        <v>17</v>
      </c>
      <c r="O36" s="298" t="s">
        <v>9</v>
      </c>
      <c r="P36" s="298" t="s">
        <v>10</v>
      </c>
      <c r="Q36" s="298" t="s">
        <v>9</v>
      </c>
      <c r="R36" s="298" t="s">
        <v>5</v>
      </c>
      <c r="S36" s="298" t="s">
        <v>1</v>
      </c>
      <c r="T36" s="298" t="s">
        <v>13</v>
      </c>
      <c r="U36" s="299" t="s">
        <v>8</v>
      </c>
      <c r="V36" s="298" t="s">
        <v>17</v>
      </c>
      <c r="W36" s="298" t="s">
        <v>17</v>
      </c>
      <c r="X36" s="298" t="s">
        <v>1</v>
      </c>
      <c r="Y36" s="299" t="s">
        <v>8</v>
      </c>
      <c r="Z36" s="298" t="s">
        <v>1</v>
      </c>
      <c r="AA36" s="298" t="s">
        <v>39</v>
      </c>
      <c r="AB36" s="299" t="s">
        <v>8</v>
      </c>
      <c r="AC36" s="298" t="s">
        <v>5</v>
      </c>
      <c r="AD36" s="298" t="s">
        <v>19</v>
      </c>
      <c r="AE36" s="298" t="s">
        <v>19</v>
      </c>
      <c r="AF36" s="298" t="s">
        <v>10</v>
      </c>
      <c r="AG36" s="298" t="s">
        <v>45</v>
      </c>
      <c r="AH36" s="307" t="s">
        <v>10</v>
      </c>
      <c r="AI36" s="300" t="s">
        <v>1</v>
      </c>
      <c r="AJ36" s="301"/>
      <c r="AK36" s="302"/>
      <c r="AL36" s="302"/>
      <c r="AM36" s="191">
        <v>31</v>
      </c>
      <c r="AN36" s="94"/>
      <c r="AO36" s="14"/>
      <c r="AP36" s="14"/>
      <c r="AQ36" s="14"/>
      <c r="AR36" s="14"/>
      <c r="AU36" s="430"/>
      <c r="AV36" s="430"/>
      <c r="AW36" s="430"/>
      <c r="AX36" s="430"/>
      <c r="AY36" s="430"/>
      <c r="AZ36" s="430"/>
      <c r="BA36" s="430"/>
      <c r="BB36" s="430"/>
      <c r="BC36" s="430"/>
      <c r="BD36" s="430"/>
      <c r="BE36" s="430"/>
      <c r="BF36" s="430"/>
      <c r="BG36" s="430"/>
      <c r="BR36" s="421"/>
    </row>
    <row r="37" spans="3:81" ht="17.25" customHeight="1" x14ac:dyDescent="0.3">
      <c r="C37" s="340">
        <f>COUNTA(E36:AM36)</f>
        <v>32</v>
      </c>
      <c r="D37" s="85"/>
      <c r="E37" s="291" t="s">
        <v>30</v>
      </c>
      <c r="F37" s="304" t="s">
        <v>23</v>
      </c>
      <c r="G37" s="304" t="s">
        <v>29</v>
      </c>
      <c r="H37" s="304" t="s">
        <v>41</v>
      </c>
      <c r="I37" s="308" t="s">
        <v>25</v>
      </c>
      <c r="J37" s="308" t="s">
        <v>23</v>
      </c>
      <c r="K37" s="309" t="s">
        <v>52</v>
      </c>
      <c r="L37" s="304" t="s">
        <v>48</v>
      </c>
      <c r="M37" s="304" t="s">
        <v>31</v>
      </c>
      <c r="N37" s="304" t="s">
        <v>52</v>
      </c>
      <c r="O37" s="304" t="s">
        <v>24</v>
      </c>
      <c r="P37" s="304" t="s">
        <v>41</v>
      </c>
      <c r="Q37" s="304" t="s">
        <v>42</v>
      </c>
      <c r="R37" s="304" t="s">
        <v>24</v>
      </c>
      <c r="S37" s="304" t="s">
        <v>30</v>
      </c>
      <c r="T37" s="304" t="s">
        <v>23</v>
      </c>
      <c r="U37" s="293" t="s">
        <v>32</v>
      </c>
      <c r="V37" s="304" t="s">
        <v>41</v>
      </c>
      <c r="W37" s="304" t="s">
        <v>41</v>
      </c>
      <c r="X37" s="304" t="s">
        <v>52</v>
      </c>
      <c r="Y37" s="293" t="s">
        <v>25</v>
      </c>
      <c r="Z37" s="304" t="s">
        <v>31</v>
      </c>
      <c r="AA37" s="304" t="s">
        <v>46</v>
      </c>
      <c r="AB37" s="293" t="s">
        <v>25</v>
      </c>
      <c r="AC37" s="304" t="s">
        <v>31</v>
      </c>
      <c r="AD37" s="304" t="s">
        <v>27</v>
      </c>
      <c r="AE37" s="304" t="s">
        <v>52</v>
      </c>
      <c r="AF37" s="304" t="s">
        <v>23</v>
      </c>
      <c r="AG37" s="304" t="s">
        <v>53</v>
      </c>
      <c r="AH37" s="292" t="s">
        <v>41</v>
      </c>
      <c r="AI37" s="294" t="s">
        <v>47</v>
      </c>
      <c r="AJ37" s="305"/>
      <c r="AK37" s="306"/>
      <c r="AL37" s="306"/>
      <c r="AM37" s="190">
        <f>SUM(AM35,AM36)</f>
        <v>93</v>
      </c>
      <c r="AN37" s="94"/>
      <c r="AO37" s="14"/>
      <c r="AP37" s="14"/>
      <c r="AQ37" s="14"/>
      <c r="AR37" s="14"/>
      <c r="AU37" s="430"/>
      <c r="AV37" s="430"/>
      <c r="AW37" s="430"/>
      <c r="AX37" s="430"/>
      <c r="AY37" s="430"/>
      <c r="AZ37" s="430"/>
      <c r="BA37" s="430"/>
      <c r="BB37" s="430"/>
      <c r="BC37" s="430"/>
      <c r="BD37" s="430"/>
      <c r="BE37" s="430"/>
      <c r="BF37" s="430"/>
      <c r="BG37" s="430"/>
      <c r="BR37" s="421"/>
    </row>
    <row r="38" spans="3:81" ht="17.25" customHeight="1" x14ac:dyDescent="0.3">
      <c r="C38" s="340"/>
      <c r="D38" s="85"/>
      <c r="E38" s="297" t="s">
        <v>40</v>
      </c>
      <c r="F38" s="298" t="s">
        <v>2</v>
      </c>
      <c r="G38" s="298" t="s">
        <v>38</v>
      </c>
      <c r="H38" s="298" t="s">
        <v>40</v>
      </c>
      <c r="I38" s="298" t="s">
        <v>17</v>
      </c>
      <c r="J38" s="298" t="s">
        <v>14</v>
      </c>
      <c r="K38" s="298" t="s">
        <v>19</v>
      </c>
      <c r="L38" s="298" t="s">
        <v>38</v>
      </c>
      <c r="M38" s="298" t="s">
        <v>1</v>
      </c>
      <c r="N38" s="298" t="s">
        <v>1</v>
      </c>
      <c r="O38" s="298" t="s">
        <v>17</v>
      </c>
      <c r="P38" s="298" t="s">
        <v>9</v>
      </c>
      <c r="Q38" s="298" t="s">
        <v>10</v>
      </c>
      <c r="R38" s="298" t="s">
        <v>6</v>
      </c>
      <c r="S38" s="298" t="s">
        <v>45</v>
      </c>
      <c r="T38" s="298" t="s">
        <v>38</v>
      </c>
      <c r="U38" s="298" t="s">
        <v>1</v>
      </c>
      <c r="V38" s="298" t="s">
        <v>17</v>
      </c>
      <c r="W38" s="298" t="s">
        <v>1</v>
      </c>
      <c r="X38" s="298" t="s">
        <v>3</v>
      </c>
      <c r="Y38" s="298" t="s">
        <v>14</v>
      </c>
      <c r="Z38" s="298" t="s">
        <v>9</v>
      </c>
      <c r="AA38" s="298" t="s">
        <v>1</v>
      </c>
      <c r="AB38" s="298" t="s">
        <v>38</v>
      </c>
      <c r="AC38" s="298" t="s">
        <v>17</v>
      </c>
      <c r="AD38" s="298" t="s">
        <v>6</v>
      </c>
      <c r="AE38" s="298" t="s">
        <v>10</v>
      </c>
      <c r="AF38" s="298" t="s">
        <v>1</v>
      </c>
      <c r="AG38" s="298" t="s">
        <v>63</v>
      </c>
      <c r="AH38" s="300" t="s">
        <v>1</v>
      </c>
      <c r="AI38" s="301"/>
      <c r="AJ38" s="310"/>
      <c r="AK38" s="310"/>
      <c r="AL38" s="310"/>
      <c r="AM38" s="191">
        <v>30</v>
      </c>
      <c r="AN38" s="94"/>
      <c r="AO38" s="90"/>
      <c r="AP38" s="90"/>
      <c r="AQ38" s="90"/>
      <c r="AR38" s="90"/>
      <c r="BK38" s="465"/>
      <c r="BM38" s="482"/>
      <c r="BP38" s="506"/>
      <c r="BR38" s="421"/>
    </row>
    <row r="39" spans="3:81" ht="17.25" customHeight="1" x14ac:dyDescent="0.3">
      <c r="C39" s="340">
        <f>COUNTA(E38:AM38)</f>
        <v>31</v>
      </c>
      <c r="D39" s="85"/>
      <c r="E39" s="291" t="s">
        <v>23</v>
      </c>
      <c r="F39" s="304" t="s">
        <v>32</v>
      </c>
      <c r="G39" s="304" t="s">
        <v>25</v>
      </c>
      <c r="H39" s="304" t="s">
        <v>33</v>
      </c>
      <c r="I39" s="304" t="s">
        <v>24</v>
      </c>
      <c r="J39" s="304" t="s">
        <v>30</v>
      </c>
      <c r="K39" s="304" t="s">
        <v>24</v>
      </c>
      <c r="L39" s="304" t="s">
        <v>52</v>
      </c>
      <c r="M39" s="304" t="s">
        <v>23</v>
      </c>
      <c r="N39" s="304" t="s">
        <v>53</v>
      </c>
      <c r="O39" s="304" t="s">
        <v>22</v>
      </c>
      <c r="P39" s="304" t="s">
        <v>29</v>
      </c>
      <c r="Q39" s="304" t="s">
        <v>33</v>
      </c>
      <c r="R39" s="304" t="s">
        <v>26</v>
      </c>
      <c r="S39" s="304" t="s">
        <v>34</v>
      </c>
      <c r="T39" s="304" t="s">
        <v>30</v>
      </c>
      <c r="U39" s="304" t="s">
        <v>31</v>
      </c>
      <c r="V39" s="304" t="s">
        <v>26</v>
      </c>
      <c r="W39" s="304" t="s">
        <v>32</v>
      </c>
      <c r="X39" s="304" t="s">
        <v>27</v>
      </c>
      <c r="Y39" s="304" t="s">
        <v>33</v>
      </c>
      <c r="Z39" s="304" t="s">
        <v>53</v>
      </c>
      <c r="AA39" s="304" t="s">
        <v>31</v>
      </c>
      <c r="AB39" s="304" t="s">
        <v>32</v>
      </c>
      <c r="AC39" s="304" t="s">
        <v>23</v>
      </c>
      <c r="AD39" s="304" t="s">
        <v>31</v>
      </c>
      <c r="AE39" s="304" t="s">
        <v>24</v>
      </c>
      <c r="AF39" s="304" t="s">
        <v>33</v>
      </c>
      <c r="AG39" s="304" t="s">
        <v>26</v>
      </c>
      <c r="AH39" s="294" t="s">
        <v>46</v>
      </c>
      <c r="AI39" s="305"/>
      <c r="AJ39" s="306"/>
      <c r="AK39" s="306"/>
      <c r="AL39" s="306"/>
      <c r="AM39" s="190">
        <f>SUM(AM37,AM38)</f>
        <v>123</v>
      </c>
      <c r="AN39" s="94"/>
      <c r="AU39" s="469"/>
      <c r="AV39" s="470"/>
      <c r="AW39" s="500"/>
      <c r="AX39" s="500"/>
      <c r="AY39" s="500"/>
      <c r="AZ39" s="500"/>
      <c r="BA39" s="500"/>
      <c r="BB39" s="500"/>
      <c r="BC39" s="500"/>
      <c r="BD39" s="500"/>
      <c r="BE39" s="500"/>
      <c r="BF39" s="500"/>
      <c r="BG39" s="500"/>
      <c r="BH39" s="500"/>
      <c r="BM39" s="482"/>
      <c r="BP39" s="482"/>
      <c r="BQ39" s="507"/>
      <c r="BR39" s="421"/>
      <c r="BS39" s="421"/>
      <c r="BT39" s="421"/>
      <c r="BU39" s="421"/>
      <c r="BV39" s="421"/>
      <c r="BW39" s="421"/>
      <c r="BX39" s="421"/>
      <c r="BY39" s="421"/>
      <c r="BZ39" s="421"/>
      <c r="CA39" s="421"/>
      <c r="CB39" s="421"/>
      <c r="CC39" s="421"/>
    </row>
    <row r="40" spans="3:81" ht="17.25" customHeight="1" x14ac:dyDescent="0.35">
      <c r="C40" s="341"/>
      <c r="D40" s="93"/>
      <c r="E40" s="297" t="s">
        <v>38</v>
      </c>
      <c r="F40" s="298" t="s">
        <v>4</v>
      </c>
      <c r="G40" s="298" t="s">
        <v>63</v>
      </c>
      <c r="H40" s="299" t="s">
        <v>8</v>
      </c>
      <c r="I40" s="298" t="s">
        <v>13</v>
      </c>
      <c r="J40" s="298" t="s">
        <v>1</v>
      </c>
      <c r="K40" s="298" t="s">
        <v>14</v>
      </c>
      <c r="L40" s="298" t="s">
        <v>38</v>
      </c>
      <c r="M40" s="298" t="s">
        <v>19</v>
      </c>
      <c r="N40" s="298" t="s">
        <v>40</v>
      </c>
      <c r="O40" s="298" t="s">
        <v>1</v>
      </c>
      <c r="P40" s="298" t="s">
        <v>17</v>
      </c>
      <c r="Q40" s="298" t="s">
        <v>6</v>
      </c>
      <c r="R40" s="298" t="s">
        <v>10</v>
      </c>
      <c r="S40" s="298" t="s">
        <v>1</v>
      </c>
      <c r="T40" s="298" t="s">
        <v>19</v>
      </c>
      <c r="U40" s="298" t="s">
        <v>63</v>
      </c>
      <c r="V40" s="298" t="s">
        <v>12</v>
      </c>
      <c r="W40" s="298" t="s">
        <v>38</v>
      </c>
      <c r="X40" s="298" t="s">
        <v>1</v>
      </c>
      <c r="Y40" s="298" t="s">
        <v>12</v>
      </c>
      <c r="Z40" s="298" t="s">
        <v>37</v>
      </c>
      <c r="AA40" s="298" t="s">
        <v>6</v>
      </c>
      <c r="AB40" s="298" t="s">
        <v>1</v>
      </c>
      <c r="AC40" s="298" t="s">
        <v>1</v>
      </c>
      <c r="AD40" s="298" t="s">
        <v>17</v>
      </c>
      <c r="AE40" s="298" t="s">
        <v>45</v>
      </c>
      <c r="AF40" s="298" t="s">
        <v>38</v>
      </c>
      <c r="AG40" s="298" t="s">
        <v>10</v>
      </c>
      <c r="AH40" s="307" t="s">
        <v>12</v>
      </c>
      <c r="AI40" s="307" t="s">
        <v>45</v>
      </c>
      <c r="AJ40" s="300" t="s">
        <v>9</v>
      </c>
      <c r="AK40" s="301"/>
      <c r="AL40" s="311"/>
      <c r="AM40" s="191">
        <v>32</v>
      </c>
      <c r="AN40" s="94"/>
      <c r="AU40" s="430"/>
      <c r="AV40" s="473"/>
      <c r="AW40" s="501"/>
      <c r="AX40" s="501"/>
      <c r="AY40" s="501"/>
      <c r="AZ40" s="501"/>
      <c r="BA40" s="501"/>
      <c r="BB40" s="501"/>
      <c r="BC40" s="501"/>
      <c r="BD40" s="501"/>
      <c r="BE40" s="501"/>
      <c r="BF40" s="501"/>
      <c r="BG40" s="501"/>
      <c r="BH40" s="501"/>
      <c r="BK40" s="481"/>
      <c r="BM40" s="514"/>
      <c r="BP40" s="482"/>
      <c r="BQ40" s="477"/>
      <c r="BR40" s="421"/>
      <c r="BS40" s="421"/>
    </row>
    <row r="41" spans="3:81" ht="17.25" customHeight="1" x14ac:dyDescent="0.3">
      <c r="C41" s="340">
        <f>COUNTA(E40:AM40)</f>
        <v>33</v>
      </c>
      <c r="D41" s="85"/>
      <c r="E41" s="291" t="s">
        <v>22</v>
      </c>
      <c r="F41" s="304" t="s">
        <v>52</v>
      </c>
      <c r="G41" s="304" t="s">
        <v>23</v>
      </c>
      <c r="H41" s="293" t="s">
        <v>31</v>
      </c>
      <c r="I41" s="304" t="s">
        <v>35</v>
      </c>
      <c r="J41" s="304" t="s">
        <v>30</v>
      </c>
      <c r="K41" s="309" t="s">
        <v>33</v>
      </c>
      <c r="L41" s="304" t="s">
        <v>26</v>
      </c>
      <c r="M41" s="304" t="s">
        <v>24</v>
      </c>
      <c r="N41" s="304" t="s">
        <v>30</v>
      </c>
      <c r="O41" s="304" t="s">
        <v>23</v>
      </c>
      <c r="P41" s="304" t="s">
        <v>28</v>
      </c>
      <c r="Q41" s="304" t="s">
        <v>48</v>
      </c>
      <c r="R41" s="304" t="s">
        <v>48</v>
      </c>
      <c r="S41" s="304" t="s">
        <v>23</v>
      </c>
      <c r="T41" s="304" t="s">
        <v>52</v>
      </c>
      <c r="U41" s="304" t="s">
        <v>29</v>
      </c>
      <c r="V41" s="304" t="s">
        <v>23</v>
      </c>
      <c r="W41" s="304" t="s">
        <v>42</v>
      </c>
      <c r="X41" s="304" t="s">
        <v>24</v>
      </c>
      <c r="Y41" s="304" t="s">
        <v>30</v>
      </c>
      <c r="Z41" s="304" t="s">
        <v>31</v>
      </c>
      <c r="AA41" s="304" t="s">
        <v>26</v>
      </c>
      <c r="AB41" s="304" t="s">
        <v>32</v>
      </c>
      <c r="AC41" s="304" t="s">
        <v>35</v>
      </c>
      <c r="AD41" s="304" t="s">
        <v>41</v>
      </c>
      <c r="AE41" s="304" t="s">
        <v>52</v>
      </c>
      <c r="AF41" s="304" t="s">
        <v>26</v>
      </c>
      <c r="AG41" s="304" t="s">
        <v>23</v>
      </c>
      <c r="AH41" s="292" t="s">
        <v>52</v>
      </c>
      <c r="AI41" s="292" t="s">
        <v>31</v>
      </c>
      <c r="AJ41" s="294" t="s">
        <v>26</v>
      </c>
      <c r="AK41" s="305"/>
      <c r="AL41" s="312"/>
      <c r="AM41" s="190">
        <f>SUM(AM39,AM40)</f>
        <v>155</v>
      </c>
      <c r="AN41" s="94"/>
      <c r="AU41" s="502"/>
      <c r="AV41" s="503"/>
      <c r="AW41" s="504"/>
      <c r="AX41" s="504"/>
      <c r="AY41" s="504"/>
      <c r="AZ41" s="504"/>
      <c r="BA41" s="504"/>
      <c r="BB41" s="504"/>
      <c r="BC41" s="504"/>
      <c r="BD41" s="504"/>
      <c r="BE41" s="504"/>
      <c r="BF41" s="504"/>
      <c r="BG41" s="504"/>
      <c r="BH41" s="504"/>
      <c r="BM41" s="482"/>
      <c r="BP41" s="482"/>
      <c r="BQ41" s="465"/>
      <c r="BR41" s="421"/>
      <c r="BS41" s="421"/>
    </row>
    <row r="42" spans="3:81" ht="17.25" customHeight="1" x14ac:dyDescent="0.3">
      <c r="C42" s="340"/>
      <c r="D42" s="85"/>
      <c r="E42" s="297" t="s">
        <v>1</v>
      </c>
      <c r="F42" s="298" t="s">
        <v>19</v>
      </c>
      <c r="G42" s="298" t="s">
        <v>4</v>
      </c>
      <c r="H42" s="298" t="s">
        <v>38</v>
      </c>
      <c r="I42" s="298" t="s">
        <v>39</v>
      </c>
      <c r="J42" s="298" t="s">
        <v>9</v>
      </c>
      <c r="K42" s="298" t="s">
        <v>13</v>
      </c>
      <c r="L42" s="298" t="s">
        <v>5</v>
      </c>
      <c r="M42" s="298" t="s">
        <v>10</v>
      </c>
      <c r="N42" s="298" t="s">
        <v>2</v>
      </c>
      <c r="O42" s="298" t="s">
        <v>6</v>
      </c>
      <c r="P42" s="298" t="s">
        <v>6</v>
      </c>
      <c r="Q42" s="298" t="s">
        <v>1</v>
      </c>
      <c r="R42" s="298" t="s">
        <v>40</v>
      </c>
      <c r="S42" s="298" t="s">
        <v>1</v>
      </c>
      <c r="T42" s="298" t="s">
        <v>17</v>
      </c>
      <c r="U42" s="298" t="s">
        <v>10</v>
      </c>
      <c r="V42" s="298" t="s">
        <v>38</v>
      </c>
      <c r="W42" s="298" t="s">
        <v>10</v>
      </c>
      <c r="X42" s="298" t="s">
        <v>2</v>
      </c>
      <c r="Y42" s="298" t="s">
        <v>10</v>
      </c>
      <c r="Z42" s="298" t="s">
        <v>38</v>
      </c>
      <c r="AA42" s="298" t="s">
        <v>1</v>
      </c>
      <c r="AB42" s="298" t="s">
        <v>18</v>
      </c>
      <c r="AC42" s="298" t="s">
        <v>12</v>
      </c>
      <c r="AD42" s="298" t="s">
        <v>1</v>
      </c>
      <c r="AE42" s="298" t="s">
        <v>1</v>
      </c>
      <c r="AF42" s="298" t="s">
        <v>9</v>
      </c>
      <c r="AG42" s="299" t="s">
        <v>8</v>
      </c>
      <c r="AH42" s="300" t="s">
        <v>39</v>
      </c>
      <c r="AI42" s="301"/>
      <c r="AJ42" s="302"/>
      <c r="AK42" s="302"/>
      <c r="AL42" s="302"/>
      <c r="AM42" s="191">
        <v>30</v>
      </c>
      <c r="AN42" s="94"/>
      <c r="AO42" s="90"/>
      <c r="AP42" s="90"/>
      <c r="AQ42" s="90"/>
      <c r="AR42" s="90"/>
      <c r="AU42" s="502"/>
      <c r="AV42" s="503"/>
      <c r="AW42" s="504"/>
      <c r="AX42" s="504"/>
      <c r="AY42" s="504"/>
      <c r="AZ42" s="504"/>
      <c r="BA42" s="504"/>
      <c r="BB42" s="504"/>
      <c r="BC42" s="504"/>
      <c r="BD42" s="504"/>
      <c r="BE42" s="504"/>
      <c r="BF42" s="504"/>
      <c r="BG42" s="504"/>
      <c r="BH42" s="504"/>
      <c r="BM42" s="482"/>
      <c r="BP42" s="514"/>
      <c r="BQ42" s="465"/>
      <c r="BR42" s="421"/>
      <c r="BS42" s="421"/>
    </row>
    <row r="43" spans="3:81" ht="17.25" customHeight="1" x14ac:dyDescent="0.3">
      <c r="C43" s="340">
        <f>COUNTA(E42:AM42)</f>
        <v>31</v>
      </c>
      <c r="D43" s="85"/>
      <c r="E43" s="291" t="s">
        <v>32</v>
      </c>
      <c r="F43" s="304" t="s">
        <v>24</v>
      </c>
      <c r="G43" s="304" t="s">
        <v>30</v>
      </c>
      <c r="H43" s="304" t="s">
        <v>23</v>
      </c>
      <c r="I43" s="304" t="s">
        <v>26</v>
      </c>
      <c r="J43" s="304" t="s">
        <v>25</v>
      </c>
      <c r="K43" s="304" t="s">
        <v>33</v>
      </c>
      <c r="L43" s="304" t="s">
        <v>32</v>
      </c>
      <c r="M43" s="304" t="s">
        <v>23</v>
      </c>
      <c r="N43" s="304" t="s">
        <v>26</v>
      </c>
      <c r="O43" s="304" t="s">
        <v>33</v>
      </c>
      <c r="P43" s="304" t="s">
        <v>26</v>
      </c>
      <c r="Q43" s="304" t="s">
        <v>34</v>
      </c>
      <c r="R43" s="304" t="s">
        <v>24</v>
      </c>
      <c r="S43" s="304" t="s">
        <v>30</v>
      </c>
      <c r="T43" s="304" t="s">
        <v>23</v>
      </c>
      <c r="U43" s="304" t="s">
        <v>30</v>
      </c>
      <c r="V43" s="304" t="s">
        <v>41</v>
      </c>
      <c r="W43" s="304" t="s">
        <v>29</v>
      </c>
      <c r="X43" s="304" t="s">
        <v>23</v>
      </c>
      <c r="Y43" s="304" t="s">
        <v>31</v>
      </c>
      <c r="Z43" s="304" t="s">
        <v>29</v>
      </c>
      <c r="AA43" s="304" t="s">
        <v>33</v>
      </c>
      <c r="AB43" s="304" t="s">
        <v>24</v>
      </c>
      <c r="AC43" s="304" t="s">
        <v>24</v>
      </c>
      <c r="AD43" s="304" t="s">
        <v>29</v>
      </c>
      <c r="AE43" s="304" t="s">
        <v>23</v>
      </c>
      <c r="AF43" s="304" t="s">
        <v>33</v>
      </c>
      <c r="AG43" s="293" t="s">
        <v>33</v>
      </c>
      <c r="AH43" s="294" t="s">
        <v>26</v>
      </c>
      <c r="AI43" s="305"/>
      <c r="AJ43" s="306"/>
      <c r="AK43" s="306"/>
      <c r="AL43" s="306"/>
      <c r="AM43" s="190">
        <f>SUM(AM41,AM42)</f>
        <v>185</v>
      </c>
      <c r="AN43" s="94"/>
      <c r="AO43" s="90"/>
      <c r="AP43" s="90"/>
      <c r="AQ43" s="90"/>
      <c r="AR43" s="90"/>
      <c r="AU43" s="502"/>
      <c r="AV43" s="503"/>
      <c r="AW43" s="504"/>
      <c r="AX43" s="513"/>
      <c r="AY43" s="504"/>
      <c r="AZ43" s="504"/>
      <c r="BA43" s="504"/>
      <c r="BB43" s="504"/>
      <c r="BC43" s="504"/>
      <c r="BD43" s="504"/>
      <c r="BE43" s="504"/>
      <c r="BF43" s="504"/>
      <c r="BG43" s="504"/>
      <c r="BH43" s="504"/>
      <c r="BK43" s="465"/>
      <c r="BM43" s="514"/>
      <c r="BP43" s="482"/>
      <c r="BQ43" s="481"/>
      <c r="BR43" s="421"/>
      <c r="BS43" s="421"/>
    </row>
    <row r="44" spans="3:81" ht="17.25" customHeight="1" x14ac:dyDescent="0.3">
      <c r="C44" s="341"/>
      <c r="D44" s="93"/>
      <c r="E44" s="313" t="s">
        <v>38</v>
      </c>
      <c r="F44" s="314" t="s">
        <v>1</v>
      </c>
      <c r="G44" s="314" t="s">
        <v>1</v>
      </c>
      <c r="H44" s="314" t="s">
        <v>4</v>
      </c>
      <c r="I44" s="314" t="s">
        <v>63</v>
      </c>
      <c r="J44" s="314" t="s">
        <v>10</v>
      </c>
      <c r="K44" s="314" t="s">
        <v>13</v>
      </c>
      <c r="L44" s="314" t="s">
        <v>4</v>
      </c>
      <c r="M44" s="314" t="s">
        <v>19</v>
      </c>
      <c r="N44" s="314" t="s">
        <v>63</v>
      </c>
      <c r="O44" s="314" t="s">
        <v>38</v>
      </c>
      <c r="P44" s="314" t="s">
        <v>3</v>
      </c>
      <c r="Q44" s="314" t="s">
        <v>1</v>
      </c>
      <c r="R44" s="314" t="s">
        <v>38</v>
      </c>
      <c r="S44" s="314" t="s">
        <v>3</v>
      </c>
      <c r="T44" s="314" t="s">
        <v>10</v>
      </c>
      <c r="U44" s="314" t="s">
        <v>1</v>
      </c>
      <c r="V44" s="314" t="s">
        <v>63</v>
      </c>
      <c r="W44" s="314" t="s">
        <v>38</v>
      </c>
      <c r="X44" s="314" t="s">
        <v>63</v>
      </c>
      <c r="Y44" s="314" t="s">
        <v>10</v>
      </c>
      <c r="Z44" s="314" t="s">
        <v>9</v>
      </c>
      <c r="AA44" s="314" t="s">
        <v>2</v>
      </c>
      <c r="AB44" s="314" t="s">
        <v>10</v>
      </c>
      <c r="AC44" s="314" t="s">
        <v>1</v>
      </c>
      <c r="AD44" s="314" t="s">
        <v>1</v>
      </c>
      <c r="AE44" s="314" t="s">
        <v>9</v>
      </c>
      <c r="AF44" s="314" t="s">
        <v>38</v>
      </c>
      <c r="AG44" s="314" t="s">
        <v>17</v>
      </c>
      <c r="AH44" s="315" t="s">
        <v>9</v>
      </c>
      <c r="AI44" s="315" t="s">
        <v>38</v>
      </c>
      <c r="AJ44" s="316" t="s">
        <v>19</v>
      </c>
      <c r="AK44" s="317"/>
      <c r="AL44" s="311"/>
      <c r="AM44" s="191">
        <v>32</v>
      </c>
      <c r="AN44" s="94"/>
      <c r="AO44" s="5"/>
      <c r="AP44" s="5"/>
      <c r="AQ44" s="5"/>
      <c r="AR44" s="5"/>
      <c r="AU44" s="502"/>
      <c r="AV44" s="503"/>
      <c r="AW44" s="504"/>
      <c r="AX44" s="504"/>
      <c r="AY44" s="513"/>
      <c r="AZ44" s="504"/>
      <c r="BA44" s="504"/>
      <c r="BB44" s="504"/>
      <c r="BC44" s="504"/>
      <c r="BD44" s="504"/>
      <c r="BE44" s="504"/>
      <c r="BF44" s="504"/>
      <c r="BG44" s="504"/>
      <c r="BH44" s="504"/>
      <c r="BK44" s="465"/>
      <c r="BP44" s="482"/>
      <c r="BQ44" s="477"/>
      <c r="BR44" s="421"/>
      <c r="BS44" s="421"/>
    </row>
    <row r="45" spans="3:81" ht="17.25" customHeight="1" x14ac:dyDescent="0.3">
      <c r="C45" s="340">
        <f>COUNTA(E44:AM44)</f>
        <v>33</v>
      </c>
      <c r="D45" s="85"/>
      <c r="E45" s="318" t="s">
        <v>27</v>
      </c>
      <c r="F45" s="319" t="s">
        <v>23</v>
      </c>
      <c r="G45" s="319" t="s">
        <v>52</v>
      </c>
      <c r="H45" s="319" t="s">
        <v>24</v>
      </c>
      <c r="I45" s="319" t="s">
        <v>23</v>
      </c>
      <c r="J45" s="319" t="s">
        <v>32</v>
      </c>
      <c r="K45" s="320" t="s">
        <v>24</v>
      </c>
      <c r="L45" s="319" t="s">
        <v>30</v>
      </c>
      <c r="M45" s="319" t="s">
        <v>23</v>
      </c>
      <c r="N45" s="319" t="s">
        <v>35</v>
      </c>
      <c r="O45" s="319" t="s">
        <v>31</v>
      </c>
      <c r="P45" s="319" t="s">
        <v>26</v>
      </c>
      <c r="Q45" s="319" t="s">
        <v>32</v>
      </c>
      <c r="R45" s="319" t="s">
        <v>29</v>
      </c>
      <c r="S45" s="319" t="s">
        <v>23</v>
      </c>
      <c r="T45" s="319" t="s">
        <v>31</v>
      </c>
      <c r="U45" s="319" t="s">
        <v>26</v>
      </c>
      <c r="V45" s="319" t="s">
        <v>32</v>
      </c>
      <c r="W45" s="319" t="s">
        <v>48</v>
      </c>
      <c r="X45" s="319" t="s">
        <v>23</v>
      </c>
      <c r="Y45" s="319" t="s">
        <v>23</v>
      </c>
      <c r="Z45" s="319" t="s">
        <v>52</v>
      </c>
      <c r="AA45" s="319" t="s">
        <v>23</v>
      </c>
      <c r="AB45" s="319" t="s">
        <v>32</v>
      </c>
      <c r="AC45" s="319" t="s">
        <v>33</v>
      </c>
      <c r="AD45" s="319" t="s">
        <v>26</v>
      </c>
      <c r="AE45" s="319" t="s">
        <v>24</v>
      </c>
      <c r="AF45" s="319" t="s">
        <v>30</v>
      </c>
      <c r="AG45" s="319" t="s">
        <v>23</v>
      </c>
      <c r="AH45" s="321" t="s">
        <v>30</v>
      </c>
      <c r="AI45" s="321" t="s">
        <v>41</v>
      </c>
      <c r="AJ45" s="322" t="s">
        <v>24</v>
      </c>
      <c r="AK45" s="323"/>
      <c r="AL45" s="312"/>
      <c r="AM45" s="190">
        <f>SUM(AM43,AM44)</f>
        <v>217</v>
      </c>
      <c r="AN45" s="94"/>
      <c r="AO45" s="5"/>
      <c r="AP45" s="5"/>
      <c r="AQ45" s="5"/>
      <c r="AR45" s="5"/>
      <c r="AU45" s="502"/>
      <c r="AV45" s="503"/>
      <c r="AW45" s="504"/>
      <c r="AX45" s="504"/>
      <c r="AY45" s="504"/>
      <c r="AZ45" s="513"/>
      <c r="BA45" s="504"/>
      <c r="BB45" s="504"/>
      <c r="BC45" s="504"/>
      <c r="BD45" s="504"/>
      <c r="BE45" s="504"/>
      <c r="BF45" s="504"/>
      <c r="BG45" s="504"/>
      <c r="BH45" s="504"/>
      <c r="BK45" s="481"/>
      <c r="BM45" s="482"/>
      <c r="BP45" s="514"/>
      <c r="BQ45" s="481"/>
      <c r="BR45" s="421"/>
      <c r="BS45" s="421"/>
    </row>
    <row r="46" spans="3:81" ht="17.25" customHeight="1" x14ac:dyDescent="0.3">
      <c r="C46" s="340"/>
      <c r="D46" s="85"/>
      <c r="E46" s="297" t="s">
        <v>39</v>
      </c>
      <c r="F46" s="298" t="s">
        <v>13</v>
      </c>
      <c r="G46" s="298" t="s">
        <v>1</v>
      </c>
      <c r="H46" s="298" t="s">
        <v>14</v>
      </c>
      <c r="I46" s="298" t="s">
        <v>14</v>
      </c>
      <c r="J46" s="298" t="s">
        <v>17</v>
      </c>
      <c r="K46" s="298" t="s">
        <v>19</v>
      </c>
      <c r="L46" s="298" t="s">
        <v>10</v>
      </c>
      <c r="M46" s="298" t="s">
        <v>10</v>
      </c>
      <c r="N46" s="298" t="s">
        <v>6</v>
      </c>
      <c r="O46" s="298" t="s">
        <v>38</v>
      </c>
      <c r="P46" s="298" t="s">
        <v>38</v>
      </c>
      <c r="Q46" s="298" t="s">
        <v>2</v>
      </c>
      <c r="R46" s="298" t="s">
        <v>13</v>
      </c>
      <c r="S46" s="298" t="s">
        <v>38</v>
      </c>
      <c r="T46" s="298" t="s">
        <v>1</v>
      </c>
      <c r="U46" s="298" t="s">
        <v>40</v>
      </c>
      <c r="V46" s="298" t="s">
        <v>5</v>
      </c>
      <c r="W46" s="298" t="s">
        <v>19</v>
      </c>
      <c r="X46" s="298" t="s">
        <v>1</v>
      </c>
      <c r="Y46" s="298" t="s">
        <v>9</v>
      </c>
      <c r="Z46" s="298" t="s">
        <v>63</v>
      </c>
      <c r="AA46" s="298" t="s">
        <v>10</v>
      </c>
      <c r="AB46" s="298" t="s">
        <v>18</v>
      </c>
      <c r="AC46" s="298" t="s">
        <v>9</v>
      </c>
      <c r="AD46" s="298" t="s">
        <v>19</v>
      </c>
      <c r="AE46" s="298" t="s">
        <v>1</v>
      </c>
      <c r="AF46" s="298" t="s">
        <v>40</v>
      </c>
      <c r="AG46" s="298" t="s">
        <v>4</v>
      </c>
      <c r="AH46" s="307" t="s">
        <v>1</v>
      </c>
      <c r="AI46" s="300" t="s">
        <v>39</v>
      </c>
      <c r="AJ46" s="301"/>
      <c r="AK46" s="302"/>
      <c r="AL46" s="302"/>
      <c r="AM46" s="191">
        <v>31</v>
      </c>
      <c r="AN46" s="94"/>
      <c r="AO46" s="90"/>
      <c r="AP46" s="90"/>
      <c r="AQ46" s="90"/>
      <c r="AR46" s="90"/>
      <c r="AU46" s="502"/>
      <c r="AV46" s="503"/>
      <c r="AW46" s="504"/>
      <c r="AX46" s="504"/>
      <c r="AY46" s="504"/>
      <c r="AZ46" s="504"/>
      <c r="BA46" s="513"/>
      <c r="BB46" s="504"/>
      <c r="BC46" s="504"/>
      <c r="BD46" s="504"/>
      <c r="BE46" s="504"/>
      <c r="BF46" s="504"/>
      <c r="BG46" s="504"/>
      <c r="BH46" s="504"/>
      <c r="BM46" s="482"/>
    </row>
    <row r="47" spans="3:81" ht="17.25" customHeight="1" x14ac:dyDescent="0.3">
      <c r="C47" s="340">
        <f>COUNTA(E46:AM46)</f>
        <v>32</v>
      </c>
      <c r="D47" s="85"/>
      <c r="E47" s="291" t="s">
        <v>31</v>
      </c>
      <c r="F47" s="304" t="s">
        <v>33</v>
      </c>
      <c r="G47" s="304" t="s">
        <v>52</v>
      </c>
      <c r="H47" s="304" t="s">
        <v>23</v>
      </c>
      <c r="I47" s="304" t="s">
        <v>27</v>
      </c>
      <c r="J47" s="304" t="s">
        <v>35</v>
      </c>
      <c r="K47" s="304" t="s">
        <v>31</v>
      </c>
      <c r="L47" s="304" t="s">
        <v>48</v>
      </c>
      <c r="M47" s="304" t="s">
        <v>33</v>
      </c>
      <c r="N47" s="304" t="s">
        <v>26</v>
      </c>
      <c r="O47" s="304" t="s">
        <v>34</v>
      </c>
      <c r="P47" s="304" t="s">
        <v>42</v>
      </c>
      <c r="Q47" s="304" t="s">
        <v>52</v>
      </c>
      <c r="R47" s="304" t="s">
        <v>41</v>
      </c>
      <c r="S47" s="304" t="s">
        <v>53</v>
      </c>
      <c r="T47" s="304" t="s">
        <v>24</v>
      </c>
      <c r="U47" s="304" t="s">
        <v>30</v>
      </c>
      <c r="V47" s="304" t="s">
        <v>23</v>
      </c>
      <c r="W47" s="304" t="s">
        <v>35</v>
      </c>
      <c r="X47" s="304" t="s">
        <v>30</v>
      </c>
      <c r="Y47" s="304" t="s">
        <v>31</v>
      </c>
      <c r="Z47" s="304" t="s">
        <v>53</v>
      </c>
      <c r="AA47" s="304" t="s">
        <v>22</v>
      </c>
      <c r="AB47" s="304" t="s">
        <v>23</v>
      </c>
      <c r="AC47" s="304" t="s">
        <v>52</v>
      </c>
      <c r="AD47" s="304" t="s">
        <v>35</v>
      </c>
      <c r="AE47" s="304" t="s">
        <v>31</v>
      </c>
      <c r="AF47" s="304" t="s">
        <v>28</v>
      </c>
      <c r="AG47" s="304" t="s">
        <v>27</v>
      </c>
      <c r="AH47" s="292" t="s">
        <v>23</v>
      </c>
      <c r="AI47" s="294" t="s">
        <v>32</v>
      </c>
      <c r="AJ47" s="305"/>
      <c r="AK47" s="306"/>
      <c r="AL47" s="306"/>
      <c r="AM47" s="190">
        <f>SUM(AM45,AM46)</f>
        <v>248</v>
      </c>
      <c r="AN47" s="94"/>
      <c r="AO47" s="90"/>
      <c r="AP47" s="90"/>
      <c r="AQ47" s="90"/>
      <c r="AR47" s="90"/>
      <c r="AU47" s="502"/>
      <c r="AV47" s="503"/>
      <c r="AW47" s="504"/>
      <c r="AX47" s="504"/>
      <c r="AY47" s="504"/>
      <c r="AZ47" s="504"/>
      <c r="BA47" s="504"/>
      <c r="BB47" s="513"/>
      <c r="BC47" s="504"/>
      <c r="BD47" s="504"/>
      <c r="BE47" s="504"/>
      <c r="BF47" s="504"/>
      <c r="BG47" s="504"/>
      <c r="BH47" s="504"/>
      <c r="BM47" s="483"/>
    </row>
    <row r="48" spans="3:81" ht="17.25" customHeight="1" x14ac:dyDescent="0.3">
      <c r="C48" s="341"/>
      <c r="D48" s="93"/>
      <c r="E48" s="297" t="s">
        <v>10</v>
      </c>
      <c r="F48" s="298" t="s">
        <v>1</v>
      </c>
      <c r="G48" s="298" t="s">
        <v>45</v>
      </c>
      <c r="H48" s="298" t="s">
        <v>38</v>
      </c>
      <c r="I48" s="298" t="s">
        <v>14</v>
      </c>
      <c r="J48" s="298" t="s">
        <v>14</v>
      </c>
      <c r="K48" s="298" t="s">
        <v>6</v>
      </c>
      <c r="L48" s="298" t="s">
        <v>19</v>
      </c>
      <c r="M48" s="299" t="s">
        <v>8</v>
      </c>
      <c r="N48" s="298" t="s">
        <v>45</v>
      </c>
      <c r="O48" s="298" t="s">
        <v>1</v>
      </c>
      <c r="P48" s="298" t="s">
        <v>19</v>
      </c>
      <c r="Q48" s="298" t="s">
        <v>6</v>
      </c>
      <c r="R48" s="298" t="s">
        <v>13</v>
      </c>
      <c r="S48" s="298" t="s">
        <v>19</v>
      </c>
      <c r="T48" s="298" t="s">
        <v>38</v>
      </c>
      <c r="U48" s="298" t="s">
        <v>1</v>
      </c>
      <c r="V48" s="298" t="s">
        <v>18</v>
      </c>
      <c r="W48" s="298" t="s">
        <v>63</v>
      </c>
      <c r="X48" s="298" t="s">
        <v>1</v>
      </c>
      <c r="Y48" s="298" t="s">
        <v>10</v>
      </c>
      <c r="Z48" s="298" t="s">
        <v>63</v>
      </c>
      <c r="AA48" s="298" t="s">
        <v>13</v>
      </c>
      <c r="AB48" s="298" t="s">
        <v>14</v>
      </c>
      <c r="AC48" s="298" t="s">
        <v>14</v>
      </c>
      <c r="AD48" s="298" t="s">
        <v>9</v>
      </c>
      <c r="AE48" s="298" t="s">
        <v>12</v>
      </c>
      <c r="AF48" s="298" t="s">
        <v>14</v>
      </c>
      <c r="AG48" s="299" t="s">
        <v>8</v>
      </c>
      <c r="AH48" s="307" t="s">
        <v>63</v>
      </c>
      <c r="AI48" s="307" t="s">
        <v>9</v>
      </c>
      <c r="AJ48" s="307" t="s">
        <v>19</v>
      </c>
      <c r="AK48" s="300" t="s">
        <v>38</v>
      </c>
      <c r="AL48" s="317"/>
      <c r="AM48" s="191">
        <v>33</v>
      </c>
      <c r="AN48" s="94"/>
      <c r="AO48" s="5"/>
      <c r="AP48" s="5"/>
      <c r="AQ48" s="5"/>
      <c r="AR48" s="5"/>
      <c r="AU48" s="502"/>
      <c r="AV48" s="503"/>
      <c r="AW48" s="504"/>
      <c r="AX48" s="504"/>
      <c r="AY48" s="504"/>
      <c r="AZ48" s="504"/>
      <c r="BA48" s="504"/>
      <c r="BB48" s="504"/>
      <c r="BC48" s="513"/>
      <c r="BD48" s="504"/>
      <c r="BE48" s="504"/>
      <c r="BF48" s="504"/>
      <c r="BG48" s="504"/>
      <c r="BH48" s="504"/>
      <c r="BP48" s="482"/>
    </row>
    <row r="49" spans="3:68" ht="17.25" customHeight="1" x14ac:dyDescent="0.3">
      <c r="C49" s="340">
        <f>COUNTA(E48:AM48)</f>
        <v>34</v>
      </c>
      <c r="D49" s="85"/>
      <c r="E49" s="291" t="s">
        <v>24</v>
      </c>
      <c r="F49" s="304" t="s">
        <v>30</v>
      </c>
      <c r="G49" s="304" t="s">
        <v>23</v>
      </c>
      <c r="H49" s="304" t="s">
        <v>42</v>
      </c>
      <c r="I49" s="304" t="s">
        <v>29</v>
      </c>
      <c r="J49" s="304" t="s">
        <v>31</v>
      </c>
      <c r="K49" s="309" t="s">
        <v>53</v>
      </c>
      <c r="L49" s="304" t="s">
        <v>23</v>
      </c>
      <c r="M49" s="293" t="s">
        <v>24</v>
      </c>
      <c r="N49" s="304" t="s">
        <v>41</v>
      </c>
      <c r="O49" s="304" t="s">
        <v>42</v>
      </c>
      <c r="P49" s="304" t="s">
        <v>29</v>
      </c>
      <c r="Q49" s="304" t="s">
        <v>33</v>
      </c>
      <c r="R49" s="304" t="s">
        <v>35</v>
      </c>
      <c r="S49" s="304" t="s">
        <v>59</v>
      </c>
      <c r="T49" s="304" t="s">
        <v>23</v>
      </c>
      <c r="U49" s="304" t="s">
        <v>52</v>
      </c>
      <c r="V49" s="304" t="s">
        <v>22</v>
      </c>
      <c r="W49" s="304" t="s">
        <v>28</v>
      </c>
      <c r="X49" s="304" t="s">
        <v>24</v>
      </c>
      <c r="Y49" s="304" t="s">
        <v>48</v>
      </c>
      <c r="Z49" s="304" t="s">
        <v>52</v>
      </c>
      <c r="AA49" s="304" t="s">
        <v>23</v>
      </c>
      <c r="AB49" s="304" t="s">
        <v>27</v>
      </c>
      <c r="AC49" s="304" t="s">
        <v>23</v>
      </c>
      <c r="AD49" s="304" t="s">
        <v>26</v>
      </c>
      <c r="AE49" s="304" t="s">
        <v>24</v>
      </c>
      <c r="AF49" s="304" t="s">
        <v>29</v>
      </c>
      <c r="AG49" s="293" t="s">
        <v>46</v>
      </c>
      <c r="AH49" s="292" t="s">
        <v>32</v>
      </c>
      <c r="AI49" s="292" t="s">
        <v>23</v>
      </c>
      <c r="AJ49" s="292" t="s">
        <v>24</v>
      </c>
      <c r="AK49" s="294" t="s">
        <v>31</v>
      </c>
      <c r="AL49" s="323"/>
      <c r="AM49" s="190">
        <f>SUM(AM47,AM48)</f>
        <v>281</v>
      </c>
      <c r="AN49" s="94"/>
      <c r="AO49" s="3"/>
      <c r="AP49" s="3"/>
      <c r="AQ49" s="3"/>
      <c r="AR49" s="3"/>
      <c r="AU49" s="502"/>
      <c r="AV49" s="503"/>
      <c r="AW49" s="504"/>
      <c r="AX49" s="504"/>
      <c r="AY49" s="504"/>
      <c r="AZ49" s="504"/>
      <c r="BA49" s="504"/>
      <c r="BB49" s="504"/>
      <c r="BC49" s="504"/>
      <c r="BD49" s="513"/>
      <c r="BE49" s="504"/>
      <c r="BF49" s="504"/>
      <c r="BG49" s="504"/>
      <c r="BH49" s="504"/>
      <c r="BJ49" s="482"/>
      <c r="BP49" s="482"/>
    </row>
    <row r="50" spans="3:68" ht="17.25" customHeight="1" x14ac:dyDescent="0.3">
      <c r="C50" s="340"/>
      <c r="D50" s="85"/>
      <c r="E50" s="297" t="s">
        <v>9</v>
      </c>
      <c r="F50" s="307" t="s">
        <v>16</v>
      </c>
      <c r="G50" s="299" t="s">
        <v>8</v>
      </c>
      <c r="H50" s="307" t="s">
        <v>2</v>
      </c>
      <c r="I50" s="299" t="s">
        <v>8</v>
      </c>
      <c r="J50" s="307" t="s">
        <v>1</v>
      </c>
      <c r="K50" s="307" t="s">
        <v>6</v>
      </c>
      <c r="L50" s="307" t="s">
        <v>10</v>
      </c>
      <c r="M50" s="307" t="s">
        <v>18</v>
      </c>
      <c r="N50" s="307" t="s">
        <v>38</v>
      </c>
      <c r="O50" s="307" t="s">
        <v>14</v>
      </c>
      <c r="P50" s="307" t="s">
        <v>6</v>
      </c>
      <c r="Q50" s="307" t="s">
        <v>10</v>
      </c>
      <c r="R50" s="307" t="s">
        <v>9</v>
      </c>
      <c r="S50" s="307" t="s">
        <v>14</v>
      </c>
      <c r="T50" s="307" t="s">
        <v>5</v>
      </c>
      <c r="U50" s="307" t="s">
        <v>17</v>
      </c>
      <c r="V50" s="307" t="s">
        <v>1</v>
      </c>
      <c r="W50" s="307" t="s">
        <v>63</v>
      </c>
      <c r="X50" s="307" t="s">
        <v>6</v>
      </c>
      <c r="Y50" s="307" t="s">
        <v>2</v>
      </c>
      <c r="Z50" s="307" t="s">
        <v>18</v>
      </c>
      <c r="AA50" s="307" t="s">
        <v>4</v>
      </c>
      <c r="AB50" s="307" t="s">
        <v>2</v>
      </c>
      <c r="AC50" s="307" t="s">
        <v>4</v>
      </c>
      <c r="AD50" s="307" t="s">
        <v>1</v>
      </c>
      <c r="AE50" s="307" t="s">
        <v>3</v>
      </c>
      <c r="AF50" s="307" t="s">
        <v>6</v>
      </c>
      <c r="AG50" s="300" t="s">
        <v>1</v>
      </c>
      <c r="AH50" s="301"/>
      <c r="AI50" s="302"/>
      <c r="AJ50" s="302"/>
      <c r="AK50" s="302"/>
      <c r="AL50" s="302"/>
      <c r="AM50" s="191">
        <v>29</v>
      </c>
      <c r="AN50" s="94"/>
      <c r="AO50" s="3"/>
      <c r="AP50" s="3"/>
      <c r="AQ50" s="3"/>
      <c r="AR50" s="3"/>
      <c r="AU50" s="502"/>
      <c r="AV50" s="503"/>
      <c r="AW50" s="504"/>
      <c r="AX50" s="504"/>
      <c r="AY50" s="504"/>
      <c r="AZ50" s="504"/>
      <c r="BA50" s="504"/>
      <c r="BB50" s="504"/>
      <c r="BC50" s="504"/>
      <c r="BD50" s="504"/>
      <c r="BE50" s="513"/>
      <c r="BF50" s="504"/>
      <c r="BG50" s="504"/>
      <c r="BH50" s="504"/>
      <c r="BJ50" s="482"/>
      <c r="BK50" s="507"/>
      <c r="BM50" s="482"/>
      <c r="BP50" s="514"/>
    </row>
    <row r="51" spans="3:68" ht="17.25" customHeight="1" x14ac:dyDescent="0.3">
      <c r="C51" s="340">
        <f>COUNTA(E50:AM50)</f>
        <v>30</v>
      </c>
      <c r="D51" s="85"/>
      <c r="E51" s="291" t="s">
        <v>33</v>
      </c>
      <c r="F51" s="292" t="s">
        <v>29</v>
      </c>
      <c r="G51" s="293" t="s">
        <v>27</v>
      </c>
      <c r="H51" s="292" t="s">
        <v>41</v>
      </c>
      <c r="I51" s="293" t="s">
        <v>42</v>
      </c>
      <c r="J51" s="292" t="s">
        <v>24</v>
      </c>
      <c r="K51" s="292" t="s">
        <v>30</v>
      </c>
      <c r="L51" s="292" t="s">
        <v>23</v>
      </c>
      <c r="M51" s="292" t="s">
        <v>52</v>
      </c>
      <c r="N51" s="292" t="s">
        <v>41</v>
      </c>
      <c r="O51" s="292" t="s">
        <v>41</v>
      </c>
      <c r="P51" s="292" t="s">
        <v>53</v>
      </c>
      <c r="Q51" s="292" t="s">
        <v>25</v>
      </c>
      <c r="R51" s="292" t="s">
        <v>33</v>
      </c>
      <c r="S51" s="292" t="s">
        <v>24</v>
      </c>
      <c r="T51" s="292" t="s">
        <v>30</v>
      </c>
      <c r="U51" s="292" t="s">
        <v>33</v>
      </c>
      <c r="V51" s="292" t="s">
        <v>26</v>
      </c>
      <c r="W51" s="292" t="s">
        <v>23</v>
      </c>
      <c r="X51" s="292" t="s">
        <v>53</v>
      </c>
      <c r="Y51" s="292" t="s">
        <v>23</v>
      </c>
      <c r="Z51" s="292" t="s">
        <v>52</v>
      </c>
      <c r="AA51" s="292" t="s">
        <v>34</v>
      </c>
      <c r="AB51" s="292" t="s">
        <v>23</v>
      </c>
      <c r="AC51" s="292" t="s">
        <v>32</v>
      </c>
      <c r="AD51" s="292" t="s">
        <v>42</v>
      </c>
      <c r="AE51" s="292" t="s">
        <v>52</v>
      </c>
      <c r="AF51" s="292" t="s">
        <v>41</v>
      </c>
      <c r="AG51" s="292" t="s">
        <v>53</v>
      </c>
      <c r="AH51" s="305"/>
      <c r="AI51" s="306"/>
      <c r="AJ51" s="306"/>
      <c r="AK51" s="306"/>
      <c r="AL51" s="306"/>
      <c r="AM51" s="190">
        <f>SUM(AM49,AM50)</f>
        <v>310</v>
      </c>
      <c r="AN51" s="94"/>
      <c r="AO51" s="3"/>
      <c r="AP51" s="3"/>
      <c r="AQ51" s="3"/>
      <c r="AR51" s="3"/>
      <c r="AU51" s="502"/>
      <c r="AV51" s="503"/>
      <c r="AW51" s="504"/>
      <c r="AX51" s="504"/>
      <c r="AY51" s="504"/>
      <c r="AZ51" s="504"/>
      <c r="BA51" s="504"/>
      <c r="BB51" s="504"/>
      <c r="BC51" s="504"/>
      <c r="BD51" s="504"/>
      <c r="BE51" s="504"/>
      <c r="BF51" s="513"/>
      <c r="BG51" s="504"/>
      <c r="BH51" s="504"/>
      <c r="BJ51" s="483"/>
      <c r="BM51" s="482"/>
      <c r="BP51" s="482"/>
    </row>
    <row r="52" spans="3:68" ht="17.25" customHeight="1" x14ac:dyDescent="0.3">
      <c r="C52" s="341"/>
      <c r="D52" s="93"/>
      <c r="E52" s="297" t="s">
        <v>1</v>
      </c>
      <c r="F52" s="307" t="s">
        <v>45</v>
      </c>
      <c r="G52" s="307" t="s">
        <v>14</v>
      </c>
      <c r="H52" s="307" t="s">
        <v>2</v>
      </c>
      <c r="I52" s="307" t="s">
        <v>9</v>
      </c>
      <c r="J52" s="307" t="s">
        <v>19</v>
      </c>
      <c r="K52" s="307" t="s">
        <v>5</v>
      </c>
      <c r="L52" s="307" t="s">
        <v>4</v>
      </c>
      <c r="M52" s="307" t="s">
        <v>1</v>
      </c>
      <c r="N52" s="307" t="s">
        <v>19</v>
      </c>
      <c r="O52" s="307" t="s">
        <v>2</v>
      </c>
      <c r="P52" s="307" t="s">
        <v>1</v>
      </c>
      <c r="Q52" s="307" t="s">
        <v>6</v>
      </c>
      <c r="R52" s="307" t="s">
        <v>17</v>
      </c>
      <c r="S52" s="299" t="s">
        <v>8</v>
      </c>
      <c r="T52" s="307" t="s">
        <v>13</v>
      </c>
      <c r="U52" s="307" t="s">
        <v>13</v>
      </c>
      <c r="V52" s="307" t="s">
        <v>38</v>
      </c>
      <c r="W52" s="307" t="s">
        <v>38</v>
      </c>
      <c r="X52" s="307" t="s">
        <v>9</v>
      </c>
      <c r="Y52" s="307" t="s">
        <v>38</v>
      </c>
      <c r="Z52" s="307" t="s">
        <v>20</v>
      </c>
      <c r="AA52" s="307" t="s">
        <v>14</v>
      </c>
      <c r="AB52" s="307" t="s">
        <v>63</v>
      </c>
      <c r="AC52" s="307" t="s">
        <v>6</v>
      </c>
      <c r="AD52" s="307" t="s">
        <v>40</v>
      </c>
      <c r="AE52" s="324" t="s">
        <v>49</v>
      </c>
      <c r="AF52" s="325"/>
      <c r="AG52" s="326"/>
      <c r="AH52" s="326"/>
      <c r="AI52" s="326"/>
      <c r="AJ52" s="326"/>
      <c r="AK52" s="326"/>
      <c r="AL52" s="326"/>
      <c r="AM52" s="191">
        <v>26</v>
      </c>
      <c r="AN52" s="94"/>
      <c r="AO52" s="3"/>
      <c r="AP52" s="3"/>
      <c r="AQ52" s="3"/>
      <c r="AR52" s="3"/>
      <c r="AU52" s="502"/>
      <c r="AV52" s="503"/>
      <c r="AW52" s="504"/>
      <c r="AX52" s="504"/>
      <c r="AY52" s="504"/>
      <c r="AZ52" s="504"/>
      <c r="BA52" s="504"/>
      <c r="BB52" s="504"/>
      <c r="BC52" s="504"/>
      <c r="BD52" s="504"/>
      <c r="BE52" s="504"/>
      <c r="BF52" s="504"/>
      <c r="BG52" s="513"/>
      <c r="BH52" s="504"/>
      <c r="BM52" s="483"/>
      <c r="BP52" s="482"/>
    </row>
    <row r="53" spans="3:68" ht="17.25" customHeight="1" thickBot="1" x14ac:dyDescent="0.35">
      <c r="C53" s="340">
        <f>COUNTA(E52:AD52)</f>
        <v>26</v>
      </c>
      <c r="D53" s="85"/>
      <c r="E53" s="327" t="s">
        <v>24</v>
      </c>
      <c r="F53" s="328" t="s">
        <v>30</v>
      </c>
      <c r="G53" s="329" t="s">
        <v>23</v>
      </c>
      <c r="H53" s="327" t="s">
        <v>53</v>
      </c>
      <c r="I53" s="328" t="s">
        <v>33</v>
      </c>
      <c r="J53" s="328" t="s">
        <v>27</v>
      </c>
      <c r="K53" s="328" t="s">
        <v>24</v>
      </c>
      <c r="L53" s="328" t="s">
        <v>55</v>
      </c>
      <c r="M53" s="328" t="s">
        <v>35</v>
      </c>
      <c r="N53" s="327" t="s">
        <v>31</v>
      </c>
      <c r="O53" s="328" t="s">
        <v>26</v>
      </c>
      <c r="P53" s="328" t="s">
        <v>46</v>
      </c>
      <c r="Q53" s="328" t="s">
        <v>41</v>
      </c>
      <c r="R53" s="328" t="s">
        <v>28</v>
      </c>
      <c r="S53" s="330" t="s">
        <v>27</v>
      </c>
      <c r="T53" s="328" t="s">
        <v>23</v>
      </c>
      <c r="U53" s="328" t="s">
        <v>23</v>
      </c>
      <c r="V53" s="328" t="s">
        <v>31</v>
      </c>
      <c r="W53" s="328" t="s">
        <v>26</v>
      </c>
      <c r="X53" s="328" t="s">
        <v>46</v>
      </c>
      <c r="Y53" s="328" t="s">
        <v>24</v>
      </c>
      <c r="Z53" s="328" t="s">
        <v>30</v>
      </c>
      <c r="AA53" s="328" t="s">
        <v>33</v>
      </c>
      <c r="AB53" s="328" t="s">
        <v>26</v>
      </c>
      <c r="AC53" s="328" t="s">
        <v>34</v>
      </c>
      <c r="AD53" s="328" t="s">
        <v>43</v>
      </c>
      <c r="AE53" s="331" t="s">
        <v>69</v>
      </c>
      <c r="AF53" s="332"/>
      <c r="AG53" s="333"/>
      <c r="AH53" s="333"/>
      <c r="AI53" s="333"/>
      <c r="AJ53" s="333"/>
      <c r="AK53" s="333"/>
      <c r="AL53" s="333"/>
      <c r="AM53" s="192">
        <f>SUM(AM51,AM52)</f>
        <v>336</v>
      </c>
      <c r="AN53" s="3"/>
      <c r="AO53" s="3"/>
      <c r="AP53" s="3"/>
      <c r="AQ53" s="3"/>
      <c r="AR53" s="3"/>
      <c r="BP53" s="514"/>
    </row>
    <row r="54" spans="3:68" ht="17.25" customHeight="1" thickTop="1" thickBot="1" x14ac:dyDescent="0.35">
      <c r="C54" s="95">
        <f>SUM(C33:C53)</f>
        <v>345</v>
      </c>
      <c r="D54" s="29" t="e">
        <f>SUM(C54,#REF!,C7)</f>
        <v>#REF!</v>
      </c>
      <c r="E54" s="96">
        <v>1</v>
      </c>
      <c r="F54" s="96">
        <v>2</v>
      </c>
      <c r="G54" s="96">
        <v>3</v>
      </c>
      <c r="H54" s="96">
        <v>4</v>
      </c>
      <c r="I54" s="96">
        <v>5</v>
      </c>
      <c r="J54" s="96">
        <v>6</v>
      </c>
      <c r="K54" s="96">
        <v>7</v>
      </c>
      <c r="L54" s="96">
        <v>8</v>
      </c>
      <c r="M54" s="96">
        <v>9</v>
      </c>
      <c r="N54" s="96">
        <v>10</v>
      </c>
      <c r="O54" s="96">
        <v>11</v>
      </c>
      <c r="P54" s="96">
        <v>12</v>
      </c>
      <c r="Q54" s="96">
        <v>13</v>
      </c>
      <c r="R54" s="96">
        <v>14</v>
      </c>
      <c r="S54" s="96">
        <v>15</v>
      </c>
      <c r="T54" s="96">
        <v>16</v>
      </c>
      <c r="U54" s="96">
        <v>17</v>
      </c>
      <c r="V54" s="96">
        <v>18</v>
      </c>
      <c r="W54" s="96">
        <v>19</v>
      </c>
      <c r="X54" s="96">
        <v>20</v>
      </c>
      <c r="Y54" s="96">
        <v>21</v>
      </c>
      <c r="Z54" s="96">
        <v>22</v>
      </c>
      <c r="AA54" s="96">
        <v>23</v>
      </c>
      <c r="AB54" s="96">
        <v>24</v>
      </c>
      <c r="AC54" s="96">
        <v>25</v>
      </c>
      <c r="AD54" s="96">
        <v>26</v>
      </c>
      <c r="AE54" s="96">
        <v>27</v>
      </c>
      <c r="AF54" s="96">
        <v>28</v>
      </c>
      <c r="AG54" s="96">
        <v>29</v>
      </c>
      <c r="AH54" s="96">
        <v>30</v>
      </c>
      <c r="AI54" s="96">
        <v>31</v>
      </c>
      <c r="AJ54" s="96">
        <v>32</v>
      </c>
      <c r="AK54" s="96">
        <v>33</v>
      </c>
      <c r="AL54" s="96">
        <v>34</v>
      </c>
      <c r="AM54" s="193"/>
      <c r="AN54" s="97"/>
      <c r="AO54" s="97"/>
      <c r="AP54" s="97"/>
      <c r="AQ54" s="97"/>
      <c r="AR54" s="97"/>
      <c r="BJ54" s="484"/>
    </row>
    <row r="55" spans="3:68" ht="17.25" customHeight="1" x14ac:dyDescent="0.3">
      <c r="C55" s="98" t="s">
        <v>70</v>
      </c>
      <c r="D55" s="99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1" t="s">
        <v>63</v>
      </c>
      <c r="AG55" s="102" t="s">
        <v>39</v>
      </c>
      <c r="AH55" s="102" t="s">
        <v>16</v>
      </c>
      <c r="AI55" s="103" t="s">
        <v>9</v>
      </c>
      <c r="AJ55" s="104"/>
      <c r="AK55" s="104"/>
      <c r="AL55" s="104"/>
      <c r="AM55" s="194">
        <v>4</v>
      </c>
      <c r="AN55" s="5"/>
      <c r="AO55" s="5"/>
      <c r="AP55" s="5"/>
      <c r="AQ55" s="5"/>
      <c r="AR55" s="5"/>
      <c r="BP55" s="484"/>
    </row>
    <row r="56" spans="3:68" ht="17.25" customHeight="1" x14ac:dyDescent="0.3">
      <c r="C56" s="105">
        <f>COUNTA(E55:AI55)</f>
        <v>4</v>
      </c>
      <c r="D56" s="106"/>
      <c r="E56" s="3"/>
      <c r="F56" s="3"/>
      <c r="G56" s="3"/>
      <c r="H56" s="3"/>
      <c r="I56" s="3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3"/>
      <c r="Y56" s="107"/>
      <c r="Z56" s="107"/>
      <c r="AA56" s="107"/>
      <c r="AB56" s="107"/>
      <c r="AC56" s="3"/>
      <c r="AD56" s="107"/>
      <c r="AE56" s="107"/>
      <c r="AF56" s="108">
        <v>1</v>
      </c>
      <c r="AG56" s="109">
        <v>2</v>
      </c>
      <c r="AH56" s="109">
        <v>3</v>
      </c>
      <c r="AI56" s="110">
        <v>4</v>
      </c>
      <c r="AJ56" s="111"/>
      <c r="AK56" s="112"/>
      <c r="AL56" s="111"/>
      <c r="AM56" s="195">
        <f>SUM(AM54,AM55)</f>
        <v>4</v>
      </c>
      <c r="AN56" s="5"/>
      <c r="AO56" s="3"/>
      <c r="AP56" s="3"/>
      <c r="AQ56" s="3"/>
      <c r="AR56" s="3"/>
      <c r="BP56" s="482"/>
    </row>
    <row r="57" spans="3:68" ht="17.25" customHeight="1" x14ac:dyDescent="0.3">
      <c r="C57" s="99"/>
      <c r="D57" s="113"/>
      <c r="E57" s="114" t="s">
        <v>3</v>
      </c>
      <c r="F57" s="115" t="s">
        <v>63</v>
      </c>
      <c r="G57" s="115" t="s">
        <v>11</v>
      </c>
      <c r="H57" s="115" t="s">
        <v>63</v>
      </c>
      <c r="I57" s="115" t="s">
        <v>18</v>
      </c>
      <c r="J57" s="115" t="s">
        <v>6</v>
      </c>
      <c r="K57" s="115" t="s">
        <v>3</v>
      </c>
      <c r="L57" s="268" t="s">
        <v>8</v>
      </c>
      <c r="M57" s="115" t="s">
        <v>39</v>
      </c>
      <c r="N57" s="115" t="s">
        <v>13</v>
      </c>
      <c r="O57" s="115" t="s">
        <v>63</v>
      </c>
      <c r="P57" s="268" t="s">
        <v>8</v>
      </c>
      <c r="Q57" s="115" t="s">
        <v>19</v>
      </c>
      <c r="R57" s="115" t="s">
        <v>4</v>
      </c>
      <c r="S57" s="115" t="s">
        <v>39</v>
      </c>
      <c r="T57" s="115" t="s">
        <v>39</v>
      </c>
      <c r="U57" s="115" t="s">
        <v>40</v>
      </c>
      <c r="V57" s="115" t="s">
        <v>4</v>
      </c>
      <c r="W57" s="268" t="s">
        <v>8</v>
      </c>
      <c r="X57" s="115" t="s">
        <v>9</v>
      </c>
      <c r="Y57" s="115" t="s">
        <v>20</v>
      </c>
      <c r="Z57" s="115" t="s">
        <v>37</v>
      </c>
      <c r="AA57" s="115" t="s">
        <v>37</v>
      </c>
      <c r="AB57" s="115" t="s">
        <v>5</v>
      </c>
      <c r="AC57" s="115" t="s">
        <v>9</v>
      </c>
      <c r="AD57" s="115" t="s">
        <v>17</v>
      </c>
      <c r="AE57" s="115" t="s">
        <v>18</v>
      </c>
      <c r="AF57" s="115" t="s">
        <v>16</v>
      </c>
      <c r="AG57" s="115" t="s">
        <v>13</v>
      </c>
      <c r="AH57" s="115" t="s">
        <v>13</v>
      </c>
      <c r="AI57" s="116" t="s">
        <v>63</v>
      </c>
      <c r="AJ57" s="117"/>
      <c r="AK57" s="118"/>
      <c r="AL57" s="119"/>
      <c r="AM57" s="196">
        <v>31</v>
      </c>
      <c r="AN57" s="120"/>
      <c r="AO57" s="3"/>
      <c r="AP57" s="3"/>
      <c r="AQ57" s="3"/>
      <c r="AR57" s="3"/>
      <c r="AU57" s="485"/>
      <c r="AV57" s="470"/>
      <c r="AW57" s="500"/>
      <c r="AX57" s="500"/>
      <c r="AY57" s="500"/>
      <c r="AZ57" s="500"/>
      <c r="BA57" s="500"/>
      <c r="BB57" s="500"/>
      <c r="BC57" s="500"/>
      <c r="BD57" s="500"/>
      <c r="BE57" s="500"/>
      <c r="BF57" s="500"/>
      <c r="BG57" s="500"/>
      <c r="BH57" s="500"/>
      <c r="BP57" s="482"/>
    </row>
    <row r="58" spans="3:68" ht="17.25" customHeight="1" x14ac:dyDescent="0.35">
      <c r="C58" s="105">
        <f>COUNTA(E57:AI57)</f>
        <v>31</v>
      </c>
      <c r="D58" s="121"/>
      <c r="E58" s="122">
        <v>5</v>
      </c>
      <c r="F58" s="123">
        <v>6</v>
      </c>
      <c r="G58" s="123">
        <v>7</v>
      </c>
      <c r="H58" s="123">
        <v>8</v>
      </c>
      <c r="I58" s="123">
        <v>9</v>
      </c>
      <c r="J58" s="123">
        <v>10</v>
      </c>
      <c r="K58" s="123">
        <v>11</v>
      </c>
      <c r="L58" s="356" t="s">
        <v>9</v>
      </c>
      <c r="M58" s="123">
        <v>13</v>
      </c>
      <c r="N58" s="123">
        <v>14</v>
      </c>
      <c r="O58" s="124">
        <v>15</v>
      </c>
      <c r="P58" s="356" t="s">
        <v>45</v>
      </c>
      <c r="Q58" s="123">
        <v>17</v>
      </c>
      <c r="R58" s="123">
        <v>18</v>
      </c>
      <c r="S58" s="123">
        <v>19</v>
      </c>
      <c r="T58" s="123">
        <v>20</v>
      </c>
      <c r="U58" s="123">
        <v>21</v>
      </c>
      <c r="V58" s="123">
        <v>22</v>
      </c>
      <c r="W58" s="356" t="s">
        <v>299</v>
      </c>
      <c r="X58" s="123">
        <v>24</v>
      </c>
      <c r="Y58" s="123">
        <v>25</v>
      </c>
      <c r="Z58" s="123">
        <v>26</v>
      </c>
      <c r="AA58" s="123">
        <v>27</v>
      </c>
      <c r="AB58" s="123">
        <v>28</v>
      </c>
      <c r="AC58" s="123">
        <v>29</v>
      </c>
      <c r="AD58" s="123">
        <v>30</v>
      </c>
      <c r="AE58" s="123">
        <v>31</v>
      </c>
      <c r="AF58" s="123">
        <v>32</v>
      </c>
      <c r="AG58" s="123">
        <v>33</v>
      </c>
      <c r="AH58" s="123">
        <v>34</v>
      </c>
      <c r="AI58" s="124">
        <v>35</v>
      </c>
      <c r="AJ58" s="125"/>
      <c r="AK58" s="112"/>
      <c r="AL58" s="111"/>
      <c r="AM58" s="195">
        <f>SUM(AM56,AM57)</f>
        <v>35</v>
      </c>
      <c r="AN58" s="126"/>
      <c r="AO58" s="3"/>
      <c r="AP58" s="3"/>
      <c r="AQ58" s="3"/>
      <c r="AR58" s="3"/>
      <c r="AU58" s="485"/>
      <c r="AV58" s="473"/>
      <c r="AW58" s="501"/>
      <c r="AX58" s="501"/>
      <c r="AY58" s="501"/>
      <c r="AZ58" s="501"/>
      <c r="BA58" s="501"/>
      <c r="BB58" s="501"/>
      <c r="BC58" s="501"/>
      <c r="BD58" s="501"/>
      <c r="BE58" s="501"/>
      <c r="BF58" s="501"/>
      <c r="BG58" s="501"/>
      <c r="BH58" s="501"/>
      <c r="BP58" s="483"/>
    </row>
    <row r="59" spans="3:68" ht="17.25" customHeight="1" x14ac:dyDescent="0.3">
      <c r="C59" s="100"/>
      <c r="D59" s="113"/>
      <c r="E59" s="114" t="s">
        <v>38</v>
      </c>
      <c r="F59" s="115" t="s">
        <v>40</v>
      </c>
      <c r="G59" s="115" t="s">
        <v>38</v>
      </c>
      <c r="H59" s="115" t="s">
        <v>37</v>
      </c>
      <c r="I59" s="115" t="s">
        <v>13</v>
      </c>
      <c r="J59" s="115" t="s">
        <v>15</v>
      </c>
      <c r="K59" s="115" t="s">
        <v>37</v>
      </c>
      <c r="L59" s="115" t="s">
        <v>13</v>
      </c>
      <c r="M59" s="115" t="s">
        <v>13</v>
      </c>
      <c r="N59" s="115" t="s">
        <v>1</v>
      </c>
      <c r="O59" s="115" t="s">
        <v>16</v>
      </c>
      <c r="P59" s="115" t="s">
        <v>7</v>
      </c>
      <c r="Q59" s="115" t="s">
        <v>7</v>
      </c>
      <c r="R59" s="115" t="s">
        <v>40</v>
      </c>
      <c r="S59" s="115" t="s">
        <v>10</v>
      </c>
      <c r="T59" s="115" t="s">
        <v>38</v>
      </c>
      <c r="U59" s="127" t="s">
        <v>15</v>
      </c>
      <c r="V59" s="115" t="s">
        <v>16</v>
      </c>
      <c r="W59" s="268" t="s">
        <v>8</v>
      </c>
      <c r="X59" s="115" t="s">
        <v>3</v>
      </c>
      <c r="Y59" s="115" t="s">
        <v>14</v>
      </c>
      <c r="Z59" s="115" t="s">
        <v>19</v>
      </c>
      <c r="AA59" s="115" t="s">
        <v>10</v>
      </c>
      <c r="AB59" s="115" t="s">
        <v>40</v>
      </c>
      <c r="AC59" s="115" t="s">
        <v>19</v>
      </c>
      <c r="AD59" s="115" t="s">
        <v>17</v>
      </c>
      <c r="AE59" s="115" t="s">
        <v>4</v>
      </c>
      <c r="AF59" s="115" t="s">
        <v>39</v>
      </c>
      <c r="AG59" s="116" t="s">
        <v>17</v>
      </c>
      <c r="AH59" s="116" t="s">
        <v>12</v>
      </c>
      <c r="AI59" s="116" t="s">
        <v>5</v>
      </c>
      <c r="AJ59" s="128"/>
      <c r="AK59" s="118"/>
      <c r="AL59" s="119"/>
      <c r="AM59" s="196">
        <v>31</v>
      </c>
      <c r="AN59" s="120"/>
      <c r="AO59" s="3"/>
      <c r="AP59" s="3"/>
      <c r="AQ59" s="3"/>
      <c r="AR59" s="3"/>
      <c r="AU59" s="502"/>
      <c r="AV59" s="503"/>
      <c r="AW59" s="504"/>
      <c r="AX59" s="504"/>
      <c r="AY59" s="504"/>
      <c r="AZ59" s="504"/>
      <c r="BA59" s="504"/>
      <c r="BB59" s="504"/>
      <c r="BC59" s="504"/>
      <c r="BD59" s="504"/>
      <c r="BE59" s="504"/>
      <c r="BF59" s="504"/>
      <c r="BG59" s="504"/>
      <c r="BH59" s="504"/>
    </row>
    <row r="60" spans="3:68" ht="17.25" customHeight="1" x14ac:dyDescent="0.3">
      <c r="C60" s="105">
        <f>COUNTA(E59:AI59)</f>
        <v>31</v>
      </c>
      <c r="D60" s="14"/>
      <c r="E60" s="122">
        <v>36</v>
      </c>
      <c r="F60" s="123">
        <v>37</v>
      </c>
      <c r="G60" s="123">
        <v>38</v>
      </c>
      <c r="H60" s="123">
        <v>39</v>
      </c>
      <c r="I60" s="123">
        <v>40</v>
      </c>
      <c r="J60" s="123">
        <v>41</v>
      </c>
      <c r="K60" s="123">
        <v>42</v>
      </c>
      <c r="L60" s="123">
        <v>43</v>
      </c>
      <c r="M60" s="123">
        <v>44</v>
      </c>
      <c r="N60" s="123">
        <v>45</v>
      </c>
      <c r="O60" s="123">
        <v>46</v>
      </c>
      <c r="P60" s="123">
        <v>47</v>
      </c>
      <c r="Q60" s="123">
        <v>48</v>
      </c>
      <c r="R60" s="123">
        <v>49</v>
      </c>
      <c r="S60" s="123">
        <v>50</v>
      </c>
      <c r="T60" s="123">
        <v>51</v>
      </c>
      <c r="U60" s="123">
        <v>52</v>
      </c>
      <c r="V60" s="123">
        <v>53</v>
      </c>
      <c r="W60" s="356" t="s">
        <v>13</v>
      </c>
      <c r="X60" s="123">
        <v>55</v>
      </c>
      <c r="Y60" s="123">
        <v>56</v>
      </c>
      <c r="Z60" s="123">
        <v>57</v>
      </c>
      <c r="AA60" s="123">
        <v>58</v>
      </c>
      <c r="AB60" s="123">
        <v>59</v>
      </c>
      <c r="AC60" s="123">
        <v>60</v>
      </c>
      <c r="AD60" s="123">
        <v>61</v>
      </c>
      <c r="AE60" s="123">
        <v>62</v>
      </c>
      <c r="AF60" s="123">
        <v>63</v>
      </c>
      <c r="AG60" s="123">
        <v>64</v>
      </c>
      <c r="AH60" s="123">
        <v>65</v>
      </c>
      <c r="AI60" s="124">
        <v>66</v>
      </c>
      <c r="AJ60" s="125"/>
      <c r="AK60" s="111"/>
      <c r="AL60" s="111"/>
      <c r="AM60" s="195">
        <f>SUM(AM58,AM59)</f>
        <v>66</v>
      </c>
      <c r="AN60" s="126"/>
      <c r="AO60" s="3"/>
      <c r="AP60" s="3"/>
      <c r="AQ60" s="3"/>
      <c r="AR60" s="3"/>
      <c r="AU60" s="502"/>
      <c r="AV60" s="503"/>
      <c r="AW60" s="504"/>
      <c r="AX60" s="504"/>
      <c r="AY60" s="504"/>
      <c r="AZ60" s="504"/>
      <c r="BA60" s="504"/>
      <c r="BB60" s="504"/>
      <c r="BC60" s="504"/>
      <c r="BD60" s="504"/>
      <c r="BE60" s="504"/>
      <c r="BF60" s="504"/>
      <c r="BG60" s="504"/>
      <c r="BH60" s="504"/>
      <c r="BJ60" s="515"/>
      <c r="BM60" s="466"/>
      <c r="BN60" s="467"/>
    </row>
    <row r="61" spans="3:68" ht="17.25" customHeight="1" x14ac:dyDescent="0.3">
      <c r="C61" s="100"/>
      <c r="D61" s="129"/>
      <c r="E61" s="114" t="s">
        <v>20</v>
      </c>
      <c r="F61" s="115" t="s">
        <v>38</v>
      </c>
      <c r="G61" s="115" t="s">
        <v>38</v>
      </c>
      <c r="H61" s="115" t="s">
        <v>2</v>
      </c>
      <c r="I61" s="115" t="s">
        <v>7</v>
      </c>
      <c r="J61" s="115" t="s">
        <v>4</v>
      </c>
      <c r="K61" s="115" t="s">
        <v>5</v>
      </c>
      <c r="L61" s="115" t="s">
        <v>16</v>
      </c>
      <c r="M61" s="115" t="s">
        <v>40</v>
      </c>
      <c r="N61" s="115" t="s">
        <v>18</v>
      </c>
      <c r="O61" s="115" t="s">
        <v>14</v>
      </c>
      <c r="P61" s="115" t="s">
        <v>16</v>
      </c>
      <c r="Q61" s="115" t="s">
        <v>7</v>
      </c>
      <c r="R61" s="115" t="s">
        <v>11</v>
      </c>
      <c r="S61" s="115" t="s">
        <v>38</v>
      </c>
      <c r="T61" s="115" t="s">
        <v>15</v>
      </c>
      <c r="U61" s="115" t="s">
        <v>45</v>
      </c>
      <c r="V61" s="115" t="s">
        <v>14</v>
      </c>
      <c r="W61" s="115" t="s">
        <v>19</v>
      </c>
      <c r="X61" s="115" t="s">
        <v>18</v>
      </c>
      <c r="Y61" s="115" t="s">
        <v>16</v>
      </c>
      <c r="Z61" s="115" t="s">
        <v>3</v>
      </c>
      <c r="AA61" s="115" t="s">
        <v>6</v>
      </c>
      <c r="AB61" s="115" t="s">
        <v>3</v>
      </c>
      <c r="AC61" s="115" t="s">
        <v>10</v>
      </c>
      <c r="AD61" s="115" t="s">
        <v>3</v>
      </c>
      <c r="AE61" s="115" t="s">
        <v>1</v>
      </c>
      <c r="AF61" s="115" t="s">
        <v>16</v>
      </c>
      <c r="AG61" s="115" t="s">
        <v>45</v>
      </c>
      <c r="AH61" s="115" t="s">
        <v>10</v>
      </c>
      <c r="AI61" s="116" t="s">
        <v>9</v>
      </c>
      <c r="AJ61" s="119"/>
      <c r="AK61" s="119"/>
      <c r="AL61" s="119"/>
      <c r="AM61" s="196">
        <v>31</v>
      </c>
      <c r="AN61" s="120"/>
      <c r="AO61" s="3"/>
      <c r="AP61" s="3"/>
      <c r="AQ61" s="3"/>
      <c r="AR61" s="3"/>
      <c r="AU61" s="502"/>
      <c r="AV61" s="503"/>
      <c r="AW61" s="504"/>
      <c r="AX61" s="513"/>
      <c r="AY61" s="504"/>
      <c r="AZ61" s="504"/>
      <c r="BA61" s="504"/>
      <c r="BB61" s="504"/>
      <c r="BC61" s="504"/>
      <c r="BD61" s="504"/>
      <c r="BE61" s="504"/>
      <c r="BF61" s="504"/>
      <c r="BG61" s="504"/>
      <c r="BH61" s="504"/>
      <c r="BJ61" s="515"/>
      <c r="BM61" s="466"/>
      <c r="BP61" s="482"/>
    </row>
    <row r="62" spans="3:68" ht="17.25" customHeight="1" x14ac:dyDescent="0.3">
      <c r="C62" s="105">
        <f>COUNTA(E61:AI61)</f>
        <v>31</v>
      </c>
      <c r="D62" s="5"/>
      <c r="E62" s="130">
        <v>67</v>
      </c>
      <c r="F62" s="131">
        <v>68</v>
      </c>
      <c r="G62" s="131">
        <v>69</v>
      </c>
      <c r="H62" s="131">
        <v>70</v>
      </c>
      <c r="I62" s="131">
        <v>71</v>
      </c>
      <c r="J62" s="131">
        <v>72</v>
      </c>
      <c r="K62" s="131">
        <v>73</v>
      </c>
      <c r="L62" s="131">
        <v>74</v>
      </c>
      <c r="M62" s="131">
        <v>75</v>
      </c>
      <c r="N62" s="131">
        <v>76</v>
      </c>
      <c r="O62" s="131">
        <v>77</v>
      </c>
      <c r="P62" s="131">
        <v>78</v>
      </c>
      <c r="Q62" s="131">
        <v>79</v>
      </c>
      <c r="R62" s="131">
        <v>80</v>
      </c>
      <c r="S62" s="131">
        <v>81</v>
      </c>
      <c r="T62" s="131">
        <v>82</v>
      </c>
      <c r="U62" s="131">
        <v>83</v>
      </c>
      <c r="V62" s="131">
        <v>84</v>
      </c>
      <c r="W62" s="131">
        <v>85</v>
      </c>
      <c r="X62" s="131">
        <v>86</v>
      </c>
      <c r="Y62" s="131">
        <v>87</v>
      </c>
      <c r="Z62" s="131">
        <v>88</v>
      </c>
      <c r="AA62" s="131">
        <v>89</v>
      </c>
      <c r="AB62" s="131">
        <v>90</v>
      </c>
      <c r="AC62" s="131">
        <v>91</v>
      </c>
      <c r="AD62" s="131">
        <v>92</v>
      </c>
      <c r="AE62" s="131">
        <v>93</v>
      </c>
      <c r="AF62" s="131">
        <v>94</v>
      </c>
      <c r="AG62" s="131">
        <v>95</v>
      </c>
      <c r="AH62" s="131">
        <v>96</v>
      </c>
      <c r="AI62" s="132">
        <v>97</v>
      </c>
      <c r="AJ62" s="133"/>
      <c r="AK62" s="134"/>
      <c r="AL62" s="134"/>
      <c r="AM62" s="197">
        <f>SUM(AM60,AM61)</f>
        <v>97</v>
      </c>
      <c r="AN62" s="126"/>
      <c r="AO62" s="3"/>
      <c r="AP62" s="3"/>
      <c r="AQ62" s="3"/>
      <c r="AR62" s="3"/>
      <c r="AU62" s="502"/>
      <c r="AV62" s="503"/>
      <c r="AW62" s="504"/>
      <c r="AX62" s="504"/>
      <c r="AY62" s="513"/>
      <c r="AZ62" s="504"/>
      <c r="BA62" s="504"/>
      <c r="BB62" s="504"/>
      <c r="BC62" s="504"/>
      <c r="BD62" s="504"/>
      <c r="BE62" s="504"/>
      <c r="BF62" s="504"/>
      <c r="BG62" s="504"/>
      <c r="BH62" s="504"/>
      <c r="BJ62" s="515"/>
      <c r="BM62" s="466"/>
      <c r="BP62" s="482"/>
    </row>
    <row r="63" spans="3:68" ht="17.25" customHeight="1" x14ac:dyDescent="0.3">
      <c r="AR63" s="276"/>
      <c r="AU63" s="502"/>
      <c r="AV63" s="503"/>
      <c r="AW63" s="504"/>
      <c r="AX63" s="504"/>
      <c r="AY63" s="504"/>
      <c r="AZ63" s="513"/>
      <c r="BA63" s="504"/>
      <c r="BB63" s="504"/>
      <c r="BC63" s="504"/>
      <c r="BD63" s="504"/>
      <c r="BE63" s="504"/>
      <c r="BF63" s="504"/>
      <c r="BG63" s="504"/>
      <c r="BH63" s="504"/>
      <c r="BM63" s="466"/>
      <c r="BP63" s="483"/>
    </row>
    <row r="64" spans="3:68" ht="17.25" customHeight="1" x14ac:dyDescent="0.3">
      <c r="AU64" s="502"/>
      <c r="AV64" s="503"/>
      <c r="AW64" s="504"/>
      <c r="AX64" s="504"/>
      <c r="AY64" s="504"/>
      <c r="AZ64" s="504"/>
      <c r="BA64" s="513"/>
      <c r="BB64" s="504"/>
      <c r="BC64" s="504"/>
      <c r="BD64" s="504"/>
      <c r="BE64" s="504"/>
      <c r="BF64" s="504"/>
      <c r="BG64" s="504"/>
      <c r="BH64" s="504"/>
      <c r="BM64" s="466"/>
    </row>
    <row r="65" spans="1:68" ht="17.25" customHeight="1" x14ac:dyDescent="0.3">
      <c r="A65" s="357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9"/>
      <c r="O65" s="359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  <c r="AA65" s="358"/>
      <c r="AB65" s="358"/>
      <c r="AC65" s="358"/>
      <c r="AD65" s="358"/>
      <c r="AE65" s="358"/>
      <c r="AF65" s="358"/>
      <c r="AG65" s="358"/>
      <c r="AH65" s="358"/>
      <c r="AI65" s="358"/>
      <c r="AJ65" s="358"/>
      <c r="AK65" s="358"/>
      <c r="AL65" s="358"/>
      <c r="AM65" s="360"/>
      <c r="AN65" s="358"/>
      <c r="AO65" s="358"/>
      <c r="AP65" s="358"/>
      <c r="AQ65" s="361"/>
      <c r="AR65" s="364"/>
      <c r="AU65" s="502"/>
      <c r="AV65" s="503"/>
      <c r="AW65" s="504"/>
      <c r="AX65" s="504"/>
      <c r="AY65" s="504"/>
      <c r="AZ65" s="504"/>
      <c r="BA65" s="504"/>
      <c r="BB65" s="513"/>
      <c r="BC65" s="504"/>
      <c r="BD65" s="504"/>
      <c r="BE65" s="504"/>
      <c r="BF65" s="504"/>
      <c r="BG65" s="504"/>
      <c r="BH65" s="504"/>
    </row>
    <row r="66" spans="1:68" ht="17.25" customHeight="1" x14ac:dyDescent="0.3">
      <c r="A66" s="271" t="s">
        <v>8</v>
      </c>
      <c r="B66" s="271" t="s">
        <v>8</v>
      </c>
      <c r="C66" s="271" t="s">
        <v>8</v>
      </c>
      <c r="D66" s="272" t="s">
        <v>8</v>
      </c>
      <c r="E66" s="277" t="s">
        <v>8</v>
      </c>
      <c r="F66" s="278" t="s">
        <v>8</v>
      </c>
      <c r="G66" s="278" t="s">
        <v>8</v>
      </c>
      <c r="H66" s="278" t="s">
        <v>8</v>
      </c>
      <c r="I66" s="278" t="s">
        <v>8</v>
      </c>
      <c r="J66" s="278" t="s">
        <v>8</v>
      </c>
      <c r="K66" s="278" t="s">
        <v>8</v>
      </c>
      <c r="L66" s="278" t="s">
        <v>8</v>
      </c>
      <c r="M66" s="278" t="s">
        <v>8</v>
      </c>
      <c r="N66" s="278" t="s">
        <v>8</v>
      </c>
      <c r="O66" s="278" t="s">
        <v>8</v>
      </c>
      <c r="P66" s="278" t="s">
        <v>8</v>
      </c>
      <c r="Q66" s="278" t="s">
        <v>8</v>
      </c>
      <c r="R66" s="278" t="s">
        <v>8</v>
      </c>
      <c r="S66" s="278" t="s">
        <v>8</v>
      </c>
      <c r="T66" s="278" t="s">
        <v>8</v>
      </c>
      <c r="U66" s="278" t="s">
        <v>8</v>
      </c>
      <c r="V66" s="344" t="s">
        <v>8</v>
      </c>
      <c r="W66" s="345" t="s">
        <v>8</v>
      </c>
      <c r="X66" s="281" t="s">
        <v>8</v>
      </c>
      <c r="Y66" s="281" t="s">
        <v>8</v>
      </c>
      <c r="Z66" s="281" t="s">
        <v>8</v>
      </c>
      <c r="AA66" s="281" t="s">
        <v>8</v>
      </c>
      <c r="AB66" s="281" t="s">
        <v>8</v>
      </c>
      <c r="AC66" s="281" t="s">
        <v>8</v>
      </c>
      <c r="AD66" s="281" t="s">
        <v>8</v>
      </c>
      <c r="AE66" s="281" t="s">
        <v>8</v>
      </c>
      <c r="AF66" s="281" t="s">
        <v>8</v>
      </c>
      <c r="AG66" s="281" t="s">
        <v>8</v>
      </c>
      <c r="AH66" s="281" t="s">
        <v>8</v>
      </c>
      <c r="AI66" s="281" t="s">
        <v>8</v>
      </c>
      <c r="AJ66" s="281" t="s">
        <v>8</v>
      </c>
      <c r="AK66" s="281" t="s">
        <v>8</v>
      </c>
      <c r="AL66" s="282" t="s">
        <v>8</v>
      </c>
      <c r="AM66" s="268" t="s">
        <v>8</v>
      </c>
      <c r="AN66" s="268" t="s">
        <v>8</v>
      </c>
      <c r="AO66" s="268" t="s">
        <v>8</v>
      </c>
      <c r="AP66" s="268" t="s">
        <v>8</v>
      </c>
      <c r="AQ66" s="363"/>
      <c r="AR66" s="364"/>
      <c r="AU66" s="502"/>
      <c r="AV66" s="503"/>
      <c r="AW66" s="504"/>
      <c r="AX66" s="504"/>
      <c r="AY66" s="504"/>
      <c r="AZ66" s="504"/>
      <c r="BA66" s="504"/>
      <c r="BB66" s="504"/>
      <c r="BC66" s="513"/>
      <c r="BD66" s="504"/>
      <c r="BE66" s="504"/>
      <c r="BF66" s="504"/>
      <c r="BG66" s="504"/>
      <c r="BH66" s="504"/>
      <c r="BJ66" s="482"/>
      <c r="BP66" s="482"/>
    </row>
    <row r="67" spans="1:68" ht="17.25" customHeight="1" x14ac:dyDescent="0.3">
      <c r="A67" s="273" t="s">
        <v>27</v>
      </c>
      <c r="B67" s="273" t="s">
        <v>34</v>
      </c>
      <c r="C67" s="273" t="s">
        <v>30</v>
      </c>
      <c r="D67" s="274" t="s">
        <v>23</v>
      </c>
      <c r="E67" s="279" t="s">
        <v>23</v>
      </c>
      <c r="F67" s="280" t="s">
        <v>23</v>
      </c>
      <c r="G67" s="280" t="s">
        <v>32</v>
      </c>
      <c r="H67" s="280" t="s">
        <v>23</v>
      </c>
      <c r="I67" s="280" t="s">
        <v>46</v>
      </c>
      <c r="J67" s="280" t="s">
        <v>23</v>
      </c>
      <c r="K67" s="280" t="s">
        <v>23</v>
      </c>
      <c r="L67" s="280" t="s">
        <v>23</v>
      </c>
      <c r="M67" s="280" t="s">
        <v>35</v>
      </c>
      <c r="N67" s="280" t="s">
        <v>23</v>
      </c>
      <c r="O67" s="280" t="s">
        <v>23</v>
      </c>
      <c r="P67" s="280" t="s">
        <v>32</v>
      </c>
      <c r="Q67" s="280" t="s">
        <v>46</v>
      </c>
      <c r="R67" s="280" t="s">
        <v>23</v>
      </c>
      <c r="S67" s="280" t="s">
        <v>23</v>
      </c>
      <c r="T67" s="280" t="s">
        <v>23</v>
      </c>
      <c r="U67" s="280" t="s">
        <v>46</v>
      </c>
      <c r="V67" s="346" t="s">
        <v>23</v>
      </c>
      <c r="W67" s="347" t="s">
        <v>31</v>
      </c>
      <c r="X67" s="283" t="s">
        <v>23</v>
      </c>
      <c r="Y67" s="283" t="s">
        <v>22</v>
      </c>
      <c r="Z67" s="283" t="s">
        <v>52</v>
      </c>
      <c r="AA67" s="283" t="s">
        <v>27</v>
      </c>
      <c r="AB67" s="283" t="s">
        <v>24</v>
      </c>
      <c r="AC67" s="283" t="s">
        <v>32</v>
      </c>
      <c r="AD67" s="283" t="s">
        <v>25</v>
      </c>
      <c r="AE67" s="283" t="s">
        <v>25</v>
      </c>
      <c r="AF67" s="283" t="s">
        <v>31</v>
      </c>
      <c r="AG67" s="283" t="s">
        <v>33</v>
      </c>
      <c r="AH67" s="283" t="s">
        <v>24</v>
      </c>
      <c r="AI67" s="283" t="s">
        <v>46</v>
      </c>
      <c r="AJ67" s="283" t="s">
        <v>27</v>
      </c>
      <c r="AK67" s="283" t="s">
        <v>42</v>
      </c>
      <c r="AL67" s="284" t="s">
        <v>27</v>
      </c>
      <c r="AM67" s="456">
        <v>12</v>
      </c>
      <c r="AN67" s="457">
        <v>16</v>
      </c>
      <c r="AO67" s="456">
        <v>23</v>
      </c>
      <c r="AP67" s="457">
        <v>54</v>
      </c>
      <c r="AQ67" s="363"/>
      <c r="AR67" s="364"/>
      <c r="AU67" s="502"/>
      <c r="AV67" s="503"/>
      <c r="AW67" s="504"/>
      <c r="AX67" s="504"/>
      <c r="AY67" s="504"/>
      <c r="AZ67" s="504"/>
      <c r="BA67" s="504"/>
      <c r="BB67" s="504"/>
      <c r="BC67" s="504"/>
      <c r="BD67" s="513"/>
      <c r="BE67" s="504"/>
      <c r="BF67" s="504"/>
      <c r="BG67" s="504"/>
      <c r="BH67" s="504"/>
      <c r="BJ67" s="508"/>
      <c r="BK67" s="465"/>
      <c r="BN67" s="511"/>
    </row>
    <row r="68" spans="1:68" ht="17.25" customHeight="1" x14ac:dyDescent="0.3">
      <c r="A68" s="364"/>
      <c r="B68" s="365"/>
      <c r="C68" s="365"/>
      <c r="D68" s="270">
        <v>2</v>
      </c>
      <c r="E68" s="275"/>
      <c r="F68" s="365"/>
      <c r="G68" s="365"/>
      <c r="H68" s="365"/>
      <c r="I68" s="365"/>
      <c r="J68" s="365"/>
      <c r="K68" s="365"/>
      <c r="L68" s="365"/>
      <c r="M68" s="366"/>
      <c r="N68" s="366"/>
      <c r="O68" s="365"/>
      <c r="P68" s="365"/>
      <c r="Q68" s="365"/>
      <c r="R68" s="365"/>
      <c r="S68" s="365"/>
      <c r="T68" s="365"/>
      <c r="U68" s="365"/>
      <c r="V68" s="348">
        <v>3</v>
      </c>
      <c r="W68" s="528" t="s">
        <v>327</v>
      </c>
      <c r="X68" s="530" t="s">
        <v>329</v>
      </c>
      <c r="Y68" s="531" t="s">
        <v>329</v>
      </c>
      <c r="Z68" s="529" t="s">
        <v>328</v>
      </c>
      <c r="AA68" s="366"/>
      <c r="AB68" s="366"/>
      <c r="AC68" s="366"/>
      <c r="AD68" s="366"/>
      <c r="AE68" s="366"/>
      <c r="AF68" s="366"/>
      <c r="AG68" s="366"/>
      <c r="AH68" s="366"/>
      <c r="AI68" s="366"/>
      <c r="AJ68" s="366"/>
      <c r="AK68" s="366"/>
      <c r="AL68" s="270">
        <v>4</v>
      </c>
      <c r="AM68" s="269"/>
      <c r="AN68" s="362"/>
      <c r="AO68" s="362"/>
      <c r="AP68" s="362"/>
      <c r="AQ68" s="363"/>
      <c r="AR68" s="364"/>
      <c r="AU68" s="502"/>
      <c r="AV68" s="503"/>
      <c r="AW68" s="504"/>
      <c r="AX68" s="504"/>
      <c r="AY68" s="504"/>
      <c r="AZ68" s="504"/>
      <c r="BA68" s="504"/>
      <c r="BB68" s="504"/>
      <c r="BC68" s="504"/>
      <c r="BD68" s="504"/>
      <c r="BE68" s="513"/>
      <c r="BF68" s="504"/>
      <c r="BG68" s="504"/>
      <c r="BH68" s="504"/>
      <c r="BJ68" s="482"/>
      <c r="BK68" s="507"/>
      <c r="BM68" s="482"/>
      <c r="BN68" s="511"/>
      <c r="BP68" s="482"/>
    </row>
    <row r="69" spans="1:68" ht="17.25" customHeight="1" x14ac:dyDescent="0.3">
      <c r="A69" s="367" t="s">
        <v>13</v>
      </c>
      <c r="B69" s="350" t="s">
        <v>72</v>
      </c>
      <c r="C69" s="351" t="s">
        <v>6</v>
      </c>
      <c r="D69" s="342">
        <v>0</v>
      </c>
      <c r="E69" s="343">
        <v>0</v>
      </c>
      <c r="F69" s="368">
        <v>0</v>
      </c>
      <c r="G69" s="368" t="s">
        <v>14</v>
      </c>
      <c r="H69" s="368">
        <v>0</v>
      </c>
      <c r="I69" s="368" t="s">
        <v>3</v>
      </c>
      <c r="J69" s="368">
        <v>0</v>
      </c>
      <c r="K69" s="368">
        <v>0</v>
      </c>
      <c r="L69" s="368">
        <v>0</v>
      </c>
      <c r="M69" s="368" t="s">
        <v>13</v>
      </c>
      <c r="N69" s="368">
        <v>0</v>
      </c>
      <c r="O69" s="368">
        <v>0</v>
      </c>
      <c r="P69" s="368" t="s">
        <v>14</v>
      </c>
      <c r="Q69" s="368" t="s">
        <v>3</v>
      </c>
      <c r="R69" s="368">
        <v>0</v>
      </c>
      <c r="S69" s="368">
        <v>0</v>
      </c>
      <c r="T69" s="368">
        <v>0</v>
      </c>
      <c r="U69" s="368" t="s">
        <v>3</v>
      </c>
      <c r="V69" s="349">
        <v>0</v>
      </c>
      <c r="W69" s="532" t="s">
        <v>1</v>
      </c>
      <c r="X69" s="368">
        <v>0</v>
      </c>
      <c r="Y69" s="368" t="s">
        <v>39</v>
      </c>
      <c r="Z69" s="352" t="s">
        <v>71</v>
      </c>
      <c r="AA69" s="368" t="s">
        <v>13</v>
      </c>
      <c r="AB69" s="368" t="s">
        <v>38</v>
      </c>
      <c r="AC69" s="368" t="s">
        <v>14</v>
      </c>
      <c r="AD69" s="368" t="s">
        <v>40</v>
      </c>
      <c r="AE69" s="368" t="s">
        <v>40</v>
      </c>
      <c r="AF69" s="368" t="s">
        <v>10</v>
      </c>
      <c r="AG69" s="368" t="s">
        <v>19</v>
      </c>
      <c r="AH69" s="368" t="s">
        <v>38</v>
      </c>
      <c r="AI69" s="369" t="s">
        <v>12</v>
      </c>
      <c r="AJ69" s="369" t="s">
        <v>13</v>
      </c>
      <c r="AK69" s="369" t="s">
        <v>4</v>
      </c>
      <c r="AL69" s="355" t="s">
        <v>13</v>
      </c>
      <c r="AM69" s="370" t="s">
        <v>71</v>
      </c>
      <c r="AN69" s="370" t="s">
        <v>45</v>
      </c>
      <c r="AO69" s="370" t="s">
        <v>49</v>
      </c>
      <c r="AP69" s="370" t="s">
        <v>13</v>
      </c>
      <c r="AQ69" s="363"/>
      <c r="AR69" s="364"/>
      <c r="AU69" s="502"/>
      <c r="AV69" s="503"/>
      <c r="AW69" s="504"/>
      <c r="AX69" s="504"/>
      <c r="AY69" s="504"/>
      <c r="AZ69" s="504"/>
      <c r="BA69" s="504"/>
      <c r="BB69" s="504"/>
      <c r="BC69" s="504"/>
      <c r="BD69" s="504"/>
      <c r="BE69" s="504"/>
      <c r="BF69" s="513"/>
      <c r="BG69" s="504"/>
      <c r="BH69" s="504"/>
      <c r="BJ69" s="482"/>
      <c r="BK69" s="477"/>
      <c r="BM69" s="482"/>
    </row>
    <row r="70" spans="1:68" ht="17.25" customHeight="1" x14ac:dyDescent="0.3">
      <c r="A70" s="364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71"/>
      <c r="O70" s="371"/>
      <c r="P70" s="362"/>
      <c r="Q70" s="362"/>
      <c r="R70" s="362"/>
      <c r="S70" s="362"/>
      <c r="T70" s="362"/>
      <c r="U70" s="362"/>
      <c r="V70" s="362"/>
      <c r="W70" s="353" t="s">
        <v>326</v>
      </c>
      <c r="X70" s="353"/>
      <c r="Y70" s="353"/>
      <c r="Z70" s="354"/>
      <c r="AA70" s="362"/>
      <c r="AB70" s="362"/>
      <c r="AC70" s="362"/>
      <c r="AD70" s="362"/>
      <c r="AE70" s="362"/>
      <c r="AF70" s="362"/>
      <c r="AG70" s="362"/>
      <c r="AH70" s="362"/>
      <c r="AI70" s="362"/>
      <c r="AJ70" s="362"/>
      <c r="AK70" s="362"/>
      <c r="AL70" s="362"/>
      <c r="AM70" s="372"/>
      <c r="AN70" s="362"/>
      <c r="AO70" s="362"/>
      <c r="AP70" s="362"/>
      <c r="AQ70" s="363"/>
      <c r="AR70" s="364"/>
      <c r="AU70" s="502"/>
      <c r="AV70" s="503"/>
      <c r="AW70" s="504"/>
      <c r="AX70" s="504"/>
      <c r="AY70" s="504"/>
      <c r="AZ70" s="504"/>
      <c r="BA70" s="504"/>
      <c r="BB70" s="504"/>
      <c r="BC70" s="504"/>
      <c r="BD70" s="504"/>
      <c r="BE70" s="504"/>
      <c r="BF70" s="504"/>
      <c r="BG70" s="513"/>
      <c r="BH70" s="504"/>
      <c r="BJ70" s="483"/>
      <c r="BM70" s="514"/>
    </row>
    <row r="71" spans="1:68" ht="17.25" customHeight="1" x14ac:dyDescent="0.3">
      <c r="A71" s="364" t="s">
        <v>13</v>
      </c>
      <c r="B71" s="362" t="s">
        <v>73</v>
      </c>
      <c r="C71" s="362"/>
      <c r="D71" s="371" t="s">
        <v>74</v>
      </c>
      <c r="E71" s="362"/>
      <c r="F71" s="362"/>
      <c r="G71" s="362" t="s">
        <v>75</v>
      </c>
      <c r="H71" s="362"/>
      <c r="I71" s="362"/>
      <c r="J71" s="362"/>
      <c r="K71" s="362" t="s">
        <v>76</v>
      </c>
      <c r="L71" s="362"/>
      <c r="M71" s="362"/>
      <c r="N71" s="371"/>
      <c r="O71" s="371"/>
      <c r="P71" s="362" t="s">
        <v>272</v>
      </c>
      <c r="Q71" s="362"/>
      <c r="R71" s="362"/>
      <c r="S71" s="362"/>
      <c r="T71" s="362"/>
      <c r="U71" s="362" t="s">
        <v>273</v>
      </c>
      <c r="V71" s="362"/>
      <c r="W71" s="362"/>
      <c r="X71" s="362" t="s">
        <v>77</v>
      </c>
      <c r="Y71" s="362"/>
      <c r="Z71" s="362"/>
      <c r="AA71" s="362"/>
      <c r="AB71" s="362" t="s">
        <v>14</v>
      </c>
      <c r="AC71" s="362"/>
      <c r="AD71" s="371" t="s">
        <v>79</v>
      </c>
      <c r="AE71" s="362"/>
      <c r="AF71" s="362"/>
      <c r="AG71" s="362"/>
      <c r="AH71" s="373" t="s">
        <v>78</v>
      </c>
      <c r="AI71" s="362" t="s">
        <v>83</v>
      </c>
      <c r="AJ71" s="362"/>
      <c r="AK71" s="362"/>
      <c r="AL71" s="455" t="s">
        <v>80</v>
      </c>
      <c r="AM71" s="372"/>
      <c r="AN71" s="374" t="s">
        <v>81</v>
      </c>
      <c r="AO71" s="362"/>
      <c r="AP71" s="362"/>
      <c r="AQ71" s="363"/>
      <c r="AR71" s="364"/>
      <c r="BM71" s="482"/>
    </row>
    <row r="72" spans="1:68" ht="17.25" customHeight="1" x14ac:dyDescent="0.3">
      <c r="A72" s="364"/>
      <c r="B72" s="362"/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71"/>
      <c r="O72" s="371"/>
      <c r="P72" s="362"/>
      <c r="Q72" s="362"/>
      <c r="R72" s="362"/>
      <c r="S72" s="362"/>
      <c r="T72" s="362"/>
      <c r="U72" s="362"/>
      <c r="V72" s="362"/>
      <c r="W72" s="362"/>
      <c r="X72" s="362"/>
      <c r="Y72" s="362"/>
      <c r="Z72" s="362"/>
      <c r="AA72" s="362"/>
      <c r="AB72" s="362"/>
      <c r="AC72" s="362"/>
      <c r="AD72" s="362"/>
      <c r="AE72" s="362"/>
      <c r="AF72" s="362"/>
      <c r="AG72" s="362"/>
      <c r="AH72" s="362"/>
      <c r="AI72" s="362"/>
      <c r="AJ72" s="362"/>
      <c r="AK72" s="362"/>
      <c r="AL72" s="362"/>
      <c r="AM72" s="372"/>
      <c r="AN72" s="362"/>
      <c r="AO72" s="362"/>
      <c r="AP72" s="362"/>
      <c r="AQ72" s="363"/>
      <c r="AR72" s="364"/>
      <c r="BM72" s="482"/>
    </row>
    <row r="73" spans="1:68" ht="17.25" customHeight="1" x14ac:dyDescent="0.3">
      <c r="A73" s="375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415" t="s">
        <v>300</v>
      </c>
      <c r="M73" s="353"/>
      <c r="N73" s="376"/>
      <c r="O73" s="376"/>
      <c r="P73" s="353"/>
      <c r="Q73" s="353"/>
      <c r="R73" s="353"/>
      <c r="S73" s="353"/>
      <c r="T73" s="353"/>
      <c r="U73" s="353"/>
      <c r="V73" s="353"/>
      <c r="W73" s="353"/>
      <c r="X73" s="353"/>
      <c r="Y73" s="353"/>
      <c r="Z73" s="353"/>
      <c r="AA73" s="353"/>
      <c r="AB73" s="353"/>
      <c r="AC73" s="353"/>
      <c r="AD73" s="353"/>
      <c r="AE73" s="353"/>
      <c r="AF73" s="353"/>
      <c r="AG73" s="353"/>
      <c r="AH73" s="353"/>
      <c r="AI73" s="353"/>
      <c r="AJ73" s="353"/>
      <c r="AK73" s="353"/>
      <c r="AL73" s="353"/>
      <c r="AM73" s="377"/>
      <c r="AN73" s="353"/>
      <c r="AO73" s="353"/>
      <c r="AP73" s="353"/>
      <c r="AQ73" s="354"/>
      <c r="AR73" s="364"/>
      <c r="BM73" s="514"/>
      <c r="BP73" s="483"/>
    </row>
    <row r="75" spans="1:68" ht="17.25" customHeight="1" x14ac:dyDescent="0.3">
      <c r="AU75" s="469"/>
      <c r="AV75" s="470"/>
      <c r="AW75" s="500"/>
      <c r="AX75" s="500"/>
      <c r="AY75" s="500"/>
      <c r="AZ75" s="500"/>
      <c r="BA75" s="500"/>
      <c r="BB75" s="500"/>
      <c r="BC75" s="500"/>
      <c r="BD75" s="500"/>
      <c r="BE75" s="500"/>
      <c r="BF75" s="500"/>
      <c r="BG75" s="500"/>
      <c r="BH75" s="500"/>
      <c r="BJ75" s="506"/>
    </row>
    <row r="76" spans="1:68" ht="17.25" customHeight="1" x14ac:dyDescent="0.4">
      <c r="AU76" s="430"/>
      <c r="AV76" s="486"/>
      <c r="AW76" s="516"/>
      <c r="AX76" s="516"/>
      <c r="AY76" s="516"/>
      <c r="AZ76" s="516"/>
      <c r="BA76" s="516"/>
      <c r="BB76" s="516"/>
      <c r="BC76" s="516"/>
      <c r="BD76" s="516"/>
      <c r="BE76" s="516"/>
      <c r="BF76" s="516"/>
      <c r="BG76" s="516"/>
      <c r="BH76" s="516"/>
      <c r="BJ76" s="482"/>
      <c r="BK76" s="507"/>
    </row>
    <row r="77" spans="1:68" ht="17.25" customHeight="1" x14ac:dyDescent="0.3">
      <c r="AU77" s="502"/>
      <c r="AV77" s="517"/>
      <c r="AW77" s="518"/>
      <c r="AX77" s="518"/>
      <c r="AY77" s="518"/>
      <c r="AZ77" s="518"/>
      <c r="BA77" s="518"/>
      <c r="BB77" s="518"/>
      <c r="BC77" s="518"/>
      <c r="BD77" s="518"/>
      <c r="BE77" s="518"/>
      <c r="BF77" s="518"/>
      <c r="BG77" s="518"/>
      <c r="BH77" s="518"/>
      <c r="BJ77" s="482"/>
      <c r="BK77" s="477"/>
    </row>
    <row r="78" spans="1:68" ht="17.25" customHeight="1" x14ac:dyDescent="0.3">
      <c r="AU78" s="502"/>
      <c r="AV78" s="517"/>
      <c r="AW78" s="518"/>
      <c r="AX78" s="518"/>
      <c r="AY78" s="518"/>
      <c r="AZ78" s="518"/>
      <c r="BA78" s="518"/>
      <c r="BB78" s="518"/>
      <c r="BC78" s="518"/>
      <c r="BD78" s="518"/>
      <c r="BE78" s="518"/>
      <c r="BF78" s="518"/>
      <c r="BG78" s="518"/>
      <c r="BH78" s="518"/>
      <c r="BJ78" s="514"/>
      <c r="BK78" s="481"/>
      <c r="BP78" s="506"/>
    </row>
    <row r="79" spans="1:68" ht="17.25" customHeight="1" x14ac:dyDescent="0.3">
      <c r="AU79" s="502"/>
      <c r="AV79" s="517"/>
      <c r="AW79" s="518"/>
      <c r="AX79" s="518"/>
      <c r="AY79" s="518"/>
      <c r="AZ79" s="518"/>
      <c r="BA79" s="518"/>
      <c r="BB79" s="518"/>
      <c r="BC79" s="518"/>
      <c r="BD79" s="518"/>
      <c r="BE79" s="518"/>
      <c r="BF79" s="518"/>
      <c r="BG79" s="518"/>
      <c r="BH79" s="518"/>
      <c r="BJ79" s="482"/>
      <c r="BK79" s="507"/>
      <c r="BP79" s="482"/>
    </row>
    <row r="80" spans="1:68" ht="17.25" customHeight="1" x14ac:dyDescent="0.3">
      <c r="AU80" s="502"/>
      <c r="AV80" s="517"/>
      <c r="AW80" s="518"/>
      <c r="AX80" s="518"/>
      <c r="AY80" s="518"/>
      <c r="AZ80" s="518"/>
      <c r="BA80" s="518"/>
      <c r="BB80" s="518"/>
      <c r="BC80" s="518"/>
      <c r="BD80" s="518"/>
      <c r="BE80" s="518"/>
      <c r="BF80" s="518"/>
      <c r="BG80" s="518"/>
      <c r="BH80" s="518"/>
      <c r="BJ80" s="482"/>
      <c r="BK80" s="477"/>
      <c r="BP80" s="482"/>
    </row>
    <row r="81" spans="1:71" ht="17.25" customHeight="1" thickBot="1" x14ac:dyDescent="0.35">
      <c r="A81" s="378"/>
      <c r="B81" s="378"/>
      <c r="C81" s="378"/>
      <c r="D81" s="378"/>
      <c r="E81" s="378"/>
      <c r="F81" s="378"/>
      <c r="G81" s="378"/>
      <c r="H81" s="378"/>
      <c r="I81" s="378"/>
      <c r="J81" s="378"/>
      <c r="K81" s="378"/>
      <c r="L81" s="378"/>
      <c r="M81" s="378"/>
      <c r="N81" s="378"/>
      <c r="O81" s="378"/>
      <c r="P81" s="378"/>
      <c r="Q81" s="378"/>
      <c r="R81" s="378"/>
      <c r="S81" s="378"/>
      <c r="T81" s="378"/>
      <c r="U81" s="378"/>
      <c r="V81" s="378"/>
      <c r="W81" s="378"/>
      <c r="X81" s="378"/>
      <c r="Y81" s="378"/>
      <c r="Z81" s="378"/>
      <c r="AA81" s="378"/>
      <c r="AB81" s="378"/>
      <c r="AC81" s="378"/>
      <c r="AD81" s="378"/>
      <c r="AE81" s="378"/>
      <c r="AF81" s="378"/>
      <c r="AG81" s="378"/>
      <c r="AH81" s="378"/>
      <c r="AI81" s="378"/>
      <c r="AK81" s="175"/>
      <c r="AU81" s="502"/>
      <c r="AV81" s="517"/>
      <c r="AW81" s="518"/>
      <c r="AX81" s="518"/>
      <c r="AY81" s="518"/>
      <c r="AZ81" s="518"/>
      <c r="BA81" s="518"/>
      <c r="BB81" s="518"/>
      <c r="BC81" s="518"/>
      <c r="BD81" s="518"/>
      <c r="BE81" s="518"/>
      <c r="BF81" s="518"/>
      <c r="BG81" s="518"/>
      <c r="BH81" s="518"/>
      <c r="BJ81" s="514"/>
      <c r="BK81" s="481"/>
      <c r="BP81" s="514"/>
    </row>
    <row r="82" spans="1:71" ht="17.25" customHeight="1" x14ac:dyDescent="0.3">
      <c r="A82" s="379"/>
      <c r="B82" s="380"/>
      <c r="C82" s="381"/>
      <c r="D82" s="381"/>
      <c r="E82" s="381"/>
      <c r="F82" s="381"/>
      <c r="G82" s="381"/>
      <c r="H82" s="381"/>
      <c r="I82" s="382" t="s">
        <v>86</v>
      </c>
      <c r="J82" s="381"/>
      <c r="K82" s="381"/>
      <c r="L82" s="381"/>
      <c r="M82" s="381"/>
      <c r="N82" s="381"/>
      <c r="O82" s="381"/>
      <c r="P82" s="381"/>
      <c r="Q82" s="383"/>
      <c r="R82" s="384"/>
      <c r="S82" s="385"/>
      <c r="T82" s="386"/>
      <c r="U82" s="386"/>
      <c r="V82" s="386"/>
      <c r="W82" s="386"/>
      <c r="X82" s="386"/>
      <c r="Y82" s="386"/>
      <c r="Z82" s="387" t="s">
        <v>87</v>
      </c>
      <c r="AA82" s="386"/>
      <c r="AB82" s="386"/>
      <c r="AC82" s="386"/>
      <c r="AD82" s="386"/>
      <c r="AE82" s="386"/>
      <c r="AF82" s="386"/>
      <c r="AG82" s="386"/>
      <c r="AH82" s="388"/>
      <c r="AI82" s="379"/>
      <c r="AK82" s="175"/>
      <c r="AU82" s="502"/>
      <c r="AV82" s="517"/>
      <c r="AW82" s="518"/>
      <c r="AX82" s="518"/>
      <c r="AY82" s="518"/>
      <c r="AZ82" s="518"/>
      <c r="BA82" s="518"/>
      <c r="BB82" s="518"/>
      <c r="BC82" s="518"/>
      <c r="BD82" s="518"/>
      <c r="BE82" s="518"/>
      <c r="BF82" s="518"/>
      <c r="BG82" s="518"/>
      <c r="BH82" s="518"/>
    </row>
    <row r="83" spans="1:71" ht="17.25" customHeight="1" x14ac:dyDescent="0.3">
      <c r="A83" s="378"/>
      <c r="B83" s="389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1"/>
      <c r="R83" s="392"/>
      <c r="S83" s="393"/>
      <c r="T83" s="394"/>
      <c r="U83" s="394"/>
      <c r="V83" s="394"/>
      <c r="W83" s="394"/>
      <c r="X83" s="394"/>
      <c r="Y83" s="394"/>
      <c r="Z83" s="412"/>
      <c r="AA83" s="413"/>
      <c r="AB83" s="394"/>
      <c r="AC83" s="394"/>
      <c r="AD83" s="394"/>
      <c r="AE83" s="394"/>
      <c r="AF83" s="394"/>
      <c r="AG83" s="394"/>
      <c r="AH83" s="395"/>
      <c r="AI83" s="378"/>
      <c r="AK83" s="175"/>
      <c r="AU83" s="502"/>
      <c r="AV83" s="517"/>
      <c r="AW83" s="518"/>
      <c r="AX83" s="518"/>
      <c r="AY83" s="518"/>
      <c r="AZ83" s="518"/>
      <c r="BA83" s="518"/>
      <c r="BB83" s="518"/>
      <c r="BC83" s="518"/>
      <c r="BD83" s="518"/>
      <c r="BE83" s="518"/>
      <c r="BF83" s="518"/>
      <c r="BG83" s="518"/>
      <c r="BH83" s="518"/>
    </row>
    <row r="84" spans="1:71" ht="17.25" customHeight="1" x14ac:dyDescent="0.3">
      <c r="A84" s="378"/>
      <c r="B84" s="389"/>
      <c r="C84" s="409" t="s">
        <v>301</v>
      </c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Q84" s="391"/>
      <c r="R84" s="392"/>
      <c r="S84" s="393"/>
      <c r="T84" s="396" t="s">
        <v>315</v>
      </c>
      <c r="U84" s="394"/>
      <c r="V84" s="394"/>
      <c r="W84" s="394"/>
      <c r="X84" s="394"/>
      <c r="Y84" s="394"/>
      <c r="Z84" s="394"/>
      <c r="AA84" s="394"/>
      <c r="AB84" s="394"/>
      <c r="AC84" s="394"/>
      <c r="AD84" s="394"/>
      <c r="AE84" s="394"/>
      <c r="AF84" s="394"/>
      <c r="AG84" s="394"/>
      <c r="AH84" s="395"/>
      <c r="AI84" s="378"/>
      <c r="AK84" s="175"/>
      <c r="AU84" s="502"/>
      <c r="AV84" s="517"/>
      <c r="AW84" s="518"/>
      <c r="AX84" s="518"/>
      <c r="AY84" s="518"/>
      <c r="AZ84" s="518"/>
      <c r="BA84" s="518"/>
      <c r="BB84" s="518"/>
      <c r="BC84" s="518"/>
      <c r="BD84" s="518"/>
      <c r="BE84" s="518"/>
      <c r="BF84" s="518"/>
      <c r="BG84" s="518"/>
      <c r="BH84" s="518"/>
      <c r="BJ84" s="430"/>
      <c r="BK84" s="430"/>
      <c r="BL84" s="430"/>
      <c r="BM84" s="430"/>
      <c r="BN84" s="430"/>
      <c r="BO84" s="430"/>
      <c r="BP84" s="430"/>
      <c r="BQ84" s="430"/>
      <c r="BR84" s="421"/>
    </row>
    <row r="85" spans="1:71" ht="17.25" customHeight="1" x14ac:dyDescent="0.3">
      <c r="A85" s="378"/>
      <c r="B85" s="389"/>
      <c r="C85" s="409" t="s">
        <v>302</v>
      </c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Q85" s="391"/>
      <c r="R85" s="392"/>
      <c r="S85" s="393"/>
      <c r="T85" s="396" t="s">
        <v>316</v>
      </c>
      <c r="U85" s="362"/>
      <c r="V85" s="362"/>
      <c r="W85" s="394"/>
      <c r="X85" s="394"/>
      <c r="Y85" s="394"/>
      <c r="Z85" s="394"/>
      <c r="AA85" s="394"/>
      <c r="AB85" s="394"/>
      <c r="AC85" s="394"/>
      <c r="AD85" s="394"/>
      <c r="AE85" s="394"/>
      <c r="AF85" s="394"/>
      <c r="AG85" s="394"/>
      <c r="AH85" s="395"/>
      <c r="AI85" s="378"/>
      <c r="AK85" s="175"/>
      <c r="AU85" s="502"/>
      <c r="AV85" s="517"/>
      <c r="AW85" s="518"/>
      <c r="AX85" s="518"/>
      <c r="AY85" s="518"/>
      <c r="AZ85" s="518"/>
      <c r="BA85" s="518"/>
      <c r="BB85" s="518"/>
      <c r="BC85" s="518"/>
      <c r="BD85" s="518"/>
      <c r="BE85" s="518"/>
      <c r="BF85" s="518"/>
      <c r="BG85" s="518"/>
      <c r="BH85" s="518"/>
      <c r="BJ85" s="430"/>
      <c r="BK85" s="430"/>
      <c r="BL85" s="430"/>
      <c r="BM85" s="430"/>
      <c r="BN85" s="430"/>
      <c r="BO85" s="430"/>
      <c r="BP85" s="430"/>
      <c r="BQ85" s="430"/>
      <c r="BR85" s="421"/>
    </row>
    <row r="86" spans="1:71" ht="17.25" customHeight="1" x14ac:dyDescent="0.3">
      <c r="A86" s="378"/>
      <c r="B86" s="389"/>
      <c r="C86" s="410" t="s">
        <v>303</v>
      </c>
      <c r="D86" s="390"/>
      <c r="P86" s="390"/>
      <c r="Q86" s="391"/>
      <c r="R86" s="392"/>
      <c r="S86" s="393"/>
      <c r="T86" s="396" t="s">
        <v>317</v>
      </c>
      <c r="U86" s="394"/>
      <c r="V86" s="394"/>
      <c r="W86" s="362"/>
      <c r="X86" s="362"/>
      <c r="Y86" s="362"/>
      <c r="Z86" s="362"/>
      <c r="AA86" s="362"/>
      <c r="AB86" s="362"/>
      <c r="AC86" s="362"/>
      <c r="AD86" s="362"/>
      <c r="AE86" s="362"/>
      <c r="AF86" s="362"/>
      <c r="AG86" s="362"/>
      <c r="AH86" s="395"/>
      <c r="AI86" s="378"/>
      <c r="AK86" s="175"/>
      <c r="AU86" s="502"/>
      <c r="AV86" s="517"/>
      <c r="AW86" s="518"/>
      <c r="AX86" s="518"/>
      <c r="AY86" s="518"/>
      <c r="AZ86" s="518"/>
      <c r="BA86" s="518"/>
      <c r="BB86" s="518"/>
      <c r="BC86" s="518"/>
      <c r="BD86" s="518"/>
      <c r="BE86" s="518"/>
      <c r="BF86" s="518"/>
      <c r="BG86" s="518"/>
      <c r="BH86" s="518"/>
      <c r="BJ86" s="430"/>
      <c r="BK86" s="430"/>
      <c r="BL86" s="430"/>
      <c r="BQ86" s="430"/>
      <c r="BR86" s="421"/>
    </row>
    <row r="87" spans="1:71" ht="17.25" customHeight="1" x14ac:dyDescent="0.3">
      <c r="A87" s="378"/>
      <c r="B87" s="389"/>
      <c r="C87" s="409" t="s">
        <v>304</v>
      </c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1"/>
      <c r="R87" s="392"/>
      <c r="S87" s="393"/>
      <c r="T87" s="396" t="s">
        <v>318</v>
      </c>
      <c r="U87" s="394"/>
      <c r="V87" s="394"/>
      <c r="W87" s="394"/>
      <c r="X87" s="394"/>
      <c r="Y87" s="394"/>
      <c r="Z87" s="394"/>
      <c r="AA87" s="394"/>
      <c r="AB87" s="394"/>
      <c r="AC87" s="394"/>
      <c r="AD87" s="394"/>
      <c r="AE87" s="394"/>
      <c r="AF87" s="394"/>
      <c r="AG87" s="394"/>
      <c r="AH87" s="395"/>
      <c r="AI87" s="378"/>
      <c r="AK87" s="175"/>
      <c r="AU87" s="502"/>
      <c r="AV87" s="517"/>
      <c r="AW87" s="518"/>
      <c r="AX87" s="518"/>
      <c r="AY87" s="518"/>
      <c r="AZ87" s="518"/>
      <c r="BA87" s="518"/>
      <c r="BB87" s="518"/>
      <c r="BC87" s="518"/>
      <c r="BD87" s="518"/>
      <c r="BE87" s="518"/>
      <c r="BF87" s="518"/>
      <c r="BG87" s="518"/>
      <c r="BH87" s="518"/>
      <c r="BJ87" s="430"/>
      <c r="BK87" s="430"/>
      <c r="BL87" s="430"/>
      <c r="BM87" s="430"/>
      <c r="BQ87" s="430"/>
      <c r="BR87" s="421"/>
      <c r="BS87" s="421"/>
    </row>
    <row r="88" spans="1:71" ht="17.25" customHeight="1" x14ac:dyDescent="0.3">
      <c r="A88" s="378"/>
      <c r="B88" s="389"/>
      <c r="C88" s="409" t="s">
        <v>305</v>
      </c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1"/>
      <c r="R88" s="392"/>
      <c r="S88" s="393"/>
      <c r="T88" s="397" t="s">
        <v>319</v>
      </c>
      <c r="U88" s="394"/>
      <c r="V88" s="394"/>
      <c r="W88" s="394"/>
      <c r="X88" s="394"/>
      <c r="Y88" s="394"/>
      <c r="Z88" s="394"/>
      <c r="AA88" s="394"/>
      <c r="AB88" s="394"/>
      <c r="AC88" s="394"/>
      <c r="AD88" s="394"/>
      <c r="AE88" s="394"/>
      <c r="AF88" s="394"/>
      <c r="AG88" s="394"/>
      <c r="AH88" s="395"/>
      <c r="AI88" s="378"/>
      <c r="AK88" s="175"/>
      <c r="AU88" s="502"/>
      <c r="AV88" s="517"/>
      <c r="AW88" s="518"/>
      <c r="AX88" s="518"/>
      <c r="AY88" s="518"/>
      <c r="AZ88" s="518"/>
      <c r="BA88" s="518"/>
      <c r="BB88" s="518"/>
      <c r="BC88" s="518"/>
      <c r="BD88" s="518"/>
      <c r="BE88" s="518"/>
      <c r="BF88" s="518"/>
      <c r="BG88" s="518"/>
      <c r="BH88" s="518"/>
      <c r="BJ88" s="430"/>
      <c r="BK88" s="430"/>
      <c r="BL88" s="430"/>
      <c r="BM88" s="430"/>
      <c r="BQ88" s="430"/>
      <c r="BR88" s="421"/>
      <c r="BS88" s="421"/>
    </row>
    <row r="89" spans="1:71" ht="17.25" customHeight="1" x14ac:dyDescent="0.3">
      <c r="A89" s="378"/>
      <c r="B89" s="389"/>
      <c r="C89" s="409" t="s">
        <v>306</v>
      </c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1"/>
      <c r="R89" s="392"/>
      <c r="S89" s="393"/>
      <c r="T89" s="397" t="s">
        <v>320</v>
      </c>
      <c r="U89" s="394"/>
      <c r="V89" s="394"/>
      <c r="W89" s="394"/>
      <c r="X89" s="394"/>
      <c r="Y89" s="394"/>
      <c r="Z89" s="394"/>
      <c r="AA89" s="394"/>
      <c r="AB89" s="394"/>
      <c r="AC89" s="394"/>
      <c r="AD89" s="394"/>
      <c r="AE89" s="394"/>
      <c r="AF89" s="394"/>
      <c r="AG89" s="394"/>
      <c r="AH89" s="395"/>
      <c r="AI89" s="378"/>
      <c r="AK89" s="175"/>
      <c r="BJ89" s="430"/>
      <c r="BK89" s="430"/>
      <c r="BL89" s="430"/>
      <c r="BM89" s="430"/>
      <c r="BP89" s="487"/>
      <c r="BQ89" s="430"/>
      <c r="BR89" s="421"/>
      <c r="BS89" s="421"/>
    </row>
    <row r="90" spans="1:71" ht="17.25" customHeight="1" x14ac:dyDescent="0.3">
      <c r="A90" s="378"/>
      <c r="B90" s="389"/>
      <c r="C90" s="409" t="s">
        <v>307</v>
      </c>
      <c r="D90" s="390"/>
      <c r="E90" s="390"/>
      <c r="F90" s="390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1"/>
      <c r="R90" s="392"/>
      <c r="S90" s="393"/>
      <c r="T90" s="396" t="s">
        <v>321</v>
      </c>
      <c r="U90" s="362"/>
      <c r="V90" s="362"/>
      <c r="W90" s="394"/>
      <c r="X90" s="394"/>
      <c r="Y90" s="394"/>
      <c r="Z90" s="394"/>
      <c r="AA90" s="394"/>
      <c r="AB90" s="394"/>
      <c r="AC90" s="394"/>
      <c r="AD90" s="394"/>
      <c r="AE90" s="394"/>
      <c r="AF90" s="394"/>
      <c r="AG90" s="394"/>
      <c r="AH90" s="395"/>
      <c r="AI90" s="378"/>
      <c r="AK90" s="175"/>
      <c r="BJ90" s="488"/>
      <c r="BK90" s="489"/>
      <c r="BL90" s="489"/>
      <c r="BM90" s="430"/>
      <c r="BP90" s="487"/>
      <c r="BQ90" s="430"/>
    </row>
    <row r="91" spans="1:71" ht="17.25" customHeight="1" x14ac:dyDescent="0.3">
      <c r="A91" s="378"/>
      <c r="B91" s="389"/>
      <c r="C91" s="409" t="s">
        <v>308</v>
      </c>
      <c r="D91" s="390"/>
      <c r="E91" s="390"/>
      <c r="Q91" s="391"/>
      <c r="R91" s="392"/>
      <c r="S91" s="393"/>
      <c r="T91" s="396" t="s">
        <v>322</v>
      </c>
      <c r="U91" s="394"/>
      <c r="V91" s="394"/>
      <c r="W91" s="362"/>
      <c r="X91" s="394"/>
      <c r="Y91" s="394"/>
      <c r="Z91" s="394"/>
      <c r="AA91" s="394"/>
      <c r="AB91" s="394"/>
      <c r="AC91" s="394"/>
      <c r="AD91" s="394"/>
      <c r="AE91" s="394"/>
      <c r="AF91" s="394"/>
      <c r="AG91" s="394"/>
      <c r="AH91" s="395"/>
      <c r="AI91" s="378"/>
      <c r="AK91" s="175"/>
      <c r="BJ91" s="490"/>
      <c r="BK91" s="430"/>
      <c r="BL91" s="430"/>
      <c r="BM91" s="430"/>
      <c r="BP91" s="487"/>
      <c r="BQ91" s="430"/>
    </row>
    <row r="92" spans="1:71" ht="17.25" customHeight="1" x14ac:dyDescent="0.3">
      <c r="A92" s="378"/>
      <c r="B92" s="389"/>
      <c r="C92" s="409" t="s">
        <v>309</v>
      </c>
      <c r="D92" s="390"/>
      <c r="E92" s="390"/>
      <c r="F92" s="390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1"/>
      <c r="R92" s="392"/>
      <c r="S92" s="393"/>
      <c r="T92" s="397" t="s">
        <v>323</v>
      </c>
      <c r="U92" s="394"/>
      <c r="V92" s="394"/>
      <c r="W92" s="394"/>
      <c r="X92" s="394"/>
      <c r="Y92" s="394"/>
      <c r="Z92" s="394"/>
      <c r="AA92" s="394"/>
      <c r="AB92" s="394"/>
      <c r="AC92" s="394"/>
      <c r="AD92" s="394"/>
      <c r="AE92" s="394"/>
      <c r="AF92" s="394"/>
      <c r="AG92" s="394"/>
      <c r="AH92" s="395"/>
      <c r="AI92" s="378"/>
      <c r="AK92" s="175"/>
      <c r="BJ92" s="491"/>
      <c r="BK92" s="492"/>
      <c r="BL92" s="430"/>
      <c r="BM92" s="430"/>
      <c r="BQ92" s="430"/>
    </row>
    <row r="93" spans="1:71" ht="17.25" customHeight="1" x14ac:dyDescent="0.3">
      <c r="A93" s="378"/>
      <c r="B93" s="389"/>
      <c r="C93" s="411" t="s">
        <v>310</v>
      </c>
      <c r="D93" s="392"/>
      <c r="E93" s="392"/>
      <c r="F93" s="392"/>
      <c r="G93" s="392"/>
      <c r="H93" s="392"/>
      <c r="I93" s="392"/>
      <c r="J93" s="392"/>
      <c r="K93" s="392"/>
      <c r="L93" s="392"/>
      <c r="M93" s="392"/>
      <c r="N93" s="392"/>
      <c r="O93" s="392"/>
      <c r="P93" s="390"/>
      <c r="Q93" s="391"/>
      <c r="R93" s="392"/>
      <c r="S93" s="393"/>
      <c r="T93" s="396" t="s">
        <v>324</v>
      </c>
      <c r="U93" s="394"/>
      <c r="V93" s="394"/>
      <c r="W93" s="394"/>
      <c r="X93" s="394"/>
      <c r="Y93" s="394"/>
      <c r="Z93" s="394"/>
      <c r="AA93" s="394"/>
      <c r="AB93" s="394"/>
      <c r="AC93" s="394"/>
      <c r="AD93" s="394"/>
      <c r="AE93" s="394"/>
      <c r="AF93" s="394"/>
      <c r="AG93" s="394"/>
      <c r="AH93" s="395"/>
      <c r="AI93" s="378"/>
      <c r="AK93" s="175"/>
      <c r="AU93" s="485"/>
      <c r="AV93" s="470"/>
      <c r="AW93" s="500"/>
      <c r="AX93" s="500"/>
      <c r="AY93" s="500"/>
      <c r="AZ93" s="500"/>
      <c r="BA93" s="500"/>
      <c r="BB93" s="500"/>
      <c r="BC93" s="500"/>
      <c r="BD93" s="500"/>
      <c r="BE93" s="500"/>
      <c r="BF93" s="500"/>
      <c r="BG93" s="500"/>
      <c r="BH93" s="500"/>
      <c r="BJ93" s="519"/>
      <c r="BK93" s="493"/>
      <c r="BL93" s="493"/>
      <c r="BM93" s="493"/>
      <c r="BN93" s="493"/>
      <c r="BO93" s="430"/>
      <c r="BP93" s="493"/>
      <c r="BQ93" s="493"/>
    </row>
    <row r="94" spans="1:71" ht="17.25" customHeight="1" x14ac:dyDescent="0.4">
      <c r="A94" s="378"/>
      <c r="B94" s="389"/>
      <c r="C94" s="411" t="s">
        <v>311</v>
      </c>
      <c r="D94" s="392"/>
      <c r="E94" s="392"/>
      <c r="F94" s="392"/>
      <c r="G94" s="392"/>
      <c r="H94" s="392"/>
      <c r="I94" s="392"/>
      <c r="J94" s="392"/>
      <c r="K94" s="392"/>
      <c r="L94" s="392"/>
      <c r="M94" s="392"/>
      <c r="N94" s="392"/>
      <c r="O94" s="392"/>
      <c r="P94" s="390"/>
      <c r="Q94" s="391"/>
      <c r="R94" s="392"/>
      <c r="S94" s="393"/>
      <c r="T94" s="396" t="s">
        <v>325</v>
      </c>
      <c r="U94" s="413"/>
      <c r="V94" s="394"/>
      <c r="W94" s="394"/>
      <c r="X94" s="394"/>
      <c r="Y94" s="394"/>
      <c r="Z94" s="394"/>
      <c r="AA94" s="394"/>
      <c r="AB94" s="394"/>
      <c r="AC94" s="394"/>
      <c r="AD94" s="394"/>
      <c r="AE94" s="394"/>
      <c r="AF94" s="394"/>
      <c r="AG94" s="394"/>
      <c r="AH94" s="395"/>
      <c r="AI94" s="378"/>
      <c r="AK94" s="175"/>
      <c r="AU94" s="485"/>
      <c r="AV94" s="486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</row>
    <row r="95" spans="1:71" ht="17.25" customHeight="1" x14ac:dyDescent="0.3">
      <c r="A95" s="378"/>
      <c r="B95" s="389"/>
      <c r="C95" s="411" t="s">
        <v>312</v>
      </c>
      <c r="D95" s="392"/>
      <c r="E95" s="392"/>
      <c r="F95" s="392"/>
      <c r="G95" s="392"/>
      <c r="H95" s="392"/>
      <c r="I95" s="392"/>
      <c r="J95" s="392"/>
      <c r="K95" s="392"/>
      <c r="L95" s="392"/>
      <c r="M95" s="392"/>
      <c r="N95" s="392"/>
      <c r="O95" s="392"/>
      <c r="P95" s="390"/>
      <c r="Q95" s="391"/>
      <c r="R95" s="392"/>
      <c r="S95" s="393"/>
      <c r="T95" s="398"/>
      <c r="U95" s="412"/>
      <c r="V95" s="394"/>
      <c r="W95" s="394"/>
      <c r="X95" s="394"/>
      <c r="Y95" s="394"/>
      <c r="Z95" s="394"/>
      <c r="AA95" s="394"/>
      <c r="AB95" s="394"/>
      <c r="AC95" s="394"/>
      <c r="AD95" s="394"/>
      <c r="AE95" s="394"/>
      <c r="AF95" s="394"/>
      <c r="AG95" s="394"/>
      <c r="AH95" s="395"/>
      <c r="AI95" s="378"/>
      <c r="AK95" s="175"/>
      <c r="AU95" s="502"/>
      <c r="AV95" s="521"/>
      <c r="AW95" s="518"/>
      <c r="AX95" s="518"/>
      <c r="AY95" s="518"/>
      <c r="AZ95" s="518"/>
      <c r="BA95" s="518"/>
      <c r="BB95" s="518"/>
      <c r="BC95" s="518"/>
      <c r="BD95" s="518"/>
      <c r="BE95" s="518"/>
      <c r="BF95" s="518"/>
      <c r="BG95" s="518"/>
      <c r="BH95" s="518"/>
    </row>
    <row r="96" spans="1:71" ht="17.25" customHeight="1" x14ac:dyDescent="0.3">
      <c r="A96" s="378"/>
      <c r="B96" s="389"/>
      <c r="C96" s="410" t="s">
        <v>313</v>
      </c>
      <c r="D96" s="390"/>
      <c r="E96" s="390"/>
      <c r="F96" s="390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1"/>
      <c r="R96" s="392"/>
      <c r="S96" s="393"/>
      <c r="T96" s="362"/>
      <c r="U96" s="362"/>
      <c r="V96" s="362"/>
      <c r="W96" s="394"/>
      <c r="X96" s="394"/>
      <c r="Y96" s="394"/>
      <c r="Z96" s="394"/>
      <c r="AA96" s="394"/>
      <c r="AB96" s="394"/>
      <c r="AC96" s="394"/>
      <c r="AD96" s="394"/>
      <c r="AE96" s="394"/>
      <c r="AF96" s="394"/>
      <c r="AG96" s="394"/>
      <c r="AH96" s="395"/>
      <c r="AI96" s="378"/>
      <c r="AK96" s="175"/>
      <c r="AU96" s="502"/>
      <c r="AV96" s="521"/>
      <c r="AW96" s="518"/>
      <c r="AX96" s="518"/>
      <c r="AY96" s="518"/>
      <c r="AZ96" s="518"/>
      <c r="BA96" s="518"/>
      <c r="BB96" s="518"/>
      <c r="BC96" s="518"/>
      <c r="BD96" s="518"/>
      <c r="BE96" s="518"/>
      <c r="BF96" s="518"/>
      <c r="BG96" s="518"/>
      <c r="BH96" s="518"/>
      <c r="BJ96" s="494"/>
      <c r="BK96" s="430"/>
      <c r="BL96" s="430"/>
    </row>
    <row r="97" spans="1:68" ht="17.25" customHeight="1" x14ac:dyDescent="0.3">
      <c r="A97" s="378"/>
      <c r="B97" s="389"/>
      <c r="C97" s="410" t="s">
        <v>314</v>
      </c>
      <c r="D97" s="390"/>
      <c r="E97" s="390"/>
      <c r="F97" s="390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1"/>
      <c r="S97" s="393"/>
      <c r="T97" s="412"/>
      <c r="U97" s="412"/>
      <c r="V97" s="394"/>
      <c r="W97" s="394"/>
      <c r="X97" s="394"/>
      <c r="Y97" s="394"/>
      <c r="Z97" s="394"/>
      <c r="AA97" s="394"/>
      <c r="AB97" s="394"/>
      <c r="AC97" s="394"/>
      <c r="AD97" s="394"/>
      <c r="AE97" s="394"/>
      <c r="AF97" s="394"/>
      <c r="AG97" s="394"/>
      <c r="AH97" s="395"/>
      <c r="AI97" s="378"/>
      <c r="AK97" s="175"/>
      <c r="AU97" s="502"/>
      <c r="AV97" s="521"/>
      <c r="AW97" s="518"/>
      <c r="AX97" s="518"/>
      <c r="AY97" s="518"/>
      <c r="AZ97" s="518"/>
      <c r="BA97" s="518"/>
      <c r="BB97" s="518"/>
      <c r="BC97" s="518"/>
      <c r="BD97" s="518"/>
      <c r="BE97" s="518"/>
      <c r="BF97" s="518"/>
      <c r="BG97" s="518"/>
      <c r="BH97" s="518"/>
      <c r="BJ97" s="430"/>
      <c r="BK97" s="430"/>
      <c r="BL97" s="430"/>
    </row>
    <row r="98" spans="1:68" ht="17.25" customHeight="1" thickBot="1" x14ac:dyDescent="0.35">
      <c r="A98" s="378"/>
      <c r="B98" s="399"/>
      <c r="C98" s="400"/>
      <c r="D98" s="401"/>
      <c r="E98" s="401"/>
      <c r="F98" s="401"/>
      <c r="G98" s="401"/>
      <c r="H98" s="401"/>
      <c r="I98" s="401"/>
      <c r="J98" s="401"/>
      <c r="K98" s="401"/>
      <c r="L98" s="401"/>
      <c r="M98" s="401"/>
      <c r="N98" s="401"/>
      <c r="O98" s="401"/>
      <c r="P98" s="401"/>
      <c r="Q98" s="402"/>
      <c r="R98" s="392"/>
      <c r="S98" s="403"/>
      <c r="T98" s="404"/>
      <c r="U98" s="404"/>
      <c r="V98" s="404"/>
      <c r="W98" s="404"/>
      <c r="X98" s="404"/>
      <c r="Y98" s="404"/>
      <c r="Z98" s="404"/>
      <c r="AA98" s="404"/>
      <c r="AB98" s="404"/>
      <c r="AC98" s="404"/>
      <c r="AD98" s="404"/>
      <c r="AE98" s="404"/>
      <c r="AF98" s="404"/>
      <c r="AG98" s="404"/>
      <c r="AH98" s="405"/>
      <c r="AI98" s="378"/>
      <c r="AK98" s="175"/>
      <c r="AU98" s="502"/>
      <c r="AV98" s="521"/>
      <c r="AW98" s="518"/>
      <c r="AX98" s="518"/>
      <c r="AY98" s="518"/>
      <c r="AZ98" s="518"/>
      <c r="BA98" s="518"/>
      <c r="BB98" s="518"/>
      <c r="BC98" s="518"/>
      <c r="BD98" s="518"/>
      <c r="BE98" s="518"/>
      <c r="BF98" s="518"/>
      <c r="BG98" s="518"/>
      <c r="BH98" s="518"/>
      <c r="BJ98" s="430"/>
      <c r="BK98" s="430"/>
      <c r="BL98" s="430"/>
      <c r="BP98" s="519"/>
    </row>
    <row r="99" spans="1:68" ht="17.25" customHeight="1" x14ac:dyDescent="0.3">
      <c r="A99" s="378"/>
      <c r="B99" s="378"/>
      <c r="C99" s="378"/>
      <c r="D99" s="378"/>
      <c r="E99" s="378"/>
      <c r="F99" s="378"/>
      <c r="G99" s="378"/>
      <c r="H99" s="378"/>
      <c r="I99" s="378"/>
      <c r="J99" s="378"/>
      <c r="K99" s="378"/>
      <c r="L99" s="378"/>
      <c r="M99" s="378"/>
      <c r="N99" s="378"/>
      <c r="O99" s="378"/>
      <c r="P99" s="378"/>
      <c r="Q99" s="378"/>
      <c r="R99" s="378"/>
      <c r="S99" s="378"/>
      <c r="T99" s="378"/>
      <c r="U99" s="378"/>
      <c r="V99" s="378"/>
      <c r="W99" s="378"/>
      <c r="X99" s="378"/>
      <c r="Y99" s="378"/>
      <c r="Z99" s="378"/>
      <c r="AA99" s="378"/>
      <c r="AB99" s="378"/>
      <c r="AC99" s="378"/>
      <c r="AD99" s="378"/>
      <c r="AE99" s="378"/>
      <c r="AF99" s="378"/>
      <c r="AG99" s="378"/>
      <c r="AH99" s="378"/>
      <c r="AI99" s="378"/>
      <c r="AK99" s="175"/>
      <c r="AU99" s="502"/>
      <c r="AV99" s="521"/>
      <c r="AW99" s="518"/>
      <c r="AX99" s="518"/>
      <c r="AY99" s="518"/>
      <c r="AZ99" s="518"/>
      <c r="BA99" s="518"/>
      <c r="BB99" s="518"/>
      <c r="BC99" s="518"/>
      <c r="BD99" s="518"/>
      <c r="BE99" s="518"/>
      <c r="BF99" s="518"/>
      <c r="BG99" s="518"/>
      <c r="BH99" s="518"/>
      <c r="BJ99" s="430"/>
      <c r="BK99" s="430"/>
      <c r="BL99" s="430"/>
    </row>
    <row r="100" spans="1:68" ht="17.25" customHeight="1" x14ac:dyDescent="0.3">
      <c r="B100" s="414" t="s">
        <v>88</v>
      </c>
      <c r="C100" s="414" t="s">
        <v>89</v>
      </c>
      <c r="D100" s="414" t="s">
        <v>90</v>
      </c>
      <c r="E100" s="414" t="s">
        <v>72</v>
      </c>
      <c r="F100" s="414" t="s">
        <v>91</v>
      </c>
      <c r="G100" s="414" t="s">
        <v>92</v>
      </c>
      <c r="H100" s="414" t="s">
        <v>93</v>
      </c>
      <c r="I100" s="414" t="s">
        <v>94</v>
      </c>
      <c r="J100" s="414" t="s">
        <v>95</v>
      </c>
      <c r="K100" s="414" t="s">
        <v>96</v>
      </c>
      <c r="L100" s="414" t="s">
        <v>97</v>
      </c>
      <c r="M100" s="414" t="s">
        <v>98</v>
      </c>
      <c r="N100" s="414" t="s">
        <v>99</v>
      </c>
      <c r="O100" s="414" t="s">
        <v>100</v>
      </c>
      <c r="P100" s="414" t="s">
        <v>101</v>
      </c>
      <c r="Q100" s="414" t="s">
        <v>102</v>
      </c>
      <c r="R100" s="414" t="s">
        <v>103</v>
      </c>
      <c r="S100" s="414" t="s">
        <v>104</v>
      </c>
      <c r="T100" s="414" t="s">
        <v>105</v>
      </c>
      <c r="U100" s="414" t="s">
        <v>106</v>
      </c>
      <c r="V100" s="414" t="s">
        <v>107</v>
      </c>
      <c r="W100" s="414" t="s">
        <v>108</v>
      </c>
      <c r="X100" s="414" t="s">
        <v>109</v>
      </c>
      <c r="Y100" s="414" t="s">
        <v>110</v>
      </c>
      <c r="Z100" s="414" t="s">
        <v>111</v>
      </c>
      <c r="AA100" s="414" t="s">
        <v>112</v>
      </c>
      <c r="AB100" s="414" t="s">
        <v>113</v>
      </c>
      <c r="AC100" s="414" t="s">
        <v>114</v>
      </c>
      <c r="AD100" s="414" t="s">
        <v>115</v>
      </c>
      <c r="AE100" s="414" t="s">
        <v>116</v>
      </c>
      <c r="AF100" s="414" t="s">
        <v>117</v>
      </c>
      <c r="AG100" s="414" t="s">
        <v>71</v>
      </c>
      <c r="AH100" s="414" t="s">
        <v>118</v>
      </c>
      <c r="AU100" s="502"/>
      <c r="AV100" s="521"/>
      <c r="AW100" s="518"/>
      <c r="AX100" s="518"/>
      <c r="AY100" s="518"/>
      <c r="AZ100" s="518"/>
      <c r="BA100" s="518"/>
      <c r="BB100" s="518"/>
      <c r="BC100" s="518"/>
      <c r="BD100" s="518"/>
      <c r="BE100" s="518"/>
      <c r="BF100" s="518"/>
      <c r="BG100" s="518"/>
      <c r="BH100" s="518"/>
      <c r="BJ100" s="495"/>
      <c r="BK100" s="430"/>
      <c r="BL100" s="430"/>
    </row>
    <row r="101" spans="1:68" ht="17.25" customHeight="1" x14ac:dyDescent="0.3">
      <c r="AU101" s="502"/>
      <c r="AV101" s="521"/>
      <c r="AW101" s="518"/>
      <c r="AX101" s="518"/>
      <c r="AY101" s="518"/>
      <c r="AZ101" s="518"/>
      <c r="BA101" s="518"/>
      <c r="BB101" s="518"/>
      <c r="BC101" s="518"/>
      <c r="BD101" s="518"/>
      <c r="BE101" s="518"/>
      <c r="BF101" s="518"/>
      <c r="BG101" s="518"/>
      <c r="BH101" s="518"/>
      <c r="BJ101" s="495"/>
      <c r="BK101" s="430"/>
      <c r="BL101" s="430"/>
    </row>
    <row r="102" spans="1:68" ht="17.25" customHeight="1" x14ac:dyDescent="0.3">
      <c r="AU102" s="502"/>
      <c r="AV102" s="521"/>
      <c r="AW102" s="518"/>
      <c r="AX102" s="518"/>
      <c r="AY102" s="518"/>
      <c r="AZ102" s="518"/>
      <c r="BA102" s="518"/>
      <c r="BB102" s="518"/>
      <c r="BC102" s="518"/>
      <c r="BD102" s="518"/>
      <c r="BE102" s="518"/>
      <c r="BF102" s="518"/>
      <c r="BG102" s="518"/>
      <c r="BH102" s="518"/>
      <c r="BJ102" s="519"/>
      <c r="BK102" s="430"/>
      <c r="BL102" s="430"/>
    </row>
    <row r="103" spans="1:68" ht="17.25" customHeight="1" x14ac:dyDescent="0.3">
      <c r="R103" s="406" t="s">
        <v>121</v>
      </c>
      <c r="AU103" s="502"/>
      <c r="AV103" s="521"/>
      <c r="AW103" s="518"/>
      <c r="AX103" s="518"/>
      <c r="AY103" s="518"/>
      <c r="AZ103" s="518"/>
      <c r="BA103" s="518"/>
      <c r="BB103" s="518"/>
      <c r="BC103" s="518"/>
      <c r="BD103" s="518"/>
      <c r="BE103" s="518"/>
      <c r="BF103" s="518"/>
      <c r="BG103" s="518"/>
      <c r="BH103" s="518"/>
    </row>
    <row r="104" spans="1:68" ht="17.25" customHeight="1" x14ac:dyDescent="0.3">
      <c r="R104" s="407" t="s">
        <v>119</v>
      </c>
      <c r="AU104" s="502"/>
      <c r="AV104" s="521"/>
      <c r="AW104" s="518"/>
      <c r="AX104" s="518"/>
      <c r="AY104" s="518"/>
      <c r="AZ104" s="518"/>
      <c r="BA104" s="518"/>
      <c r="BB104" s="518"/>
      <c r="BC104" s="518"/>
      <c r="BD104" s="518"/>
      <c r="BE104" s="518"/>
      <c r="BF104" s="518"/>
      <c r="BG104" s="518"/>
      <c r="BH104" s="518"/>
    </row>
    <row r="105" spans="1:68" ht="17.25" customHeight="1" x14ac:dyDescent="0.3">
      <c r="R105" s="408" t="s">
        <v>120</v>
      </c>
      <c r="AU105" s="502"/>
      <c r="AV105" s="521"/>
      <c r="AW105" s="518"/>
      <c r="AX105" s="518"/>
      <c r="AY105" s="518"/>
      <c r="AZ105" s="518"/>
      <c r="BA105" s="518"/>
      <c r="BB105" s="518"/>
      <c r="BC105" s="518"/>
      <c r="BD105" s="518"/>
      <c r="BE105" s="518"/>
      <c r="BF105" s="518"/>
      <c r="BG105" s="518"/>
      <c r="BH105" s="518"/>
    </row>
    <row r="106" spans="1:68" ht="17.25" customHeight="1" x14ac:dyDescent="0.3">
      <c r="AU106" s="502"/>
      <c r="AV106" s="521"/>
      <c r="AW106" s="518"/>
      <c r="AX106" s="518"/>
      <c r="AY106" s="518"/>
      <c r="AZ106" s="518"/>
      <c r="BA106" s="518"/>
      <c r="BB106" s="518"/>
      <c r="BC106" s="518"/>
      <c r="BD106" s="518"/>
      <c r="BE106" s="518"/>
      <c r="BF106" s="518"/>
      <c r="BG106" s="518"/>
      <c r="BH106" s="518"/>
    </row>
    <row r="111" spans="1:68" ht="17.25" customHeight="1" x14ac:dyDescent="0.3">
      <c r="AU111" s="469"/>
      <c r="AV111" s="470"/>
      <c r="AW111" s="500"/>
      <c r="AX111" s="500"/>
      <c r="AY111" s="500"/>
      <c r="AZ111" s="500"/>
      <c r="BA111" s="500"/>
      <c r="BB111" s="500"/>
      <c r="BC111" s="500"/>
      <c r="BD111" s="500"/>
      <c r="BE111" s="500"/>
      <c r="BF111" s="500"/>
      <c r="BG111" s="500"/>
      <c r="BH111" s="500"/>
    </row>
    <row r="112" spans="1:68" ht="17.25" customHeight="1" x14ac:dyDescent="0.35">
      <c r="AU112" s="469"/>
      <c r="AV112" s="496"/>
      <c r="AW112" s="522"/>
      <c r="AX112" s="522"/>
      <c r="AY112" s="522"/>
      <c r="AZ112" s="522"/>
      <c r="BA112" s="522"/>
      <c r="BB112" s="522"/>
      <c r="BC112" s="522"/>
      <c r="BD112" s="522"/>
      <c r="BE112" s="522"/>
      <c r="BF112" s="522"/>
      <c r="BG112" s="522"/>
      <c r="BH112" s="522"/>
    </row>
    <row r="113" spans="47:60" ht="17.25" customHeight="1" x14ac:dyDescent="0.3">
      <c r="AU113" s="502"/>
      <c r="AV113" s="523"/>
      <c r="AW113" s="518"/>
      <c r="AX113" s="518"/>
      <c r="AY113" s="518"/>
      <c r="AZ113" s="518"/>
      <c r="BA113" s="518"/>
      <c r="BB113" s="518"/>
      <c r="BC113" s="518"/>
      <c r="BD113" s="518"/>
      <c r="BE113" s="518"/>
      <c r="BF113" s="518"/>
      <c r="BG113" s="518"/>
      <c r="BH113" s="518"/>
    </row>
    <row r="114" spans="47:60" ht="17.25" customHeight="1" x14ac:dyDescent="0.3">
      <c r="AU114" s="502"/>
      <c r="AV114" s="523"/>
      <c r="AW114" s="518"/>
      <c r="AX114" s="518"/>
      <c r="AY114" s="518"/>
      <c r="AZ114" s="518"/>
      <c r="BA114" s="518"/>
      <c r="BB114" s="518"/>
      <c r="BC114" s="518"/>
      <c r="BD114" s="518"/>
      <c r="BE114" s="518"/>
      <c r="BF114" s="518"/>
      <c r="BG114" s="518"/>
      <c r="BH114" s="518"/>
    </row>
    <row r="115" spans="47:60" ht="17.25" customHeight="1" x14ac:dyDescent="0.3">
      <c r="AU115" s="502"/>
      <c r="AV115" s="523"/>
      <c r="AW115" s="518"/>
      <c r="AX115" s="518"/>
      <c r="AY115" s="518"/>
      <c r="AZ115" s="518"/>
      <c r="BA115" s="518"/>
      <c r="BB115" s="518"/>
      <c r="BC115" s="518"/>
      <c r="BD115" s="518"/>
      <c r="BE115" s="518"/>
      <c r="BF115" s="518"/>
      <c r="BG115" s="518"/>
      <c r="BH115" s="518"/>
    </row>
    <row r="116" spans="47:60" ht="17.25" customHeight="1" x14ac:dyDescent="0.3">
      <c r="AU116" s="502"/>
      <c r="AV116" s="523"/>
      <c r="AW116" s="518"/>
      <c r="AX116" s="518"/>
      <c r="AY116" s="518"/>
      <c r="AZ116" s="518"/>
      <c r="BA116" s="518"/>
      <c r="BB116" s="518"/>
      <c r="BC116" s="518"/>
      <c r="BD116" s="518"/>
      <c r="BE116" s="518"/>
      <c r="BF116" s="518"/>
      <c r="BG116" s="518"/>
      <c r="BH116" s="518"/>
    </row>
    <row r="117" spans="47:60" ht="17.25" customHeight="1" x14ac:dyDescent="0.3">
      <c r="AU117" s="502"/>
      <c r="AV117" s="523"/>
      <c r="AW117" s="518"/>
      <c r="AX117" s="518"/>
      <c r="AY117" s="518"/>
      <c r="AZ117" s="518"/>
      <c r="BA117" s="518"/>
      <c r="BB117" s="518"/>
      <c r="BC117" s="518"/>
      <c r="BD117" s="518"/>
      <c r="BE117" s="518"/>
      <c r="BF117" s="518"/>
      <c r="BG117" s="518"/>
      <c r="BH117" s="518"/>
    </row>
    <row r="118" spans="47:60" ht="17.25" customHeight="1" x14ac:dyDescent="0.3">
      <c r="AU118" s="502"/>
      <c r="AV118" s="523"/>
      <c r="AW118" s="518"/>
      <c r="AX118" s="518"/>
      <c r="AY118" s="518"/>
      <c r="AZ118" s="518"/>
      <c r="BA118" s="518"/>
      <c r="BB118" s="518"/>
      <c r="BC118" s="518"/>
      <c r="BD118" s="518"/>
      <c r="BE118" s="518"/>
      <c r="BF118" s="518"/>
      <c r="BG118" s="518"/>
      <c r="BH118" s="518"/>
    </row>
    <row r="119" spans="47:60" ht="17.25" customHeight="1" x14ac:dyDescent="0.3">
      <c r="AU119" s="502"/>
      <c r="AV119" s="523"/>
      <c r="AW119" s="518"/>
      <c r="AX119" s="518"/>
      <c r="AY119" s="518"/>
      <c r="AZ119" s="518"/>
      <c r="BA119" s="518"/>
      <c r="BB119" s="518"/>
      <c r="BC119" s="518"/>
      <c r="BD119" s="518"/>
      <c r="BE119" s="518"/>
      <c r="BF119" s="518"/>
      <c r="BG119" s="518"/>
      <c r="BH119" s="518"/>
    </row>
    <row r="120" spans="47:60" ht="17.25" customHeight="1" x14ac:dyDescent="0.3">
      <c r="AU120" s="502"/>
      <c r="AV120" s="523"/>
      <c r="AW120" s="518"/>
      <c r="AX120" s="518"/>
      <c r="AY120" s="518"/>
      <c r="AZ120" s="518"/>
      <c r="BA120" s="518"/>
      <c r="BB120" s="518"/>
      <c r="BC120" s="518"/>
      <c r="BD120" s="518"/>
      <c r="BE120" s="518"/>
      <c r="BF120" s="518"/>
      <c r="BG120" s="518"/>
      <c r="BH120" s="518"/>
    </row>
    <row r="121" spans="47:60" ht="17.25" customHeight="1" x14ac:dyDescent="0.3">
      <c r="AU121" s="502"/>
      <c r="AV121" s="523"/>
      <c r="AW121" s="518"/>
      <c r="AX121" s="518"/>
      <c r="AY121" s="518"/>
      <c r="AZ121" s="518"/>
      <c r="BA121" s="518"/>
      <c r="BB121" s="518"/>
      <c r="BC121" s="518"/>
      <c r="BD121" s="518"/>
      <c r="BE121" s="518"/>
      <c r="BF121" s="518"/>
      <c r="BG121" s="518"/>
      <c r="BH121" s="518"/>
    </row>
    <row r="122" spans="47:60" ht="17.25" customHeight="1" x14ac:dyDescent="0.3">
      <c r="AU122" s="502"/>
      <c r="AV122" s="523"/>
      <c r="AW122" s="518"/>
      <c r="AX122" s="518"/>
      <c r="AY122" s="518"/>
      <c r="AZ122" s="518"/>
      <c r="BA122" s="518"/>
      <c r="BB122" s="518"/>
      <c r="BC122" s="518"/>
      <c r="BD122" s="518"/>
      <c r="BE122" s="518"/>
      <c r="BF122" s="518"/>
      <c r="BG122" s="518"/>
      <c r="BH122" s="518"/>
    </row>
    <row r="123" spans="47:60" ht="17.25" customHeight="1" x14ac:dyDescent="0.3">
      <c r="AU123" s="502"/>
      <c r="AV123" s="523"/>
      <c r="AW123" s="518"/>
      <c r="AX123" s="518"/>
      <c r="AY123" s="518"/>
      <c r="AZ123" s="518"/>
      <c r="BA123" s="518"/>
      <c r="BB123" s="518"/>
      <c r="BC123" s="518"/>
      <c r="BD123" s="518"/>
      <c r="BE123" s="518"/>
      <c r="BF123" s="518"/>
      <c r="BG123" s="518"/>
      <c r="BH123" s="518"/>
    </row>
    <row r="124" spans="47:60" ht="17.25" customHeight="1" x14ac:dyDescent="0.3">
      <c r="AU124" s="502"/>
      <c r="AV124" s="523"/>
      <c r="AW124" s="518"/>
      <c r="AX124" s="518"/>
      <c r="AY124" s="518"/>
      <c r="AZ124" s="518"/>
      <c r="BA124" s="518"/>
      <c r="BB124" s="518"/>
      <c r="BC124" s="518"/>
      <c r="BD124" s="518"/>
      <c r="BE124" s="518"/>
      <c r="BF124" s="518"/>
      <c r="BG124" s="518"/>
      <c r="BH124" s="518"/>
    </row>
    <row r="129" spans="47:60" ht="17.25" customHeight="1" x14ac:dyDescent="0.3">
      <c r="AU129" s="485"/>
      <c r="AV129" s="497"/>
      <c r="AW129" s="500"/>
      <c r="AX129" s="500"/>
      <c r="AY129" s="500"/>
      <c r="AZ129" s="500"/>
      <c r="BA129" s="500"/>
      <c r="BB129" s="500"/>
      <c r="BC129" s="500"/>
      <c r="BD129" s="500"/>
      <c r="BE129" s="500"/>
      <c r="BF129" s="500"/>
      <c r="BG129" s="500"/>
      <c r="BH129" s="500"/>
    </row>
    <row r="130" spans="47:60" ht="17.25" customHeight="1" x14ac:dyDescent="0.35">
      <c r="AU130" s="485"/>
      <c r="AV130" s="498"/>
      <c r="AW130" s="522"/>
      <c r="AX130" s="522"/>
      <c r="AY130" s="522"/>
      <c r="AZ130" s="522"/>
      <c r="BA130" s="522"/>
      <c r="BB130" s="522"/>
      <c r="BC130" s="522"/>
      <c r="BD130" s="522"/>
      <c r="BE130" s="522"/>
      <c r="BF130" s="522"/>
      <c r="BG130" s="522"/>
      <c r="BH130" s="522"/>
    </row>
    <row r="131" spans="47:60" ht="17.25" customHeight="1" x14ac:dyDescent="0.3">
      <c r="AU131" s="502"/>
      <c r="AV131" s="523"/>
      <c r="AW131" s="518"/>
      <c r="AX131" s="518"/>
      <c r="AY131" s="518"/>
      <c r="AZ131" s="518"/>
      <c r="BA131" s="518"/>
      <c r="BB131" s="518"/>
      <c r="BC131" s="518"/>
      <c r="BD131" s="518"/>
      <c r="BE131" s="518"/>
      <c r="BF131" s="518"/>
      <c r="BG131" s="518"/>
      <c r="BH131" s="518"/>
    </row>
    <row r="132" spans="47:60" ht="17.25" customHeight="1" x14ac:dyDescent="0.3">
      <c r="AU132" s="502"/>
      <c r="AV132" s="523"/>
      <c r="AW132" s="518"/>
      <c r="AX132" s="518"/>
      <c r="AY132" s="518"/>
      <c r="AZ132" s="518"/>
      <c r="BA132" s="518"/>
      <c r="BB132" s="518"/>
      <c r="BC132" s="518"/>
      <c r="BD132" s="518"/>
      <c r="BE132" s="518"/>
      <c r="BF132" s="518"/>
      <c r="BG132" s="518"/>
      <c r="BH132" s="518"/>
    </row>
    <row r="133" spans="47:60" ht="17.25" customHeight="1" x14ac:dyDescent="0.3">
      <c r="AU133" s="502"/>
      <c r="AV133" s="523"/>
      <c r="AW133" s="518"/>
      <c r="AX133" s="518"/>
      <c r="AY133" s="518"/>
      <c r="AZ133" s="518"/>
      <c r="BA133" s="518"/>
      <c r="BB133" s="518"/>
      <c r="BC133" s="518"/>
      <c r="BD133" s="518"/>
      <c r="BE133" s="518"/>
      <c r="BF133" s="518"/>
      <c r="BG133" s="518"/>
      <c r="BH133" s="518"/>
    </row>
    <row r="134" spans="47:60" ht="17.25" customHeight="1" x14ac:dyDescent="0.3">
      <c r="AU134" s="502"/>
      <c r="AV134" s="523"/>
      <c r="AW134" s="518"/>
      <c r="AX134" s="518"/>
      <c r="AY134" s="518"/>
      <c r="AZ134" s="518"/>
      <c r="BA134" s="518"/>
      <c r="BB134" s="518"/>
      <c r="BC134" s="518"/>
      <c r="BD134" s="518"/>
      <c r="BE134" s="518"/>
      <c r="BF134" s="518"/>
      <c r="BG134" s="518"/>
      <c r="BH134" s="518"/>
    </row>
    <row r="135" spans="47:60" ht="17.25" customHeight="1" x14ac:dyDescent="0.3">
      <c r="AU135" s="502"/>
      <c r="AV135" s="523"/>
      <c r="AW135" s="518"/>
      <c r="AX135" s="518"/>
      <c r="AY135" s="518"/>
      <c r="AZ135" s="518"/>
      <c r="BA135" s="518"/>
      <c r="BB135" s="518"/>
      <c r="BC135" s="518"/>
      <c r="BD135" s="518"/>
      <c r="BE135" s="518"/>
      <c r="BF135" s="518"/>
      <c r="BG135" s="518"/>
      <c r="BH135" s="518"/>
    </row>
    <row r="136" spans="47:60" ht="17.25" customHeight="1" x14ac:dyDescent="0.3">
      <c r="AU136" s="502"/>
      <c r="AV136" s="523"/>
      <c r="AW136" s="518"/>
      <c r="AX136" s="518"/>
      <c r="AY136" s="518"/>
      <c r="AZ136" s="518"/>
      <c r="BA136" s="518"/>
      <c r="BB136" s="518"/>
      <c r="BC136" s="518"/>
      <c r="BD136" s="518"/>
      <c r="BE136" s="518"/>
      <c r="BF136" s="518"/>
      <c r="BG136" s="518"/>
      <c r="BH136" s="518"/>
    </row>
    <row r="137" spans="47:60" ht="17.25" customHeight="1" x14ac:dyDescent="0.3">
      <c r="AU137" s="502"/>
      <c r="AV137" s="523"/>
      <c r="AW137" s="518"/>
      <c r="AX137" s="518"/>
      <c r="AY137" s="518"/>
      <c r="AZ137" s="518"/>
      <c r="BA137" s="518"/>
      <c r="BB137" s="518"/>
      <c r="BC137" s="518"/>
      <c r="BD137" s="518"/>
      <c r="BE137" s="518"/>
      <c r="BF137" s="518"/>
      <c r="BG137" s="518"/>
      <c r="BH137" s="518"/>
    </row>
    <row r="138" spans="47:60" ht="17.25" customHeight="1" x14ac:dyDescent="0.3">
      <c r="AU138" s="502"/>
      <c r="AV138" s="523"/>
      <c r="AW138" s="518"/>
      <c r="AX138" s="518"/>
      <c r="AY138" s="518"/>
      <c r="AZ138" s="518"/>
      <c r="BA138" s="518"/>
      <c r="BB138" s="518"/>
      <c r="BC138" s="518"/>
      <c r="BD138" s="518"/>
      <c r="BE138" s="518"/>
      <c r="BF138" s="518"/>
      <c r="BG138" s="518"/>
      <c r="BH138" s="518"/>
    </row>
    <row r="139" spans="47:60" ht="17.25" customHeight="1" x14ac:dyDescent="0.3">
      <c r="AU139" s="502"/>
      <c r="AV139" s="523"/>
      <c r="AW139" s="518"/>
      <c r="AX139" s="518"/>
      <c r="AY139" s="518"/>
      <c r="AZ139" s="518"/>
      <c r="BA139" s="518"/>
      <c r="BB139" s="518"/>
      <c r="BC139" s="518"/>
      <c r="BD139" s="518"/>
      <c r="BE139" s="518"/>
      <c r="BF139" s="518"/>
      <c r="BG139" s="518"/>
      <c r="BH139" s="518"/>
    </row>
    <row r="140" spans="47:60" ht="17.25" customHeight="1" x14ac:dyDescent="0.3">
      <c r="AU140" s="502"/>
      <c r="AV140" s="523"/>
      <c r="AW140" s="518"/>
      <c r="AX140" s="518"/>
      <c r="AY140" s="518"/>
      <c r="AZ140" s="518"/>
      <c r="BA140" s="518"/>
      <c r="BB140" s="518"/>
      <c r="BC140" s="518"/>
      <c r="BD140" s="518"/>
      <c r="BE140" s="518"/>
      <c r="BF140" s="518"/>
      <c r="BG140" s="518"/>
      <c r="BH140" s="518"/>
    </row>
    <row r="141" spans="47:60" ht="17.25" customHeight="1" x14ac:dyDescent="0.3">
      <c r="AU141" s="502"/>
      <c r="AV141" s="523"/>
      <c r="AW141" s="518"/>
      <c r="AX141" s="518"/>
      <c r="AY141" s="518"/>
      <c r="AZ141" s="518"/>
      <c r="BA141" s="518"/>
      <c r="BB141" s="518"/>
      <c r="BC141" s="518"/>
      <c r="BD141" s="518"/>
      <c r="BE141" s="518"/>
      <c r="BF141" s="518"/>
      <c r="BG141" s="518"/>
      <c r="BH141" s="518"/>
    </row>
    <row r="142" spans="47:60" ht="17.25" customHeight="1" x14ac:dyDescent="0.3">
      <c r="AU142" s="502"/>
      <c r="AV142" s="523"/>
      <c r="AW142" s="518"/>
      <c r="AX142" s="518"/>
      <c r="AY142" s="518"/>
      <c r="AZ142" s="518"/>
      <c r="BA142" s="518"/>
      <c r="BB142" s="518"/>
      <c r="BC142" s="518"/>
      <c r="BD142" s="518"/>
      <c r="BE142" s="518"/>
      <c r="BF142" s="518"/>
      <c r="BG142" s="518"/>
      <c r="BH142" s="518"/>
    </row>
  </sheetData>
  <pageMargins left="0" right="0" top="0" bottom="0" header="0" footer="0"/>
  <pageSetup orientation="landscape" horizontalDpi="0" verticalDpi="0" r:id="rId1"/>
  <colBreaks count="1" manualBreakCount="1">
    <brk id="4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3"/>
  <sheetViews>
    <sheetView showGridLines="0" zoomScaleNormal="100" workbookViewId="0"/>
  </sheetViews>
  <sheetFormatPr defaultColWidth="3.85546875" defaultRowHeight="18.75" x14ac:dyDescent="0.3"/>
  <cols>
    <col min="1" max="1" width="3.85546875" style="429"/>
    <col min="2" max="2" width="13.42578125" style="429" bestFit="1" customWidth="1"/>
    <col min="3" max="23" width="3.85546875" style="429"/>
    <col min="24" max="24" width="3.85546875" style="464"/>
    <col min="25" max="16384" width="3.85546875" style="429"/>
  </cols>
  <sheetData>
    <row r="1" spans="1:24" x14ac:dyDescent="0.3">
      <c r="A1" s="438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62"/>
    </row>
    <row r="2" spans="1:24" x14ac:dyDescent="0.3">
      <c r="A2" s="440"/>
      <c r="B2" s="441" t="s">
        <v>177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63"/>
    </row>
    <row r="3" spans="1:24" x14ac:dyDescent="0.3">
      <c r="A3" s="440"/>
      <c r="B3" s="441" t="s">
        <v>168</v>
      </c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63"/>
    </row>
    <row r="4" spans="1:24" x14ac:dyDescent="0.3">
      <c r="A4" s="440"/>
      <c r="B4" s="441" t="s">
        <v>169</v>
      </c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63"/>
    </row>
    <row r="5" spans="1:24" x14ac:dyDescent="0.3">
      <c r="A5" s="440"/>
      <c r="B5" s="441" t="s">
        <v>170</v>
      </c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1"/>
      <c r="U5" s="441"/>
      <c r="V5" s="441"/>
      <c r="W5" s="441"/>
      <c r="X5" s="463"/>
    </row>
    <row r="6" spans="1:24" x14ac:dyDescent="0.3">
      <c r="A6" s="440"/>
      <c r="B6" s="441" t="s">
        <v>171</v>
      </c>
      <c r="C6" s="441"/>
      <c r="D6" s="441"/>
      <c r="E6" s="441"/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441"/>
      <c r="R6" s="441"/>
      <c r="S6" s="441"/>
      <c r="T6" s="441"/>
      <c r="U6" s="441"/>
      <c r="V6" s="441"/>
      <c r="W6" s="441"/>
      <c r="X6" s="463"/>
    </row>
    <row r="7" spans="1:24" x14ac:dyDescent="0.3">
      <c r="A7" s="440"/>
      <c r="B7" s="441" t="s">
        <v>173</v>
      </c>
      <c r="C7" s="441"/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/>
      <c r="O7" s="441"/>
      <c r="P7" s="441"/>
      <c r="Q7" s="441"/>
      <c r="R7" s="441"/>
      <c r="S7" s="441"/>
      <c r="T7" s="441"/>
      <c r="U7" s="441"/>
      <c r="V7" s="441"/>
      <c r="W7" s="441"/>
      <c r="X7" s="463"/>
    </row>
    <row r="8" spans="1:24" x14ac:dyDescent="0.3">
      <c r="A8" s="440"/>
      <c r="B8" s="441" t="s">
        <v>174</v>
      </c>
      <c r="C8" s="441"/>
      <c r="D8" s="441"/>
      <c r="E8" s="441"/>
      <c r="F8" s="441"/>
      <c r="G8" s="441"/>
      <c r="H8" s="441"/>
      <c r="I8" s="441"/>
      <c r="J8" s="441"/>
      <c r="K8" s="441"/>
      <c r="L8" s="441"/>
      <c r="M8" s="441"/>
      <c r="N8" s="441"/>
      <c r="O8" s="441"/>
      <c r="P8" s="441"/>
      <c r="Q8" s="441"/>
      <c r="R8" s="441"/>
      <c r="S8" s="441"/>
      <c r="T8" s="441"/>
      <c r="U8" s="441"/>
      <c r="V8" s="441"/>
      <c r="W8" s="441"/>
      <c r="X8" s="463"/>
    </row>
    <row r="9" spans="1:24" x14ac:dyDescent="0.3">
      <c r="A9" s="440"/>
      <c r="B9" s="441" t="s">
        <v>228</v>
      </c>
      <c r="C9" s="441"/>
      <c r="D9" s="441"/>
      <c r="E9" s="441"/>
      <c r="F9" s="441"/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41"/>
      <c r="R9" s="441"/>
      <c r="S9" s="441"/>
      <c r="T9" s="441"/>
      <c r="U9" s="441"/>
      <c r="V9" s="441"/>
      <c r="W9" s="441"/>
      <c r="X9" s="463"/>
    </row>
    <row r="10" spans="1:24" x14ac:dyDescent="0.3">
      <c r="A10" s="440"/>
      <c r="B10" s="441" t="s">
        <v>175</v>
      </c>
      <c r="C10" s="441"/>
      <c r="D10" s="441"/>
      <c r="E10" s="441"/>
      <c r="F10" s="441"/>
      <c r="G10" s="441"/>
      <c r="H10" s="441"/>
      <c r="I10" s="441"/>
      <c r="J10" s="441"/>
      <c r="K10" s="441"/>
      <c r="L10" s="441"/>
      <c r="M10" s="441"/>
      <c r="N10" s="441"/>
      <c r="O10" s="441"/>
      <c r="P10" s="441"/>
      <c r="Q10" s="441"/>
      <c r="R10" s="441"/>
      <c r="S10" s="441"/>
      <c r="T10" s="441"/>
      <c r="U10" s="441"/>
      <c r="V10" s="441"/>
      <c r="W10" s="441"/>
      <c r="X10" s="463"/>
    </row>
    <row r="11" spans="1:24" x14ac:dyDescent="0.3">
      <c r="A11" s="440"/>
      <c r="B11" s="441" t="s">
        <v>176</v>
      </c>
      <c r="C11" s="441"/>
      <c r="D11" s="441"/>
      <c r="E11" s="441"/>
      <c r="F11" s="441"/>
      <c r="G11" s="441"/>
      <c r="H11" s="441"/>
      <c r="I11" s="441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63"/>
    </row>
    <row r="12" spans="1:24" x14ac:dyDescent="0.3">
      <c r="A12" s="440"/>
      <c r="B12" s="441" t="s">
        <v>235</v>
      </c>
      <c r="C12" s="441"/>
      <c r="D12" s="441"/>
      <c r="E12" s="441"/>
      <c r="F12" s="441"/>
      <c r="G12" s="441"/>
      <c r="H12" s="441"/>
      <c r="I12" s="441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63"/>
    </row>
    <row r="13" spans="1:24" x14ac:dyDescent="0.3">
      <c r="A13" s="440"/>
      <c r="B13" s="441" t="s">
        <v>178</v>
      </c>
      <c r="C13" s="441"/>
      <c r="D13" s="441"/>
      <c r="E13" s="441"/>
      <c r="F13" s="441"/>
      <c r="G13" s="441"/>
      <c r="H13" s="441"/>
      <c r="I13" s="441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63"/>
    </row>
    <row r="14" spans="1:24" x14ac:dyDescent="0.3">
      <c r="A14" s="440"/>
      <c r="B14" s="441" t="s">
        <v>330</v>
      </c>
      <c r="C14" s="441"/>
      <c r="D14" s="441"/>
      <c r="E14" s="441"/>
      <c r="F14" s="441"/>
      <c r="G14" s="441"/>
      <c r="H14" s="441"/>
      <c r="I14" s="441"/>
      <c r="J14" s="441"/>
      <c r="K14" s="441"/>
      <c r="L14" s="441"/>
      <c r="M14" s="441"/>
      <c r="N14" s="441"/>
      <c r="O14" s="441"/>
      <c r="P14" s="441"/>
      <c r="Q14" s="441"/>
      <c r="R14" s="441"/>
      <c r="S14" s="441"/>
      <c r="T14" s="441"/>
      <c r="U14" s="441"/>
      <c r="V14" s="441"/>
      <c r="W14" s="441"/>
      <c r="X14" s="463"/>
    </row>
    <row r="15" spans="1:24" x14ac:dyDescent="0.3">
      <c r="A15" s="440"/>
      <c r="B15" s="441"/>
      <c r="C15" s="441"/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1"/>
      <c r="O15" s="441"/>
      <c r="P15" s="441"/>
      <c r="Q15" s="441"/>
      <c r="R15" s="441"/>
      <c r="S15" s="441"/>
      <c r="T15" s="441"/>
      <c r="U15" s="441"/>
      <c r="V15" s="441"/>
      <c r="W15" s="441"/>
      <c r="X15" s="463"/>
    </row>
    <row r="16" spans="1:24" x14ac:dyDescent="0.3">
      <c r="A16" s="440"/>
      <c r="B16" s="441" t="s">
        <v>179</v>
      </c>
      <c r="C16" s="441"/>
      <c r="D16" s="441"/>
      <c r="E16" s="441"/>
      <c r="F16" s="441"/>
      <c r="G16" s="441"/>
      <c r="H16" s="441"/>
      <c r="I16" s="441"/>
      <c r="J16" s="441"/>
      <c r="K16" s="441"/>
      <c r="L16" s="441"/>
      <c r="M16" s="441"/>
      <c r="N16" s="441"/>
      <c r="O16" s="441"/>
      <c r="P16" s="441"/>
      <c r="Q16" s="441"/>
      <c r="R16" s="441"/>
      <c r="S16" s="441"/>
      <c r="T16" s="441"/>
      <c r="U16" s="441"/>
      <c r="V16" s="441"/>
      <c r="W16" s="441"/>
      <c r="X16" s="463"/>
    </row>
    <row r="17" spans="1:24" x14ac:dyDescent="0.3">
      <c r="A17" s="440"/>
      <c r="B17" s="441" t="s">
        <v>236</v>
      </c>
      <c r="C17" s="441"/>
      <c r="D17" s="441"/>
      <c r="E17" s="441"/>
      <c r="F17" s="441"/>
      <c r="G17" s="441"/>
      <c r="H17" s="441"/>
      <c r="I17" s="441"/>
      <c r="J17" s="441"/>
      <c r="K17" s="441"/>
      <c r="L17" s="441"/>
      <c r="M17" s="441"/>
      <c r="N17" s="441"/>
      <c r="O17" s="441"/>
      <c r="P17" s="441"/>
      <c r="Q17" s="441"/>
      <c r="R17" s="441"/>
      <c r="S17" s="441"/>
      <c r="T17" s="441"/>
      <c r="U17" s="441"/>
      <c r="V17" s="441"/>
      <c r="W17" s="441"/>
      <c r="X17" s="463"/>
    </row>
    <row r="18" spans="1:24" x14ac:dyDescent="0.3">
      <c r="A18" s="440"/>
      <c r="B18" s="441"/>
      <c r="C18" s="441"/>
      <c r="D18" s="441"/>
      <c r="E18" s="441"/>
      <c r="F18" s="441"/>
      <c r="G18" s="441"/>
      <c r="H18" s="441"/>
      <c r="I18" s="441"/>
      <c r="J18" s="441"/>
      <c r="K18" s="441"/>
      <c r="L18" s="441"/>
      <c r="M18" s="441"/>
      <c r="N18" s="441"/>
      <c r="O18" s="441"/>
      <c r="P18" s="441"/>
      <c r="Q18" s="441"/>
      <c r="R18" s="441"/>
      <c r="S18" s="441"/>
      <c r="T18" s="441"/>
      <c r="U18" s="441"/>
      <c r="V18" s="441"/>
      <c r="W18" s="441"/>
      <c r="X18" s="463"/>
    </row>
    <row r="19" spans="1:24" x14ac:dyDescent="0.3">
      <c r="A19" s="440"/>
      <c r="B19" s="441" t="s">
        <v>205</v>
      </c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  <c r="O19" s="441"/>
      <c r="P19" s="441"/>
      <c r="Q19" s="441"/>
      <c r="R19" s="441"/>
      <c r="S19" s="441"/>
      <c r="T19" s="441"/>
      <c r="U19" s="441"/>
      <c r="V19" s="441"/>
      <c r="W19" s="441"/>
      <c r="X19" s="463"/>
    </row>
    <row r="20" spans="1:24" x14ac:dyDescent="0.3">
      <c r="A20" s="440"/>
      <c r="B20" s="441" t="s">
        <v>204</v>
      </c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  <c r="O20" s="441"/>
      <c r="P20" s="441"/>
      <c r="Q20" s="441"/>
      <c r="R20" s="441"/>
      <c r="S20" s="441"/>
      <c r="T20" s="441"/>
      <c r="U20" s="441"/>
      <c r="V20" s="441"/>
      <c r="W20" s="441"/>
      <c r="X20" s="463"/>
    </row>
    <row r="21" spans="1:24" x14ac:dyDescent="0.3">
      <c r="A21" s="440"/>
      <c r="B21" s="442" t="s">
        <v>269</v>
      </c>
      <c r="C21" s="441"/>
      <c r="D21" s="441"/>
      <c r="E21" s="441"/>
      <c r="F21" s="441"/>
      <c r="G21" s="441"/>
      <c r="H21" s="441"/>
      <c r="I21" s="441"/>
      <c r="J21" s="441"/>
      <c r="K21" s="441"/>
      <c r="L21" s="441"/>
      <c r="M21" s="441"/>
      <c r="N21" s="441"/>
      <c r="O21" s="441"/>
      <c r="P21" s="441"/>
      <c r="Q21" s="441"/>
      <c r="R21" s="441"/>
      <c r="S21" s="441"/>
      <c r="T21" s="441"/>
      <c r="U21" s="441"/>
      <c r="V21" s="441"/>
      <c r="W21" s="441"/>
      <c r="X21" s="463"/>
    </row>
    <row r="22" spans="1:24" x14ac:dyDescent="0.3">
      <c r="A22" s="440"/>
      <c r="B22" s="441" t="s">
        <v>206</v>
      </c>
      <c r="C22" s="441"/>
      <c r="D22" s="441"/>
      <c r="E22" s="441"/>
      <c r="F22" s="441"/>
      <c r="G22" s="441"/>
      <c r="H22" s="441"/>
      <c r="I22" s="441"/>
      <c r="J22" s="441"/>
      <c r="K22" s="441"/>
      <c r="L22" s="441"/>
      <c r="M22" s="441"/>
      <c r="N22" s="441"/>
      <c r="O22" s="441"/>
      <c r="P22" s="441"/>
      <c r="Q22" s="441"/>
      <c r="R22" s="441"/>
      <c r="S22" s="441"/>
      <c r="T22" s="441"/>
      <c r="U22" s="441"/>
      <c r="V22" s="441"/>
      <c r="W22" s="441"/>
      <c r="X22" s="463"/>
    </row>
    <row r="23" spans="1:24" x14ac:dyDescent="0.3">
      <c r="A23" s="440"/>
      <c r="B23" s="441" t="s">
        <v>216</v>
      </c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441"/>
      <c r="N23" s="441"/>
      <c r="O23" s="441"/>
      <c r="P23" s="441"/>
      <c r="Q23" s="441"/>
      <c r="R23" s="441"/>
      <c r="S23" s="441"/>
      <c r="T23" s="441"/>
      <c r="U23" s="441"/>
      <c r="V23" s="441"/>
      <c r="W23" s="441"/>
      <c r="X23" s="463"/>
    </row>
    <row r="24" spans="1:24" x14ac:dyDescent="0.3">
      <c r="A24" s="440"/>
      <c r="B24" s="441" t="s">
        <v>217</v>
      </c>
      <c r="C24" s="441"/>
      <c r="D24" s="441"/>
      <c r="E24" s="441"/>
      <c r="F24" s="441"/>
      <c r="G24" s="441"/>
      <c r="H24" s="441"/>
      <c r="I24" s="441"/>
      <c r="J24" s="441"/>
      <c r="K24" s="441"/>
      <c r="L24" s="441"/>
      <c r="M24" s="441"/>
      <c r="N24" s="441"/>
      <c r="O24" s="441"/>
      <c r="P24" s="441"/>
      <c r="Q24" s="441"/>
      <c r="R24" s="441"/>
      <c r="S24" s="441"/>
      <c r="T24" s="441"/>
      <c r="U24" s="441"/>
      <c r="V24" s="441"/>
      <c r="W24" s="441"/>
      <c r="X24" s="463"/>
    </row>
    <row r="25" spans="1:24" x14ac:dyDescent="0.3">
      <c r="A25" s="440"/>
      <c r="C25" s="441"/>
      <c r="D25" s="441"/>
      <c r="E25" s="441"/>
      <c r="F25" s="441"/>
      <c r="G25" s="441"/>
      <c r="H25" s="441"/>
      <c r="I25" s="441"/>
      <c r="J25" s="441"/>
      <c r="K25" s="441"/>
      <c r="L25" s="441"/>
      <c r="M25" s="441"/>
      <c r="N25" s="441"/>
      <c r="O25" s="441"/>
      <c r="P25" s="441"/>
      <c r="Q25" s="441"/>
      <c r="R25" s="441"/>
      <c r="S25" s="441"/>
      <c r="T25" s="441"/>
      <c r="U25" s="441"/>
      <c r="V25" s="441"/>
      <c r="W25" s="441"/>
      <c r="X25" s="463"/>
    </row>
    <row r="26" spans="1:24" x14ac:dyDescent="0.3">
      <c r="A26" s="440"/>
      <c r="C26" s="441"/>
      <c r="D26" s="441"/>
      <c r="E26" s="441"/>
      <c r="F26" s="441"/>
      <c r="G26" s="441"/>
      <c r="H26" s="441"/>
      <c r="I26" s="441"/>
      <c r="J26" s="441"/>
      <c r="K26" s="441"/>
      <c r="L26" s="441"/>
      <c r="M26" s="441"/>
      <c r="N26" s="441"/>
      <c r="O26" s="441"/>
      <c r="P26" s="441"/>
      <c r="Q26" s="441"/>
      <c r="R26" s="441"/>
      <c r="S26" s="441"/>
      <c r="T26" s="441"/>
      <c r="U26" s="441"/>
      <c r="V26" s="441"/>
      <c r="W26" s="441"/>
      <c r="X26" s="463"/>
    </row>
    <row r="27" spans="1:24" x14ac:dyDescent="0.3">
      <c r="A27" s="440"/>
      <c r="B27" s="429" t="s">
        <v>333</v>
      </c>
      <c r="C27" s="441"/>
      <c r="D27" s="441"/>
      <c r="E27" s="441"/>
      <c r="F27" s="441"/>
      <c r="G27" s="441"/>
      <c r="H27" s="441"/>
      <c r="I27" s="441"/>
      <c r="J27" s="441"/>
      <c r="K27" s="441"/>
      <c r="L27" s="441"/>
      <c r="M27" s="441"/>
      <c r="N27" s="441"/>
      <c r="O27" s="441"/>
      <c r="P27" s="441"/>
      <c r="Q27" s="441"/>
      <c r="R27" s="441"/>
      <c r="S27" s="441"/>
      <c r="T27" s="441"/>
      <c r="U27" s="441"/>
      <c r="V27" s="441"/>
      <c r="W27" s="441"/>
      <c r="X27" s="463"/>
    </row>
    <row r="28" spans="1:24" x14ac:dyDescent="0.3">
      <c r="A28" s="440"/>
      <c r="B28" s="441"/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63"/>
    </row>
    <row r="29" spans="1:24" x14ac:dyDescent="0.3">
      <c r="A29" s="440"/>
      <c r="B29" s="429" t="s">
        <v>240</v>
      </c>
      <c r="C29" s="441"/>
      <c r="D29" s="441"/>
      <c r="E29" s="441"/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  <c r="W29" s="441"/>
      <c r="X29" s="463"/>
    </row>
    <row r="30" spans="1:24" x14ac:dyDescent="0.3">
      <c r="A30" s="440"/>
      <c r="B30" s="441" t="s">
        <v>237</v>
      </c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63"/>
    </row>
    <row r="31" spans="1:24" x14ac:dyDescent="0.3">
      <c r="A31" s="440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63"/>
    </row>
    <row r="32" spans="1:24" x14ac:dyDescent="0.3">
      <c r="A32" s="440"/>
      <c r="C32" s="441"/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/>
      <c r="T32" s="441"/>
      <c r="U32" s="441"/>
      <c r="V32" s="441"/>
      <c r="W32" s="441"/>
      <c r="X32" s="463"/>
    </row>
    <row r="33" spans="1:24" x14ac:dyDescent="0.3">
      <c r="A33" s="440"/>
      <c r="B33" s="441" t="s">
        <v>331</v>
      </c>
      <c r="C33" s="441"/>
      <c r="D33" s="441"/>
      <c r="E33" s="441"/>
      <c r="F33" s="441"/>
      <c r="G33" s="441"/>
      <c r="H33" s="441"/>
      <c r="I33" s="441"/>
      <c r="J33" s="441"/>
      <c r="K33" s="441"/>
      <c r="L33" s="441"/>
      <c r="M33" s="441"/>
      <c r="N33" s="441"/>
      <c r="O33" s="441"/>
      <c r="P33" s="441"/>
      <c r="Q33" s="441"/>
      <c r="R33" s="441"/>
      <c r="S33" s="441"/>
      <c r="T33" s="441"/>
      <c r="U33" s="441"/>
      <c r="V33" s="441"/>
      <c r="W33" s="441"/>
      <c r="X33" s="463"/>
    </row>
    <row r="34" spans="1:24" x14ac:dyDescent="0.3">
      <c r="A34" s="440"/>
      <c r="B34" s="441" t="s">
        <v>332</v>
      </c>
      <c r="C34" s="441"/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/>
      <c r="T34" s="441"/>
      <c r="U34" s="441"/>
      <c r="V34" s="441"/>
      <c r="W34" s="441"/>
      <c r="X34" s="463"/>
    </row>
    <row r="35" spans="1:24" x14ac:dyDescent="0.3">
      <c r="A35" s="440"/>
      <c r="B35" s="441"/>
      <c r="C35" s="441"/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  <c r="R35" s="441"/>
      <c r="S35" s="441"/>
      <c r="T35" s="441"/>
      <c r="U35" s="441"/>
      <c r="V35" s="441"/>
      <c r="W35" s="441"/>
      <c r="X35" s="463"/>
    </row>
    <row r="36" spans="1:24" x14ac:dyDescent="0.3">
      <c r="A36" s="440"/>
      <c r="B36" s="441" t="s">
        <v>268</v>
      </c>
      <c r="C36" s="441"/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  <c r="R36" s="441"/>
      <c r="S36" s="441"/>
      <c r="T36" s="441"/>
      <c r="U36" s="441"/>
      <c r="V36" s="441"/>
      <c r="W36" s="441"/>
      <c r="X36" s="463"/>
    </row>
    <row r="37" spans="1:24" x14ac:dyDescent="0.3">
      <c r="A37" s="440"/>
      <c r="B37" s="441"/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441"/>
      <c r="N37" s="441"/>
      <c r="O37" s="441"/>
      <c r="P37" s="441"/>
      <c r="Q37" s="441"/>
      <c r="R37" s="441"/>
      <c r="S37" s="441"/>
      <c r="T37" s="441"/>
      <c r="U37" s="441"/>
      <c r="V37" s="441"/>
      <c r="W37" s="441"/>
      <c r="X37" s="463"/>
    </row>
    <row r="39" spans="1:24" x14ac:dyDescent="0.3">
      <c r="B39" s="452" t="s">
        <v>267</v>
      </c>
    </row>
    <row r="41" spans="1:24" x14ac:dyDescent="0.3">
      <c r="B41" s="429" t="s">
        <v>241</v>
      </c>
    </row>
    <row r="43" spans="1:24" x14ac:dyDescent="0.3">
      <c r="B43" s="429" t="s">
        <v>250</v>
      </c>
    </row>
    <row r="44" spans="1:24" x14ac:dyDescent="0.3">
      <c r="B44" s="429" t="s">
        <v>251</v>
      </c>
    </row>
    <row r="45" spans="1:24" x14ac:dyDescent="0.3">
      <c r="B45" s="429" t="s">
        <v>252</v>
      </c>
    </row>
    <row r="46" spans="1:24" x14ac:dyDescent="0.3">
      <c r="B46" s="429" t="s">
        <v>253</v>
      </c>
    </row>
    <row r="47" spans="1:24" x14ac:dyDescent="0.3">
      <c r="B47" s="429" t="s">
        <v>254</v>
      </c>
    </row>
    <row r="48" spans="1:24" x14ac:dyDescent="0.3">
      <c r="B48" s="429" t="s">
        <v>255</v>
      </c>
    </row>
    <row r="49" spans="2:3" x14ac:dyDescent="0.3">
      <c r="B49" s="429" t="s">
        <v>256</v>
      </c>
    </row>
    <row r="51" spans="2:3" x14ac:dyDescent="0.3">
      <c r="B51" s="461" t="s">
        <v>276</v>
      </c>
    </row>
    <row r="53" spans="2:3" x14ac:dyDescent="0.3">
      <c r="B53" s="429" t="s">
        <v>243</v>
      </c>
    </row>
    <row r="54" spans="2:3" x14ac:dyDescent="0.3">
      <c r="C54" s="429" t="s">
        <v>244</v>
      </c>
    </row>
    <row r="56" spans="2:3" x14ac:dyDescent="0.3">
      <c r="B56" s="429" t="s">
        <v>257</v>
      </c>
    </row>
    <row r="57" spans="2:3" x14ac:dyDescent="0.3">
      <c r="B57" s="429" t="s">
        <v>258</v>
      </c>
    </row>
    <row r="58" spans="2:3" x14ac:dyDescent="0.3">
      <c r="B58" s="429" t="s">
        <v>259</v>
      </c>
    </row>
    <row r="59" spans="2:3" x14ac:dyDescent="0.3">
      <c r="B59" s="429" t="s">
        <v>260</v>
      </c>
    </row>
    <row r="61" spans="2:3" x14ac:dyDescent="0.3">
      <c r="B61" s="429" t="s">
        <v>245</v>
      </c>
    </row>
    <row r="62" spans="2:3" x14ac:dyDescent="0.3">
      <c r="B62" s="429" t="s">
        <v>246</v>
      </c>
    </row>
    <row r="63" spans="2:3" x14ac:dyDescent="0.3">
      <c r="B63" s="429" t="s">
        <v>247</v>
      </c>
    </row>
    <row r="64" spans="2:3" x14ac:dyDescent="0.3">
      <c r="B64" s="429" t="s">
        <v>242</v>
      </c>
    </row>
    <row r="65" spans="2:15" x14ac:dyDescent="0.3">
      <c r="B65" s="429" t="s">
        <v>261</v>
      </c>
    </row>
    <row r="66" spans="2:15" x14ac:dyDescent="0.3">
      <c r="B66" s="429" t="s">
        <v>262</v>
      </c>
    </row>
    <row r="68" spans="2:15" x14ac:dyDescent="0.3">
      <c r="B68" s="429" t="s">
        <v>248</v>
      </c>
    </row>
    <row r="69" spans="2:15" x14ac:dyDescent="0.3">
      <c r="B69" s="533" t="s">
        <v>263</v>
      </c>
    </row>
    <row r="70" spans="2:15" x14ac:dyDescent="0.3">
      <c r="B70" s="533" t="s">
        <v>264</v>
      </c>
      <c r="O70" s="453"/>
    </row>
    <row r="71" spans="2:15" x14ac:dyDescent="0.3">
      <c r="B71" s="429" t="s">
        <v>265</v>
      </c>
    </row>
    <row r="72" spans="2:15" x14ac:dyDescent="0.3">
      <c r="B72" s="429" t="s">
        <v>266</v>
      </c>
    </row>
    <row r="78" spans="2:15" x14ac:dyDescent="0.3">
      <c r="B78" s="429" t="s">
        <v>249</v>
      </c>
      <c r="J78" s="454"/>
    </row>
    <row r="79" spans="2:15" x14ac:dyDescent="0.3">
      <c r="J79"/>
    </row>
    <row r="80" spans="2:15" x14ac:dyDescent="0.3">
      <c r="J80"/>
    </row>
    <row r="81" spans="10:10" x14ac:dyDescent="0.3">
      <c r="J81"/>
    </row>
    <row r="82" spans="10:10" x14ac:dyDescent="0.3">
      <c r="J82"/>
    </row>
    <row r="83" spans="10:10" x14ac:dyDescent="0.3">
      <c r="J83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"/>
  <sheetViews>
    <sheetView showGridLines="0" zoomScaleNormal="100" workbookViewId="0"/>
  </sheetViews>
  <sheetFormatPr defaultColWidth="3.85546875" defaultRowHeight="15" x14ac:dyDescent="0.25"/>
  <cols>
    <col min="2" max="2" width="3.85546875" customWidth="1"/>
  </cols>
  <sheetData>
    <row r="1" spans="1:26" x14ac:dyDescent="0.25">
      <c r="A1" s="432"/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33"/>
    </row>
    <row r="2" spans="1:26" x14ac:dyDescent="0.25">
      <c r="A2" s="434"/>
      <c r="B2" s="421" t="s">
        <v>210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35"/>
    </row>
    <row r="3" spans="1:26" x14ac:dyDescent="0.25">
      <c r="A3" s="434"/>
      <c r="B3" s="421" t="s">
        <v>208</v>
      </c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35"/>
    </row>
    <row r="4" spans="1:26" x14ac:dyDescent="0.25">
      <c r="A4" s="434"/>
      <c r="B4" s="421" t="s">
        <v>209</v>
      </c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  <c r="P4" s="421"/>
      <c r="Q4" s="421"/>
      <c r="R4" s="421"/>
      <c r="S4" s="421"/>
      <c r="T4" s="421"/>
      <c r="U4" s="421"/>
      <c r="V4" s="421"/>
      <c r="W4" s="421"/>
      <c r="X4" s="421"/>
      <c r="Y4" s="421"/>
      <c r="Z4" s="435"/>
    </row>
    <row r="5" spans="1:26" x14ac:dyDescent="0.25">
      <c r="A5" s="434"/>
      <c r="B5" s="421" t="s">
        <v>213</v>
      </c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35"/>
    </row>
    <row r="6" spans="1:26" x14ac:dyDescent="0.25">
      <c r="A6" s="434"/>
      <c r="B6" s="421" t="s">
        <v>229</v>
      </c>
      <c r="C6" s="421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35"/>
    </row>
    <row r="7" spans="1:26" x14ac:dyDescent="0.25">
      <c r="A7" s="434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35"/>
    </row>
    <row r="8" spans="1:26" x14ac:dyDescent="0.25">
      <c r="A8" s="434"/>
      <c r="B8" s="430" t="s">
        <v>218</v>
      </c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1"/>
      <c r="Q8" s="421"/>
      <c r="R8" s="421"/>
      <c r="S8" s="421"/>
      <c r="T8" s="421"/>
      <c r="U8" s="421"/>
      <c r="V8" s="421"/>
      <c r="W8" s="421"/>
      <c r="X8" s="421"/>
      <c r="Y8" s="421"/>
      <c r="Z8" s="435"/>
    </row>
    <row r="9" spans="1:26" x14ac:dyDescent="0.25">
      <c r="A9" s="434"/>
      <c r="B9" s="430" t="s">
        <v>219</v>
      </c>
      <c r="C9" s="421"/>
      <c r="D9" s="421"/>
      <c r="E9" s="421"/>
      <c r="F9" s="421"/>
      <c r="G9" s="421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  <c r="S9" s="421"/>
      <c r="T9" s="421"/>
      <c r="U9" s="421"/>
      <c r="V9" s="421"/>
      <c r="W9" s="421"/>
      <c r="X9" s="421"/>
      <c r="Y9" s="421"/>
      <c r="Z9" s="435"/>
    </row>
    <row r="10" spans="1:26" x14ac:dyDescent="0.25">
      <c r="A10" s="434"/>
      <c r="B10" s="430" t="s">
        <v>220</v>
      </c>
      <c r="C10" s="421"/>
      <c r="D10" s="421"/>
      <c r="E10" s="421"/>
      <c r="F10" s="421"/>
      <c r="G10" s="421"/>
      <c r="H10" s="421"/>
      <c r="I10" s="421"/>
      <c r="J10" s="421"/>
      <c r="K10" s="421"/>
      <c r="L10" s="421"/>
      <c r="M10" s="421"/>
      <c r="N10" s="421"/>
      <c r="O10" s="421"/>
      <c r="P10" s="421"/>
      <c r="Q10" s="421"/>
      <c r="R10" s="421"/>
      <c r="S10" s="421"/>
      <c r="T10" s="421"/>
      <c r="U10" s="421"/>
      <c r="V10" s="421"/>
      <c r="W10" s="421"/>
      <c r="X10" s="421"/>
      <c r="Y10" s="421"/>
      <c r="Z10" s="435"/>
    </row>
    <row r="11" spans="1:26" x14ac:dyDescent="0.25">
      <c r="A11" s="434"/>
      <c r="B11" s="430" t="s">
        <v>221</v>
      </c>
      <c r="C11" s="421"/>
      <c r="D11" s="421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421"/>
      <c r="P11" s="421"/>
      <c r="Q11" s="421"/>
      <c r="R11" s="421"/>
      <c r="S11" s="421"/>
      <c r="T11" s="421"/>
      <c r="U11" s="421"/>
      <c r="V11" s="421"/>
      <c r="W11" s="421"/>
      <c r="X11" s="421"/>
      <c r="Y11" s="421"/>
      <c r="Z11" s="435"/>
    </row>
    <row r="12" spans="1:26" x14ac:dyDescent="0.25">
      <c r="A12" s="434"/>
      <c r="B12" s="430" t="s">
        <v>222</v>
      </c>
      <c r="C12" s="421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421"/>
      <c r="S12" s="421"/>
      <c r="T12" s="421"/>
      <c r="U12" s="421"/>
      <c r="V12" s="421"/>
      <c r="W12" s="421"/>
      <c r="X12" s="421"/>
      <c r="Y12" s="421"/>
      <c r="Z12" s="435"/>
    </row>
    <row r="13" spans="1:26" x14ac:dyDescent="0.25">
      <c r="A13" s="434"/>
      <c r="B13" s="430" t="s">
        <v>270</v>
      </c>
      <c r="C13" s="421"/>
      <c r="D13" s="421"/>
      <c r="E13" s="421"/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21"/>
      <c r="X13" s="421"/>
      <c r="Y13" s="421"/>
      <c r="Z13" s="435"/>
    </row>
    <row r="14" spans="1:26" x14ac:dyDescent="0.25">
      <c r="A14" s="434"/>
      <c r="D14" s="421"/>
      <c r="E14" s="421"/>
      <c r="F14" s="421"/>
      <c r="G14" s="421"/>
      <c r="H14" s="421"/>
      <c r="I14" s="421"/>
      <c r="J14" s="421"/>
      <c r="K14" s="421"/>
      <c r="L14" s="421"/>
      <c r="M14" s="421"/>
      <c r="N14" s="421"/>
      <c r="O14" s="421"/>
      <c r="P14" s="421"/>
      <c r="Q14" s="421"/>
      <c r="R14" s="421"/>
      <c r="S14" s="421"/>
      <c r="T14" s="421"/>
      <c r="U14" s="421"/>
      <c r="V14" s="421"/>
      <c r="W14" s="421"/>
      <c r="X14" s="421"/>
      <c r="Y14" s="421"/>
      <c r="Z14" s="435"/>
    </row>
    <row r="15" spans="1:26" x14ac:dyDescent="0.25">
      <c r="A15" s="434"/>
      <c r="B15" s="421" t="s">
        <v>271</v>
      </c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421"/>
      <c r="O15" s="421"/>
      <c r="P15" s="421"/>
      <c r="Q15" s="421"/>
      <c r="R15" s="421"/>
      <c r="S15" s="421"/>
      <c r="T15" s="421"/>
      <c r="U15" s="421"/>
      <c r="V15" s="421"/>
      <c r="W15" s="421"/>
      <c r="X15" s="421"/>
      <c r="Y15" s="421"/>
      <c r="Z15" s="435"/>
    </row>
    <row r="16" spans="1:26" x14ac:dyDescent="0.25">
      <c r="A16" s="434"/>
      <c r="B16" s="430" t="s">
        <v>334</v>
      </c>
      <c r="C16" s="421"/>
      <c r="D16" s="421"/>
      <c r="E16" s="421"/>
      <c r="F16" s="421"/>
      <c r="G16" s="421"/>
      <c r="H16" s="421"/>
      <c r="I16" s="421"/>
      <c r="J16" s="421"/>
      <c r="K16" s="421"/>
      <c r="L16" s="421"/>
      <c r="M16" s="421"/>
      <c r="N16" s="421"/>
      <c r="O16" s="421"/>
      <c r="P16" s="421"/>
      <c r="Q16" s="421"/>
      <c r="R16" s="421"/>
      <c r="S16" s="421"/>
      <c r="T16" s="421"/>
      <c r="U16" s="421"/>
      <c r="V16" s="421"/>
      <c r="W16" s="421"/>
      <c r="X16" s="421"/>
      <c r="Y16" s="421"/>
      <c r="Z16" s="435"/>
    </row>
    <row r="17" spans="1:26" ht="16.5" x14ac:dyDescent="0.3">
      <c r="A17" s="434"/>
      <c r="B17" s="430" t="s">
        <v>335</v>
      </c>
      <c r="C17" s="421"/>
      <c r="D17" s="421"/>
      <c r="E17" s="421"/>
      <c r="F17" s="421"/>
      <c r="G17" s="421"/>
      <c r="H17" s="421"/>
      <c r="I17" s="421"/>
      <c r="J17" s="421"/>
      <c r="K17" s="421"/>
      <c r="L17" s="421"/>
      <c r="N17" s="421"/>
      <c r="O17" s="421"/>
      <c r="P17" s="421"/>
      <c r="Q17" s="421"/>
      <c r="R17" s="421"/>
      <c r="S17" s="412"/>
      <c r="T17" s="421"/>
      <c r="U17" s="421"/>
      <c r="V17" s="421"/>
      <c r="W17" s="421"/>
      <c r="X17" s="421"/>
      <c r="Y17" s="421"/>
      <c r="Z17" s="435"/>
    </row>
    <row r="18" spans="1:26" x14ac:dyDescent="0.25">
      <c r="A18" s="434"/>
      <c r="B18" s="421"/>
      <c r="C18" s="421"/>
      <c r="D18" s="421"/>
      <c r="E18" s="421"/>
      <c r="F18" s="421"/>
      <c r="G18" s="421"/>
      <c r="H18" s="421"/>
      <c r="I18" s="421"/>
      <c r="J18" s="421"/>
      <c r="K18" s="421"/>
      <c r="L18" s="421"/>
      <c r="N18" s="421"/>
      <c r="O18" s="421"/>
      <c r="P18" s="421"/>
      <c r="Q18" s="421"/>
      <c r="R18" s="421"/>
      <c r="S18" s="421"/>
      <c r="T18" s="421"/>
      <c r="U18" s="421"/>
      <c r="V18" s="421"/>
      <c r="W18" s="421"/>
      <c r="X18" s="421"/>
      <c r="Y18" s="421"/>
      <c r="Z18" s="435"/>
    </row>
    <row r="19" spans="1:26" x14ac:dyDescent="0.25">
      <c r="A19" s="434"/>
      <c r="B19" s="425" t="s">
        <v>223</v>
      </c>
      <c r="C19" s="421"/>
      <c r="D19" s="421"/>
      <c r="E19" s="421"/>
      <c r="F19" s="421"/>
      <c r="Z19" s="435"/>
    </row>
    <row r="20" spans="1:26" x14ac:dyDescent="0.25">
      <c r="A20" s="434"/>
      <c r="C20" s="421"/>
      <c r="D20" s="421"/>
      <c r="E20" s="421"/>
      <c r="F20" s="421"/>
      <c r="Z20" s="435"/>
    </row>
    <row r="21" spans="1:26" x14ac:dyDescent="0.25">
      <c r="A21" s="434"/>
      <c r="B21" s="421"/>
      <c r="C21" s="421"/>
      <c r="D21" s="421"/>
      <c r="E21" s="421"/>
      <c r="F21" s="421"/>
      <c r="Z21" s="435"/>
    </row>
    <row r="22" spans="1:26" x14ac:dyDescent="0.25">
      <c r="A22" s="434"/>
      <c r="B22" s="421" t="s">
        <v>336</v>
      </c>
      <c r="C22" s="421"/>
      <c r="D22" s="421"/>
      <c r="E22" s="421"/>
      <c r="F22" s="421"/>
      <c r="G22" s="421"/>
      <c r="H22" s="421"/>
      <c r="S22" s="421"/>
      <c r="T22" s="421"/>
      <c r="U22" s="421"/>
      <c r="V22" s="421"/>
      <c r="W22" s="421"/>
      <c r="X22" s="421"/>
      <c r="Y22" s="421"/>
      <c r="Z22" s="435"/>
    </row>
    <row r="23" spans="1:26" x14ac:dyDescent="0.25">
      <c r="A23" s="434"/>
      <c r="B23" s="421" t="s">
        <v>337</v>
      </c>
      <c r="C23" s="421"/>
      <c r="D23" s="421"/>
      <c r="E23" s="421"/>
      <c r="F23" s="421"/>
      <c r="G23" s="421"/>
      <c r="H23" s="421"/>
      <c r="S23" s="421"/>
      <c r="T23" s="421"/>
      <c r="U23" s="421"/>
      <c r="V23" s="421"/>
      <c r="W23" s="421"/>
      <c r="X23" s="421"/>
      <c r="Y23" s="421"/>
      <c r="Z23" s="435"/>
    </row>
    <row r="24" spans="1:26" x14ac:dyDescent="0.25">
      <c r="A24" s="434"/>
      <c r="B24" s="421" t="s">
        <v>338</v>
      </c>
      <c r="C24" s="421"/>
      <c r="D24" s="421"/>
      <c r="E24" s="421"/>
      <c r="F24" s="421"/>
      <c r="G24" s="421"/>
      <c r="H24" s="421"/>
      <c r="S24" s="421"/>
      <c r="T24" s="421"/>
      <c r="U24" s="421"/>
      <c r="V24" s="421"/>
      <c r="W24" s="421"/>
      <c r="X24" s="421"/>
      <c r="Y24" s="421"/>
      <c r="Z24" s="435"/>
    </row>
    <row r="25" spans="1:26" x14ac:dyDescent="0.25">
      <c r="A25" s="434"/>
      <c r="B25" s="430" t="s">
        <v>339</v>
      </c>
      <c r="C25" s="421"/>
      <c r="D25" s="421"/>
      <c r="E25" s="421"/>
      <c r="F25" s="421"/>
      <c r="G25" s="421"/>
      <c r="H25" s="421"/>
      <c r="S25" s="421"/>
      <c r="T25" s="421"/>
      <c r="U25" s="421"/>
      <c r="V25" s="421"/>
      <c r="W25" s="421"/>
      <c r="X25" s="421"/>
      <c r="Y25" s="421"/>
      <c r="Z25" s="435"/>
    </row>
    <row r="26" spans="1:26" x14ac:dyDescent="0.25">
      <c r="A26" s="434"/>
      <c r="B26" s="421"/>
      <c r="C26" s="421"/>
      <c r="D26" s="421"/>
      <c r="E26" s="421"/>
      <c r="F26" s="421"/>
      <c r="I26" s="421"/>
      <c r="Z26" s="435"/>
    </row>
    <row r="27" spans="1:26" x14ac:dyDescent="0.25">
      <c r="A27" s="434"/>
      <c r="B27" s="421"/>
      <c r="C27" s="421"/>
      <c r="D27" s="421"/>
      <c r="E27" s="421"/>
      <c r="F27" s="421"/>
      <c r="I27" s="421"/>
      <c r="Z27" s="435"/>
    </row>
    <row r="28" spans="1:26" x14ac:dyDescent="0.25">
      <c r="A28" s="434"/>
      <c r="B28" s="421"/>
      <c r="C28" s="421"/>
      <c r="D28" s="421"/>
      <c r="E28" s="421"/>
      <c r="F28" s="421"/>
      <c r="G28" s="421"/>
      <c r="H28" s="421"/>
      <c r="I28" s="421"/>
      <c r="S28" s="421"/>
      <c r="T28" s="421"/>
      <c r="U28" s="421"/>
      <c r="V28" s="421"/>
      <c r="W28" s="421"/>
      <c r="X28" s="421"/>
      <c r="Y28" s="421"/>
      <c r="Z28" s="435"/>
    </row>
    <row r="29" spans="1:26" x14ac:dyDescent="0.25">
      <c r="A29" s="434"/>
      <c r="B29" s="421"/>
      <c r="C29" s="421"/>
      <c r="D29" s="421"/>
      <c r="E29" s="421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1"/>
      <c r="Z29" s="435"/>
    </row>
    <row r="30" spans="1:26" x14ac:dyDescent="0.25">
      <c r="A30" s="434"/>
      <c r="B30" s="421"/>
      <c r="C30" s="421"/>
      <c r="D30" s="421"/>
      <c r="E30" s="421"/>
      <c r="F30" s="421"/>
      <c r="G30" s="421"/>
      <c r="H30" s="421"/>
      <c r="S30" s="421"/>
      <c r="T30" s="421"/>
      <c r="U30" s="421"/>
      <c r="V30" s="421"/>
      <c r="W30" s="421"/>
      <c r="X30" s="421"/>
      <c r="Y30" s="421"/>
      <c r="Z30" s="435"/>
    </row>
    <row r="31" spans="1:26" x14ac:dyDescent="0.25">
      <c r="A31" s="434"/>
      <c r="Z31" s="435"/>
    </row>
    <row r="32" spans="1:26" x14ac:dyDescent="0.25">
      <c r="A32" s="434"/>
      <c r="H32" s="421"/>
      <c r="I32" s="421"/>
      <c r="J32" s="421"/>
      <c r="K32" s="421"/>
      <c r="L32" s="449" t="s">
        <v>224</v>
      </c>
      <c r="M32" s="421"/>
      <c r="N32" s="421"/>
      <c r="O32" s="421"/>
      <c r="P32" s="421"/>
      <c r="Q32" s="421"/>
      <c r="R32" s="421"/>
      <c r="Z32" s="435"/>
    </row>
    <row r="33" spans="1:26" x14ac:dyDescent="0.25">
      <c r="A33" s="434"/>
      <c r="H33" s="421"/>
      <c r="I33" s="421"/>
      <c r="J33" s="421"/>
      <c r="K33" s="421"/>
      <c r="L33" s="421"/>
      <c r="M33" s="421"/>
      <c r="N33" s="421"/>
      <c r="O33" s="421"/>
      <c r="P33" s="421"/>
      <c r="Q33" s="421"/>
      <c r="R33" s="421"/>
      <c r="Z33" s="435"/>
    </row>
    <row r="34" spans="1:26" x14ac:dyDescent="0.25">
      <c r="A34" s="434"/>
      <c r="H34" s="421"/>
      <c r="I34" s="421"/>
      <c r="J34" s="421"/>
      <c r="K34" s="421"/>
      <c r="L34" s="448" t="s">
        <v>225</v>
      </c>
      <c r="M34" s="421"/>
      <c r="N34" s="421"/>
      <c r="O34" s="421"/>
      <c r="P34" s="421"/>
      <c r="Q34" s="421"/>
      <c r="R34" s="421"/>
      <c r="Z34" s="435"/>
    </row>
    <row r="35" spans="1:26" x14ac:dyDescent="0.25">
      <c r="A35" s="434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Z35" s="435"/>
    </row>
    <row r="36" spans="1:26" x14ac:dyDescent="0.25">
      <c r="A36" s="434"/>
      <c r="H36" s="421"/>
      <c r="I36" s="421"/>
      <c r="J36" s="421"/>
      <c r="K36" s="421"/>
      <c r="L36" s="448" t="s">
        <v>227</v>
      </c>
      <c r="M36" s="421"/>
      <c r="N36" s="421"/>
      <c r="O36" s="421"/>
      <c r="P36" s="421"/>
      <c r="Q36" s="421"/>
      <c r="R36" s="421"/>
      <c r="Z36" s="435"/>
    </row>
    <row r="37" spans="1:26" x14ac:dyDescent="0.25">
      <c r="A37" s="434"/>
      <c r="B37" s="421"/>
      <c r="C37" s="421"/>
      <c r="D37" s="421"/>
      <c r="E37" s="421"/>
      <c r="F37" s="421"/>
      <c r="H37" s="421"/>
      <c r="I37" s="421"/>
      <c r="J37" s="421"/>
      <c r="K37" s="421"/>
      <c r="L37" s="448" t="s">
        <v>238</v>
      </c>
      <c r="M37" s="421"/>
      <c r="N37" s="421"/>
      <c r="O37" s="421"/>
      <c r="P37" s="421"/>
      <c r="Q37" s="421"/>
      <c r="R37" s="421"/>
      <c r="S37" s="421"/>
      <c r="T37" s="421"/>
      <c r="U37" s="421"/>
      <c r="V37" s="421"/>
      <c r="W37" s="421"/>
      <c r="X37" s="421"/>
      <c r="Y37" s="421"/>
      <c r="Z37" s="435"/>
    </row>
    <row r="38" spans="1:26" ht="20.25" x14ac:dyDescent="0.35">
      <c r="A38" s="434"/>
      <c r="B38" s="421"/>
      <c r="C38" s="421"/>
      <c r="D38" s="421"/>
      <c r="E38" s="421"/>
      <c r="F38" s="421"/>
      <c r="H38" s="421"/>
      <c r="I38" s="421"/>
      <c r="J38" s="421"/>
      <c r="K38" s="421"/>
      <c r="L38" s="450" t="s">
        <v>226</v>
      </c>
      <c r="M38" s="421"/>
      <c r="N38" s="421"/>
      <c r="O38" s="421"/>
      <c r="P38" s="421"/>
      <c r="Q38" s="421"/>
      <c r="R38" s="421"/>
      <c r="S38" s="421"/>
      <c r="T38" s="421"/>
      <c r="U38" s="421"/>
      <c r="V38" s="421"/>
      <c r="W38" s="421"/>
      <c r="X38" s="421"/>
      <c r="Y38" s="421"/>
      <c r="Z38" s="435"/>
    </row>
    <row r="39" spans="1:26" x14ac:dyDescent="0.25">
      <c r="A39" s="434"/>
      <c r="B39" s="421"/>
      <c r="C39" s="421"/>
      <c r="D39" s="421"/>
      <c r="E39" s="421"/>
      <c r="F39" s="421"/>
      <c r="R39" s="421"/>
      <c r="S39" s="421"/>
      <c r="T39" s="421"/>
      <c r="U39" s="421"/>
      <c r="V39" s="421"/>
      <c r="W39" s="421"/>
      <c r="X39" s="421"/>
      <c r="Y39" s="421"/>
      <c r="Z39" s="435"/>
    </row>
    <row r="40" spans="1:26" x14ac:dyDescent="0.25">
      <c r="A40" s="434"/>
      <c r="B40" s="421"/>
      <c r="C40" s="421"/>
      <c r="D40" s="421"/>
      <c r="E40" s="421"/>
      <c r="F40" s="421"/>
      <c r="R40" s="421"/>
      <c r="S40" s="421"/>
      <c r="T40" s="421"/>
      <c r="U40" s="421"/>
      <c r="V40" s="421"/>
      <c r="W40" s="421"/>
      <c r="X40" s="421"/>
      <c r="Y40" s="421"/>
      <c r="Z40" s="435"/>
    </row>
    <row r="41" spans="1:26" x14ac:dyDescent="0.25">
      <c r="A41" s="434"/>
      <c r="B41" s="421"/>
      <c r="C41" s="421"/>
      <c r="D41" s="421"/>
      <c r="E41" s="421"/>
      <c r="F41" s="421"/>
      <c r="R41" s="421"/>
      <c r="S41" s="421"/>
      <c r="T41" s="421"/>
      <c r="U41" s="421"/>
      <c r="V41" s="421"/>
      <c r="W41" s="421"/>
      <c r="X41" s="421"/>
      <c r="Y41" s="421"/>
      <c r="Z41" s="435"/>
    </row>
    <row r="42" spans="1:26" x14ac:dyDescent="0.25">
      <c r="A42" s="434"/>
      <c r="B42" s="421"/>
      <c r="C42" s="421"/>
      <c r="D42" s="421"/>
      <c r="E42" s="421"/>
      <c r="F42" s="421"/>
      <c r="R42" s="421"/>
      <c r="S42" s="421"/>
      <c r="T42" s="421"/>
      <c r="U42" s="421"/>
      <c r="V42" s="421"/>
      <c r="W42" s="421"/>
      <c r="X42" s="421"/>
      <c r="Y42" s="421"/>
      <c r="Z42" s="435"/>
    </row>
    <row r="43" spans="1:26" x14ac:dyDescent="0.25">
      <c r="A43" s="434"/>
      <c r="B43" s="421"/>
      <c r="C43" s="421"/>
      <c r="D43" s="421"/>
      <c r="E43" s="421"/>
      <c r="F43" s="421"/>
      <c r="R43" s="421"/>
      <c r="S43" s="421"/>
      <c r="T43" s="421"/>
      <c r="U43" s="421"/>
      <c r="V43" s="421"/>
      <c r="W43" s="421"/>
      <c r="X43" s="421"/>
      <c r="Y43" s="421"/>
      <c r="Z43" s="435"/>
    </row>
    <row r="44" spans="1:26" x14ac:dyDescent="0.25">
      <c r="A44" s="434"/>
      <c r="Y44" s="421"/>
      <c r="Z44" s="435"/>
    </row>
    <row r="45" spans="1:26" x14ac:dyDescent="0.25">
      <c r="A45" s="434"/>
      <c r="B45" t="s">
        <v>207</v>
      </c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1"/>
      <c r="V45" s="421"/>
      <c r="W45" s="421"/>
      <c r="X45" s="421"/>
      <c r="Y45" s="421"/>
      <c r="Z45" s="435"/>
    </row>
    <row r="46" spans="1:26" x14ac:dyDescent="0.25">
      <c r="A46" s="434"/>
      <c r="B46" t="s">
        <v>239</v>
      </c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  <c r="N46" s="421"/>
      <c r="O46" s="421"/>
      <c r="P46" s="421"/>
      <c r="Q46" s="421"/>
      <c r="R46" s="421"/>
      <c r="S46" s="421"/>
      <c r="T46" s="421"/>
      <c r="U46" s="421"/>
      <c r="V46" s="421"/>
      <c r="W46" s="421"/>
      <c r="X46" s="421"/>
      <c r="Y46" s="421"/>
      <c r="Z46" s="435"/>
    </row>
    <row r="47" spans="1:26" x14ac:dyDescent="0.25">
      <c r="A47" s="434"/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  <c r="N47" s="421"/>
      <c r="O47" s="421"/>
      <c r="P47" s="421"/>
      <c r="Q47" s="421"/>
      <c r="R47" s="421"/>
      <c r="S47" s="421"/>
      <c r="T47" s="421"/>
      <c r="U47" s="421"/>
      <c r="V47" s="421"/>
      <c r="W47" s="421"/>
      <c r="X47" s="421"/>
      <c r="Y47" s="421"/>
      <c r="Z47" s="435"/>
    </row>
    <row r="48" spans="1:26" x14ac:dyDescent="0.25">
      <c r="A48" s="434"/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  <c r="N48" s="421"/>
      <c r="O48" s="421"/>
      <c r="P48" s="421"/>
      <c r="Q48" s="421"/>
      <c r="R48" s="421"/>
      <c r="S48" s="421"/>
      <c r="T48" s="421"/>
      <c r="U48" s="421"/>
      <c r="V48" s="421"/>
      <c r="W48" s="421"/>
      <c r="X48" s="421"/>
      <c r="Y48" s="421"/>
      <c r="Z48" s="435"/>
    </row>
    <row r="49" spans="1:26" x14ac:dyDescent="0.25">
      <c r="A49" s="434"/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  <c r="N49" s="421"/>
      <c r="O49" s="421"/>
      <c r="P49" s="421"/>
      <c r="Q49" s="421"/>
      <c r="R49" s="421"/>
      <c r="S49" s="421"/>
      <c r="T49" s="421"/>
      <c r="U49" s="421"/>
      <c r="V49" s="421"/>
      <c r="W49" s="421"/>
      <c r="X49" s="421"/>
      <c r="Y49" s="421"/>
      <c r="Z49" s="435"/>
    </row>
    <row r="50" spans="1:26" x14ac:dyDescent="0.25">
      <c r="A50" s="434"/>
      <c r="B50" s="421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35"/>
    </row>
    <row r="51" spans="1:26" x14ac:dyDescent="0.25">
      <c r="A51" s="434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35"/>
    </row>
    <row r="52" spans="1:26" x14ac:dyDescent="0.25">
      <c r="A52" s="434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  <c r="N52" s="421"/>
      <c r="O52" s="421"/>
      <c r="P52" s="421"/>
      <c r="Q52" s="421"/>
      <c r="R52" s="421"/>
      <c r="S52" s="421"/>
      <c r="T52" s="421"/>
      <c r="U52" s="421"/>
      <c r="V52" s="421"/>
      <c r="W52" s="421"/>
      <c r="X52" s="421"/>
      <c r="Y52" s="421"/>
      <c r="Z52" s="435"/>
    </row>
    <row r="53" spans="1:26" x14ac:dyDescent="0.25">
      <c r="A53" s="434"/>
      <c r="B53" s="421"/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35"/>
    </row>
    <row r="54" spans="1:26" x14ac:dyDescent="0.25">
      <c r="A54" s="434"/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  <c r="N54" s="421"/>
      <c r="O54" s="421"/>
      <c r="P54" s="421"/>
      <c r="Q54" s="421"/>
      <c r="R54" s="421"/>
      <c r="S54" s="421"/>
      <c r="T54" s="421"/>
      <c r="U54" s="421"/>
      <c r="V54" s="421"/>
      <c r="W54" s="421"/>
      <c r="X54" s="421"/>
      <c r="Y54" s="421"/>
      <c r="Z54" s="435"/>
    </row>
    <row r="55" spans="1:26" x14ac:dyDescent="0.25">
      <c r="A55" s="434"/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1"/>
      <c r="R55" s="421"/>
      <c r="S55" s="421"/>
      <c r="T55" s="421"/>
      <c r="U55" s="421"/>
      <c r="V55" s="421"/>
      <c r="W55" s="421"/>
      <c r="X55" s="421"/>
      <c r="Y55" s="421"/>
      <c r="Z55" s="435"/>
    </row>
    <row r="56" spans="1:26" x14ac:dyDescent="0.25">
      <c r="A56" s="434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  <c r="N56" s="421"/>
      <c r="O56" s="421"/>
      <c r="P56" s="421"/>
      <c r="Q56" s="421"/>
      <c r="R56" s="421"/>
      <c r="S56" s="421"/>
      <c r="T56" s="421"/>
      <c r="U56" s="421"/>
      <c r="V56" s="421"/>
      <c r="W56" s="421"/>
      <c r="X56" s="421"/>
      <c r="Y56" s="421"/>
      <c r="Z56" s="435"/>
    </row>
    <row r="57" spans="1:26" x14ac:dyDescent="0.25">
      <c r="A57" s="434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  <c r="N57" s="421"/>
      <c r="O57" s="421"/>
      <c r="P57" s="421"/>
      <c r="Q57" s="421"/>
      <c r="R57" s="421"/>
      <c r="S57" s="421"/>
      <c r="T57" s="421"/>
      <c r="U57" s="421"/>
      <c r="V57" s="421"/>
      <c r="W57" s="421"/>
      <c r="X57" s="421"/>
      <c r="Y57" s="421"/>
      <c r="Z57" s="435"/>
    </row>
    <row r="58" spans="1:26" x14ac:dyDescent="0.25">
      <c r="A58" s="434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  <c r="N58" s="421"/>
      <c r="O58" s="421"/>
      <c r="P58" s="421"/>
      <c r="Q58" s="421"/>
      <c r="R58" s="421"/>
      <c r="S58" s="421"/>
      <c r="T58" s="421"/>
      <c r="U58" s="421"/>
      <c r="V58" s="421"/>
      <c r="W58" s="421"/>
      <c r="X58" s="421"/>
      <c r="Y58" s="421"/>
      <c r="Z58" s="435"/>
    </row>
    <row r="59" spans="1:26" x14ac:dyDescent="0.25">
      <c r="A59" s="434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1"/>
      <c r="M59" s="421"/>
      <c r="N59" s="421"/>
      <c r="O59" s="421"/>
      <c r="P59" s="421"/>
      <c r="Q59" s="421"/>
      <c r="R59" s="421"/>
      <c r="S59" s="421"/>
      <c r="T59" s="421"/>
      <c r="U59" s="421"/>
      <c r="V59" s="421"/>
      <c r="W59" s="421"/>
      <c r="X59" s="421"/>
      <c r="Y59" s="421"/>
      <c r="Z59" s="435"/>
    </row>
    <row r="60" spans="1:26" x14ac:dyDescent="0.25">
      <c r="A60" s="434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1"/>
      <c r="P60" s="421"/>
      <c r="Q60" s="421"/>
      <c r="R60" s="421"/>
      <c r="S60" s="421"/>
      <c r="T60" s="421"/>
      <c r="U60" s="421"/>
      <c r="V60" s="421"/>
      <c r="W60" s="421"/>
      <c r="X60" s="421"/>
      <c r="Y60" s="421"/>
      <c r="Z60" s="435"/>
    </row>
    <row r="61" spans="1:26" x14ac:dyDescent="0.25">
      <c r="A61" s="434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V61" s="421"/>
      <c r="W61" s="421"/>
      <c r="X61" s="421"/>
      <c r="Y61" s="421"/>
      <c r="Z61" s="435"/>
    </row>
    <row r="62" spans="1:26" x14ac:dyDescent="0.25">
      <c r="A62" s="434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1"/>
      <c r="M62" s="421"/>
      <c r="N62" s="421"/>
      <c r="O62" s="421"/>
      <c r="P62" s="421"/>
      <c r="Q62" s="421"/>
      <c r="R62" s="421"/>
      <c r="S62" s="421"/>
      <c r="T62" s="421"/>
      <c r="U62" s="421"/>
      <c r="V62" s="421"/>
      <c r="W62" s="421"/>
      <c r="X62" s="421"/>
      <c r="Y62" s="421"/>
      <c r="Z62" s="435"/>
    </row>
    <row r="63" spans="1:26" x14ac:dyDescent="0.25">
      <c r="A63" s="434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  <c r="N63" s="421"/>
      <c r="O63" s="421"/>
      <c r="P63" s="421"/>
      <c r="Q63" s="421"/>
      <c r="R63" s="421"/>
      <c r="S63" s="421"/>
      <c r="T63" s="421"/>
      <c r="U63" s="421"/>
      <c r="V63" s="421"/>
      <c r="W63" s="421"/>
      <c r="X63" s="421"/>
      <c r="Y63" s="421"/>
      <c r="Z63" s="435"/>
    </row>
    <row r="64" spans="1:26" x14ac:dyDescent="0.25">
      <c r="A64" s="434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35"/>
    </row>
    <row r="65" spans="1:26" x14ac:dyDescent="0.25">
      <c r="A65" s="434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Y65" s="421"/>
      <c r="Z65" s="435"/>
    </row>
    <row r="66" spans="1:26" x14ac:dyDescent="0.25">
      <c r="A66" s="434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  <c r="N66" s="421"/>
      <c r="O66" s="421"/>
      <c r="P66" s="421"/>
      <c r="Q66" s="421"/>
      <c r="R66" s="421"/>
      <c r="S66" s="421"/>
      <c r="T66" s="421"/>
      <c r="U66" s="421"/>
      <c r="V66" s="421"/>
      <c r="W66" s="421"/>
      <c r="X66" s="421"/>
      <c r="Y66" s="421"/>
      <c r="Z66" s="435"/>
    </row>
    <row r="67" spans="1:26" x14ac:dyDescent="0.25">
      <c r="A67" s="434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  <c r="N67" s="421"/>
      <c r="O67" s="421"/>
      <c r="P67" s="421"/>
      <c r="Q67" s="421"/>
      <c r="R67" s="421"/>
      <c r="S67" s="421"/>
      <c r="T67" s="421"/>
      <c r="U67" s="421"/>
      <c r="V67" s="421"/>
      <c r="W67" s="421"/>
      <c r="X67" s="421"/>
      <c r="Y67" s="421"/>
      <c r="Z67" s="435"/>
    </row>
    <row r="68" spans="1:26" x14ac:dyDescent="0.25">
      <c r="A68" s="434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  <c r="N68" s="421"/>
      <c r="O68" s="421"/>
      <c r="P68" s="421"/>
      <c r="Q68" s="421"/>
      <c r="R68" s="421"/>
      <c r="S68" s="421"/>
      <c r="T68" s="421"/>
      <c r="U68" s="421"/>
      <c r="V68" s="421"/>
      <c r="W68" s="421"/>
      <c r="X68" s="421"/>
      <c r="Y68" s="421"/>
      <c r="Z68" s="435"/>
    </row>
    <row r="69" spans="1:26" x14ac:dyDescent="0.25">
      <c r="A69" s="434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  <c r="N69" s="421"/>
      <c r="O69" s="421"/>
      <c r="P69" s="421"/>
      <c r="Q69" s="421"/>
      <c r="R69" s="421"/>
      <c r="S69" s="421"/>
      <c r="T69" s="421"/>
      <c r="U69" s="421"/>
      <c r="V69" s="421"/>
      <c r="W69" s="421"/>
      <c r="X69" s="421"/>
      <c r="Y69" s="421"/>
      <c r="Z69" s="435"/>
    </row>
    <row r="70" spans="1:26" x14ac:dyDescent="0.25">
      <c r="A70" s="434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1"/>
      <c r="M70" s="421"/>
      <c r="N70" s="421"/>
      <c r="O70" s="421"/>
      <c r="P70" s="421"/>
      <c r="Q70" s="421"/>
      <c r="R70" s="421"/>
      <c r="S70" s="421"/>
      <c r="T70" s="421"/>
      <c r="U70" s="421"/>
      <c r="V70" s="421"/>
      <c r="W70" s="421"/>
      <c r="X70" s="421"/>
      <c r="Y70" s="421"/>
      <c r="Z70" s="435"/>
    </row>
    <row r="71" spans="1:26" x14ac:dyDescent="0.25">
      <c r="A71" s="434"/>
      <c r="B71" s="421"/>
      <c r="C71" s="421"/>
      <c r="D71" s="421"/>
      <c r="E71" s="421"/>
      <c r="F71" s="421"/>
      <c r="G71" s="421"/>
      <c r="H71" s="421"/>
      <c r="I71" s="421"/>
      <c r="J71" s="421"/>
      <c r="K71" s="421"/>
      <c r="L71" s="421"/>
      <c r="M71" s="421"/>
      <c r="N71" s="421"/>
      <c r="O71" s="421"/>
      <c r="P71" s="421"/>
      <c r="Q71" s="421"/>
      <c r="R71" s="421"/>
      <c r="S71" s="421"/>
      <c r="T71" s="421"/>
      <c r="U71" s="421"/>
      <c r="V71" s="421"/>
      <c r="W71" s="421"/>
      <c r="X71" s="421"/>
      <c r="Y71" s="421"/>
      <c r="Z71" s="435"/>
    </row>
    <row r="72" spans="1:26" x14ac:dyDescent="0.25">
      <c r="A72" s="434"/>
      <c r="B72" s="421"/>
      <c r="C72" s="421"/>
      <c r="D72" s="421"/>
      <c r="E72" s="421"/>
      <c r="F72" s="421"/>
      <c r="G72" s="421"/>
      <c r="H72" s="421"/>
      <c r="I72" s="421"/>
      <c r="J72" s="421"/>
      <c r="K72" s="421"/>
      <c r="L72" s="421"/>
      <c r="M72" s="421"/>
      <c r="N72" s="421"/>
      <c r="O72" s="421"/>
      <c r="P72" s="421"/>
      <c r="Q72" s="421"/>
      <c r="R72" s="421"/>
      <c r="S72" s="421"/>
      <c r="T72" s="421"/>
      <c r="U72" s="421"/>
      <c r="V72" s="421"/>
      <c r="W72" s="421"/>
      <c r="X72" s="421"/>
      <c r="Y72" s="421"/>
      <c r="Z72" s="435"/>
    </row>
    <row r="73" spans="1:26" x14ac:dyDescent="0.25">
      <c r="A73" s="434"/>
      <c r="B73" s="421"/>
      <c r="C73" s="421"/>
      <c r="D73" s="421"/>
      <c r="E73" s="421"/>
      <c r="F73" s="421"/>
      <c r="G73" s="421"/>
      <c r="H73" s="421"/>
      <c r="I73" s="421"/>
      <c r="J73" s="421"/>
      <c r="K73" s="421"/>
      <c r="L73" s="421"/>
      <c r="M73" s="421"/>
      <c r="N73" s="421"/>
      <c r="O73" s="421"/>
      <c r="P73" s="421"/>
      <c r="Q73" s="421"/>
      <c r="R73" s="421"/>
      <c r="S73" s="421"/>
      <c r="T73" s="421"/>
      <c r="U73" s="421"/>
      <c r="V73" s="421"/>
      <c r="W73" s="421"/>
      <c r="X73" s="421"/>
      <c r="Y73" s="421"/>
      <c r="Z73" s="435"/>
    </row>
    <row r="74" spans="1:26" x14ac:dyDescent="0.25">
      <c r="A74" s="434"/>
      <c r="B74" s="421"/>
      <c r="C74" s="421"/>
      <c r="D74" s="421"/>
      <c r="E74" s="421"/>
      <c r="F74" s="421"/>
      <c r="G74" s="421"/>
      <c r="H74" s="421"/>
      <c r="I74" s="421"/>
      <c r="J74" s="421"/>
      <c r="K74" s="421"/>
      <c r="L74" s="421"/>
      <c r="M74" s="421"/>
      <c r="N74" s="421"/>
      <c r="O74" s="421"/>
      <c r="P74" s="421"/>
      <c r="Q74" s="421"/>
      <c r="R74" s="421"/>
      <c r="S74" s="421"/>
      <c r="T74" s="421"/>
      <c r="U74" s="421"/>
      <c r="V74" s="421"/>
      <c r="W74" s="421"/>
      <c r="X74" s="421"/>
      <c r="Y74" s="421"/>
      <c r="Z74" s="435"/>
    </row>
    <row r="75" spans="1:26" x14ac:dyDescent="0.25">
      <c r="A75" s="434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35"/>
    </row>
    <row r="76" spans="1:26" x14ac:dyDescent="0.25">
      <c r="A76" s="434"/>
      <c r="B76" s="421"/>
      <c r="C76" s="421"/>
      <c r="D76" s="421"/>
      <c r="E76" s="421"/>
      <c r="F76" s="421"/>
      <c r="G76" s="421"/>
      <c r="H76" s="421"/>
      <c r="I76" s="421"/>
      <c r="J76" s="421"/>
      <c r="K76" s="421"/>
      <c r="L76" s="421"/>
      <c r="M76" s="421"/>
      <c r="N76" s="421"/>
      <c r="O76" s="421"/>
      <c r="P76" s="421"/>
      <c r="Q76" s="421"/>
      <c r="R76" s="421"/>
      <c r="S76" s="421"/>
      <c r="T76" s="421"/>
      <c r="U76" s="421"/>
      <c r="V76" s="421"/>
      <c r="W76" s="421"/>
      <c r="X76" s="421"/>
      <c r="Y76" s="421"/>
      <c r="Z76" s="435"/>
    </row>
    <row r="77" spans="1:26" x14ac:dyDescent="0.25">
      <c r="A77" s="434"/>
      <c r="B77" s="421"/>
      <c r="C77" s="421"/>
      <c r="D77" s="421"/>
      <c r="E77" s="421"/>
      <c r="F77" s="421"/>
      <c r="G77" s="421"/>
      <c r="H77" s="421"/>
      <c r="I77" s="421"/>
      <c r="J77" s="421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35"/>
    </row>
    <row r="78" spans="1:26" x14ac:dyDescent="0.25">
      <c r="A78" s="434"/>
      <c r="B78" s="421"/>
      <c r="C78" s="421"/>
      <c r="D78" s="421"/>
      <c r="E78" s="421"/>
      <c r="F78" s="421"/>
      <c r="G78" s="421"/>
      <c r="H78" s="421"/>
      <c r="I78" s="421"/>
      <c r="J78" s="421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35"/>
    </row>
    <row r="79" spans="1:26" x14ac:dyDescent="0.25">
      <c r="A79" s="434"/>
      <c r="B79" s="421"/>
      <c r="C79" s="421"/>
      <c r="D79" s="421"/>
      <c r="E79" s="421"/>
      <c r="F79" s="421"/>
      <c r="G79" s="421"/>
      <c r="H79" s="421"/>
      <c r="I79" s="421"/>
      <c r="J79" s="421"/>
      <c r="K79" s="421"/>
      <c r="L79" s="421"/>
      <c r="M79" s="421"/>
      <c r="N79" s="421"/>
      <c r="O79" s="421"/>
      <c r="P79" s="421"/>
      <c r="Q79" s="421"/>
      <c r="R79" s="421"/>
      <c r="S79" s="421"/>
      <c r="T79" s="421"/>
      <c r="U79" s="421"/>
      <c r="V79" s="421"/>
      <c r="W79" s="421"/>
      <c r="X79" s="421"/>
      <c r="Y79" s="421"/>
      <c r="Z79" s="435"/>
    </row>
    <row r="80" spans="1:26" x14ac:dyDescent="0.25">
      <c r="A80" s="434"/>
      <c r="B80" s="421"/>
      <c r="C80" s="421"/>
      <c r="D80" s="421"/>
      <c r="E80" s="421"/>
      <c r="F80" s="421"/>
      <c r="G80" s="421"/>
      <c r="H80" s="421"/>
      <c r="I80" s="421"/>
      <c r="J80" s="421"/>
      <c r="K80" s="421"/>
      <c r="L80" s="421"/>
      <c r="M80" s="421"/>
      <c r="N80" s="421"/>
      <c r="O80" s="421"/>
      <c r="P80" s="421"/>
      <c r="Q80" s="421"/>
      <c r="R80" s="421"/>
      <c r="S80" s="421"/>
      <c r="T80" s="421"/>
      <c r="U80" s="421"/>
      <c r="V80" s="421"/>
      <c r="W80" s="421"/>
      <c r="X80" s="421"/>
      <c r="Y80" s="421"/>
      <c r="Z80" s="435"/>
    </row>
    <row r="81" spans="1:26" x14ac:dyDescent="0.25">
      <c r="A81" s="434"/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421"/>
      <c r="M81" s="421"/>
      <c r="N81" s="421"/>
      <c r="O81" s="421"/>
      <c r="P81" s="421"/>
      <c r="Q81" s="421"/>
      <c r="R81" s="421"/>
      <c r="S81" s="421"/>
      <c r="T81" s="421"/>
      <c r="U81" s="421"/>
      <c r="V81" s="421"/>
      <c r="W81" s="421"/>
      <c r="X81" s="421"/>
      <c r="Y81" s="421"/>
      <c r="Z81" s="435"/>
    </row>
    <row r="82" spans="1:26" x14ac:dyDescent="0.25">
      <c r="A82" s="434"/>
      <c r="B82" s="421"/>
      <c r="C82" s="421"/>
      <c r="D82" s="421"/>
      <c r="E82" s="421"/>
      <c r="F82" s="421"/>
      <c r="G82" s="421"/>
      <c r="H82" s="421"/>
      <c r="I82" s="421"/>
      <c r="J82" s="421"/>
      <c r="K82" s="421"/>
      <c r="L82" s="421"/>
      <c r="M82" s="421"/>
      <c r="N82" s="421"/>
      <c r="O82" s="421"/>
      <c r="P82" s="421"/>
      <c r="Q82" s="421"/>
      <c r="R82" s="421"/>
      <c r="S82" s="421"/>
      <c r="T82" s="421"/>
      <c r="U82" s="421"/>
      <c r="V82" s="421"/>
      <c r="W82" s="421"/>
      <c r="X82" s="421"/>
      <c r="Y82" s="421"/>
      <c r="Z82" s="435"/>
    </row>
    <row r="83" spans="1:26" x14ac:dyDescent="0.25">
      <c r="A83" s="434"/>
      <c r="B83" s="421"/>
      <c r="C83" s="421"/>
      <c r="D83" s="421"/>
      <c r="E83" s="421"/>
      <c r="F83" s="421"/>
      <c r="G83" s="421"/>
      <c r="H83" s="421"/>
      <c r="I83" s="421"/>
      <c r="J83" s="421"/>
      <c r="K83" s="421"/>
      <c r="L83" s="421"/>
      <c r="M83" s="421"/>
      <c r="N83" s="421"/>
      <c r="O83" s="421"/>
      <c r="P83" s="421"/>
      <c r="Q83" s="421"/>
      <c r="R83" s="421"/>
      <c r="S83" s="421"/>
      <c r="T83" s="421"/>
      <c r="U83" s="421"/>
      <c r="V83" s="421"/>
      <c r="W83" s="421"/>
      <c r="X83" s="421"/>
      <c r="Y83" s="421"/>
      <c r="Z83" s="435"/>
    </row>
    <row r="84" spans="1:26" x14ac:dyDescent="0.25">
      <c r="A84" s="434"/>
      <c r="B84" s="421"/>
      <c r="C84" s="421"/>
      <c r="D84" s="421"/>
      <c r="E84" s="421"/>
      <c r="F84" s="421"/>
      <c r="G84" s="421"/>
      <c r="H84" s="421"/>
      <c r="I84" s="421"/>
      <c r="J84" s="421"/>
      <c r="K84" s="421"/>
      <c r="L84" s="421"/>
      <c r="M84" s="421"/>
      <c r="N84" s="421"/>
      <c r="O84" s="421"/>
      <c r="P84" s="421"/>
      <c r="Q84" s="421"/>
      <c r="R84" s="421"/>
      <c r="S84" s="421"/>
      <c r="T84" s="421"/>
      <c r="U84" s="421"/>
      <c r="V84" s="421"/>
      <c r="W84" s="421"/>
      <c r="X84" s="421"/>
      <c r="Y84" s="421"/>
      <c r="Z84" s="435"/>
    </row>
    <row r="85" spans="1:26" x14ac:dyDescent="0.25">
      <c r="A85" s="434"/>
      <c r="B85" s="421"/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/>
      <c r="X85" s="421"/>
      <c r="Y85" s="421"/>
      <c r="Z85" s="435"/>
    </row>
    <row r="86" spans="1:26" x14ac:dyDescent="0.25">
      <c r="A86" s="434"/>
      <c r="B86" s="421"/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35"/>
    </row>
    <row r="87" spans="1:26" x14ac:dyDescent="0.25">
      <c r="A87" s="434"/>
      <c r="B87" s="421"/>
      <c r="C87" s="421"/>
      <c r="D87" s="421"/>
      <c r="E87" s="421"/>
      <c r="F87" s="421"/>
      <c r="G87" s="421"/>
      <c r="H87" s="421"/>
      <c r="I87" s="421"/>
      <c r="J87" s="421"/>
      <c r="K87" s="421"/>
      <c r="L87" s="421"/>
      <c r="M87" s="421"/>
      <c r="N87" s="421"/>
      <c r="O87" s="421"/>
      <c r="P87" s="421"/>
      <c r="Q87" s="421"/>
      <c r="R87" s="421"/>
      <c r="S87" s="421"/>
      <c r="T87" s="421"/>
      <c r="U87" s="421"/>
      <c r="V87" s="421"/>
      <c r="W87" s="421"/>
      <c r="X87" s="421"/>
      <c r="Y87" s="421"/>
      <c r="Z87" s="435"/>
    </row>
    <row r="88" spans="1:26" x14ac:dyDescent="0.25">
      <c r="A88" s="434"/>
      <c r="B88" s="421"/>
      <c r="C88" s="421"/>
      <c r="D88" s="421"/>
      <c r="E88" s="421"/>
      <c r="F88" s="421"/>
      <c r="G88" s="421"/>
      <c r="H88" s="421"/>
      <c r="I88" s="421"/>
      <c r="J88" s="421"/>
      <c r="K88" s="421"/>
      <c r="L88" s="421"/>
      <c r="M88" s="421"/>
      <c r="N88" s="421"/>
      <c r="O88" s="421"/>
      <c r="P88" s="421"/>
      <c r="Q88" s="421"/>
      <c r="R88" s="421"/>
      <c r="S88" s="421"/>
      <c r="T88" s="421"/>
      <c r="U88" s="421"/>
      <c r="V88" s="421"/>
      <c r="W88" s="421"/>
      <c r="X88" s="421"/>
      <c r="Y88" s="421"/>
      <c r="Z88" s="435"/>
    </row>
    <row r="89" spans="1:26" x14ac:dyDescent="0.25">
      <c r="A89" s="434"/>
      <c r="B89" s="421"/>
      <c r="C89" s="421"/>
      <c r="D89" s="421"/>
      <c r="E89" s="421"/>
      <c r="F89" s="421"/>
      <c r="G89" s="421"/>
      <c r="H89" s="421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35"/>
    </row>
    <row r="90" spans="1:26" x14ac:dyDescent="0.25">
      <c r="A90" s="434"/>
      <c r="B90" s="421"/>
      <c r="C90" s="421"/>
      <c r="D90" s="421"/>
      <c r="E90" s="421"/>
      <c r="F90" s="421"/>
      <c r="G90" s="421"/>
      <c r="H90" s="421"/>
      <c r="I90" s="421"/>
      <c r="J90" s="421"/>
      <c r="K90" s="421"/>
      <c r="L90" s="421"/>
      <c r="M90" s="421"/>
      <c r="N90" s="421"/>
      <c r="O90" s="421"/>
      <c r="P90" s="421"/>
      <c r="Q90" s="421"/>
      <c r="R90" s="421"/>
      <c r="S90" s="421"/>
      <c r="T90" s="421"/>
      <c r="U90" s="421"/>
      <c r="V90" s="421"/>
      <c r="W90" s="421"/>
      <c r="X90" s="421"/>
      <c r="Y90" s="421"/>
      <c r="Z90" s="435"/>
    </row>
    <row r="91" spans="1:26" x14ac:dyDescent="0.25">
      <c r="A91" s="434"/>
      <c r="B91" s="421"/>
      <c r="C91" s="421"/>
      <c r="D91" s="421"/>
      <c r="E91" s="421"/>
      <c r="F91" s="421"/>
      <c r="G91" s="421"/>
      <c r="H91" s="421"/>
      <c r="I91" s="421"/>
      <c r="J91" s="421"/>
      <c r="K91" s="421"/>
      <c r="L91" s="421"/>
      <c r="M91" s="421"/>
      <c r="N91" s="421"/>
      <c r="O91" s="421"/>
      <c r="P91" s="421"/>
      <c r="Q91" s="421"/>
      <c r="R91" s="421"/>
      <c r="S91" s="421"/>
      <c r="T91" s="421"/>
      <c r="U91" s="421"/>
      <c r="V91" s="421"/>
      <c r="W91" s="421"/>
      <c r="X91" s="421"/>
      <c r="Y91" s="421"/>
      <c r="Z91" s="435"/>
    </row>
    <row r="92" spans="1:26" x14ac:dyDescent="0.25">
      <c r="A92" s="434"/>
      <c r="C92" s="421"/>
      <c r="D92" s="421"/>
      <c r="E92" s="421"/>
      <c r="F92" s="421"/>
      <c r="G92" s="421"/>
      <c r="H92" s="421"/>
      <c r="I92" s="421"/>
      <c r="J92" s="421"/>
      <c r="K92" s="421"/>
      <c r="L92" s="421"/>
      <c r="M92" s="421"/>
      <c r="N92" s="421"/>
      <c r="O92" s="421"/>
      <c r="P92" s="421"/>
      <c r="Q92" s="421"/>
      <c r="R92" s="421"/>
      <c r="S92" s="421"/>
      <c r="T92" s="421"/>
      <c r="U92" s="421"/>
      <c r="V92" s="421"/>
      <c r="W92" s="421"/>
      <c r="X92" s="421"/>
      <c r="Y92" s="421"/>
      <c r="Z92" s="435"/>
    </row>
    <row r="93" spans="1:26" x14ac:dyDescent="0.25">
      <c r="A93" s="434"/>
      <c r="C93" s="421"/>
      <c r="D93" s="421"/>
      <c r="E93" s="421"/>
      <c r="F93" s="421"/>
      <c r="G93" s="421"/>
      <c r="H93" s="421"/>
      <c r="I93" s="421"/>
      <c r="J93" s="421"/>
      <c r="K93" s="421"/>
      <c r="L93" s="421"/>
      <c r="M93" s="421"/>
      <c r="N93" s="421"/>
      <c r="O93" s="421"/>
      <c r="P93" s="421"/>
      <c r="Q93" s="421"/>
      <c r="R93" s="421"/>
      <c r="S93" s="421"/>
      <c r="T93" s="421"/>
      <c r="U93" s="421"/>
      <c r="V93" s="421"/>
      <c r="W93" s="421"/>
      <c r="X93" s="421"/>
      <c r="Y93" s="421"/>
      <c r="Z93" s="435"/>
    </row>
    <row r="94" spans="1:26" x14ac:dyDescent="0.25">
      <c r="A94" s="436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37"/>
    </row>
  </sheetData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EXPLANATION</vt:lpstr>
      <vt:lpstr>DIAGRAMS</vt:lpstr>
      <vt:lpstr>CORROBORATIONS</vt:lpstr>
      <vt:lpstr>ARGUMENT</vt:lpstr>
      <vt:lpstr>DIAGRAM_1</vt:lpstr>
      <vt:lpstr>DIAGRAM_2</vt:lpstr>
      <vt:lpstr>DIAGRAM_3</vt:lpstr>
      <vt:lpstr>Q1_CT</vt:lpstr>
      <vt:lpstr>Q1_PT</vt:lpstr>
      <vt:lpstr>Q2_CT</vt:lpstr>
      <vt:lpstr>Q2_PT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G. ELLIS</dc:creator>
  <cp:lastModifiedBy>Ellis</cp:lastModifiedBy>
  <cp:lastPrinted>2010-04-30T17:13:04Z</cp:lastPrinted>
  <dcterms:created xsi:type="dcterms:W3CDTF">2009-05-24T00:52:15Z</dcterms:created>
  <dcterms:modified xsi:type="dcterms:W3CDTF">2017-11-15T22:33:38Z</dcterms:modified>
</cp:coreProperties>
</file>