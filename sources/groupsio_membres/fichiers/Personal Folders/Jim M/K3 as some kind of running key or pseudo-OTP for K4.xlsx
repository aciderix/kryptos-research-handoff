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m.melichar\Desktop\"/>
    </mc:Choice>
  </mc:AlternateContent>
  <bookViews>
    <workbookView xWindow="0" yWindow="0" windowWidth="21600" windowHeight="9735" activeTab="2"/>
  </bookViews>
  <sheets>
    <sheet name="K3 PC AZ" sheetId="4" r:id="rId1"/>
    <sheet name="AZ" sheetId="1" r:id="rId2"/>
    <sheet name="KRYPTOS" sheetId="3" r:id="rId3"/>
  </sheets>
  <definedNames>
    <definedName name="LOOK" localSheetId="0">'K3 PC AZ'!$D$1:$AC$3</definedName>
    <definedName name="LOOK" localSheetId="2">KRYPTOS!$K$1:$AC$3</definedName>
    <definedName name="LOOK">AZ!$D$1:$AC$3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9" i="4" l="1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C29" i="3"/>
  <c r="F29" i="3"/>
  <c r="AB29" i="3"/>
  <c r="AA29" i="3"/>
  <c r="Z29" i="3"/>
  <c r="Y29" i="3"/>
  <c r="H29" i="3"/>
  <c r="J29" i="3"/>
  <c r="E29" i="3"/>
  <c r="X29" i="3"/>
  <c r="G29" i="3"/>
  <c r="I29" i="3"/>
  <c r="W29" i="3"/>
  <c r="V29" i="3"/>
  <c r="U29" i="3"/>
  <c r="D29" i="3"/>
  <c r="T29" i="3"/>
  <c r="S29" i="3"/>
  <c r="R29" i="3"/>
  <c r="Q29" i="3"/>
  <c r="P29" i="3"/>
  <c r="O29" i="3"/>
  <c r="N29" i="3"/>
  <c r="M29" i="3"/>
  <c r="L29" i="3"/>
  <c r="K29" i="3"/>
  <c r="AC6" i="3"/>
  <c r="F6" i="3"/>
  <c r="AB6" i="3"/>
  <c r="AA6" i="3"/>
  <c r="Z6" i="3"/>
  <c r="Y6" i="3"/>
  <c r="H6" i="3"/>
  <c r="J6" i="3"/>
  <c r="E6" i="3"/>
  <c r="X6" i="3"/>
  <c r="G6" i="3"/>
  <c r="I6" i="3"/>
  <c r="W6" i="3"/>
  <c r="V6" i="3"/>
  <c r="U6" i="3"/>
  <c r="D6" i="3"/>
  <c r="T6" i="3"/>
  <c r="S6" i="3"/>
  <c r="R6" i="3"/>
  <c r="Q6" i="3"/>
  <c r="P6" i="3"/>
  <c r="O6" i="3"/>
  <c r="N6" i="3"/>
  <c r="M6" i="3"/>
  <c r="L6" i="3"/>
  <c r="K6" i="3"/>
  <c r="AC28" i="3"/>
  <c r="F28" i="3"/>
  <c r="AB28" i="3"/>
  <c r="AA28" i="3"/>
  <c r="Z28" i="3"/>
  <c r="Y28" i="3"/>
  <c r="H28" i="3"/>
  <c r="J28" i="3"/>
  <c r="E28" i="3"/>
  <c r="X28" i="3"/>
  <c r="G28" i="3"/>
  <c r="I28" i="3"/>
  <c r="W28" i="3"/>
  <c r="V28" i="3"/>
  <c r="U28" i="3"/>
  <c r="D28" i="3"/>
  <c r="T28" i="3"/>
  <c r="S28" i="3"/>
  <c r="R28" i="3"/>
  <c r="Q28" i="3"/>
  <c r="P28" i="3"/>
  <c r="O28" i="3"/>
  <c r="N28" i="3"/>
  <c r="M28" i="3"/>
  <c r="L28" i="3"/>
  <c r="K28" i="3"/>
  <c r="AC27" i="3"/>
  <c r="F27" i="3"/>
  <c r="AB27" i="3"/>
  <c r="AA27" i="3"/>
  <c r="Z27" i="3"/>
  <c r="Y27" i="3"/>
  <c r="H27" i="3"/>
  <c r="J27" i="3"/>
  <c r="E27" i="3"/>
  <c r="X27" i="3"/>
  <c r="G27" i="3"/>
  <c r="I27" i="3"/>
  <c r="W27" i="3"/>
  <c r="V27" i="3"/>
  <c r="U27" i="3"/>
  <c r="D27" i="3"/>
  <c r="T27" i="3"/>
  <c r="S27" i="3"/>
  <c r="R27" i="3"/>
  <c r="Q27" i="3"/>
  <c r="P27" i="3"/>
  <c r="O27" i="3"/>
  <c r="N27" i="3"/>
  <c r="M27" i="3"/>
  <c r="L27" i="3"/>
  <c r="K27" i="3"/>
  <c r="AC26" i="3"/>
  <c r="F26" i="3"/>
  <c r="AB26" i="3"/>
  <c r="AA26" i="3"/>
  <c r="Z26" i="3"/>
  <c r="Y26" i="3"/>
  <c r="H26" i="3"/>
  <c r="J26" i="3"/>
  <c r="E26" i="3"/>
  <c r="X26" i="3"/>
  <c r="G26" i="3"/>
  <c r="I26" i="3"/>
  <c r="W26" i="3"/>
  <c r="V26" i="3"/>
  <c r="U26" i="3"/>
  <c r="D26" i="3"/>
  <c r="T26" i="3"/>
  <c r="S26" i="3"/>
  <c r="R26" i="3"/>
  <c r="Q26" i="3"/>
  <c r="P26" i="3"/>
  <c r="O26" i="3"/>
  <c r="N26" i="3"/>
  <c r="M26" i="3"/>
  <c r="L26" i="3"/>
  <c r="K26" i="3"/>
  <c r="AC25" i="3"/>
  <c r="F25" i="3"/>
  <c r="AB25" i="3"/>
  <c r="AA25" i="3"/>
  <c r="Z25" i="3"/>
  <c r="Y25" i="3"/>
  <c r="H25" i="3"/>
  <c r="J25" i="3"/>
  <c r="E25" i="3"/>
  <c r="X25" i="3"/>
  <c r="G25" i="3"/>
  <c r="I25" i="3"/>
  <c r="W25" i="3"/>
  <c r="V25" i="3"/>
  <c r="U25" i="3"/>
  <c r="D25" i="3"/>
  <c r="T25" i="3"/>
  <c r="S25" i="3"/>
  <c r="R25" i="3"/>
  <c r="Q25" i="3"/>
  <c r="P25" i="3"/>
  <c r="O25" i="3"/>
  <c r="N25" i="3"/>
  <c r="M25" i="3"/>
  <c r="L25" i="3"/>
  <c r="K25" i="3"/>
  <c r="AC8" i="3"/>
  <c r="F8" i="3"/>
  <c r="AB8" i="3"/>
  <c r="AA8" i="3"/>
  <c r="Z8" i="3"/>
  <c r="Y8" i="3"/>
  <c r="H8" i="3"/>
  <c r="J8" i="3"/>
  <c r="E8" i="3"/>
  <c r="X8" i="3"/>
  <c r="G8" i="3"/>
  <c r="I8" i="3"/>
  <c r="W8" i="3"/>
  <c r="V8" i="3"/>
  <c r="U8" i="3"/>
  <c r="D8" i="3"/>
  <c r="T8" i="3"/>
  <c r="S8" i="3"/>
  <c r="R8" i="3"/>
  <c r="Q8" i="3"/>
  <c r="P8" i="3"/>
  <c r="O8" i="3"/>
  <c r="N8" i="3"/>
  <c r="M8" i="3"/>
  <c r="L8" i="3"/>
  <c r="K8" i="3"/>
  <c r="AC10" i="3"/>
  <c r="F10" i="3"/>
  <c r="AB10" i="3"/>
  <c r="AA10" i="3"/>
  <c r="Z10" i="3"/>
  <c r="Y10" i="3"/>
  <c r="H10" i="3"/>
  <c r="J10" i="3"/>
  <c r="E10" i="3"/>
  <c r="X10" i="3"/>
  <c r="G10" i="3"/>
  <c r="I10" i="3"/>
  <c r="W10" i="3"/>
  <c r="V10" i="3"/>
  <c r="U10" i="3"/>
  <c r="D10" i="3"/>
  <c r="T10" i="3"/>
  <c r="S10" i="3"/>
  <c r="R10" i="3"/>
  <c r="Q10" i="3"/>
  <c r="P10" i="3"/>
  <c r="O10" i="3"/>
  <c r="N10" i="3"/>
  <c r="M10" i="3"/>
  <c r="L10" i="3"/>
  <c r="K10" i="3"/>
  <c r="AC5" i="3"/>
  <c r="F5" i="3"/>
  <c r="AB5" i="3"/>
  <c r="AA5" i="3"/>
  <c r="Z5" i="3"/>
  <c r="Y5" i="3"/>
  <c r="H5" i="3"/>
  <c r="J5" i="3"/>
  <c r="E5" i="3"/>
  <c r="X5" i="3"/>
  <c r="G5" i="3"/>
  <c r="I5" i="3"/>
  <c r="W5" i="3"/>
  <c r="V5" i="3"/>
  <c r="U5" i="3"/>
  <c r="D5" i="3"/>
  <c r="T5" i="3"/>
  <c r="S5" i="3"/>
  <c r="R5" i="3"/>
  <c r="Q5" i="3"/>
  <c r="P5" i="3"/>
  <c r="O5" i="3"/>
  <c r="N5" i="3"/>
  <c r="M5" i="3"/>
  <c r="L5" i="3"/>
  <c r="K5" i="3"/>
  <c r="AC24" i="3"/>
  <c r="F24" i="3"/>
  <c r="AB24" i="3"/>
  <c r="AA24" i="3"/>
  <c r="Z24" i="3"/>
  <c r="Y24" i="3"/>
  <c r="H24" i="3"/>
  <c r="J24" i="3"/>
  <c r="E24" i="3"/>
  <c r="X24" i="3"/>
  <c r="G24" i="3"/>
  <c r="I24" i="3"/>
  <c r="W24" i="3"/>
  <c r="V24" i="3"/>
  <c r="U24" i="3"/>
  <c r="D24" i="3"/>
  <c r="T24" i="3"/>
  <c r="S24" i="3"/>
  <c r="R24" i="3"/>
  <c r="Q24" i="3"/>
  <c r="P24" i="3"/>
  <c r="O24" i="3"/>
  <c r="N24" i="3"/>
  <c r="M24" i="3"/>
  <c r="L24" i="3"/>
  <c r="K24" i="3"/>
  <c r="AC7" i="3"/>
  <c r="F7" i="3"/>
  <c r="AB7" i="3"/>
  <c r="AA7" i="3"/>
  <c r="Z7" i="3"/>
  <c r="Y7" i="3"/>
  <c r="H7" i="3"/>
  <c r="J7" i="3"/>
  <c r="E7" i="3"/>
  <c r="X7" i="3"/>
  <c r="G7" i="3"/>
  <c r="I7" i="3"/>
  <c r="W7" i="3"/>
  <c r="V7" i="3"/>
  <c r="U7" i="3"/>
  <c r="D7" i="3"/>
  <c r="T7" i="3"/>
  <c r="S7" i="3"/>
  <c r="R7" i="3"/>
  <c r="Q7" i="3"/>
  <c r="P7" i="3"/>
  <c r="O7" i="3"/>
  <c r="N7" i="3"/>
  <c r="M7" i="3"/>
  <c r="L7" i="3"/>
  <c r="K7" i="3"/>
  <c r="AC9" i="3"/>
  <c r="F9" i="3"/>
  <c r="AB9" i="3"/>
  <c r="AA9" i="3"/>
  <c r="Z9" i="3"/>
  <c r="Y9" i="3"/>
  <c r="H9" i="3"/>
  <c r="J9" i="3"/>
  <c r="E9" i="3"/>
  <c r="X9" i="3"/>
  <c r="G9" i="3"/>
  <c r="I9" i="3"/>
  <c r="W9" i="3"/>
  <c r="V9" i="3"/>
  <c r="U9" i="3"/>
  <c r="D9" i="3"/>
  <c r="T9" i="3"/>
  <c r="S9" i="3"/>
  <c r="R9" i="3"/>
  <c r="Q9" i="3"/>
  <c r="P9" i="3"/>
  <c r="O9" i="3"/>
  <c r="N9" i="3"/>
  <c r="M9" i="3"/>
  <c r="L9" i="3"/>
  <c r="K9" i="3"/>
  <c r="AC23" i="3"/>
  <c r="F23" i="3"/>
  <c r="AB23" i="3"/>
  <c r="AA23" i="3"/>
  <c r="Z23" i="3"/>
  <c r="Y23" i="3"/>
  <c r="H23" i="3"/>
  <c r="J23" i="3"/>
  <c r="E23" i="3"/>
  <c r="X23" i="3"/>
  <c r="G23" i="3"/>
  <c r="I23" i="3"/>
  <c r="W23" i="3"/>
  <c r="V23" i="3"/>
  <c r="U23" i="3"/>
  <c r="D23" i="3"/>
  <c r="T23" i="3"/>
  <c r="S23" i="3"/>
  <c r="R23" i="3"/>
  <c r="Q23" i="3"/>
  <c r="P23" i="3"/>
  <c r="O23" i="3"/>
  <c r="N23" i="3"/>
  <c r="M23" i="3"/>
  <c r="L23" i="3"/>
  <c r="K23" i="3"/>
  <c r="AC22" i="3"/>
  <c r="F22" i="3"/>
  <c r="AB22" i="3"/>
  <c r="AA22" i="3"/>
  <c r="Z22" i="3"/>
  <c r="Y22" i="3"/>
  <c r="H22" i="3"/>
  <c r="J22" i="3"/>
  <c r="E22" i="3"/>
  <c r="X22" i="3"/>
  <c r="G22" i="3"/>
  <c r="I22" i="3"/>
  <c r="W22" i="3"/>
  <c r="V22" i="3"/>
  <c r="U22" i="3"/>
  <c r="D22" i="3"/>
  <c r="T22" i="3"/>
  <c r="S22" i="3"/>
  <c r="R22" i="3"/>
  <c r="Q22" i="3"/>
  <c r="P22" i="3"/>
  <c r="O22" i="3"/>
  <c r="N22" i="3"/>
  <c r="M22" i="3"/>
  <c r="L22" i="3"/>
  <c r="K22" i="3"/>
  <c r="AC21" i="3"/>
  <c r="F21" i="3"/>
  <c r="AB21" i="3"/>
  <c r="AA21" i="3"/>
  <c r="Z21" i="3"/>
  <c r="Y21" i="3"/>
  <c r="H21" i="3"/>
  <c r="J21" i="3"/>
  <c r="E21" i="3"/>
  <c r="X21" i="3"/>
  <c r="G21" i="3"/>
  <c r="I21" i="3"/>
  <c r="W21" i="3"/>
  <c r="V21" i="3"/>
  <c r="U21" i="3"/>
  <c r="D21" i="3"/>
  <c r="T21" i="3"/>
  <c r="S21" i="3"/>
  <c r="R21" i="3"/>
  <c r="Q21" i="3"/>
  <c r="P21" i="3"/>
  <c r="O21" i="3"/>
  <c r="N21" i="3"/>
  <c r="M21" i="3"/>
  <c r="L21" i="3"/>
  <c r="K21" i="3"/>
  <c r="AC4" i="3"/>
  <c r="F4" i="3"/>
  <c r="AB4" i="3"/>
  <c r="AA4" i="3"/>
  <c r="Z4" i="3"/>
  <c r="Y4" i="3"/>
  <c r="H4" i="3"/>
  <c r="J4" i="3"/>
  <c r="E4" i="3"/>
  <c r="X4" i="3"/>
  <c r="G4" i="3"/>
  <c r="I4" i="3"/>
  <c r="W4" i="3"/>
  <c r="V4" i="3"/>
  <c r="U4" i="3"/>
  <c r="D4" i="3"/>
  <c r="T4" i="3"/>
  <c r="S4" i="3"/>
  <c r="R4" i="3"/>
  <c r="Q4" i="3"/>
  <c r="P4" i="3"/>
  <c r="O4" i="3"/>
  <c r="N4" i="3"/>
  <c r="M4" i="3"/>
  <c r="L4" i="3"/>
  <c r="K4" i="3"/>
  <c r="AC20" i="3"/>
  <c r="F20" i="3"/>
  <c r="AB20" i="3"/>
  <c r="AA20" i="3"/>
  <c r="Z20" i="3"/>
  <c r="Y20" i="3"/>
  <c r="H20" i="3"/>
  <c r="J20" i="3"/>
  <c r="E20" i="3"/>
  <c r="X20" i="3"/>
  <c r="G20" i="3"/>
  <c r="I20" i="3"/>
  <c r="W20" i="3"/>
  <c r="V20" i="3"/>
  <c r="U20" i="3"/>
  <c r="D20" i="3"/>
  <c r="T20" i="3"/>
  <c r="S20" i="3"/>
  <c r="R20" i="3"/>
  <c r="Q20" i="3"/>
  <c r="P20" i="3"/>
  <c r="O20" i="3"/>
  <c r="N20" i="3"/>
  <c r="M20" i="3"/>
  <c r="L20" i="3"/>
  <c r="K20" i="3"/>
  <c r="AC19" i="3"/>
  <c r="F19" i="3"/>
  <c r="AB19" i="3"/>
  <c r="AA19" i="3"/>
  <c r="Z19" i="3"/>
  <c r="Y19" i="3"/>
  <c r="H19" i="3"/>
  <c r="J19" i="3"/>
  <c r="E19" i="3"/>
  <c r="X19" i="3"/>
  <c r="G19" i="3"/>
  <c r="I19" i="3"/>
  <c r="W19" i="3"/>
  <c r="V19" i="3"/>
  <c r="U19" i="3"/>
  <c r="D19" i="3"/>
  <c r="T19" i="3"/>
  <c r="S19" i="3"/>
  <c r="R19" i="3"/>
  <c r="Q19" i="3"/>
  <c r="P19" i="3"/>
  <c r="O19" i="3"/>
  <c r="N19" i="3"/>
  <c r="M19" i="3"/>
  <c r="L19" i="3"/>
  <c r="K19" i="3"/>
  <c r="AC18" i="3"/>
  <c r="F18" i="3"/>
  <c r="AB18" i="3"/>
  <c r="AA18" i="3"/>
  <c r="Z18" i="3"/>
  <c r="Y18" i="3"/>
  <c r="H18" i="3"/>
  <c r="J18" i="3"/>
  <c r="E18" i="3"/>
  <c r="X18" i="3"/>
  <c r="G18" i="3"/>
  <c r="I18" i="3"/>
  <c r="W18" i="3"/>
  <c r="V18" i="3"/>
  <c r="U18" i="3"/>
  <c r="D18" i="3"/>
  <c r="T18" i="3"/>
  <c r="S18" i="3"/>
  <c r="R18" i="3"/>
  <c r="Q18" i="3"/>
  <c r="P18" i="3"/>
  <c r="O18" i="3"/>
  <c r="N18" i="3"/>
  <c r="M18" i="3"/>
  <c r="L18" i="3"/>
  <c r="K18" i="3"/>
  <c r="AC17" i="3"/>
  <c r="F17" i="3"/>
  <c r="AB17" i="3"/>
  <c r="AA17" i="3"/>
  <c r="Z17" i="3"/>
  <c r="Y17" i="3"/>
  <c r="H17" i="3"/>
  <c r="J17" i="3"/>
  <c r="E17" i="3"/>
  <c r="X17" i="3"/>
  <c r="G17" i="3"/>
  <c r="I17" i="3"/>
  <c r="W17" i="3"/>
  <c r="V17" i="3"/>
  <c r="U17" i="3"/>
  <c r="D17" i="3"/>
  <c r="T17" i="3"/>
  <c r="S17" i="3"/>
  <c r="R17" i="3"/>
  <c r="Q17" i="3"/>
  <c r="P17" i="3"/>
  <c r="O17" i="3"/>
  <c r="N17" i="3"/>
  <c r="M17" i="3"/>
  <c r="L17" i="3"/>
  <c r="K17" i="3"/>
  <c r="AC16" i="3"/>
  <c r="F16" i="3"/>
  <c r="AB16" i="3"/>
  <c r="AA16" i="3"/>
  <c r="Z16" i="3"/>
  <c r="Y16" i="3"/>
  <c r="H16" i="3"/>
  <c r="J16" i="3"/>
  <c r="E16" i="3"/>
  <c r="X16" i="3"/>
  <c r="G16" i="3"/>
  <c r="I16" i="3"/>
  <c r="W16" i="3"/>
  <c r="V16" i="3"/>
  <c r="U16" i="3"/>
  <c r="D16" i="3"/>
  <c r="T16" i="3"/>
  <c r="S16" i="3"/>
  <c r="R16" i="3"/>
  <c r="Q16" i="3"/>
  <c r="P16" i="3"/>
  <c r="O16" i="3"/>
  <c r="N16" i="3"/>
  <c r="M16" i="3"/>
  <c r="L16" i="3"/>
  <c r="K16" i="3"/>
  <c r="AC15" i="3"/>
  <c r="F15" i="3"/>
  <c r="AB15" i="3"/>
  <c r="AA15" i="3"/>
  <c r="Z15" i="3"/>
  <c r="Y15" i="3"/>
  <c r="H15" i="3"/>
  <c r="J15" i="3"/>
  <c r="E15" i="3"/>
  <c r="X15" i="3"/>
  <c r="G15" i="3"/>
  <c r="I15" i="3"/>
  <c r="W15" i="3"/>
  <c r="V15" i="3"/>
  <c r="U15" i="3"/>
  <c r="D15" i="3"/>
  <c r="T15" i="3"/>
  <c r="S15" i="3"/>
  <c r="R15" i="3"/>
  <c r="Q15" i="3"/>
  <c r="P15" i="3"/>
  <c r="O15" i="3"/>
  <c r="N15" i="3"/>
  <c r="M15" i="3"/>
  <c r="L15" i="3"/>
  <c r="K15" i="3"/>
  <c r="AC14" i="3"/>
  <c r="F14" i="3"/>
  <c r="AB14" i="3"/>
  <c r="AA14" i="3"/>
  <c r="Z14" i="3"/>
  <c r="Y14" i="3"/>
  <c r="H14" i="3"/>
  <c r="J14" i="3"/>
  <c r="E14" i="3"/>
  <c r="X14" i="3"/>
  <c r="G14" i="3"/>
  <c r="I14" i="3"/>
  <c r="W14" i="3"/>
  <c r="V14" i="3"/>
  <c r="U14" i="3"/>
  <c r="D14" i="3"/>
  <c r="T14" i="3"/>
  <c r="S14" i="3"/>
  <c r="R14" i="3"/>
  <c r="Q14" i="3"/>
  <c r="P14" i="3"/>
  <c r="O14" i="3"/>
  <c r="N14" i="3"/>
  <c r="M14" i="3"/>
  <c r="L14" i="3"/>
  <c r="K14" i="3"/>
  <c r="AC13" i="3"/>
  <c r="F13" i="3"/>
  <c r="AB13" i="3"/>
  <c r="AA13" i="3"/>
  <c r="Z13" i="3"/>
  <c r="Y13" i="3"/>
  <c r="H13" i="3"/>
  <c r="J13" i="3"/>
  <c r="E13" i="3"/>
  <c r="X13" i="3"/>
  <c r="G13" i="3"/>
  <c r="I13" i="3"/>
  <c r="W13" i="3"/>
  <c r="V13" i="3"/>
  <c r="U13" i="3"/>
  <c r="D13" i="3"/>
  <c r="T13" i="3"/>
  <c r="S13" i="3"/>
  <c r="R13" i="3"/>
  <c r="Q13" i="3"/>
  <c r="P13" i="3"/>
  <c r="O13" i="3"/>
  <c r="N13" i="3"/>
  <c r="M13" i="3"/>
  <c r="L13" i="3"/>
  <c r="K13" i="3"/>
  <c r="AC12" i="3"/>
  <c r="F12" i="3"/>
  <c r="AB12" i="3"/>
  <c r="AA12" i="3"/>
  <c r="Z12" i="3"/>
  <c r="Y12" i="3"/>
  <c r="H12" i="3"/>
  <c r="J12" i="3"/>
  <c r="E12" i="3"/>
  <c r="X12" i="3"/>
  <c r="G12" i="3"/>
  <c r="I12" i="3"/>
  <c r="W12" i="3"/>
  <c r="V12" i="3"/>
  <c r="U12" i="3"/>
  <c r="D12" i="3"/>
  <c r="T12" i="3"/>
  <c r="S12" i="3"/>
  <c r="R12" i="3"/>
  <c r="Q12" i="3"/>
  <c r="P12" i="3"/>
  <c r="O12" i="3"/>
  <c r="N12" i="3"/>
  <c r="M12" i="3"/>
  <c r="L12" i="3"/>
  <c r="K12" i="3"/>
  <c r="D55" i="3" l="1"/>
  <c r="E55" i="3" s="1"/>
  <c r="D54" i="3"/>
  <c r="E54" i="3" s="1"/>
  <c r="D41" i="3"/>
  <c r="E41" i="3" s="1"/>
  <c r="D56" i="3"/>
  <c r="E56" i="3" s="1"/>
  <c r="D51" i="3"/>
  <c r="E51" i="3" s="1"/>
  <c r="D40" i="3"/>
  <c r="E40" i="3" s="1"/>
  <c r="D48" i="3"/>
  <c r="E48" i="3" s="1"/>
  <c r="D50" i="3"/>
  <c r="E50" i="3" s="1"/>
  <c r="D49" i="3"/>
  <c r="E49" i="3" s="1"/>
  <c r="D45" i="3"/>
  <c r="E45" i="3" s="1"/>
  <c r="D33" i="3"/>
  <c r="E33" i="3" s="1"/>
  <c r="D47" i="3"/>
  <c r="E47" i="3" s="1"/>
  <c r="D34" i="3"/>
  <c r="E34" i="3" s="1"/>
  <c r="D46" i="3"/>
  <c r="E46" i="3" s="1"/>
  <c r="D43" i="3"/>
  <c r="E43" i="3" s="1"/>
  <c r="D39" i="3"/>
  <c r="E39" i="3" s="1"/>
  <c r="D36" i="3"/>
  <c r="E36" i="3" s="1"/>
  <c r="D35" i="3"/>
  <c r="E35" i="3" s="1"/>
  <c r="D42" i="3"/>
  <c r="E42" i="3" s="1"/>
  <c r="D57" i="3"/>
  <c r="E57" i="3" s="1"/>
  <c r="D32" i="3"/>
  <c r="E32" i="3" s="1"/>
  <c r="D38" i="3"/>
  <c r="E38" i="3" s="1"/>
  <c r="D44" i="3"/>
  <c r="E44" i="3" s="1"/>
  <c r="D37" i="3"/>
  <c r="E37" i="3" s="1"/>
  <c r="D52" i="3"/>
  <c r="E52" i="3" s="1"/>
  <c r="D53" i="3"/>
  <c r="E53" i="3" s="1"/>
  <c r="D57" i="4"/>
  <c r="E57" i="4" s="1"/>
  <c r="D56" i="4"/>
  <c r="E56" i="4" s="1"/>
  <c r="D40" i="4"/>
  <c r="E43" i="4" s="1"/>
  <c r="D33" i="4"/>
  <c r="E34" i="4" s="1"/>
  <c r="D34" i="4"/>
  <c r="E37" i="4" s="1"/>
  <c r="D49" i="4"/>
  <c r="E49" i="4" s="1"/>
  <c r="D41" i="4"/>
  <c r="E46" i="4" s="1"/>
  <c r="D44" i="4"/>
  <c r="E48" i="4" s="1"/>
  <c r="D37" i="4"/>
  <c r="E39" i="4" s="1"/>
  <c r="D43" i="4"/>
  <c r="E41" i="4" s="1"/>
  <c r="D52" i="4"/>
  <c r="E51" i="4" s="1"/>
  <c r="D54" i="4"/>
  <c r="E55" i="4" s="1"/>
  <c r="D48" i="4"/>
  <c r="E45" i="4" s="1"/>
  <c r="D38" i="4"/>
  <c r="E36" i="4" s="1"/>
  <c r="D39" i="4"/>
  <c r="E38" i="4" s="1"/>
  <c r="D50" i="4"/>
  <c r="E50" i="4" s="1"/>
  <c r="D47" i="4"/>
  <c r="E44" i="4" s="1"/>
  <c r="D45" i="4"/>
  <c r="E47" i="4" s="1"/>
  <c r="D51" i="4"/>
  <c r="E52" i="4" s="1"/>
  <c r="D32" i="4"/>
  <c r="E32" i="4" s="1"/>
  <c r="D35" i="4"/>
  <c r="E35" i="4" s="1"/>
  <c r="D36" i="4"/>
  <c r="E33" i="4" s="1"/>
  <c r="D46" i="4"/>
  <c r="E40" i="4" s="1"/>
  <c r="D55" i="4"/>
  <c r="E53" i="4" s="1"/>
  <c r="D53" i="4"/>
  <c r="E54" i="4" s="1"/>
  <c r="D42" i="4"/>
  <c r="E42" i="4" s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D4" i="1"/>
  <c r="D37" i="1" l="1"/>
  <c r="E37" i="1" s="1"/>
  <c r="D36" i="1"/>
  <c r="E36" i="1" s="1"/>
  <c r="D40" i="1"/>
  <c r="E40" i="1" s="1"/>
  <c r="D52" i="1"/>
  <c r="E52" i="1" s="1"/>
  <c r="D47" i="1"/>
  <c r="E47" i="1" s="1"/>
  <c r="D43" i="1"/>
  <c r="E43" i="1" s="1"/>
  <c r="D55" i="1"/>
  <c r="E55" i="1" s="1"/>
  <c r="D48" i="1"/>
  <c r="E48" i="1" s="1"/>
  <c r="D35" i="1"/>
  <c r="E35" i="1" s="1"/>
  <c r="D39" i="1"/>
  <c r="E39" i="1" s="1"/>
  <c r="D54" i="1"/>
  <c r="E54" i="1" s="1"/>
  <c r="D56" i="1"/>
  <c r="E56" i="1" s="1"/>
  <c r="D46" i="1"/>
  <c r="E46" i="1" s="1"/>
  <c r="D51" i="1"/>
  <c r="E51" i="1" s="1"/>
  <c r="D49" i="1"/>
  <c r="E49" i="1" s="1"/>
  <c r="D50" i="1"/>
  <c r="E50" i="1" s="1"/>
  <c r="D53" i="1"/>
  <c r="E53" i="1" s="1"/>
  <c r="D41" i="1"/>
  <c r="E41" i="1" s="1"/>
  <c r="D34" i="1"/>
  <c r="E34" i="1" s="1"/>
  <c r="D32" i="1"/>
  <c r="E32" i="1" s="1"/>
  <c r="D45" i="1"/>
  <c r="E45" i="1" s="1"/>
  <c r="D42" i="1"/>
  <c r="E42" i="1" s="1"/>
  <c r="D44" i="1"/>
  <c r="E44" i="1" s="1"/>
  <c r="D33" i="1"/>
  <c r="E33" i="1" s="1"/>
  <c r="D38" i="1"/>
  <c r="E38" i="1" s="1"/>
  <c r="D57" i="1"/>
  <c r="E57" i="1" s="1"/>
</calcChain>
</file>

<file path=xl/sharedStrings.xml><?xml version="1.0" encoding="utf-8"?>
<sst xmlns="http://schemas.openxmlformats.org/spreadsheetml/2006/main" count="240" uniqueCount="30">
  <si>
    <t>S</t>
  </si>
  <si>
    <t>L</t>
  </si>
  <si>
    <t>O</t>
  </si>
  <si>
    <t>W</t>
  </si>
  <si>
    <t>Y</t>
  </si>
  <si>
    <t>D</t>
  </si>
  <si>
    <t>E</t>
  </si>
  <si>
    <t>P</t>
  </si>
  <si>
    <t>A</t>
  </si>
  <si>
    <t>R</t>
  </si>
  <si>
    <t>T</t>
  </si>
  <si>
    <t>H</t>
  </si>
  <si>
    <t>M</t>
  </si>
  <si>
    <t>I</t>
  </si>
  <si>
    <t>N</t>
  </si>
  <si>
    <t>F</t>
  </si>
  <si>
    <t>G</t>
  </si>
  <si>
    <t>B</t>
  </si>
  <si>
    <t>C</t>
  </si>
  <si>
    <t>U</t>
  </si>
  <si>
    <t>V</t>
  </si>
  <si>
    <t>K</t>
  </si>
  <si>
    <t>X</t>
  </si>
  <si>
    <t>Q</t>
  </si>
  <si>
    <t>J</t>
  </si>
  <si>
    <t>Z</t>
  </si>
  <si>
    <t>English</t>
  </si>
  <si>
    <t>K3 TEXT</t>
  </si>
  <si>
    <t>K3 Text</t>
  </si>
  <si>
    <t>K3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</si>
</sst>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1" applyNumberFormat="1" applyFont="1" applyAlignment="1">
      <alignment horizontal="center"/>
    </xf>
    <xf numFmtId="164" fontId="2" fillId="0" borderId="0" xfId="1" applyNumberFormat="1" applyFont="1"/>
    <xf numFmtId="164" fontId="3" fillId="0" borderId="0" xfId="1" applyNumberFormat="1" applyFont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4" fontId="4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>
      <alignment horizontal="center"/>
    </xf>
    <xf numFmtId="164" fontId="5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7"/>
  <sheetViews>
    <sheetView topLeftCell="A29" workbookViewId="0">
      <selection activeCell="C32" sqref="C32:D57"/>
    </sheetView>
  </sheetViews>
  <sheetFormatPr defaultColWidth="4.42578125" defaultRowHeight="12" x14ac:dyDescent="0.2"/>
  <cols>
    <col min="1" max="1" width="4.42578125" style="2"/>
    <col min="2" max="2" width="5.140625" style="4" bestFit="1" customWidth="1"/>
    <col min="3" max="3" width="5.28515625" style="4" customWidth="1"/>
    <col min="4" max="7" width="4.28515625" style="4" bestFit="1" customWidth="1"/>
    <col min="8" max="8" width="5.140625" style="4" bestFit="1" customWidth="1"/>
    <col min="9" max="29" width="4.28515625" style="4" bestFit="1" customWidth="1"/>
    <col min="30" max="16384" width="4.42578125" style="2"/>
  </cols>
  <sheetData>
    <row r="1" spans="2:31" x14ac:dyDescent="0.2">
      <c r="B1" s="3"/>
      <c r="C1" s="3"/>
      <c r="AD1" s="1"/>
      <c r="AE1" s="1"/>
    </row>
    <row r="2" spans="2:31" x14ac:dyDescent="0.2">
      <c r="B2" s="5"/>
      <c r="C2" s="6" t="s">
        <v>26</v>
      </c>
      <c r="D2" s="6">
        <v>8.1670000000000006E-2</v>
      </c>
      <c r="E2" s="6">
        <v>1.4919999999999999E-2</v>
      </c>
      <c r="F2" s="6">
        <v>2.7820000000000001E-2</v>
      </c>
      <c r="G2" s="6">
        <v>4.2529999999999998E-2</v>
      </c>
      <c r="H2" s="6">
        <v>0.12701999999999999</v>
      </c>
      <c r="I2" s="6">
        <v>2.2280000000000001E-2</v>
      </c>
      <c r="J2" s="6">
        <v>2.0150000000000001E-2</v>
      </c>
      <c r="K2" s="6">
        <v>6.0940000000000001E-2</v>
      </c>
      <c r="L2" s="6">
        <v>6.966E-2</v>
      </c>
      <c r="M2" s="6">
        <v>1.5299999999999999E-3</v>
      </c>
      <c r="N2" s="6">
        <v>7.7200000000000003E-3</v>
      </c>
      <c r="O2" s="6">
        <v>4.0250000000000001E-2</v>
      </c>
      <c r="P2" s="6">
        <v>2.4060000000000002E-2</v>
      </c>
      <c r="Q2" s="6">
        <v>6.7489999999999994E-2</v>
      </c>
      <c r="R2" s="6">
        <v>7.5069999999999998E-2</v>
      </c>
      <c r="S2" s="6">
        <v>1.9290000000000002E-2</v>
      </c>
      <c r="T2" s="6">
        <v>9.5E-4</v>
      </c>
      <c r="U2" s="6">
        <v>5.987E-2</v>
      </c>
      <c r="V2" s="6">
        <v>6.3270000000000007E-2</v>
      </c>
      <c r="W2" s="6">
        <v>9.0560000000000002E-2</v>
      </c>
      <c r="X2" s="6">
        <v>2.758E-2</v>
      </c>
      <c r="Y2" s="6">
        <v>9.7800000000000005E-3</v>
      </c>
      <c r="Z2" s="6">
        <v>2.3599999999999999E-2</v>
      </c>
      <c r="AA2" s="6">
        <v>1.5E-3</v>
      </c>
      <c r="AB2" s="6">
        <v>1.9740000000000001E-2</v>
      </c>
      <c r="AC2" s="6">
        <v>7.3999999999999999E-4</v>
      </c>
      <c r="AD2" s="1"/>
      <c r="AE2" s="1"/>
    </row>
    <row r="3" spans="2:31" x14ac:dyDescent="0.2">
      <c r="B3" s="7" t="s">
        <v>29</v>
      </c>
      <c r="C3" s="5"/>
      <c r="D3" s="5" t="s">
        <v>8</v>
      </c>
      <c r="E3" s="5" t="s">
        <v>17</v>
      </c>
      <c r="F3" s="5" t="s">
        <v>18</v>
      </c>
      <c r="G3" s="5" t="s">
        <v>5</v>
      </c>
      <c r="H3" s="5" t="s">
        <v>6</v>
      </c>
      <c r="I3" s="5" t="s">
        <v>15</v>
      </c>
      <c r="J3" s="5" t="s">
        <v>16</v>
      </c>
      <c r="K3" s="5" t="s">
        <v>11</v>
      </c>
      <c r="L3" s="5" t="s">
        <v>13</v>
      </c>
      <c r="M3" s="5" t="s">
        <v>24</v>
      </c>
      <c r="N3" s="5" t="s">
        <v>21</v>
      </c>
      <c r="O3" s="5" t="s">
        <v>1</v>
      </c>
      <c r="P3" s="5" t="s">
        <v>12</v>
      </c>
      <c r="Q3" s="5" t="s">
        <v>14</v>
      </c>
      <c r="R3" s="5" t="s">
        <v>2</v>
      </c>
      <c r="S3" s="5" t="s">
        <v>7</v>
      </c>
      <c r="T3" s="5" t="s">
        <v>23</v>
      </c>
      <c r="U3" s="5" t="s">
        <v>9</v>
      </c>
      <c r="V3" s="5" t="s">
        <v>0</v>
      </c>
      <c r="W3" s="5" t="s">
        <v>10</v>
      </c>
      <c r="X3" s="5" t="s">
        <v>19</v>
      </c>
      <c r="Y3" s="5" t="s">
        <v>20</v>
      </c>
      <c r="Z3" s="5" t="s">
        <v>3</v>
      </c>
      <c r="AA3" s="5" t="s">
        <v>22</v>
      </c>
      <c r="AB3" s="5" t="s">
        <v>4</v>
      </c>
      <c r="AC3" s="5" t="s">
        <v>25</v>
      </c>
      <c r="AD3" s="1"/>
      <c r="AE3" s="1"/>
    </row>
    <row r="4" spans="2:31" x14ac:dyDescent="0.2">
      <c r="B4" s="8">
        <v>5.9523809523809521E-2</v>
      </c>
      <c r="C4" s="5" t="s">
        <v>8</v>
      </c>
      <c r="D4" s="5">
        <f>$B4*D$2</f>
        <v>4.8613095238095238E-3</v>
      </c>
      <c r="E4" s="5">
        <f t="shared" ref="E4:AC14" si="0">$B4*E$2</f>
        <v>8.8809523809523796E-4</v>
      </c>
      <c r="F4" s="5">
        <f t="shared" si="0"/>
        <v>1.655952380952381E-3</v>
      </c>
      <c r="G4" s="5">
        <f t="shared" si="0"/>
        <v>2.5315476190476186E-3</v>
      </c>
      <c r="H4" s="5">
        <f t="shared" si="0"/>
        <v>7.5607142857142852E-3</v>
      </c>
      <c r="I4" s="5">
        <f t="shared" si="0"/>
        <v>1.3261904761904763E-3</v>
      </c>
      <c r="J4" s="5">
        <f t="shared" si="0"/>
        <v>1.199404761904762E-3</v>
      </c>
      <c r="K4" s="5">
        <f t="shared" si="0"/>
        <v>3.6273809523809522E-3</v>
      </c>
      <c r="L4" s="5">
        <f t="shared" si="0"/>
        <v>4.1464285714285709E-3</v>
      </c>
      <c r="M4" s="5">
        <f t="shared" si="0"/>
        <v>9.1071428571428559E-5</v>
      </c>
      <c r="N4" s="5">
        <f t="shared" si="0"/>
        <v>4.5952380952380952E-4</v>
      </c>
      <c r="O4" s="5">
        <f t="shared" si="0"/>
        <v>2.3958333333333331E-3</v>
      </c>
      <c r="P4" s="5">
        <f t="shared" si="0"/>
        <v>1.4321428571428571E-3</v>
      </c>
      <c r="Q4" s="5">
        <f t="shared" si="0"/>
        <v>4.0172619047619046E-3</v>
      </c>
      <c r="R4" s="5">
        <f t="shared" si="0"/>
        <v>4.4684523809523802E-3</v>
      </c>
      <c r="S4" s="5">
        <f t="shared" si="0"/>
        <v>1.1482142857142858E-3</v>
      </c>
      <c r="T4" s="5">
        <f t="shared" si="0"/>
        <v>5.6547619047619046E-5</v>
      </c>
      <c r="U4" s="5">
        <f t="shared" si="0"/>
        <v>3.5636904761904759E-3</v>
      </c>
      <c r="V4" s="5">
        <f t="shared" si="0"/>
        <v>3.766071428571429E-3</v>
      </c>
      <c r="W4" s="5">
        <f t="shared" si="0"/>
        <v>5.3904761904761903E-3</v>
      </c>
      <c r="X4" s="5">
        <f t="shared" si="0"/>
        <v>1.6416666666666665E-3</v>
      </c>
      <c r="Y4" s="5">
        <f t="shared" si="0"/>
        <v>5.8214285714285714E-4</v>
      </c>
      <c r="Z4" s="5">
        <f t="shared" si="0"/>
        <v>1.4047619047619047E-3</v>
      </c>
      <c r="AA4" s="5">
        <f t="shared" si="0"/>
        <v>8.9285714285714286E-5</v>
      </c>
      <c r="AB4" s="5">
        <f t="shared" si="0"/>
        <v>1.175E-3</v>
      </c>
      <c r="AC4" s="5">
        <f t="shared" si="0"/>
        <v>4.4047619047619047E-5</v>
      </c>
      <c r="AD4" s="1"/>
      <c r="AE4" s="1"/>
    </row>
    <row r="5" spans="2:31" x14ac:dyDescent="0.2">
      <c r="B5" s="8">
        <v>3.5714285714285712E-2</v>
      </c>
      <c r="C5" s="5" t="s">
        <v>17</v>
      </c>
      <c r="D5" s="5">
        <f t="shared" ref="D5:S29" si="1">$B5*D$2</f>
        <v>2.9167857142857142E-3</v>
      </c>
      <c r="E5" s="5">
        <f t="shared" si="0"/>
        <v>5.3285714285714275E-4</v>
      </c>
      <c r="F5" s="5">
        <f t="shared" si="0"/>
        <v>9.9357142857142851E-4</v>
      </c>
      <c r="G5" s="5">
        <f t="shared" si="0"/>
        <v>1.5189285714285712E-3</v>
      </c>
      <c r="H5" s="5">
        <f t="shared" si="0"/>
        <v>4.5364285714285706E-3</v>
      </c>
      <c r="I5" s="5">
        <f t="shared" si="0"/>
        <v>7.9571428571428566E-4</v>
      </c>
      <c r="J5" s="5">
        <f t="shared" si="0"/>
        <v>7.1964285714285717E-4</v>
      </c>
      <c r="K5" s="5">
        <f t="shared" si="0"/>
        <v>2.1764285714285713E-3</v>
      </c>
      <c r="L5" s="5">
        <f t="shared" si="0"/>
        <v>2.4878571428571428E-3</v>
      </c>
      <c r="M5" s="5">
        <f t="shared" si="0"/>
        <v>5.4642857142857135E-5</v>
      </c>
      <c r="N5" s="5">
        <f t="shared" si="0"/>
        <v>2.7571428571428571E-4</v>
      </c>
      <c r="O5" s="5">
        <f t="shared" si="0"/>
        <v>1.4375E-3</v>
      </c>
      <c r="P5" s="5">
        <f t="shared" si="0"/>
        <v>8.5928571428571434E-4</v>
      </c>
      <c r="Q5" s="5">
        <f t="shared" si="0"/>
        <v>2.4103571428571425E-3</v>
      </c>
      <c r="R5" s="5">
        <f t="shared" si="0"/>
        <v>2.6810714285714285E-3</v>
      </c>
      <c r="S5" s="5">
        <f t="shared" si="0"/>
        <v>6.8892857142857145E-4</v>
      </c>
      <c r="T5" s="5">
        <f t="shared" si="0"/>
        <v>3.3928571428571424E-5</v>
      </c>
      <c r="U5" s="5">
        <f t="shared" si="0"/>
        <v>2.1382142857142854E-3</v>
      </c>
      <c r="V5" s="5">
        <f t="shared" si="0"/>
        <v>2.2596428571428572E-3</v>
      </c>
      <c r="W5" s="5">
        <f t="shared" si="0"/>
        <v>3.2342857142857143E-3</v>
      </c>
      <c r="X5" s="5">
        <f t="shared" si="0"/>
        <v>9.8499999999999998E-4</v>
      </c>
      <c r="Y5" s="5">
        <f t="shared" si="0"/>
        <v>3.492857142857143E-4</v>
      </c>
      <c r="Z5" s="5">
        <f t="shared" si="0"/>
        <v>8.4285714285714281E-4</v>
      </c>
      <c r="AA5" s="5">
        <f t="shared" si="0"/>
        <v>5.3571428571428569E-5</v>
      </c>
      <c r="AB5" s="5">
        <f t="shared" si="0"/>
        <v>7.0500000000000001E-4</v>
      </c>
      <c r="AC5" s="5">
        <f t="shared" si="0"/>
        <v>2.6428571428571428E-5</v>
      </c>
      <c r="AD5" s="1"/>
      <c r="AE5" s="1"/>
    </row>
    <row r="6" spans="2:31" x14ac:dyDescent="0.2">
      <c r="B6" s="8">
        <v>2.3809523809523808E-2</v>
      </c>
      <c r="C6" s="5" t="s">
        <v>18</v>
      </c>
      <c r="D6" s="5">
        <f t="shared" si="1"/>
        <v>1.9445238095238096E-3</v>
      </c>
      <c r="E6" s="5">
        <f t="shared" si="0"/>
        <v>3.552380952380952E-4</v>
      </c>
      <c r="F6" s="5">
        <f t="shared" si="0"/>
        <v>6.6238095238095238E-4</v>
      </c>
      <c r="G6" s="5">
        <f t="shared" si="0"/>
        <v>1.0126190476190476E-3</v>
      </c>
      <c r="H6" s="5">
        <f t="shared" si="0"/>
        <v>3.0242857142857142E-3</v>
      </c>
      <c r="I6" s="5">
        <f t="shared" si="0"/>
        <v>5.3047619047619048E-4</v>
      </c>
      <c r="J6" s="5">
        <f t="shared" si="0"/>
        <v>4.7976190476190476E-4</v>
      </c>
      <c r="K6" s="5">
        <f t="shared" si="0"/>
        <v>1.4509523809523809E-3</v>
      </c>
      <c r="L6" s="5">
        <f t="shared" si="0"/>
        <v>1.6585714285714285E-3</v>
      </c>
      <c r="M6" s="5">
        <f t="shared" si="0"/>
        <v>3.6428571428571423E-5</v>
      </c>
      <c r="N6" s="5">
        <f t="shared" si="0"/>
        <v>1.8380952380952381E-4</v>
      </c>
      <c r="O6" s="5">
        <f t="shared" si="0"/>
        <v>9.5833333333333328E-4</v>
      </c>
      <c r="P6" s="5">
        <f t="shared" si="0"/>
        <v>5.7285714285714286E-4</v>
      </c>
      <c r="Q6" s="5">
        <f t="shared" si="0"/>
        <v>1.6069047619047616E-3</v>
      </c>
      <c r="R6" s="5">
        <f t="shared" si="0"/>
        <v>1.7873809523809522E-3</v>
      </c>
      <c r="S6" s="5">
        <f t="shared" si="0"/>
        <v>4.5928571428571432E-4</v>
      </c>
      <c r="T6" s="5">
        <f t="shared" si="0"/>
        <v>2.2619047619047619E-5</v>
      </c>
      <c r="U6" s="5">
        <f t="shared" si="0"/>
        <v>1.4254761904761903E-3</v>
      </c>
      <c r="V6" s="5">
        <f t="shared" si="0"/>
        <v>1.5064285714285715E-3</v>
      </c>
      <c r="W6" s="5">
        <f t="shared" si="0"/>
        <v>2.156190476190476E-3</v>
      </c>
      <c r="X6" s="5">
        <f t="shared" si="0"/>
        <v>6.5666666666666662E-4</v>
      </c>
      <c r="Y6" s="5">
        <f t="shared" si="0"/>
        <v>2.3285714285714286E-4</v>
      </c>
      <c r="Z6" s="5">
        <f t="shared" si="0"/>
        <v>5.6190476190476183E-4</v>
      </c>
      <c r="AA6" s="5">
        <f t="shared" si="0"/>
        <v>3.571428571428571E-5</v>
      </c>
      <c r="AB6" s="5">
        <f t="shared" si="0"/>
        <v>4.6999999999999999E-4</v>
      </c>
      <c r="AC6" s="5">
        <f t="shared" si="0"/>
        <v>1.7619047619047616E-5</v>
      </c>
      <c r="AD6" s="1"/>
      <c r="AE6" s="1"/>
    </row>
    <row r="7" spans="2:31" x14ac:dyDescent="0.2">
      <c r="B7" s="8">
        <v>2.3809523809523808E-2</v>
      </c>
      <c r="C7" s="5" t="s">
        <v>5</v>
      </c>
      <c r="D7" s="5">
        <f t="shared" si="1"/>
        <v>1.9445238095238096E-3</v>
      </c>
      <c r="E7" s="5">
        <f t="shared" si="0"/>
        <v>3.552380952380952E-4</v>
      </c>
      <c r="F7" s="5">
        <f t="shared" si="0"/>
        <v>6.6238095238095238E-4</v>
      </c>
      <c r="G7" s="5">
        <f t="shared" si="0"/>
        <v>1.0126190476190476E-3</v>
      </c>
      <c r="H7" s="5">
        <f t="shared" si="0"/>
        <v>3.0242857142857142E-3</v>
      </c>
      <c r="I7" s="5">
        <f t="shared" si="0"/>
        <v>5.3047619047619048E-4</v>
      </c>
      <c r="J7" s="5">
        <f t="shared" si="0"/>
        <v>4.7976190476190476E-4</v>
      </c>
      <c r="K7" s="5">
        <f t="shared" si="0"/>
        <v>1.4509523809523809E-3</v>
      </c>
      <c r="L7" s="5">
        <f t="shared" si="0"/>
        <v>1.6585714285714285E-3</v>
      </c>
      <c r="M7" s="5">
        <f t="shared" si="0"/>
        <v>3.6428571428571423E-5</v>
      </c>
      <c r="N7" s="5">
        <f t="shared" si="0"/>
        <v>1.8380952380952381E-4</v>
      </c>
      <c r="O7" s="5">
        <f t="shared" si="0"/>
        <v>9.5833333333333328E-4</v>
      </c>
      <c r="P7" s="5">
        <f t="shared" si="0"/>
        <v>5.7285714285714286E-4</v>
      </c>
      <c r="Q7" s="5">
        <f t="shared" si="0"/>
        <v>1.6069047619047616E-3</v>
      </c>
      <c r="R7" s="5">
        <f t="shared" si="0"/>
        <v>1.7873809523809522E-3</v>
      </c>
      <c r="S7" s="5">
        <f t="shared" si="0"/>
        <v>4.5928571428571432E-4</v>
      </c>
      <c r="T7" s="5">
        <f t="shared" si="0"/>
        <v>2.2619047619047619E-5</v>
      </c>
      <c r="U7" s="5">
        <f t="shared" si="0"/>
        <v>1.4254761904761903E-3</v>
      </c>
      <c r="V7" s="5">
        <f t="shared" si="0"/>
        <v>1.5064285714285715E-3</v>
      </c>
      <c r="W7" s="5">
        <f t="shared" si="0"/>
        <v>2.156190476190476E-3</v>
      </c>
      <c r="X7" s="5">
        <f t="shared" si="0"/>
        <v>6.5666666666666662E-4</v>
      </c>
      <c r="Y7" s="5">
        <f t="shared" si="0"/>
        <v>2.3285714285714286E-4</v>
      </c>
      <c r="Z7" s="5">
        <f t="shared" si="0"/>
        <v>5.6190476190476183E-4</v>
      </c>
      <c r="AA7" s="5">
        <f t="shared" si="0"/>
        <v>3.571428571428571E-5</v>
      </c>
      <c r="AB7" s="5">
        <f t="shared" si="0"/>
        <v>4.6999999999999999E-4</v>
      </c>
      <c r="AC7" s="5">
        <f t="shared" si="0"/>
        <v>1.7619047619047616E-5</v>
      </c>
      <c r="AD7" s="1"/>
      <c r="AE7" s="1"/>
    </row>
    <row r="8" spans="2:31" x14ac:dyDescent="0.2">
      <c r="B8" s="8">
        <v>4.7619047619047616E-2</v>
      </c>
      <c r="C8" s="5" t="s">
        <v>6</v>
      </c>
      <c r="D8" s="5">
        <f t="shared" si="1"/>
        <v>3.8890476190476192E-3</v>
      </c>
      <c r="E8" s="5">
        <f t="shared" si="0"/>
        <v>7.1047619047619041E-4</v>
      </c>
      <c r="F8" s="5">
        <f t="shared" si="0"/>
        <v>1.3247619047619048E-3</v>
      </c>
      <c r="G8" s="5">
        <f t="shared" si="0"/>
        <v>2.0252380952380951E-3</v>
      </c>
      <c r="H8" s="5">
        <f t="shared" si="0"/>
        <v>6.0485714285714283E-3</v>
      </c>
      <c r="I8" s="5">
        <f t="shared" si="0"/>
        <v>1.060952380952381E-3</v>
      </c>
      <c r="J8" s="5">
        <f t="shared" si="0"/>
        <v>9.5952380952380953E-4</v>
      </c>
      <c r="K8" s="5">
        <f t="shared" si="0"/>
        <v>2.9019047619047618E-3</v>
      </c>
      <c r="L8" s="5">
        <f t="shared" si="0"/>
        <v>3.317142857142857E-3</v>
      </c>
      <c r="M8" s="5">
        <f t="shared" si="0"/>
        <v>7.2857142857142847E-5</v>
      </c>
      <c r="N8" s="5">
        <f t="shared" si="0"/>
        <v>3.6761904761904761E-4</v>
      </c>
      <c r="O8" s="5">
        <f t="shared" si="0"/>
        <v>1.9166666666666666E-3</v>
      </c>
      <c r="P8" s="5">
        <f t="shared" si="0"/>
        <v>1.1457142857142857E-3</v>
      </c>
      <c r="Q8" s="5">
        <f t="shared" si="0"/>
        <v>3.2138095238095233E-3</v>
      </c>
      <c r="R8" s="5">
        <f t="shared" si="0"/>
        <v>3.5747619047619044E-3</v>
      </c>
      <c r="S8" s="5">
        <f t="shared" si="0"/>
        <v>9.1857142857142864E-4</v>
      </c>
      <c r="T8" s="5">
        <f t="shared" si="0"/>
        <v>4.5238095238095238E-5</v>
      </c>
      <c r="U8" s="5">
        <f t="shared" si="0"/>
        <v>2.8509523809523807E-3</v>
      </c>
      <c r="V8" s="5">
        <f t="shared" si="0"/>
        <v>3.0128571428571431E-3</v>
      </c>
      <c r="W8" s="5">
        <f t="shared" si="0"/>
        <v>4.3123809523809521E-3</v>
      </c>
      <c r="X8" s="5">
        <f t="shared" si="0"/>
        <v>1.3133333333333332E-3</v>
      </c>
      <c r="Y8" s="5">
        <f t="shared" si="0"/>
        <v>4.6571428571428572E-4</v>
      </c>
      <c r="Z8" s="5">
        <f t="shared" si="0"/>
        <v>1.1238095238095237E-3</v>
      </c>
      <c r="AA8" s="5">
        <f t="shared" si="0"/>
        <v>7.142857142857142E-5</v>
      </c>
      <c r="AB8" s="5">
        <f t="shared" si="0"/>
        <v>9.3999999999999997E-4</v>
      </c>
      <c r="AC8" s="5">
        <f t="shared" si="0"/>
        <v>3.5238095238095232E-5</v>
      </c>
      <c r="AD8" s="1"/>
      <c r="AE8" s="1"/>
    </row>
    <row r="9" spans="2:31" x14ac:dyDescent="0.2">
      <c r="B9" s="8">
        <v>6.5476190476190479E-2</v>
      </c>
      <c r="C9" s="5" t="s">
        <v>15</v>
      </c>
      <c r="D9" s="5">
        <f t="shared" si="1"/>
        <v>5.347440476190477E-3</v>
      </c>
      <c r="E9" s="5">
        <f t="shared" si="0"/>
        <v>9.7690476190476195E-4</v>
      </c>
      <c r="F9" s="5">
        <f t="shared" si="0"/>
        <v>1.8215476190476191E-3</v>
      </c>
      <c r="G9" s="5">
        <f t="shared" si="0"/>
        <v>2.7847023809523812E-3</v>
      </c>
      <c r="H9" s="5">
        <f t="shared" si="0"/>
        <v>8.3167857142857141E-3</v>
      </c>
      <c r="I9" s="5">
        <f t="shared" si="0"/>
        <v>1.4588095238095239E-3</v>
      </c>
      <c r="J9" s="5">
        <f t="shared" si="0"/>
        <v>1.3193452380952382E-3</v>
      </c>
      <c r="K9" s="5">
        <f t="shared" si="0"/>
        <v>3.9901190476190479E-3</v>
      </c>
      <c r="L9" s="5">
        <f t="shared" si="0"/>
        <v>4.5610714285714291E-3</v>
      </c>
      <c r="M9" s="5">
        <f t="shared" si="0"/>
        <v>1.0017857142857143E-4</v>
      </c>
      <c r="N9" s="5">
        <f t="shared" si="0"/>
        <v>5.0547619047619052E-4</v>
      </c>
      <c r="O9" s="5">
        <f t="shared" si="0"/>
        <v>2.635416666666667E-3</v>
      </c>
      <c r="P9" s="5">
        <f t="shared" si="0"/>
        <v>1.5753571428571431E-3</v>
      </c>
      <c r="Q9" s="5">
        <f t="shared" si="0"/>
        <v>4.4189880952380948E-3</v>
      </c>
      <c r="R9" s="5">
        <f t="shared" si="0"/>
        <v>4.9152976190476195E-3</v>
      </c>
      <c r="S9" s="5">
        <f t="shared" si="0"/>
        <v>1.2630357142857144E-3</v>
      </c>
      <c r="T9" s="5">
        <f t="shared" si="0"/>
        <v>6.2202380952380954E-5</v>
      </c>
      <c r="U9" s="5">
        <f t="shared" si="0"/>
        <v>3.9200595238095236E-3</v>
      </c>
      <c r="V9" s="5">
        <f t="shared" si="0"/>
        <v>4.1426785714285723E-3</v>
      </c>
      <c r="W9" s="5">
        <f t="shared" si="0"/>
        <v>5.9295238095238099E-3</v>
      </c>
      <c r="X9" s="5">
        <f t="shared" si="0"/>
        <v>1.8058333333333336E-3</v>
      </c>
      <c r="Y9" s="5">
        <f t="shared" si="0"/>
        <v>6.4035714285714293E-4</v>
      </c>
      <c r="Z9" s="5">
        <f t="shared" si="0"/>
        <v>1.5452380952380952E-3</v>
      </c>
      <c r="AA9" s="5">
        <f t="shared" si="0"/>
        <v>9.8214285714285718E-5</v>
      </c>
      <c r="AB9" s="5">
        <f t="shared" si="0"/>
        <v>1.2925E-3</v>
      </c>
      <c r="AC9" s="5">
        <f t="shared" si="0"/>
        <v>4.8452380952380951E-5</v>
      </c>
      <c r="AD9" s="1"/>
      <c r="AE9" s="1"/>
    </row>
    <row r="10" spans="2:31" x14ac:dyDescent="0.2">
      <c r="B10" s="8">
        <v>3.5714285714285712E-2</v>
      </c>
      <c r="C10" s="5" t="s">
        <v>16</v>
      </c>
      <c r="D10" s="5">
        <f t="shared" si="1"/>
        <v>2.9167857142857142E-3</v>
      </c>
      <c r="E10" s="5">
        <f t="shared" si="0"/>
        <v>5.3285714285714275E-4</v>
      </c>
      <c r="F10" s="5">
        <f t="shared" si="0"/>
        <v>9.9357142857142851E-4</v>
      </c>
      <c r="G10" s="5">
        <f t="shared" si="0"/>
        <v>1.5189285714285712E-3</v>
      </c>
      <c r="H10" s="5">
        <f t="shared" si="0"/>
        <v>4.5364285714285706E-3</v>
      </c>
      <c r="I10" s="5">
        <f t="shared" si="0"/>
        <v>7.9571428571428566E-4</v>
      </c>
      <c r="J10" s="5">
        <f t="shared" si="0"/>
        <v>7.1964285714285717E-4</v>
      </c>
      <c r="K10" s="5">
        <f t="shared" si="0"/>
        <v>2.1764285714285713E-3</v>
      </c>
      <c r="L10" s="5">
        <f t="shared" si="0"/>
        <v>2.4878571428571428E-3</v>
      </c>
      <c r="M10" s="5">
        <f t="shared" si="0"/>
        <v>5.4642857142857135E-5</v>
      </c>
      <c r="N10" s="5">
        <f t="shared" si="0"/>
        <v>2.7571428571428571E-4</v>
      </c>
      <c r="O10" s="5">
        <f t="shared" si="0"/>
        <v>1.4375E-3</v>
      </c>
      <c r="P10" s="5">
        <f t="shared" si="0"/>
        <v>8.5928571428571434E-4</v>
      </c>
      <c r="Q10" s="5">
        <f t="shared" si="0"/>
        <v>2.4103571428571425E-3</v>
      </c>
      <c r="R10" s="5">
        <f t="shared" si="0"/>
        <v>2.6810714285714285E-3</v>
      </c>
      <c r="S10" s="5">
        <f t="shared" si="0"/>
        <v>6.8892857142857145E-4</v>
      </c>
      <c r="T10" s="5">
        <f t="shared" si="0"/>
        <v>3.3928571428571424E-5</v>
      </c>
      <c r="U10" s="5">
        <f t="shared" si="0"/>
        <v>2.1382142857142854E-3</v>
      </c>
      <c r="V10" s="5">
        <f t="shared" si="0"/>
        <v>2.2596428571428572E-3</v>
      </c>
      <c r="W10" s="5">
        <f t="shared" si="0"/>
        <v>3.2342857142857143E-3</v>
      </c>
      <c r="X10" s="5">
        <f t="shared" si="0"/>
        <v>9.8499999999999998E-4</v>
      </c>
      <c r="Y10" s="5">
        <f t="shared" si="0"/>
        <v>3.492857142857143E-4</v>
      </c>
      <c r="Z10" s="5">
        <f t="shared" si="0"/>
        <v>8.4285714285714281E-4</v>
      </c>
      <c r="AA10" s="5">
        <f t="shared" si="0"/>
        <v>5.3571428571428569E-5</v>
      </c>
      <c r="AB10" s="5">
        <f t="shared" si="0"/>
        <v>7.0500000000000001E-4</v>
      </c>
      <c r="AC10" s="5">
        <f t="shared" si="0"/>
        <v>2.6428571428571428E-5</v>
      </c>
      <c r="AD10" s="1"/>
      <c r="AE10" s="1"/>
    </row>
    <row r="11" spans="2:31" x14ac:dyDescent="0.2">
      <c r="B11" s="8">
        <v>6.5476190476190479E-2</v>
      </c>
      <c r="C11" s="5" t="s">
        <v>11</v>
      </c>
      <c r="D11" s="5">
        <f t="shared" si="1"/>
        <v>5.347440476190477E-3</v>
      </c>
      <c r="E11" s="5">
        <f t="shared" si="0"/>
        <v>9.7690476190476195E-4</v>
      </c>
      <c r="F11" s="5">
        <f t="shared" si="0"/>
        <v>1.8215476190476191E-3</v>
      </c>
      <c r="G11" s="5">
        <f t="shared" si="0"/>
        <v>2.7847023809523812E-3</v>
      </c>
      <c r="H11" s="5">
        <f t="shared" si="0"/>
        <v>8.3167857142857141E-3</v>
      </c>
      <c r="I11" s="5">
        <f t="shared" si="0"/>
        <v>1.4588095238095239E-3</v>
      </c>
      <c r="J11" s="5">
        <f t="shared" si="0"/>
        <v>1.3193452380952382E-3</v>
      </c>
      <c r="K11" s="5">
        <f t="shared" si="0"/>
        <v>3.9901190476190479E-3</v>
      </c>
      <c r="L11" s="5">
        <f t="shared" si="0"/>
        <v>4.5610714285714291E-3</v>
      </c>
      <c r="M11" s="5">
        <f t="shared" si="0"/>
        <v>1.0017857142857143E-4</v>
      </c>
      <c r="N11" s="5">
        <f t="shared" si="0"/>
        <v>5.0547619047619052E-4</v>
      </c>
      <c r="O11" s="5">
        <f t="shared" si="0"/>
        <v>2.635416666666667E-3</v>
      </c>
      <c r="P11" s="5">
        <f t="shared" si="0"/>
        <v>1.5753571428571431E-3</v>
      </c>
      <c r="Q11" s="5">
        <f t="shared" si="0"/>
        <v>4.4189880952380948E-3</v>
      </c>
      <c r="R11" s="5">
        <f t="shared" si="0"/>
        <v>4.9152976190476195E-3</v>
      </c>
      <c r="S11" s="5">
        <f t="shared" si="0"/>
        <v>1.2630357142857144E-3</v>
      </c>
      <c r="T11" s="5">
        <f t="shared" si="0"/>
        <v>6.2202380952380954E-5</v>
      </c>
      <c r="U11" s="5">
        <f t="shared" si="0"/>
        <v>3.9200595238095236E-3</v>
      </c>
      <c r="V11" s="5">
        <f t="shared" si="0"/>
        <v>4.1426785714285723E-3</v>
      </c>
      <c r="W11" s="5">
        <f t="shared" si="0"/>
        <v>5.9295238095238099E-3</v>
      </c>
      <c r="X11" s="5">
        <f t="shared" si="0"/>
        <v>1.8058333333333336E-3</v>
      </c>
      <c r="Y11" s="5">
        <f t="shared" si="0"/>
        <v>6.4035714285714293E-4</v>
      </c>
      <c r="Z11" s="5">
        <f t="shared" si="0"/>
        <v>1.5452380952380952E-3</v>
      </c>
      <c r="AA11" s="5">
        <f t="shared" si="0"/>
        <v>9.8214285714285718E-5</v>
      </c>
      <c r="AB11" s="5">
        <f t="shared" si="0"/>
        <v>1.2925E-3</v>
      </c>
      <c r="AC11" s="5">
        <f t="shared" si="0"/>
        <v>4.8452380952380951E-5</v>
      </c>
      <c r="AD11" s="1"/>
      <c r="AE11" s="1"/>
    </row>
    <row r="12" spans="2:31" x14ac:dyDescent="0.2">
      <c r="B12" s="8">
        <v>3.5714285714285712E-2</v>
      </c>
      <c r="C12" s="5" t="s">
        <v>13</v>
      </c>
      <c r="D12" s="5">
        <f t="shared" si="1"/>
        <v>2.9167857142857142E-3</v>
      </c>
      <c r="E12" s="5">
        <f t="shared" si="0"/>
        <v>5.3285714285714275E-4</v>
      </c>
      <c r="F12" s="5">
        <f t="shared" si="0"/>
        <v>9.9357142857142851E-4</v>
      </c>
      <c r="G12" s="5">
        <f t="shared" si="0"/>
        <v>1.5189285714285712E-3</v>
      </c>
      <c r="H12" s="5">
        <f t="shared" si="0"/>
        <v>4.5364285714285706E-3</v>
      </c>
      <c r="I12" s="5">
        <f t="shared" si="0"/>
        <v>7.9571428571428566E-4</v>
      </c>
      <c r="J12" s="5">
        <f t="shared" si="0"/>
        <v>7.1964285714285717E-4</v>
      </c>
      <c r="K12" s="5">
        <f t="shared" si="0"/>
        <v>2.1764285714285713E-3</v>
      </c>
      <c r="L12" s="5">
        <f t="shared" si="0"/>
        <v>2.4878571428571428E-3</v>
      </c>
      <c r="M12" s="5">
        <f t="shared" si="0"/>
        <v>5.4642857142857135E-5</v>
      </c>
      <c r="N12" s="5">
        <f t="shared" si="0"/>
        <v>2.7571428571428571E-4</v>
      </c>
      <c r="O12" s="5">
        <f t="shared" si="0"/>
        <v>1.4375E-3</v>
      </c>
      <c r="P12" s="5">
        <f t="shared" si="0"/>
        <v>8.5928571428571434E-4</v>
      </c>
      <c r="Q12" s="5">
        <f t="shared" si="0"/>
        <v>2.4103571428571425E-3</v>
      </c>
      <c r="R12" s="5">
        <f t="shared" si="0"/>
        <v>2.6810714285714285E-3</v>
      </c>
      <c r="S12" s="5">
        <f t="shared" si="0"/>
        <v>6.8892857142857145E-4</v>
      </c>
      <c r="T12" s="5">
        <f t="shared" si="0"/>
        <v>3.3928571428571424E-5</v>
      </c>
      <c r="U12" s="5">
        <f t="shared" si="0"/>
        <v>2.1382142857142854E-3</v>
      </c>
      <c r="V12" s="5">
        <f t="shared" si="0"/>
        <v>2.2596428571428572E-3</v>
      </c>
      <c r="W12" s="5">
        <f t="shared" si="0"/>
        <v>3.2342857142857143E-3</v>
      </c>
      <c r="X12" s="5">
        <f t="shared" si="0"/>
        <v>9.8499999999999998E-4</v>
      </c>
      <c r="Y12" s="5">
        <f t="shared" si="0"/>
        <v>3.492857142857143E-4</v>
      </c>
      <c r="Z12" s="5">
        <f t="shared" si="0"/>
        <v>8.4285714285714281E-4</v>
      </c>
      <c r="AA12" s="5">
        <f t="shared" si="0"/>
        <v>5.3571428571428569E-5</v>
      </c>
      <c r="AB12" s="5">
        <f t="shared" si="0"/>
        <v>7.0500000000000001E-4</v>
      </c>
      <c r="AC12" s="5">
        <f t="shared" si="0"/>
        <v>2.6428571428571428E-5</v>
      </c>
      <c r="AD12" s="1"/>
      <c r="AE12" s="1"/>
    </row>
    <row r="13" spans="2:31" x14ac:dyDescent="0.2">
      <c r="B13" s="8">
        <v>2.3809523809523808E-2</v>
      </c>
      <c r="C13" s="5" t="s">
        <v>24</v>
      </c>
      <c r="D13" s="5">
        <f t="shared" si="1"/>
        <v>1.9445238095238096E-3</v>
      </c>
      <c r="E13" s="5">
        <f t="shared" si="0"/>
        <v>3.552380952380952E-4</v>
      </c>
      <c r="F13" s="5">
        <f t="shared" si="0"/>
        <v>6.6238095238095238E-4</v>
      </c>
      <c r="G13" s="5">
        <f t="shared" si="0"/>
        <v>1.0126190476190476E-3</v>
      </c>
      <c r="H13" s="5">
        <f t="shared" si="0"/>
        <v>3.0242857142857142E-3</v>
      </c>
      <c r="I13" s="5">
        <f t="shared" si="0"/>
        <v>5.3047619047619048E-4</v>
      </c>
      <c r="J13" s="5">
        <f t="shared" si="0"/>
        <v>4.7976190476190476E-4</v>
      </c>
      <c r="K13" s="5">
        <f t="shared" si="0"/>
        <v>1.4509523809523809E-3</v>
      </c>
      <c r="L13" s="5">
        <f t="shared" si="0"/>
        <v>1.6585714285714285E-3</v>
      </c>
      <c r="M13" s="5">
        <f t="shared" si="0"/>
        <v>3.6428571428571423E-5</v>
      </c>
      <c r="N13" s="5">
        <f t="shared" si="0"/>
        <v>1.8380952380952381E-4</v>
      </c>
      <c r="O13" s="5">
        <f t="shared" si="0"/>
        <v>9.5833333333333328E-4</v>
      </c>
      <c r="P13" s="5">
        <f t="shared" si="0"/>
        <v>5.7285714285714286E-4</v>
      </c>
      <c r="Q13" s="5">
        <f t="shared" si="0"/>
        <v>1.6069047619047616E-3</v>
      </c>
      <c r="R13" s="5">
        <f t="shared" si="0"/>
        <v>1.7873809523809522E-3</v>
      </c>
      <c r="S13" s="5">
        <f t="shared" si="0"/>
        <v>4.5928571428571432E-4</v>
      </c>
      <c r="T13" s="5">
        <f t="shared" si="0"/>
        <v>2.2619047619047619E-5</v>
      </c>
      <c r="U13" s="5">
        <f t="shared" si="0"/>
        <v>1.4254761904761903E-3</v>
      </c>
      <c r="V13" s="5">
        <f t="shared" si="0"/>
        <v>1.5064285714285715E-3</v>
      </c>
      <c r="W13" s="5">
        <f t="shared" si="0"/>
        <v>2.156190476190476E-3</v>
      </c>
      <c r="X13" s="5">
        <f t="shared" si="0"/>
        <v>6.5666666666666662E-4</v>
      </c>
      <c r="Y13" s="5">
        <f t="shared" si="0"/>
        <v>2.3285714285714286E-4</v>
      </c>
      <c r="Z13" s="5">
        <f t="shared" si="0"/>
        <v>5.6190476190476183E-4</v>
      </c>
      <c r="AA13" s="5">
        <f t="shared" si="0"/>
        <v>3.571428571428571E-5</v>
      </c>
      <c r="AB13" s="5">
        <f t="shared" si="0"/>
        <v>4.6999999999999999E-4</v>
      </c>
      <c r="AC13" s="5">
        <f t="shared" si="0"/>
        <v>1.7619047619047616E-5</v>
      </c>
      <c r="AD13" s="1"/>
      <c r="AE13" s="1"/>
    </row>
    <row r="14" spans="2:31" x14ac:dyDescent="0.2">
      <c r="B14" s="8">
        <v>5.3571428571428568E-2</v>
      </c>
      <c r="C14" s="5" t="s">
        <v>21</v>
      </c>
      <c r="D14" s="5">
        <f t="shared" si="1"/>
        <v>4.3751785714285715E-3</v>
      </c>
      <c r="E14" s="5">
        <f t="shared" si="0"/>
        <v>7.9928571428571418E-4</v>
      </c>
      <c r="F14" s="5">
        <f t="shared" si="0"/>
        <v>1.4903571428571429E-3</v>
      </c>
      <c r="G14" s="5">
        <f t="shared" si="0"/>
        <v>2.2783928571428569E-3</v>
      </c>
      <c r="H14" s="5">
        <f t="shared" si="0"/>
        <v>6.8046428571428563E-3</v>
      </c>
      <c r="I14" s="5">
        <f t="shared" si="0"/>
        <v>1.1935714285714286E-3</v>
      </c>
      <c r="J14" s="5">
        <f t="shared" ref="J14:Y29" si="2">$B14*J$2</f>
        <v>1.0794642857142858E-3</v>
      </c>
      <c r="K14" s="5">
        <f t="shared" si="2"/>
        <v>3.264642857142857E-3</v>
      </c>
      <c r="L14" s="5">
        <f t="shared" si="2"/>
        <v>3.731785714285714E-3</v>
      </c>
      <c r="M14" s="5">
        <f t="shared" si="2"/>
        <v>8.1964285714285703E-5</v>
      </c>
      <c r="N14" s="5">
        <f t="shared" si="2"/>
        <v>4.1357142857142856E-4</v>
      </c>
      <c r="O14" s="5">
        <f t="shared" si="2"/>
        <v>2.1562499999999997E-3</v>
      </c>
      <c r="P14" s="5">
        <f t="shared" si="2"/>
        <v>1.2889285714285715E-3</v>
      </c>
      <c r="Q14" s="5">
        <f t="shared" si="2"/>
        <v>3.6155357142857139E-3</v>
      </c>
      <c r="R14" s="5">
        <f t="shared" si="2"/>
        <v>4.0216071428571427E-3</v>
      </c>
      <c r="S14" s="5">
        <f t="shared" si="2"/>
        <v>1.0333928571428571E-3</v>
      </c>
      <c r="T14" s="5">
        <f t="shared" si="2"/>
        <v>5.0892857142857139E-5</v>
      </c>
      <c r="U14" s="5">
        <f t="shared" si="2"/>
        <v>3.2073214285714283E-3</v>
      </c>
      <c r="V14" s="5">
        <f t="shared" si="2"/>
        <v>3.389464285714286E-3</v>
      </c>
      <c r="W14" s="5">
        <f t="shared" si="2"/>
        <v>4.8514285714285716E-3</v>
      </c>
      <c r="X14" s="5">
        <f t="shared" si="2"/>
        <v>1.4774999999999999E-3</v>
      </c>
      <c r="Y14" s="5">
        <f t="shared" si="2"/>
        <v>5.2392857142857146E-4</v>
      </c>
      <c r="Z14" s="5">
        <f t="shared" ref="Z14:AC29" si="3">$B14*Z$2</f>
        <v>1.2642857142857141E-3</v>
      </c>
      <c r="AA14" s="5">
        <f t="shared" si="3"/>
        <v>8.0357142857142853E-5</v>
      </c>
      <c r="AB14" s="5">
        <f t="shared" si="3"/>
        <v>1.0575000000000001E-3</v>
      </c>
      <c r="AC14" s="5">
        <f t="shared" si="3"/>
        <v>3.9642857142857143E-5</v>
      </c>
      <c r="AD14" s="1"/>
      <c r="AE14" s="1"/>
    </row>
    <row r="15" spans="2:31" x14ac:dyDescent="0.2">
      <c r="B15" s="8">
        <v>2.3809523809523808E-2</v>
      </c>
      <c r="C15" s="5" t="s">
        <v>1</v>
      </c>
      <c r="D15" s="5">
        <f t="shared" si="1"/>
        <v>1.9445238095238096E-3</v>
      </c>
      <c r="E15" s="5">
        <f t="shared" si="1"/>
        <v>3.552380952380952E-4</v>
      </c>
      <c r="F15" s="5">
        <f t="shared" si="1"/>
        <v>6.6238095238095238E-4</v>
      </c>
      <c r="G15" s="5">
        <f t="shared" si="1"/>
        <v>1.0126190476190476E-3</v>
      </c>
      <c r="H15" s="5">
        <f t="shared" si="1"/>
        <v>3.0242857142857142E-3</v>
      </c>
      <c r="I15" s="5">
        <f t="shared" si="1"/>
        <v>5.3047619047619048E-4</v>
      </c>
      <c r="J15" s="5">
        <f t="shared" si="1"/>
        <v>4.7976190476190476E-4</v>
      </c>
      <c r="K15" s="5">
        <f t="shared" si="1"/>
        <v>1.4509523809523809E-3</v>
      </c>
      <c r="L15" s="5">
        <f t="shared" si="1"/>
        <v>1.6585714285714285E-3</v>
      </c>
      <c r="M15" s="5">
        <f t="shared" si="1"/>
        <v>3.6428571428571423E-5</v>
      </c>
      <c r="N15" s="5">
        <f t="shared" si="1"/>
        <v>1.8380952380952381E-4</v>
      </c>
      <c r="O15" s="5">
        <f t="shared" si="1"/>
        <v>9.5833333333333328E-4</v>
      </c>
      <c r="P15" s="5">
        <f t="shared" si="1"/>
        <v>5.7285714285714286E-4</v>
      </c>
      <c r="Q15" s="5">
        <f t="shared" si="1"/>
        <v>1.6069047619047616E-3</v>
      </c>
      <c r="R15" s="5">
        <f t="shared" si="1"/>
        <v>1.7873809523809522E-3</v>
      </c>
      <c r="S15" s="5">
        <f t="shared" si="1"/>
        <v>4.5928571428571432E-4</v>
      </c>
      <c r="T15" s="5">
        <f t="shared" si="2"/>
        <v>2.2619047619047619E-5</v>
      </c>
      <c r="U15" s="5">
        <f t="shared" si="2"/>
        <v>1.4254761904761903E-3</v>
      </c>
      <c r="V15" s="5">
        <f t="shared" si="2"/>
        <v>1.5064285714285715E-3</v>
      </c>
      <c r="W15" s="5">
        <f t="shared" si="2"/>
        <v>2.156190476190476E-3</v>
      </c>
      <c r="X15" s="5">
        <f t="shared" si="2"/>
        <v>6.5666666666666662E-4</v>
      </c>
      <c r="Y15" s="5">
        <f t="shared" si="2"/>
        <v>2.3285714285714286E-4</v>
      </c>
      <c r="Z15" s="5">
        <f t="shared" si="3"/>
        <v>5.6190476190476183E-4</v>
      </c>
      <c r="AA15" s="5">
        <f t="shared" si="3"/>
        <v>3.571428571428571E-5</v>
      </c>
      <c r="AB15" s="5">
        <f t="shared" si="3"/>
        <v>4.6999999999999999E-4</v>
      </c>
      <c r="AC15" s="5">
        <f t="shared" si="3"/>
        <v>1.7619047619047616E-5</v>
      </c>
      <c r="AD15" s="1"/>
      <c r="AE15" s="1"/>
    </row>
    <row r="16" spans="2:31" x14ac:dyDescent="0.2">
      <c r="B16" s="8">
        <v>4.1666666666666664E-2</v>
      </c>
      <c r="C16" s="5" t="s">
        <v>12</v>
      </c>
      <c r="D16" s="5">
        <f t="shared" si="1"/>
        <v>3.4029166666666669E-3</v>
      </c>
      <c r="E16" s="5">
        <f t="shared" si="1"/>
        <v>6.2166666666666663E-4</v>
      </c>
      <c r="F16" s="5">
        <f t="shared" si="1"/>
        <v>1.1591666666666666E-3</v>
      </c>
      <c r="G16" s="5">
        <f t="shared" si="1"/>
        <v>1.7720833333333332E-3</v>
      </c>
      <c r="H16" s="5">
        <f t="shared" si="1"/>
        <v>5.2924999999999995E-3</v>
      </c>
      <c r="I16" s="5">
        <f t="shared" si="1"/>
        <v>9.2833333333333331E-4</v>
      </c>
      <c r="J16" s="5">
        <f t="shared" si="1"/>
        <v>8.3958333333333335E-4</v>
      </c>
      <c r="K16" s="5">
        <f t="shared" si="1"/>
        <v>2.5391666666666666E-3</v>
      </c>
      <c r="L16" s="5">
        <f t="shared" si="1"/>
        <v>2.9024999999999997E-3</v>
      </c>
      <c r="M16" s="5">
        <f t="shared" si="1"/>
        <v>6.3749999999999991E-5</v>
      </c>
      <c r="N16" s="5">
        <f t="shared" si="1"/>
        <v>3.2166666666666666E-4</v>
      </c>
      <c r="O16" s="5">
        <f t="shared" si="1"/>
        <v>1.6770833333333334E-3</v>
      </c>
      <c r="P16" s="5">
        <f t="shared" si="1"/>
        <v>1.0024999999999999E-3</v>
      </c>
      <c r="Q16" s="5">
        <f t="shared" si="1"/>
        <v>2.8120833333333331E-3</v>
      </c>
      <c r="R16" s="5">
        <f t="shared" si="1"/>
        <v>3.1279166666666664E-3</v>
      </c>
      <c r="S16" s="5">
        <f t="shared" si="1"/>
        <v>8.0374999999999999E-4</v>
      </c>
      <c r="T16" s="5">
        <f t="shared" si="2"/>
        <v>3.9583333333333331E-5</v>
      </c>
      <c r="U16" s="5">
        <f t="shared" si="2"/>
        <v>2.494583333333333E-3</v>
      </c>
      <c r="V16" s="5">
        <f t="shared" si="2"/>
        <v>2.6362500000000001E-3</v>
      </c>
      <c r="W16" s="5">
        <f t="shared" si="2"/>
        <v>3.7733333333333334E-3</v>
      </c>
      <c r="X16" s="5">
        <f t="shared" si="2"/>
        <v>1.1491666666666666E-3</v>
      </c>
      <c r="Y16" s="5">
        <f t="shared" si="2"/>
        <v>4.0749999999999998E-4</v>
      </c>
      <c r="Z16" s="5">
        <f t="shared" si="3"/>
        <v>9.8333333333333324E-4</v>
      </c>
      <c r="AA16" s="5">
        <f t="shared" si="3"/>
        <v>6.2500000000000001E-5</v>
      </c>
      <c r="AB16" s="5">
        <f t="shared" si="3"/>
        <v>8.2249999999999999E-4</v>
      </c>
      <c r="AC16" s="5">
        <f t="shared" si="3"/>
        <v>3.0833333333333328E-5</v>
      </c>
      <c r="AD16" s="1"/>
      <c r="AE16" s="1"/>
    </row>
    <row r="17" spans="1:35" x14ac:dyDescent="0.2">
      <c r="B17" s="8">
        <v>3.5714285714285712E-2</v>
      </c>
      <c r="C17" s="5" t="s">
        <v>14</v>
      </c>
      <c r="D17" s="5">
        <f t="shared" si="1"/>
        <v>2.9167857142857142E-3</v>
      </c>
      <c r="E17" s="5">
        <f t="shared" si="1"/>
        <v>5.3285714285714275E-4</v>
      </c>
      <c r="F17" s="5">
        <f t="shared" si="1"/>
        <v>9.9357142857142851E-4</v>
      </c>
      <c r="G17" s="5">
        <f t="shared" si="1"/>
        <v>1.5189285714285712E-3</v>
      </c>
      <c r="H17" s="5">
        <f t="shared" si="1"/>
        <v>4.5364285714285706E-3</v>
      </c>
      <c r="I17" s="5">
        <f t="shared" si="1"/>
        <v>7.9571428571428566E-4</v>
      </c>
      <c r="J17" s="5">
        <f t="shared" si="1"/>
        <v>7.1964285714285717E-4</v>
      </c>
      <c r="K17" s="5">
        <f t="shared" si="1"/>
        <v>2.1764285714285713E-3</v>
      </c>
      <c r="L17" s="5">
        <f t="shared" si="1"/>
        <v>2.4878571428571428E-3</v>
      </c>
      <c r="M17" s="5">
        <f t="shared" si="1"/>
        <v>5.4642857142857135E-5</v>
      </c>
      <c r="N17" s="5">
        <f t="shared" si="1"/>
        <v>2.7571428571428571E-4</v>
      </c>
      <c r="O17" s="5">
        <f t="shared" si="1"/>
        <v>1.4375E-3</v>
      </c>
      <c r="P17" s="5">
        <f t="shared" si="1"/>
        <v>8.5928571428571434E-4</v>
      </c>
      <c r="Q17" s="5">
        <f t="shared" si="1"/>
        <v>2.4103571428571425E-3</v>
      </c>
      <c r="R17" s="5">
        <f t="shared" si="1"/>
        <v>2.6810714285714285E-3</v>
      </c>
      <c r="S17" s="5">
        <f t="shared" si="1"/>
        <v>6.8892857142857145E-4</v>
      </c>
      <c r="T17" s="5">
        <f t="shared" si="2"/>
        <v>3.3928571428571424E-5</v>
      </c>
      <c r="U17" s="5">
        <f t="shared" si="2"/>
        <v>2.1382142857142854E-3</v>
      </c>
      <c r="V17" s="5">
        <f t="shared" si="2"/>
        <v>2.2596428571428572E-3</v>
      </c>
      <c r="W17" s="5">
        <f t="shared" si="2"/>
        <v>3.2342857142857143E-3</v>
      </c>
      <c r="X17" s="5">
        <f t="shared" si="2"/>
        <v>9.8499999999999998E-4</v>
      </c>
      <c r="Y17" s="5">
        <f t="shared" si="2"/>
        <v>3.492857142857143E-4</v>
      </c>
      <c r="Z17" s="5">
        <f t="shared" si="3"/>
        <v>8.4285714285714281E-4</v>
      </c>
      <c r="AA17" s="5">
        <f t="shared" si="3"/>
        <v>5.3571428571428569E-5</v>
      </c>
      <c r="AB17" s="5">
        <f t="shared" si="3"/>
        <v>7.0500000000000001E-4</v>
      </c>
      <c r="AC17" s="5">
        <f t="shared" si="3"/>
        <v>2.6428571428571428E-5</v>
      </c>
      <c r="AD17" s="1"/>
      <c r="AE17" s="1"/>
    </row>
    <row r="18" spans="1:35" x14ac:dyDescent="0.2">
      <c r="B18" s="8">
        <v>3.5714285714285712E-2</v>
      </c>
      <c r="C18" s="5" t="s">
        <v>2</v>
      </c>
      <c r="D18" s="5">
        <f t="shared" si="1"/>
        <v>2.9167857142857142E-3</v>
      </c>
      <c r="E18" s="5">
        <f t="shared" si="1"/>
        <v>5.3285714285714275E-4</v>
      </c>
      <c r="F18" s="5">
        <f t="shared" si="1"/>
        <v>9.9357142857142851E-4</v>
      </c>
      <c r="G18" s="5">
        <f t="shared" si="1"/>
        <v>1.5189285714285712E-3</v>
      </c>
      <c r="H18" s="5">
        <f t="shared" si="1"/>
        <v>4.5364285714285706E-3</v>
      </c>
      <c r="I18" s="5">
        <f t="shared" si="1"/>
        <v>7.9571428571428566E-4</v>
      </c>
      <c r="J18" s="5">
        <f t="shared" si="1"/>
        <v>7.1964285714285717E-4</v>
      </c>
      <c r="K18" s="5">
        <f t="shared" si="1"/>
        <v>2.1764285714285713E-3</v>
      </c>
      <c r="L18" s="5">
        <f t="shared" si="1"/>
        <v>2.4878571428571428E-3</v>
      </c>
      <c r="M18" s="5">
        <f t="shared" si="1"/>
        <v>5.4642857142857135E-5</v>
      </c>
      <c r="N18" s="5">
        <f t="shared" si="1"/>
        <v>2.7571428571428571E-4</v>
      </c>
      <c r="O18" s="5">
        <f t="shared" si="1"/>
        <v>1.4375E-3</v>
      </c>
      <c r="P18" s="5">
        <f t="shared" si="1"/>
        <v>8.5928571428571434E-4</v>
      </c>
      <c r="Q18" s="5">
        <f t="shared" si="1"/>
        <v>2.4103571428571425E-3</v>
      </c>
      <c r="R18" s="5">
        <f t="shared" si="1"/>
        <v>2.6810714285714285E-3</v>
      </c>
      <c r="S18" s="5">
        <f t="shared" si="1"/>
        <v>6.8892857142857145E-4</v>
      </c>
      <c r="T18" s="5">
        <f t="shared" si="2"/>
        <v>3.3928571428571424E-5</v>
      </c>
      <c r="U18" s="5">
        <f t="shared" si="2"/>
        <v>2.1382142857142854E-3</v>
      </c>
      <c r="V18" s="5">
        <f t="shared" si="2"/>
        <v>2.2596428571428572E-3</v>
      </c>
      <c r="W18" s="5">
        <f t="shared" si="2"/>
        <v>3.2342857142857143E-3</v>
      </c>
      <c r="X18" s="5">
        <f t="shared" si="2"/>
        <v>9.8499999999999998E-4</v>
      </c>
      <c r="Y18" s="5">
        <f t="shared" si="2"/>
        <v>3.492857142857143E-4</v>
      </c>
      <c r="Z18" s="5">
        <f t="shared" si="3"/>
        <v>8.4285714285714281E-4</v>
      </c>
      <c r="AA18" s="5">
        <f t="shared" si="3"/>
        <v>5.3571428571428569E-5</v>
      </c>
      <c r="AB18" s="5">
        <f t="shared" si="3"/>
        <v>7.0500000000000001E-4</v>
      </c>
      <c r="AC18" s="5">
        <f t="shared" si="3"/>
        <v>2.6428571428571428E-5</v>
      </c>
      <c r="AD18" s="1"/>
      <c r="AE18" s="1"/>
    </row>
    <row r="19" spans="1:35" x14ac:dyDescent="0.2">
      <c r="B19" s="8">
        <v>3.5714285714285712E-2</v>
      </c>
      <c r="C19" s="5" t="s">
        <v>7</v>
      </c>
      <c r="D19" s="5">
        <f t="shared" si="1"/>
        <v>2.9167857142857142E-3</v>
      </c>
      <c r="E19" s="5">
        <f t="shared" si="1"/>
        <v>5.3285714285714275E-4</v>
      </c>
      <c r="F19" s="5">
        <f t="shared" si="1"/>
        <v>9.9357142857142851E-4</v>
      </c>
      <c r="G19" s="5">
        <f t="shared" si="1"/>
        <v>1.5189285714285712E-3</v>
      </c>
      <c r="H19" s="5">
        <f t="shared" si="1"/>
        <v>4.5364285714285706E-3</v>
      </c>
      <c r="I19" s="5">
        <f t="shared" si="1"/>
        <v>7.9571428571428566E-4</v>
      </c>
      <c r="J19" s="5">
        <f t="shared" si="1"/>
        <v>7.1964285714285717E-4</v>
      </c>
      <c r="K19" s="5">
        <f t="shared" si="1"/>
        <v>2.1764285714285713E-3</v>
      </c>
      <c r="L19" s="5">
        <f t="shared" si="1"/>
        <v>2.4878571428571428E-3</v>
      </c>
      <c r="M19" s="5">
        <f t="shared" si="1"/>
        <v>5.4642857142857135E-5</v>
      </c>
      <c r="N19" s="5">
        <f t="shared" si="1"/>
        <v>2.7571428571428571E-4</v>
      </c>
      <c r="O19" s="5">
        <f t="shared" si="1"/>
        <v>1.4375E-3</v>
      </c>
      <c r="P19" s="5">
        <f t="shared" si="1"/>
        <v>8.5928571428571434E-4</v>
      </c>
      <c r="Q19" s="5">
        <f t="shared" si="1"/>
        <v>2.4103571428571425E-3</v>
      </c>
      <c r="R19" s="5">
        <f t="shared" si="1"/>
        <v>2.6810714285714285E-3</v>
      </c>
      <c r="S19" s="5">
        <f t="shared" si="1"/>
        <v>6.8892857142857145E-4</v>
      </c>
      <c r="T19" s="5">
        <f t="shared" si="2"/>
        <v>3.3928571428571424E-5</v>
      </c>
      <c r="U19" s="5">
        <f t="shared" si="2"/>
        <v>2.1382142857142854E-3</v>
      </c>
      <c r="V19" s="5">
        <f t="shared" si="2"/>
        <v>2.2596428571428572E-3</v>
      </c>
      <c r="W19" s="5">
        <f t="shared" si="2"/>
        <v>3.2342857142857143E-3</v>
      </c>
      <c r="X19" s="5">
        <f t="shared" si="2"/>
        <v>9.8499999999999998E-4</v>
      </c>
      <c r="Y19" s="5">
        <f t="shared" si="2"/>
        <v>3.492857142857143E-4</v>
      </c>
      <c r="Z19" s="5">
        <f t="shared" si="3"/>
        <v>8.4285714285714281E-4</v>
      </c>
      <c r="AA19" s="5">
        <f t="shared" si="3"/>
        <v>5.3571428571428569E-5</v>
      </c>
      <c r="AB19" s="5">
        <f t="shared" si="3"/>
        <v>7.0500000000000001E-4</v>
      </c>
      <c r="AC19" s="5">
        <f t="shared" si="3"/>
        <v>2.6428571428571428E-5</v>
      </c>
      <c r="AD19" s="1"/>
      <c r="AE19" s="1"/>
    </row>
    <row r="20" spans="1:35" x14ac:dyDescent="0.2">
      <c r="B20" s="8">
        <v>2.976190476190476E-2</v>
      </c>
      <c r="C20" s="5" t="s">
        <v>23</v>
      </c>
      <c r="D20" s="5">
        <f t="shared" si="1"/>
        <v>2.4306547619047619E-3</v>
      </c>
      <c r="E20" s="5">
        <f t="shared" si="1"/>
        <v>4.4404761904761898E-4</v>
      </c>
      <c r="F20" s="5">
        <f t="shared" si="1"/>
        <v>8.279761904761905E-4</v>
      </c>
      <c r="G20" s="5">
        <f t="shared" si="1"/>
        <v>1.2657738095238093E-3</v>
      </c>
      <c r="H20" s="5">
        <f t="shared" si="1"/>
        <v>3.7803571428571426E-3</v>
      </c>
      <c r="I20" s="5">
        <f t="shared" si="1"/>
        <v>6.6309523809523813E-4</v>
      </c>
      <c r="J20" s="5">
        <f t="shared" si="1"/>
        <v>5.9970238095238099E-4</v>
      </c>
      <c r="K20" s="5">
        <f t="shared" si="1"/>
        <v>1.8136904761904761E-3</v>
      </c>
      <c r="L20" s="5">
        <f t="shared" si="1"/>
        <v>2.0732142857142854E-3</v>
      </c>
      <c r="M20" s="5">
        <f t="shared" si="1"/>
        <v>4.5535714285714279E-5</v>
      </c>
      <c r="N20" s="5">
        <f t="shared" si="1"/>
        <v>2.2976190476190476E-4</v>
      </c>
      <c r="O20" s="5">
        <f t="shared" si="1"/>
        <v>1.1979166666666666E-3</v>
      </c>
      <c r="P20" s="5">
        <f t="shared" si="1"/>
        <v>7.1607142857142854E-4</v>
      </c>
      <c r="Q20" s="5">
        <f t="shared" si="1"/>
        <v>2.0086309523809523E-3</v>
      </c>
      <c r="R20" s="5">
        <f t="shared" si="1"/>
        <v>2.2342261904761901E-3</v>
      </c>
      <c r="S20" s="5">
        <f t="shared" si="1"/>
        <v>5.7410714285714291E-4</v>
      </c>
      <c r="T20" s="5">
        <f t="shared" si="2"/>
        <v>2.8273809523809523E-5</v>
      </c>
      <c r="U20" s="5">
        <f t="shared" si="2"/>
        <v>1.781845238095238E-3</v>
      </c>
      <c r="V20" s="5">
        <f t="shared" si="2"/>
        <v>1.8830357142857145E-3</v>
      </c>
      <c r="W20" s="5">
        <f t="shared" si="2"/>
        <v>2.6952380952380952E-3</v>
      </c>
      <c r="X20" s="5">
        <f t="shared" si="2"/>
        <v>8.2083333333333325E-4</v>
      </c>
      <c r="Y20" s="5">
        <f t="shared" si="2"/>
        <v>2.9107142857142857E-4</v>
      </c>
      <c r="Z20" s="5">
        <f t="shared" si="3"/>
        <v>7.0238095238095237E-4</v>
      </c>
      <c r="AA20" s="5">
        <f t="shared" si="3"/>
        <v>4.4642857142857143E-5</v>
      </c>
      <c r="AB20" s="5">
        <f t="shared" si="3"/>
        <v>5.8750000000000002E-4</v>
      </c>
      <c r="AC20" s="5">
        <f t="shared" si="3"/>
        <v>2.2023809523809524E-5</v>
      </c>
      <c r="AD20" s="1"/>
      <c r="AE20" s="1"/>
    </row>
    <row r="21" spans="1:35" x14ac:dyDescent="0.2">
      <c r="B21" s="8">
        <v>2.976190476190476E-2</v>
      </c>
      <c r="C21" s="5" t="s">
        <v>9</v>
      </c>
      <c r="D21" s="5">
        <f t="shared" si="1"/>
        <v>2.4306547619047619E-3</v>
      </c>
      <c r="E21" s="5">
        <f t="shared" si="1"/>
        <v>4.4404761904761898E-4</v>
      </c>
      <c r="F21" s="5">
        <f t="shared" si="1"/>
        <v>8.279761904761905E-4</v>
      </c>
      <c r="G21" s="5">
        <f t="shared" si="1"/>
        <v>1.2657738095238093E-3</v>
      </c>
      <c r="H21" s="5">
        <f t="shared" si="1"/>
        <v>3.7803571428571426E-3</v>
      </c>
      <c r="I21" s="5">
        <f t="shared" si="1"/>
        <v>6.6309523809523813E-4</v>
      </c>
      <c r="J21" s="5">
        <f t="shared" si="1"/>
        <v>5.9970238095238099E-4</v>
      </c>
      <c r="K21" s="5">
        <f t="shared" si="1"/>
        <v>1.8136904761904761E-3</v>
      </c>
      <c r="L21" s="5">
        <f t="shared" si="1"/>
        <v>2.0732142857142854E-3</v>
      </c>
      <c r="M21" s="5">
        <f t="shared" si="1"/>
        <v>4.5535714285714279E-5</v>
      </c>
      <c r="N21" s="5">
        <f t="shared" si="1"/>
        <v>2.2976190476190476E-4</v>
      </c>
      <c r="O21" s="5">
        <f t="shared" si="1"/>
        <v>1.1979166666666666E-3</v>
      </c>
      <c r="P21" s="5">
        <f t="shared" si="1"/>
        <v>7.1607142857142854E-4</v>
      </c>
      <c r="Q21" s="5">
        <f t="shared" si="1"/>
        <v>2.0086309523809523E-3</v>
      </c>
      <c r="R21" s="5">
        <f t="shared" si="1"/>
        <v>2.2342261904761901E-3</v>
      </c>
      <c r="S21" s="5">
        <f t="shared" si="1"/>
        <v>5.7410714285714291E-4</v>
      </c>
      <c r="T21" s="5">
        <f t="shared" si="2"/>
        <v>2.8273809523809523E-5</v>
      </c>
      <c r="U21" s="5">
        <f t="shared" si="2"/>
        <v>1.781845238095238E-3</v>
      </c>
      <c r="V21" s="5">
        <f t="shared" si="2"/>
        <v>1.8830357142857145E-3</v>
      </c>
      <c r="W21" s="5">
        <f t="shared" si="2"/>
        <v>2.6952380952380952E-3</v>
      </c>
      <c r="X21" s="5">
        <f t="shared" si="2"/>
        <v>8.2083333333333325E-4</v>
      </c>
      <c r="Y21" s="5">
        <f t="shared" si="2"/>
        <v>2.9107142857142857E-4</v>
      </c>
      <c r="Z21" s="5">
        <f t="shared" si="3"/>
        <v>7.0238095238095237E-4</v>
      </c>
      <c r="AA21" s="5">
        <f t="shared" si="3"/>
        <v>4.4642857142857143E-5</v>
      </c>
      <c r="AB21" s="5">
        <f t="shared" si="3"/>
        <v>5.8750000000000002E-4</v>
      </c>
      <c r="AC21" s="5">
        <f t="shared" si="3"/>
        <v>2.2023809523809524E-5</v>
      </c>
      <c r="AD21" s="1"/>
      <c r="AE21" s="1"/>
    </row>
    <row r="22" spans="1:35" x14ac:dyDescent="0.2">
      <c r="B22" s="8">
        <v>2.976190476190476E-2</v>
      </c>
      <c r="C22" s="5" t="s">
        <v>0</v>
      </c>
      <c r="D22" s="5">
        <f t="shared" si="1"/>
        <v>2.4306547619047619E-3</v>
      </c>
      <c r="E22" s="5">
        <f t="shared" si="1"/>
        <v>4.4404761904761898E-4</v>
      </c>
      <c r="F22" s="5">
        <f t="shared" si="1"/>
        <v>8.279761904761905E-4</v>
      </c>
      <c r="G22" s="5">
        <f t="shared" si="1"/>
        <v>1.2657738095238093E-3</v>
      </c>
      <c r="H22" s="5">
        <f t="shared" si="1"/>
        <v>3.7803571428571426E-3</v>
      </c>
      <c r="I22" s="5">
        <f t="shared" si="1"/>
        <v>6.6309523809523813E-4</v>
      </c>
      <c r="J22" s="5">
        <f t="shared" si="1"/>
        <v>5.9970238095238099E-4</v>
      </c>
      <c r="K22" s="5">
        <f t="shared" si="1"/>
        <v>1.8136904761904761E-3</v>
      </c>
      <c r="L22" s="5">
        <f t="shared" si="1"/>
        <v>2.0732142857142854E-3</v>
      </c>
      <c r="M22" s="5">
        <f t="shared" si="1"/>
        <v>4.5535714285714279E-5</v>
      </c>
      <c r="N22" s="5">
        <f t="shared" si="1"/>
        <v>2.2976190476190476E-4</v>
      </c>
      <c r="O22" s="5">
        <f t="shared" si="1"/>
        <v>1.1979166666666666E-3</v>
      </c>
      <c r="P22" s="5">
        <f t="shared" si="1"/>
        <v>7.1607142857142854E-4</v>
      </c>
      <c r="Q22" s="5">
        <f t="shared" si="1"/>
        <v>2.0086309523809523E-3</v>
      </c>
      <c r="R22" s="5">
        <f t="shared" si="1"/>
        <v>2.2342261904761901E-3</v>
      </c>
      <c r="S22" s="5">
        <f t="shared" si="1"/>
        <v>5.7410714285714291E-4</v>
      </c>
      <c r="T22" s="5">
        <f t="shared" si="2"/>
        <v>2.8273809523809523E-5</v>
      </c>
      <c r="U22" s="5">
        <f t="shared" si="2"/>
        <v>1.781845238095238E-3</v>
      </c>
      <c r="V22" s="5">
        <f t="shared" si="2"/>
        <v>1.8830357142857145E-3</v>
      </c>
      <c r="W22" s="5">
        <f t="shared" si="2"/>
        <v>2.6952380952380952E-3</v>
      </c>
      <c r="X22" s="5">
        <f t="shared" si="2"/>
        <v>8.2083333333333325E-4</v>
      </c>
      <c r="Y22" s="5">
        <f t="shared" si="2"/>
        <v>2.9107142857142857E-4</v>
      </c>
      <c r="Z22" s="5">
        <f t="shared" si="3"/>
        <v>7.0238095238095237E-4</v>
      </c>
      <c r="AA22" s="5">
        <f t="shared" si="3"/>
        <v>4.4642857142857143E-5</v>
      </c>
      <c r="AB22" s="5">
        <f t="shared" si="3"/>
        <v>5.8750000000000002E-4</v>
      </c>
      <c r="AC22" s="5">
        <f t="shared" si="3"/>
        <v>2.2023809523809524E-5</v>
      </c>
      <c r="AD22" s="1"/>
      <c r="AE22" s="1"/>
    </row>
    <row r="23" spans="1:35" x14ac:dyDescent="0.2">
      <c r="B23" s="8">
        <v>4.1666666666666664E-2</v>
      </c>
      <c r="C23" s="5" t="s">
        <v>10</v>
      </c>
      <c r="D23" s="5">
        <f t="shared" si="1"/>
        <v>3.4029166666666669E-3</v>
      </c>
      <c r="E23" s="5">
        <f t="shared" si="1"/>
        <v>6.2166666666666663E-4</v>
      </c>
      <c r="F23" s="5">
        <f t="shared" si="1"/>
        <v>1.1591666666666666E-3</v>
      </c>
      <c r="G23" s="5">
        <f t="shared" si="1"/>
        <v>1.7720833333333332E-3</v>
      </c>
      <c r="H23" s="5">
        <f t="shared" si="1"/>
        <v>5.2924999999999995E-3</v>
      </c>
      <c r="I23" s="5">
        <f t="shared" si="1"/>
        <v>9.2833333333333331E-4</v>
      </c>
      <c r="J23" s="5">
        <f t="shared" si="1"/>
        <v>8.3958333333333335E-4</v>
      </c>
      <c r="K23" s="5">
        <f t="shared" si="1"/>
        <v>2.5391666666666666E-3</v>
      </c>
      <c r="L23" s="5">
        <f t="shared" si="1"/>
        <v>2.9024999999999997E-3</v>
      </c>
      <c r="M23" s="5">
        <f t="shared" si="1"/>
        <v>6.3749999999999991E-5</v>
      </c>
      <c r="N23" s="5">
        <f t="shared" si="1"/>
        <v>3.2166666666666666E-4</v>
      </c>
      <c r="O23" s="5">
        <f t="shared" si="1"/>
        <v>1.6770833333333334E-3</v>
      </c>
      <c r="P23" s="5">
        <f t="shared" si="1"/>
        <v>1.0024999999999999E-3</v>
      </c>
      <c r="Q23" s="5">
        <f t="shared" si="1"/>
        <v>2.8120833333333331E-3</v>
      </c>
      <c r="R23" s="5">
        <f t="shared" si="1"/>
        <v>3.1279166666666664E-3</v>
      </c>
      <c r="S23" s="5">
        <f t="shared" si="1"/>
        <v>8.0374999999999999E-4</v>
      </c>
      <c r="T23" s="5">
        <f t="shared" si="2"/>
        <v>3.9583333333333331E-5</v>
      </c>
      <c r="U23" s="5">
        <f t="shared" si="2"/>
        <v>2.494583333333333E-3</v>
      </c>
      <c r="V23" s="5">
        <f t="shared" si="2"/>
        <v>2.6362500000000001E-3</v>
      </c>
      <c r="W23" s="5">
        <f t="shared" si="2"/>
        <v>3.7733333333333334E-3</v>
      </c>
      <c r="X23" s="5">
        <f t="shared" si="2"/>
        <v>1.1491666666666666E-3</v>
      </c>
      <c r="Y23" s="5">
        <f t="shared" si="2"/>
        <v>4.0749999999999998E-4</v>
      </c>
      <c r="Z23" s="5">
        <f t="shared" si="3"/>
        <v>9.8333333333333324E-4</v>
      </c>
      <c r="AA23" s="5">
        <f t="shared" si="3"/>
        <v>6.2500000000000001E-5</v>
      </c>
      <c r="AB23" s="5">
        <f t="shared" si="3"/>
        <v>8.2249999999999999E-4</v>
      </c>
      <c r="AC23" s="5">
        <f t="shared" si="3"/>
        <v>3.0833333333333328E-5</v>
      </c>
      <c r="AD23" s="1"/>
      <c r="AE23" s="1"/>
    </row>
    <row r="24" spans="1:35" x14ac:dyDescent="0.2">
      <c r="B24" s="8">
        <v>2.976190476190476E-2</v>
      </c>
      <c r="C24" s="5" t="s">
        <v>19</v>
      </c>
      <c r="D24" s="5">
        <f t="shared" si="1"/>
        <v>2.4306547619047619E-3</v>
      </c>
      <c r="E24" s="5">
        <f t="shared" si="1"/>
        <v>4.4404761904761898E-4</v>
      </c>
      <c r="F24" s="5">
        <f t="shared" si="1"/>
        <v>8.279761904761905E-4</v>
      </c>
      <c r="G24" s="5">
        <f t="shared" si="1"/>
        <v>1.2657738095238093E-3</v>
      </c>
      <c r="H24" s="5">
        <f t="shared" si="1"/>
        <v>3.7803571428571426E-3</v>
      </c>
      <c r="I24" s="5">
        <f t="shared" si="1"/>
        <v>6.6309523809523813E-4</v>
      </c>
      <c r="J24" s="5">
        <f t="shared" si="1"/>
        <v>5.9970238095238099E-4</v>
      </c>
      <c r="K24" s="5">
        <f t="shared" si="1"/>
        <v>1.8136904761904761E-3</v>
      </c>
      <c r="L24" s="5">
        <f t="shared" si="1"/>
        <v>2.0732142857142854E-3</v>
      </c>
      <c r="M24" s="5">
        <f t="shared" si="1"/>
        <v>4.5535714285714279E-5</v>
      </c>
      <c r="N24" s="5">
        <f t="shared" si="1"/>
        <v>2.2976190476190476E-4</v>
      </c>
      <c r="O24" s="5">
        <f t="shared" si="1"/>
        <v>1.1979166666666666E-3</v>
      </c>
      <c r="P24" s="5">
        <f t="shared" si="1"/>
        <v>7.1607142857142854E-4</v>
      </c>
      <c r="Q24" s="5">
        <f t="shared" si="1"/>
        <v>2.0086309523809523E-3</v>
      </c>
      <c r="R24" s="5">
        <f t="shared" si="1"/>
        <v>2.2342261904761901E-3</v>
      </c>
      <c r="S24" s="5">
        <f t="shared" si="1"/>
        <v>5.7410714285714291E-4</v>
      </c>
      <c r="T24" s="5">
        <f t="shared" si="2"/>
        <v>2.8273809523809523E-5</v>
      </c>
      <c r="U24" s="5">
        <f t="shared" si="2"/>
        <v>1.781845238095238E-3</v>
      </c>
      <c r="V24" s="5">
        <f t="shared" si="2"/>
        <v>1.8830357142857145E-3</v>
      </c>
      <c r="W24" s="5">
        <f t="shared" si="2"/>
        <v>2.6952380952380952E-3</v>
      </c>
      <c r="X24" s="5">
        <f t="shared" si="2"/>
        <v>8.2083333333333325E-4</v>
      </c>
      <c r="Y24" s="5">
        <f t="shared" si="2"/>
        <v>2.9107142857142857E-4</v>
      </c>
      <c r="Z24" s="5">
        <f t="shared" si="3"/>
        <v>7.0238095238095237E-4</v>
      </c>
      <c r="AA24" s="5">
        <f t="shared" si="3"/>
        <v>4.4642857142857143E-5</v>
      </c>
      <c r="AB24" s="5">
        <f t="shared" si="3"/>
        <v>5.8750000000000002E-4</v>
      </c>
      <c r="AC24" s="5">
        <f t="shared" si="3"/>
        <v>2.2023809523809524E-5</v>
      </c>
      <c r="AD24" s="1"/>
      <c r="AE24" s="1"/>
    </row>
    <row r="25" spans="1:35" x14ac:dyDescent="0.2">
      <c r="B25" s="8">
        <v>2.976190476190476E-2</v>
      </c>
      <c r="C25" s="5" t="s">
        <v>20</v>
      </c>
      <c r="D25" s="5">
        <f t="shared" si="1"/>
        <v>2.4306547619047619E-3</v>
      </c>
      <c r="E25" s="5">
        <f t="shared" si="1"/>
        <v>4.4404761904761898E-4</v>
      </c>
      <c r="F25" s="5">
        <f t="shared" si="1"/>
        <v>8.279761904761905E-4</v>
      </c>
      <c r="G25" s="5">
        <f t="shared" si="1"/>
        <v>1.2657738095238093E-3</v>
      </c>
      <c r="H25" s="5">
        <f t="shared" si="1"/>
        <v>3.7803571428571426E-3</v>
      </c>
      <c r="I25" s="5">
        <f t="shared" si="1"/>
        <v>6.6309523809523813E-4</v>
      </c>
      <c r="J25" s="5">
        <f t="shared" si="1"/>
        <v>5.9970238095238099E-4</v>
      </c>
      <c r="K25" s="5">
        <f t="shared" si="1"/>
        <v>1.8136904761904761E-3</v>
      </c>
      <c r="L25" s="5">
        <f t="shared" si="1"/>
        <v>2.0732142857142854E-3</v>
      </c>
      <c r="M25" s="5">
        <f t="shared" si="1"/>
        <v>4.5535714285714279E-5</v>
      </c>
      <c r="N25" s="5">
        <f t="shared" si="1"/>
        <v>2.2976190476190476E-4</v>
      </c>
      <c r="O25" s="5">
        <f t="shared" si="1"/>
        <v>1.1979166666666666E-3</v>
      </c>
      <c r="P25" s="5">
        <f t="shared" si="1"/>
        <v>7.1607142857142854E-4</v>
      </c>
      <c r="Q25" s="5">
        <f t="shared" si="1"/>
        <v>2.0086309523809523E-3</v>
      </c>
      <c r="R25" s="5">
        <f t="shared" si="1"/>
        <v>2.2342261904761901E-3</v>
      </c>
      <c r="S25" s="5">
        <f t="shared" si="1"/>
        <v>5.7410714285714291E-4</v>
      </c>
      <c r="T25" s="5">
        <f t="shared" si="2"/>
        <v>2.8273809523809523E-5</v>
      </c>
      <c r="U25" s="5">
        <f t="shared" si="2"/>
        <v>1.781845238095238E-3</v>
      </c>
      <c r="V25" s="5">
        <f t="shared" si="2"/>
        <v>1.8830357142857145E-3</v>
      </c>
      <c r="W25" s="5">
        <f t="shared" si="2"/>
        <v>2.6952380952380952E-3</v>
      </c>
      <c r="X25" s="5">
        <f t="shared" si="2"/>
        <v>8.2083333333333325E-4</v>
      </c>
      <c r="Y25" s="5">
        <f t="shared" si="2"/>
        <v>2.9107142857142857E-4</v>
      </c>
      <c r="Z25" s="5">
        <f t="shared" si="3"/>
        <v>7.0238095238095237E-4</v>
      </c>
      <c r="AA25" s="5">
        <f t="shared" si="3"/>
        <v>4.4642857142857143E-5</v>
      </c>
      <c r="AB25" s="5">
        <f t="shared" si="3"/>
        <v>5.8750000000000002E-4</v>
      </c>
      <c r="AC25" s="5">
        <f t="shared" si="3"/>
        <v>2.2023809523809524E-5</v>
      </c>
      <c r="AD25" s="1"/>
      <c r="AE25" s="1"/>
    </row>
    <row r="26" spans="1:35" x14ac:dyDescent="0.2">
      <c r="B26" s="8">
        <v>5.9523809523809521E-2</v>
      </c>
      <c r="C26" s="5" t="s">
        <v>3</v>
      </c>
      <c r="D26" s="5">
        <f t="shared" si="1"/>
        <v>4.8613095238095238E-3</v>
      </c>
      <c r="E26" s="5">
        <f t="shared" si="1"/>
        <v>8.8809523809523796E-4</v>
      </c>
      <c r="F26" s="5">
        <f t="shared" si="1"/>
        <v>1.655952380952381E-3</v>
      </c>
      <c r="G26" s="5">
        <f t="shared" si="1"/>
        <v>2.5315476190476186E-3</v>
      </c>
      <c r="H26" s="5">
        <f t="shared" si="1"/>
        <v>7.5607142857142852E-3</v>
      </c>
      <c r="I26" s="5">
        <f t="shared" si="1"/>
        <v>1.3261904761904763E-3</v>
      </c>
      <c r="J26" s="5">
        <f t="shared" si="1"/>
        <v>1.199404761904762E-3</v>
      </c>
      <c r="K26" s="5">
        <f t="shared" si="1"/>
        <v>3.6273809523809522E-3</v>
      </c>
      <c r="L26" s="5">
        <f t="shared" si="1"/>
        <v>4.1464285714285709E-3</v>
      </c>
      <c r="M26" s="5">
        <f t="shared" si="1"/>
        <v>9.1071428571428559E-5</v>
      </c>
      <c r="N26" s="5">
        <f t="shared" si="1"/>
        <v>4.5952380952380952E-4</v>
      </c>
      <c r="O26" s="5">
        <f t="shared" si="1"/>
        <v>2.3958333333333331E-3</v>
      </c>
      <c r="P26" s="5">
        <f t="shared" si="1"/>
        <v>1.4321428571428571E-3</v>
      </c>
      <c r="Q26" s="5">
        <f t="shared" si="1"/>
        <v>4.0172619047619046E-3</v>
      </c>
      <c r="R26" s="5">
        <f t="shared" si="1"/>
        <v>4.4684523809523802E-3</v>
      </c>
      <c r="S26" s="5">
        <f t="shared" si="1"/>
        <v>1.1482142857142858E-3</v>
      </c>
      <c r="T26" s="5">
        <f t="shared" si="2"/>
        <v>5.6547619047619046E-5</v>
      </c>
      <c r="U26" s="5">
        <f t="shared" si="2"/>
        <v>3.5636904761904759E-3</v>
      </c>
      <c r="V26" s="5">
        <f t="shared" si="2"/>
        <v>3.766071428571429E-3</v>
      </c>
      <c r="W26" s="5">
        <f t="shared" si="2"/>
        <v>5.3904761904761903E-3</v>
      </c>
      <c r="X26" s="5">
        <f t="shared" si="2"/>
        <v>1.6416666666666665E-3</v>
      </c>
      <c r="Y26" s="5">
        <f t="shared" si="2"/>
        <v>5.8214285714285714E-4</v>
      </c>
      <c r="Z26" s="5">
        <f t="shared" si="3"/>
        <v>1.4047619047619047E-3</v>
      </c>
      <c r="AA26" s="5">
        <f t="shared" si="3"/>
        <v>8.9285714285714286E-5</v>
      </c>
      <c r="AB26" s="5">
        <f t="shared" si="3"/>
        <v>1.175E-3</v>
      </c>
      <c r="AC26" s="5">
        <f t="shared" si="3"/>
        <v>4.4047619047619047E-5</v>
      </c>
      <c r="AD26" s="1"/>
      <c r="AE26" s="1"/>
    </row>
    <row r="27" spans="1:35" x14ac:dyDescent="0.2">
      <c r="B27" s="8">
        <v>4.7619047619047616E-2</v>
      </c>
      <c r="C27" s="5" t="s">
        <v>22</v>
      </c>
      <c r="D27" s="5">
        <f t="shared" si="1"/>
        <v>3.8890476190476192E-3</v>
      </c>
      <c r="E27" s="5">
        <f t="shared" si="1"/>
        <v>7.1047619047619041E-4</v>
      </c>
      <c r="F27" s="5">
        <f t="shared" si="1"/>
        <v>1.3247619047619048E-3</v>
      </c>
      <c r="G27" s="5">
        <f t="shared" si="1"/>
        <v>2.0252380952380951E-3</v>
      </c>
      <c r="H27" s="5">
        <f t="shared" si="1"/>
        <v>6.0485714285714283E-3</v>
      </c>
      <c r="I27" s="5">
        <f t="shared" si="1"/>
        <v>1.060952380952381E-3</v>
      </c>
      <c r="J27" s="5">
        <f t="shared" si="1"/>
        <v>9.5952380952380953E-4</v>
      </c>
      <c r="K27" s="5">
        <f t="shared" si="1"/>
        <v>2.9019047619047618E-3</v>
      </c>
      <c r="L27" s="5">
        <f t="shared" si="1"/>
        <v>3.317142857142857E-3</v>
      </c>
      <c r="M27" s="5">
        <f t="shared" si="1"/>
        <v>7.2857142857142847E-5</v>
      </c>
      <c r="N27" s="5">
        <f t="shared" si="1"/>
        <v>3.6761904761904761E-4</v>
      </c>
      <c r="O27" s="5">
        <f t="shared" si="1"/>
        <v>1.9166666666666666E-3</v>
      </c>
      <c r="P27" s="5">
        <f t="shared" si="1"/>
        <v>1.1457142857142857E-3</v>
      </c>
      <c r="Q27" s="5">
        <f t="shared" si="1"/>
        <v>3.2138095238095233E-3</v>
      </c>
      <c r="R27" s="5">
        <f t="shared" si="1"/>
        <v>3.5747619047619044E-3</v>
      </c>
      <c r="S27" s="5">
        <f t="shared" si="1"/>
        <v>9.1857142857142864E-4</v>
      </c>
      <c r="T27" s="5">
        <f t="shared" si="2"/>
        <v>4.5238095238095238E-5</v>
      </c>
      <c r="U27" s="5">
        <f t="shared" si="2"/>
        <v>2.8509523809523807E-3</v>
      </c>
      <c r="V27" s="5">
        <f t="shared" si="2"/>
        <v>3.0128571428571431E-3</v>
      </c>
      <c r="W27" s="5">
        <f t="shared" si="2"/>
        <v>4.3123809523809521E-3</v>
      </c>
      <c r="X27" s="5">
        <f t="shared" si="2"/>
        <v>1.3133333333333332E-3</v>
      </c>
      <c r="Y27" s="5">
        <f t="shared" si="2"/>
        <v>4.6571428571428572E-4</v>
      </c>
      <c r="Z27" s="5">
        <f t="shared" si="3"/>
        <v>1.1238095238095237E-3</v>
      </c>
      <c r="AA27" s="5">
        <f t="shared" si="3"/>
        <v>7.142857142857142E-5</v>
      </c>
      <c r="AB27" s="5">
        <f t="shared" si="3"/>
        <v>9.3999999999999997E-4</v>
      </c>
      <c r="AC27" s="5">
        <f t="shared" si="3"/>
        <v>3.5238095238095232E-5</v>
      </c>
      <c r="AD27" s="1"/>
      <c r="AE27" s="1"/>
    </row>
    <row r="28" spans="1:35" x14ac:dyDescent="0.2">
      <c r="B28" s="8">
        <v>2.3809523809523808E-2</v>
      </c>
      <c r="C28" s="5" t="s">
        <v>4</v>
      </c>
      <c r="D28" s="5">
        <f t="shared" si="1"/>
        <v>1.9445238095238096E-3</v>
      </c>
      <c r="E28" s="5">
        <f t="shared" si="1"/>
        <v>3.552380952380952E-4</v>
      </c>
      <c r="F28" s="5">
        <f t="shared" si="1"/>
        <v>6.6238095238095238E-4</v>
      </c>
      <c r="G28" s="5">
        <f t="shared" si="1"/>
        <v>1.0126190476190476E-3</v>
      </c>
      <c r="H28" s="5">
        <f t="shared" si="1"/>
        <v>3.0242857142857142E-3</v>
      </c>
      <c r="I28" s="5">
        <f t="shared" si="1"/>
        <v>5.3047619047619048E-4</v>
      </c>
      <c r="J28" s="5">
        <f t="shared" si="1"/>
        <v>4.7976190476190476E-4</v>
      </c>
      <c r="K28" s="5">
        <f t="shared" si="1"/>
        <v>1.4509523809523809E-3</v>
      </c>
      <c r="L28" s="5">
        <f t="shared" si="1"/>
        <v>1.6585714285714285E-3</v>
      </c>
      <c r="M28" s="5">
        <f t="shared" si="1"/>
        <v>3.6428571428571423E-5</v>
      </c>
      <c r="N28" s="5">
        <f t="shared" si="1"/>
        <v>1.8380952380952381E-4</v>
      </c>
      <c r="O28" s="5">
        <f t="shared" si="1"/>
        <v>9.5833333333333328E-4</v>
      </c>
      <c r="P28" s="5">
        <f t="shared" si="1"/>
        <v>5.7285714285714286E-4</v>
      </c>
      <c r="Q28" s="5">
        <f t="shared" si="1"/>
        <v>1.6069047619047616E-3</v>
      </c>
      <c r="R28" s="5">
        <f t="shared" si="1"/>
        <v>1.7873809523809522E-3</v>
      </c>
      <c r="S28" s="5">
        <f t="shared" si="1"/>
        <v>4.5928571428571432E-4</v>
      </c>
      <c r="T28" s="5">
        <f t="shared" si="2"/>
        <v>2.2619047619047619E-5</v>
      </c>
      <c r="U28" s="5">
        <f t="shared" si="2"/>
        <v>1.4254761904761903E-3</v>
      </c>
      <c r="V28" s="5">
        <f t="shared" si="2"/>
        <v>1.5064285714285715E-3</v>
      </c>
      <c r="W28" s="5">
        <f t="shared" si="2"/>
        <v>2.156190476190476E-3</v>
      </c>
      <c r="X28" s="5">
        <f t="shared" si="2"/>
        <v>6.5666666666666662E-4</v>
      </c>
      <c r="Y28" s="5">
        <f t="shared" si="2"/>
        <v>2.3285714285714286E-4</v>
      </c>
      <c r="Z28" s="5">
        <f t="shared" si="3"/>
        <v>5.6190476190476183E-4</v>
      </c>
      <c r="AA28" s="5">
        <f t="shared" si="3"/>
        <v>3.571428571428571E-5</v>
      </c>
      <c r="AB28" s="5">
        <f t="shared" si="3"/>
        <v>4.6999999999999999E-4</v>
      </c>
      <c r="AC28" s="5">
        <f t="shared" si="3"/>
        <v>1.7619047619047616E-5</v>
      </c>
      <c r="AD28" s="1"/>
      <c r="AE28" s="1"/>
    </row>
    <row r="29" spans="1:35" x14ac:dyDescent="0.2">
      <c r="B29" s="8">
        <v>3.5714285714285712E-2</v>
      </c>
      <c r="C29" s="5" t="s">
        <v>25</v>
      </c>
      <c r="D29" s="5">
        <f t="shared" si="1"/>
        <v>2.9167857142857142E-3</v>
      </c>
      <c r="E29" s="5">
        <f t="shared" si="1"/>
        <v>5.3285714285714275E-4</v>
      </c>
      <c r="F29" s="5">
        <f t="shared" si="1"/>
        <v>9.9357142857142851E-4</v>
      </c>
      <c r="G29" s="5">
        <f t="shared" si="1"/>
        <v>1.5189285714285712E-3</v>
      </c>
      <c r="H29" s="5">
        <f t="shared" si="1"/>
        <v>4.5364285714285706E-3</v>
      </c>
      <c r="I29" s="5">
        <f t="shared" si="1"/>
        <v>7.9571428571428566E-4</v>
      </c>
      <c r="J29" s="5">
        <f t="shared" si="1"/>
        <v>7.1964285714285717E-4</v>
      </c>
      <c r="K29" s="5">
        <f t="shared" si="1"/>
        <v>2.1764285714285713E-3</v>
      </c>
      <c r="L29" s="5">
        <f t="shared" si="1"/>
        <v>2.4878571428571428E-3</v>
      </c>
      <c r="M29" s="5">
        <f t="shared" si="1"/>
        <v>5.4642857142857135E-5</v>
      </c>
      <c r="N29" s="5">
        <f t="shared" si="1"/>
        <v>2.7571428571428571E-4</v>
      </c>
      <c r="O29" s="5">
        <f t="shared" si="1"/>
        <v>1.4375E-3</v>
      </c>
      <c r="P29" s="5">
        <f t="shared" si="1"/>
        <v>8.5928571428571434E-4</v>
      </c>
      <c r="Q29" s="5">
        <f t="shared" si="1"/>
        <v>2.4103571428571425E-3</v>
      </c>
      <c r="R29" s="5">
        <f t="shared" si="1"/>
        <v>2.6810714285714285E-3</v>
      </c>
      <c r="S29" s="5">
        <f t="shared" si="1"/>
        <v>6.8892857142857145E-4</v>
      </c>
      <c r="T29" s="5">
        <f t="shared" si="2"/>
        <v>3.3928571428571424E-5</v>
      </c>
      <c r="U29" s="5">
        <f t="shared" si="2"/>
        <v>2.1382142857142854E-3</v>
      </c>
      <c r="V29" s="5">
        <f t="shared" si="2"/>
        <v>2.2596428571428572E-3</v>
      </c>
      <c r="W29" s="5">
        <f t="shared" si="2"/>
        <v>3.2342857142857143E-3</v>
      </c>
      <c r="X29" s="5">
        <f t="shared" si="2"/>
        <v>9.8499999999999998E-4</v>
      </c>
      <c r="Y29" s="5">
        <f t="shared" si="2"/>
        <v>3.492857142857143E-4</v>
      </c>
      <c r="Z29" s="5">
        <f t="shared" si="3"/>
        <v>8.4285714285714281E-4</v>
      </c>
      <c r="AA29" s="5">
        <f t="shared" si="3"/>
        <v>5.3571428571428569E-5</v>
      </c>
      <c r="AB29" s="5">
        <f t="shared" si="3"/>
        <v>7.0500000000000001E-4</v>
      </c>
      <c r="AC29" s="5">
        <f t="shared" si="3"/>
        <v>2.6428571428571428E-5</v>
      </c>
      <c r="AD29" s="1"/>
      <c r="AE29" s="1"/>
    </row>
    <row r="31" spans="1:35" x14ac:dyDescent="0.2">
      <c r="A31" s="1"/>
      <c r="B31" s="1"/>
    </row>
    <row r="32" spans="1:35" x14ac:dyDescent="0.2">
      <c r="A32" s="3"/>
      <c r="B32" s="1"/>
      <c r="C32" s="3" t="s">
        <v>8</v>
      </c>
      <c r="D32" s="3">
        <f>SUM($D$4,$AC$5,$AB$6,$AA$7,$Z$8,$Y$9,$X$10,$W$11,$V$12,$U$13,$T$14,$S$15,$R$16,$Q$17,$P$18,$O$19,$N$20,$M$21,$L$22,$K$23,$J$24,$I$25,$H$26,$G$27,$F$28,$E$29)</f>
        <v>4.3034166666666658E-2</v>
      </c>
      <c r="E32" s="4" t="str">
        <f>C32&amp;" ("&amp;TRUNC(D32,3)*100&amp;"%)"</f>
        <v>A (4.3%)</v>
      </c>
      <c r="L32" s="9"/>
      <c r="M32" s="9"/>
      <c r="N32" s="9"/>
      <c r="O32" s="9"/>
      <c r="P32" s="9"/>
      <c r="Q32" s="9"/>
      <c r="R32" s="9"/>
      <c r="X32" s="9"/>
      <c r="AG32" s="3"/>
      <c r="AH32" s="3"/>
      <c r="AI32" s="3"/>
    </row>
    <row r="33" spans="1:35" x14ac:dyDescent="0.2">
      <c r="A33" s="3"/>
      <c r="B33" s="1"/>
      <c r="C33" s="3" t="s">
        <v>2</v>
      </c>
      <c r="D33" s="3">
        <f>SUM($R$4,$Q$5,$P$6,$O$7,$N$8,$M$9,$L$10,$K$11,$J$12,$I$13,$H$14,$G$15,$F$16,$E$17,$D$18,$AC$19,$AB$20,$AA$21,$Z$22,$Y$23,$X$24,$W$25,$V$26,$U$27,$T$28,$S$29)</f>
        <v>4.1645059523809529E-2</v>
      </c>
      <c r="E33" s="4" t="str">
        <f t="shared" ref="E33:E57" si="4">C33&amp;" ("&amp;TRUNC(D33,3)*100&amp;"%)"</f>
        <v>O (4.1%)</v>
      </c>
      <c r="L33" s="3"/>
      <c r="M33" s="3"/>
      <c r="N33" s="3"/>
      <c r="O33" s="3"/>
      <c r="P33" s="3"/>
      <c r="Q33" s="3"/>
      <c r="R33" s="3"/>
      <c r="X33" s="3"/>
      <c r="AG33" s="3"/>
      <c r="AH33" s="3"/>
      <c r="AI33" s="3"/>
    </row>
    <row r="34" spans="1:35" x14ac:dyDescent="0.2">
      <c r="A34" s="3"/>
      <c r="B34" s="1"/>
      <c r="C34" s="3" t="s">
        <v>0</v>
      </c>
      <c r="D34" s="3">
        <f>SUM($V$4,$U$5,$T$6,$S$7,$R$8,$Q$9,$P$10,$O$11,$N$12,$M$13,$L$14,$K$15,$J$16,$I$17,$H$18,$G$19,$F$20,$E$21,$D$22,$AC$23,$AB$24,$AA$25,$Z$26,$Y$27,$X$28,$W$29)</f>
        <v>4.11872619047619E-2</v>
      </c>
      <c r="E34" s="4" t="str">
        <f t="shared" si="4"/>
        <v>S (4.1%)</v>
      </c>
      <c r="L34" s="3"/>
      <c r="M34" s="3"/>
      <c r="N34" s="3"/>
      <c r="O34" s="3"/>
      <c r="P34" s="3"/>
      <c r="Q34" s="3"/>
      <c r="R34" s="3"/>
      <c r="X34" s="3"/>
      <c r="AG34" s="3"/>
      <c r="AH34" s="3"/>
      <c r="AI34" s="3"/>
    </row>
    <row r="35" spans="1:35" x14ac:dyDescent="0.2">
      <c r="A35" s="3"/>
      <c r="B35" s="1"/>
      <c r="C35" s="3" t="s">
        <v>6</v>
      </c>
      <c r="D35" s="3">
        <f>SUM($H$4,$G$5,$F$6,$E$7,$D$8,$AC$9,$AB$10,$AA$11,$Z$12,$Y$13,$X$14,$W$15,$V$16,$U$17,$T$18,$S$19,$R$20,$Q$21,$P$22,$O$23,$N$24,$M$25,$L$26,$K$27,$J$28,$I$29)</f>
        <v>4.0279821428571429E-2</v>
      </c>
      <c r="E35" s="4" t="str">
        <f t="shared" si="4"/>
        <v>E (4%)</v>
      </c>
      <c r="L35" s="3"/>
      <c r="M35" s="3"/>
      <c r="N35" s="3"/>
      <c r="O35" s="3"/>
      <c r="P35" s="3"/>
      <c r="Q35" s="3"/>
      <c r="R35" s="3"/>
      <c r="X35" s="3"/>
      <c r="AG35" s="3"/>
      <c r="AH35" s="3"/>
      <c r="AI35" s="3"/>
    </row>
    <row r="36" spans="1:35" x14ac:dyDescent="0.2">
      <c r="A36" s="3"/>
      <c r="B36" s="1"/>
      <c r="C36" s="3" t="s">
        <v>13</v>
      </c>
      <c r="D36" s="3">
        <f>SUM($L$4,$K$5,$J$6,$I$7,$H$8,$G$9,$F$10,$E$11,$D$12,$AC$13,$AB$14,$AA$15,$Z$16,$Y$17,$X$18,$W$19,$V$20,$U$21,$T$22,$S$23,$R$24,$Q$25,$P$26,$O$27,$N$28,$M$29)</f>
        <v>4.0043392857142847E-2</v>
      </c>
      <c r="E36" s="4" t="str">
        <f t="shared" si="4"/>
        <v>I (4%)</v>
      </c>
      <c r="L36" s="3"/>
      <c r="M36" s="3"/>
      <c r="N36" s="3"/>
      <c r="O36" s="3"/>
      <c r="P36" s="3"/>
      <c r="Q36" s="3"/>
      <c r="R36" s="3"/>
      <c r="X36" s="3"/>
      <c r="AG36" s="3"/>
      <c r="AH36" s="3"/>
      <c r="AI36" s="3"/>
    </row>
    <row r="37" spans="1:35" x14ac:dyDescent="0.2">
      <c r="A37" s="3"/>
      <c r="B37" s="1"/>
      <c r="C37" s="3" t="s">
        <v>10</v>
      </c>
      <c r="D37" s="3">
        <f>SUM($W$4,$V$5,$U$6,$T$7,$S$8,$R$9,$Q$10,$P$11,$O$12,$N$13,$M$14,$L$15,$K$16,$J$17,$I$18,$H$19,$G$20,$F$21,$E$22,$D$23,$AC$24,$AB$25,$AA$26,$Z$27,$Y$28,$X$29)</f>
        <v>3.9851785714285722E-2</v>
      </c>
      <c r="E37" s="4" t="str">
        <f t="shared" si="4"/>
        <v>T (3.9%)</v>
      </c>
      <c r="L37" s="3"/>
      <c r="M37" s="3"/>
      <c r="N37" s="3"/>
      <c r="O37" s="3"/>
      <c r="P37" s="3"/>
      <c r="Q37" s="3"/>
      <c r="R37" s="3"/>
      <c r="X37" s="3"/>
      <c r="AG37" s="3"/>
      <c r="AH37" s="3"/>
      <c r="AI37" s="3"/>
    </row>
    <row r="38" spans="1:35" x14ac:dyDescent="0.2">
      <c r="A38" s="3"/>
      <c r="B38" s="1"/>
      <c r="C38" s="3" t="s">
        <v>1</v>
      </c>
      <c r="D38" s="3">
        <f>SUM($O$4,$N$5,$M$6,$L$7,$K$8,$J$9,$I$10,$H$11,$G$12,$F$13,$E$14,$D$15,$AC$16,$AB$17,$AA$18,$Z$19,$Y$20,$X$21,$W$22,$V$23,$U$24,$T$25,$S$26,$R$27,$Q$28,$P$29)</f>
        <v>3.9700357142857141E-2</v>
      </c>
      <c r="E38" s="4" t="str">
        <f t="shared" si="4"/>
        <v>L (3.9%)</v>
      </c>
      <c r="L38" s="3"/>
      <c r="M38" s="3"/>
      <c r="N38" s="3"/>
      <c r="O38" s="3"/>
      <c r="P38" s="3"/>
      <c r="Q38" s="3"/>
      <c r="R38" s="3"/>
      <c r="X38" s="3"/>
      <c r="AG38" s="3"/>
      <c r="AH38" s="3"/>
      <c r="AI38" s="3"/>
    </row>
    <row r="39" spans="1:35" x14ac:dyDescent="0.2">
      <c r="A39" s="3"/>
      <c r="B39" s="1"/>
      <c r="C39" s="3" t="s">
        <v>22</v>
      </c>
      <c r="D39" s="3">
        <f>SUM($AA$4,$Z$5,$Y$6,$X$7,$W$8,$V$9,$U$10,$T$11,$S$12,$R$13,$Q$14,$P$15,$O$16,$N$17,$M$18,$L$19,$K$20,$J$21,$I$22,$H$23,$G$24,$F$25,$E$26,$D$27,$AC$28,$AB$29)</f>
        <v>3.9599642857142847E-2</v>
      </c>
      <c r="E39" s="4" t="str">
        <f t="shared" si="4"/>
        <v>X (3.9%)</v>
      </c>
      <c r="L39" s="3"/>
      <c r="M39" s="3"/>
      <c r="N39" s="3"/>
      <c r="O39" s="3"/>
      <c r="P39" s="3"/>
      <c r="Q39" s="3"/>
      <c r="R39" s="3"/>
      <c r="X39" s="3"/>
      <c r="AG39" s="3"/>
      <c r="AH39" s="3"/>
      <c r="AI39" s="3"/>
    </row>
    <row r="40" spans="1:35" x14ac:dyDescent="0.2">
      <c r="A40" s="3"/>
      <c r="B40" s="1"/>
      <c r="C40" s="3" t="s">
        <v>21</v>
      </c>
      <c r="D40" s="3">
        <f>SUM($N$4,$M$5,$L$6,$K$7,$J$8,$I$9,$H$10,$G$11,$F$12,$E$13,$D$14,$AC$15,$AB$16,$AA$17,$Z$18,$Y$19,$X$20,$W$21,$V$22,$U$23,$T$24,$S$25,$R$26,$Q$27,$P$28,$O$29)</f>
        <v>3.9361666666666663E-2</v>
      </c>
      <c r="E40" s="4" t="str">
        <f t="shared" si="4"/>
        <v>K (3.9%)</v>
      </c>
      <c r="L40" s="3"/>
      <c r="M40" s="3"/>
      <c r="N40" s="3"/>
      <c r="O40" s="3"/>
      <c r="P40" s="3"/>
      <c r="Q40" s="3"/>
      <c r="R40" s="3"/>
      <c r="X40" s="3"/>
      <c r="AG40" s="3"/>
      <c r="AH40" s="3"/>
      <c r="AI40" s="3"/>
    </row>
    <row r="41" spans="1:35" x14ac:dyDescent="0.2">
      <c r="A41" s="3"/>
      <c r="B41" s="1"/>
      <c r="C41" s="3" t="s">
        <v>11</v>
      </c>
      <c r="D41" s="3">
        <f>SUM($K$4,$J$5,$I$6,$H$7,$G$8,$F$9,$E$10,$D$11,$AC$12,$AB$13,$AA$14,$Z$15,$Y$16,$X$17,$W$18,$V$19,$U$20,$T$21,$S$22,$R$23,$Q$24,$P$25,$O$26,$N$27,$M$28,$L$29)</f>
        <v>3.9178571428571431E-2</v>
      </c>
      <c r="E41" s="4" t="str">
        <f t="shared" si="4"/>
        <v>H (3.9%)</v>
      </c>
      <c r="L41" s="3"/>
      <c r="M41" s="3"/>
      <c r="N41" s="3"/>
      <c r="O41" s="3"/>
      <c r="P41" s="3"/>
      <c r="Q41" s="3"/>
      <c r="R41" s="3"/>
      <c r="X41" s="3"/>
      <c r="AG41" s="3"/>
      <c r="AH41" s="3"/>
      <c r="AI41" s="3"/>
    </row>
    <row r="42" spans="1:35" x14ac:dyDescent="0.2">
      <c r="A42" s="3"/>
      <c r="B42" s="1"/>
      <c r="C42" s="3" t="s">
        <v>4</v>
      </c>
      <c r="D42" s="3">
        <f>SUM($AB$4,$AA$5,$Z$6,$Y$7,$X$8,$W$9,$V$10,$U$11,$T$12,$S$13,$R$14,$Q$15,$P$16,$O$17,$N$18,$M$19,$L$20,$K$21,$J$22,$I$23,$H$24,$G$25,$F$26,$E$27,$D$28,$AC$29)</f>
        <v>3.9136428571428579E-2</v>
      </c>
      <c r="E42" s="4" t="str">
        <f t="shared" si="4"/>
        <v>Y (3.9%)</v>
      </c>
      <c r="AG42" s="3"/>
      <c r="AH42" s="3"/>
      <c r="AI42" s="3"/>
    </row>
    <row r="43" spans="1:35" x14ac:dyDescent="0.2">
      <c r="A43" s="3"/>
      <c r="B43" s="1"/>
      <c r="C43" s="3" t="s">
        <v>17</v>
      </c>
      <c r="D43" s="3">
        <f>SUM($E$4,$D$5,$AC$6,$AB$7,$AA$8,$Z$9,$Y$10,$X$11,$W$12,$V$13,$U$14,$T$15,$S$16,$R$17,$Q$18,$P$19,$O$20,$N$21,$M$22,$L$23,$K$24,$J$25,$I$26,$H$27,$G$28,$F$29)</f>
        <v>3.8959464285714285E-2</v>
      </c>
      <c r="E43" s="4" t="str">
        <f t="shared" si="4"/>
        <v>B (3.8%)</v>
      </c>
      <c r="AG43" s="3"/>
      <c r="AH43" s="3"/>
      <c r="AI43" s="3"/>
    </row>
    <row r="44" spans="1:35" x14ac:dyDescent="0.2">
      <c r="A44" s="3"/>
      <c r="B44" s="1"/>
      <c r="C44" s="3" t="s">
        <v>7</v>
      </c>
      <c r="D44" s="3">
        <f>SUM($S$4,$R$5,$Q$6,$P$7,$O$8,$N$9,$M$10,$L$11,$K$12,$J$13,$I$14,$H$15,$G$16,$F$17,$E$18,$D$19,$AC$20,$AB$21,$AA$22,$Z$23,$Y$24,$X$25,$W$26,$V$27,$U$28,$T$29)</f>
        <v>3.874839285714287E-2</v>
      </c>
      <c r="E44" s="4" t="str">
        <f t="shared" si="4"/>
        <v>P (3.8%)</v>
      </c>
      <c r="AG44" s="3"/>
      <c r="AH44" s="3"/>
      <c r="AI44" s="3"/>
    </row>
    <row r="45" spans="1:35" x14ac:dyDescent="0.2">
      <c r="A45" s="3"/>
      <c r="B45" s="1"/>
      <c r="C45" s="3" t="s">
        <v>14</v>
      </c>
      <c r="D45" s="3">
        <f>SUM($Q$4,$P$5,$O$6,$N$7,$M$8,$L$9,$K$10,$J$11,$I$12,$H$13,$G$14,$F$15,$E$16,$D$17,$AC$18,$AB$19,$AA$20,$Z$21,$Y$22,$X$23,$W$24,$V$25,$U$26,$T$27,$S$28,$R$29)</f>
        <v>3.8693869047619053E-2</v>
      </c>
      <c r="E45" s="4" t="str">
        <f t="shared" si="4"/>
        <v>N (3.8%)</v>
      </c>
      <c r="AG45" s="3"/>
      <c r="AH45" s="3"/>
      <c r="AI45" s="3"/>
    </row>
    <row r="46" spans="1:35" x14ac:dyDescent="0.2">
      <c r="A46" s="3"/>
      <c r="B46" s="1"/>
      <c r="C46" s="3" t="s">
        <v>12</v>
      </c>
      <c r="D46" s="3">
        <f>SUM($P$4,$O$5,$N$6,$M$7,$L$8,$K$9,$J$10,$I$11,$H$12,$G$13,$F$14,$E$15,$D$16,$AC$17,$AB$18,$AA$19,$Z$20,$Y$21,$X$22,$W$23,$V$24,$U$25,$T$26,$S$27,$R$28,$Q$29)</f>
        <v>3.8583511904761898E-2</v>
      </c>
      <c r="E46" s="4" t="str">
        <f t="shared" si="4"/>
        <v>M (3.8%)</v>
      </c>
      <c r="AG46" s="3"/>
      <c r="AH46" s="3"/>
      <c r="AI46" s="3"/>
    </row>
    <row r="47" spans="1:35" x14ac:dyDescent="0.2">
      <c r="A47" s="3"/>
      <c r="B47" s="1"/>
      <c r="C47" s="3" t="s">
        <v>24</v>
      </c>
      <c r="D47" s="3">
        <f>SUM($M$4,$L$5,$K$6,$J$7,$I$8,$H$9,$G$10,$F$11,$E$12,$D$13,$AC$14,$AB$15,$AA$16,$Z$17,$Y$18,$X$19,$W$20,$V$21,$U$22,$T$23,$S$24,$R$25,$Q$26,$P$27,$O$28,$N$29)</f>
        <v>3.8059583333333334E-2</v>
      </c>
      <c r="E47" s="4" t="str">
        <f t="shared" si="4"/>
        <v>J (3.8%)</v>
      </c>
      <c r="AG47" s="3"/>
      <c r="AH47" s="3"/>
      <c r="AI47" s="3"/>
    </row>
    <row r="48" spans="1:35" x14ac:dyDescent="0.2">
      <c r="A48" s="3"/>
      <c r="B48" s="1"/>
      <c r="C48" s="3" t="s">
        <v>5</v>
      </c>
      <c r="D48" s="3">
        <f>SUM($G$4,$F$5,$E$6,$D$7,$AC$8,$AB$9,$AA$10,$Z$11,$Y$12,$X$13,$W$14,$V$15,$U$16,$T$17,$S$18,$R$19,$Q$20,$P$21,$O$22,$N$23,$M$24,$L$25,$K$26,$J$27,$I$28,$H$29)</f>
        <v>3.8030595238095245E-2</v>
      </c>
      <c r="E48" s="4" t="str">
        <f t="shared" si="4"/>
        <v>D (3.8%)</v>
      </c>
      <c r="AG48" s="3"/>
      <c r="AH48" s="3"/>
      <c r="AI48" s="3"/>
    </row>
    <row r="49" spans="1:35" x14ac:dyDescent="0.2">
      <c r="A49" s="3"/>
      <c r="B49" s="1"/>
      <c r="C49" s="3" t="s">
        <v>3</v>
      </c>
      <c r="D49" s="3">
        <f>SUM($Z$4,$Y$5,$X$6,$W$7,$V$8,$U$9,$T$10,$S$11,$R$12,$Q$13,$P$14,$O$15,$N$16,$M$17,$L$18,$K$19,$J$20,$I$21,$H$22,$G$23,$F$24,$E$25,$D$26,$AC$27,$AB$28,$AA$29)</f>
        <v>3.7880000000000004E-2</v>
      </c>
      <c r="E49" s="4" t="str">
        <f t="shared" si="4"/>
        <v>W (3.7%)</v>
      </c>
      <c r="AG49" s="3"/>
      <c r="AH49" s="3"/>
      <c r="AI49" s="3"/>
    </row>
    <row r="50" spans="1:35" x14ac:dyDescent="0.2">
      <c r="A50" s="3"/>
      <c r="B50" s="1"/>
      <c r="C50" s="3" t="s">
        <v>15</v>
      </c>
      <c r="D50" s="3">
        <f>SUM($I$4,$H$5,$G$6,$F$7,$E$8,$D$9,$AC$10,$AB$11,$AA$12,$Z$13,$Y$14,$X$15,$W$16,$V$17,$U$18,$T$19,$S$20,$R$21,$Q$22,$P$23,$O$24,$N$25,$M$26,$L$27,$K$28,$J$29)</f>
        <v>3.7741607142857139E-2</v>
      </c>
      <c r="E50" s="4" t="str">
        <f t="shared" si="4"/>
        <v>F (3.7%)</v>
      </c>
      <c r="AG50" s="3"/>
      <c r="AH50" s="3"/>
      <c r="AI50" s="3"/>
    </row>
    <row r="51" spans="1:35" x14ac:dyDescent="0.2">
      <c r="A51" s="3"/>
      <c r="B51" s="1"/>
      <c r="C51" s="3" t="s">
        <v>25</v>
      </c>
      <c r="D51" s="3">
        <f>SUM($AC$4,$AB$5,$AA$6,$Z$7,$Y$8,$X$9,$W$10,$V$11,$U$12,$T$13,$S$14,$R$15,$Q$16,$P$17,$O$18,$N$19,$M$20,$L$21,$K$22,$J$23,$I$24,$H$25,$G$26,$F$27,$E$28,$D$29)</f>
        <v>3.770517857142857E-2</v>
      </c>
      <c r="E51" s="4" t="str">
        <f t="shared" si="4"/>
        <v>Z (3.7%)</v>
      </c>
      <c r="AG51" s="3"/>
      <c r="AH51" s="3"/>
      <c r="AI51" s="3"/>
    </row>
    <row r="52" spans="1:35" x14ac:dyDescent="0.2">
      <c r="A52" s="3"/>
      <c r="B52" s="1"/>
      <c r="C52" s="3" t="s">
        <v>9</v>
      </c>
      <c r="D52" s="3">
        <f>SUM($U$4,$T$5,$S$6,$R$7,$Q$8,$P$9,$O$10,$N$11,$M$12,$L$13,$K$14,$J$15,$I$16,$H$17,$G$18,$F$19,$E$20,$D$21,$AC$22,$AB$23,$AA$24,$Z$25,$Y$26,$X$27,$W$28,$V$29)</f>
        <v>3.6788869047619042E-2</v>
      </c>
      <c r="E52" s="4" t="str">
        <f t="shared" si="4"/>
        <v>R (3.6%)</v>
      </c>
      <c r="AG52" s="3"/>
      <c r="AH52" s="3"/>
      <c r="AI52" s="3"/>
    </row>
    <row r="53" spans="1:35" x14ac:dyDescent="0.2">
      <c r="A53" s="3"/>
      <c r="B53" s="1"/>
      <c r="C53" s="3" t="s">
        <v>19</v>
      </c>
      <c r="D53" s="3">
        <f>SUM($X$4,$W$5,$V$6,$U$7,$T$8,$S$9,$R$10,$Q$11,$P$12,$O$13,$N$14,$M$15,$L$16,$K$17,$J$18,$I$19,$H$20,$G$21,$F$22,$E$23,$D$24,$AC$25,$AB$26,$AA$27,$Z$28,$Y$29)</f>
        <v>3.618416666666667E-2</v>
      </c>
      <c r="E53" s="4" t="str">
        <f t="shared" si="4"/>
        <v>U (3.6%)</v>
      </c>
      <c r="AG53" s="3"/>
      <c r="AH53" s="3"/>
      <c r="AI53" s="3"/>
    </row>
    <row r="54" spans="1:35" x14ac:dyDescent="0.2">
      <c r="A54" s="3"/>
      <c r="B54" s="1"/>
      <c r="C54" s="3" t="s">
        <v>20</v>
      </c>
      <c r="D54" s="3">
        <f>SUM($Y$4,$X$5,$W$6,$V$7,$U$8,$T$9,$S$10,$R$11,$Q$12,$P$13,$O$14,$N$15,$M$16,$L$17,$K$18,$J$19,$I$20,$H$21,$G$22,$F$23,$E$24,$D$25,$AC$26,$AB$27,$AA$28,$Z$29)</f>
        <v>3.6123809523809523E-2</v>
      </c>
      <c r="E54" s="4" t="str">
        <f t="shared" si="4"/>
        <v>V (3.6%)</v>
      </c>
      <c r="AG54" s="3"/>
      <c r="AH54" s="3"/>
      <c r="AI54" s="3"/>
    </row>
    <row r="55" spans="1:35" x14ac:dyDescent="0.2">
      <c r="A55" s="3"/>
      <c r="B55" s="1"/>
      <c r="C55" s="3" t="s">
        <v>23</v>
      </c>
      <c r="D55" s="3">
        <f>SUM($T$4,$S$5,$R$6,$Q$7,$P$8,$O$9,$N$10,$M$11,$L$12,$K$13,$J$14,$I$15,$H$16,$G$17,$F$18,$E$19,$D$20,$AC$21,$AB$22,$AA$23,$Z$24,$Y$25,$X$26,$W$27,$V$28,$U$29)</f>
        <v>3.5878214285714277E-2</v>
      </c>
      <c r="E55" s="4" t="str">
        <f t="shared" si="4"/>
        <v>Q (3.5%)</v>
      </c>
      <c r="AG55" s="3"/>
      <c r="AH55" s="3"/>
      <c r="AI55" s="3"/>
    </row>
    <row r="56" spans="1:35" x14ac:dyDescent="0.2">
      <c r="A56" s="3"/>
      <c r="B56" s="1"/>
      <c r="C56" s="3" t="s">
        <v>16</v>
      </c>
      <c r="D56" s="3">
        <f>SUM($J$4,$I$5,$H$6,$G$7,$F$8,$E$9,$D$10,$AC$11,$AB$12,$AA$13,$Z$14,$Y$15,$X$16,$W$17,$V$18,$U$19,$T$20,$S$21,$R$22,$Q$23,$P$24,$O$25,$N$26,$M$27,$L$28,$K$29)</f>
        <v>3.4248154761904757E-2</v>
      </c>
      <c r="E56" s="4" t="str">
        <f t="shared" si="4"/>
        <v>G (3.4%)</v>
      </c>
      <c r="AG56" s="3"/>
      <c r="AH56" s="3"/>
      <c r="AI56" s="3"/>
    </row>
    <row r="57" spans="1:35" x14ac:dyDescent="0.2">
      <c r="A57" s="3"/>
      <c r="B57" s="1"/>
      <c r="C57" s="3" t="s">
        <v>18</v>
      </c>
      <c r="D57" s="3">
        <f>SUM($F$4,$E$5,$D$6,$AC$7,$AB$8,$AA$9,$Z$10,$Y$11,$X$12,$W$13,$V$14,$U$15,$T$16,$S$17,$R$18,$Q$19,$P$20,$O$21,$N$22,$M$23,$L$24,$K$25,$J$26,$I$27,$H$28,$G$29)</f>
        <v>3.3346428571428575E-2</v>
      </c>
      <c r="E57" s="4" t="str">
        <f t="shared" si="4"/>
        <v>C (3.3%)</v>
      </c>
      <c r="AG57" s="3"/>
      <c r="AH57" s="3"/>
      <c r="AI57" s="3"/>
    </row>
  </sheetData>
  <sortState ref="C32:D57">
    <sortCondition descending="1" ref="D32:D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7"/>
  <sheetViews>
    <sheetView topLeftCell="A29" workbookViewId="0">
      <selection activeCell="C32" sqref="C32:D57"/>
    </sheetView>
  </sheetViews>
  <sheetFormatPr defaultColWidth="4.42578125" defaultRowHeight="12" x14ac:dyDescent="0.2"/>
  <cols>
    <col min="1" max="1" width="4.42578125" style="2"/>
    <col min="2" max="2" width="5.140625" style="4" bestFit="1" customWidth="1"/>
    <col min="3" max="3" width="5.28515625" style="4" customWidth="1"/>
    <col min="4" max="7" width="4.28515625" style="4" bestFit="1" customWidth="1"/>
    <col min="8" max="8" width="5.140625" style="4" bestFit="1" customWidth="1"/>
    <col min="9" max="29" width="4.28515625" style="4" bestFit="1" customWidth="1"/>
    <col min="30" max="16384" width="4.42578125" style="2"/>
  </cols>
  <sheetData>
    <row r="1" spans="2:31" x14ac:dyDescent="0.2">
      <c r="B1" s="3"/>
      <c r="C1" s="3"/>
      <c r="AD1" s="1"/>
      <c r="AE1" s="1"/>
    </row>
    <row r="2" spans="2:31" x14ac:dyDescent="0.2">
      <c r="B2" s="5"/>
      <c r="C2" s="6" t="s">
        <v>26</v>
      </c>
      <c r="D2" s="6">
        <v>8.1670000000000006E-2</v>
      </c>
      <c r="E2" s="6">
        <v>1.4919999999999999E-2</v>
      </c>
      <c r="F2" s="6">
        <v>2.7820000000000001E-2</v>
      </c>
      <c r="G2" s="6">
        <v>4.2529999999999998E-2</v>
      </c>
      <c r="H2" s="6">
        <v>0.12701999999999999</v>
      </c>
      <c r="I2" s="6">
        <v>2.2280000000000001E-2</v>
      </c>
      <c r="J2" s="6">
        <v>2.0150000000000001E-2</v>
      </c>
      <c r="K2" s="6">
        <v>6.0940000000000001E-2</v>
      </c>
      <c r="L2" s="6">
        <v>6.966E-2</v>
      </c>
      <c r="M2" s="6">
        <v>1.5299999999999999E-3</v>
      </c>
      <c r="N2" s="6">
        <v>7.7200000000000003E-3</v>
      </c>
      <c r="O2" s="6">
        <v>4.0250000000000001E-2</v>
      </c>
      <c r="P2" s="6">
        <v>2.4060000000000002E-2</v>
      </c>
      <c r="Q2" s="6">
        <v>6.7489999999999994E-2</v>
      </c>
      <c r="R2" s="6">
        <v>7.5069999999999998E-2</v>
      </c>
      <c r="S2" s="6">
        <v>1.9290000000000002E-2</v>
      </c>
      <c r="T2" s="6">
        <v>9.5E-4</v>
      </c>
      <c r="U2" s="6">
        <v>5.987E-2</v>
      </c>
      <c r="V2" s="6">
        <v>6.3270000000000007E-2</v>
      </c>
      <c r="W2" s="6">
        <v>9.0560000000000002E-2</v>
      </c>
      <c r="X2" s="6">
        <v>2.758E-2</v>
      </c>
      <c r="Y2" s="6">
        <v>9.7800000000000005E-3</v>
      </c>
      <c r="Z2" s="6">
        <v>2.3599999999999999E-2</v>
      </c>
      <c r="AA2" s="6">
        <v>1.5E-3</v>
      </c>
      <c r="AB2" s="6">
        <v>1.9740000000000001E-2</v>
      </c>
      <c r="AC2" s="6">
        <v>7.3999999999999999E-4</v>
      </c>
      <c r="AD2" s="1"/>
      <c r="AE2" s="1"/>
    </row>
    <row r="3" spans="2:31" x14ac:dyDescent="0.2">
      <c r="B3" s="7" t="s">
        <v>27</v>
      </c>
      <c r="C3" s="5"/>
      <c r="D3" s="5" t="s">
        <v>8</v>
      </c>
      <c r="E3" s="5" t="s">
        <v>17</v>
      </c>
      <c r="F3" s="5" t="s">
        <v>18</v>
      </c>
      <c r="G3" s="5" t="s">
        <v>5</v>
      </c>
      <c r="H3" s="5" t="s">
        <v>6</v>
      </c>
      <c r="I3" s="5" t="s">
        <v>15</v>
      </c>
      <c r="J3" s="5" t="s">
        <v>16</v>
      </c>
      <c r="K3" s="5" t="s">
        <v>11</v>
      </c>
      <c r="L3" s="5" t="s">
        <v>13</v>
      </c>
      <c r="M3" s="5" t="s">
        <v>24</v>
      </c>
      <c r="N3" s="5" t="s">
        <v>21</v>
      </c>
      <c r="O3" s="5" t="s">
        <v>1</v>
      </c>
      <c r="P3" s="5" t="s">
        <v>12</v>
      </c>
      <c r="Q3" s="5" t="s">
        <v>14</v>
      </c>
      <c r="R3" s="5" t="s">
        <v>2</v>
      </c>
      <c r="S3" s="5" t="s">
        <v>7</v>
      </c>
      <c r="T3" s="5" t="s">
        <v>23</v>
      </c>
      <c r="U3" s="5" t="s">
        <v>9</v>
      </c>
      <c r="V3" s="5" t="s">
        <v>0</v>
      </c>
      <c r="W3" s="5" t="s">
        <v>10</v>
      </c>
      <c r="X3" s="5" t="s">
        <v>19</v>
      </c>
      <c r="Y3" s="5" t="s">
        <v>20</v>
      </c>
      <c r="Z3" s="5" t="s">
        <v>3</v>
      </c>
      <c r="AA3" s="5" t="s">
        <v>22</v>
      </c>
      <c r="AB3" s="5" t="s">
        <v>4</v>
      </c>
      <c r="AC3" s="5" t="s">
        <v>25</v>
      </c>
      <c r="AD3" s="1"/>
      <c r="AE3" s="1"/>
    </row>
    <row r="4" spans="2:31" x14ac:dyDescent="0.2">
      <c r="B4" s="8">
        <v>7.7380952380952384E-2</v>
      </c>
      <c r="C4" s="5" t="s">
        <v>8</v>
      </c>
      <c r="D4" s="5">
        <f>$B4*D$2</f>
        <v>6.3197023809523816E-3</v>
      </c>
      <c r="E4" s="5">
        <f t="shared" ref="E4:AC14" si="0">$B4*E$2</f>
        <v>1.1545238095238095E-3</v>
      </c>
      <c r="F4" s="5">
        <f t="shared" si="0"/>
        <v>2.1527380952380956E-3</v>
      </c>
      <c r="G4" s="5">
        <f t="shared" si="0"/>
        <v>3.2910119047619047E-3</v>
      </c>
      <c r="H4" s="5">
        <f t="shared" si="0"/>
        <v>9.8289285714285718E-3</v>
      </c>
      <c r="I4" s="5">
        <f t="shared" si="0"/>
        <v>1.7240476190476192E-3</v>
      </c>
      <c r="J4" s="5">
        <f t="shared" si="0"/>
        <v>1.5592261904761905E-3</v>
      </c>
      <c r="K4" s="5">
        <f t="shared" si="0"/>
        <v>4.7155952380952383E-3</v>
      </c>
      <c r="L4" s="5">
        <f t="shared" si="0"/>
        <v>5.3903571428571429E-3</v>
      </c>
      <c r="M4" s="5">
        <f t="shared" si="0"/>
        <v>1.1839285714285714E-4</v>
      </c>
      <c r="N4" s="5">
        <f t="shared" si="0"/>
        <v>5.9738095238095242E-4</v>
      </c>
      <c r="O4" s="5">
        <f t="shared" si="0"/>
        <v>3.1145833333333334E-3</v>
      </c>
      <c r="P4" s="5">
        <f t="shared" si="0"/>
        <v>1.8617857142857145E-3</v>
      </c>
      <c r="Q4" s="5">
        <f t="shared" si="0"/>
        <v>5.222440476190476E-3</v>
      </c>
      <c r="R4" s="5">
        <f t="shared" si="0"/>
        <v>5.8089880952380954E-3</v>
      </c>
      <c r="S4" s="5">
        <f t="shared" si="0"/>
        <v>1.4926785714285717E-3</v>
      </c>
      <c r="T4" s="5">
        <f t="shared" si="0"/>
        <v>7.3511904761904768E-5</v>
      </c>
      <c r="U4" s="5">
        <f t="shared" si="0"/>
        <v>4.6327976190476189E-3</v>
      </c>
      <c r="V4" s="5">
        <f t="shared" si="0"/>
        <v>4.8958928571428582E-3</v>
      </c>
      <c r="W4" s="5">
        <f t="shared" si="0"/>
        <v>7.0076190476190481E-3</v>
      </c>
      <c r="X4" s="5">
        <f t="shared" si="0"/>
        <v>2.1341666666666666E-3</v>
      </c>
      <c r="Y4" s="5">
        <f t="shared" si="0"/>
        <v>7.567857142857144E-4</v>
      </c>
      <c r="Z4" s="5">
        <f t="shared" si="0"/>
        <v>1.8261904761904763E-3</v>
      </c>
      <c r="AA4" s="5">
        <f t="shared" si="0"/>
        <v>1.1607142857142858E-4</v>
      </c>
      <c r="AB4" s="5">
        <f t="shared" si="0"/>
        <v>1.5275E-3</v>
      </c>
      <c r="AC4" s="5">
        <f t="shared" si="0"/>
        <v>5.7261904761904766E-5</v>
      </c>
      <c r="AD4" s="1"/>
      <c r="AE4" s="1"/>
    </row>
    <row r="5" spans="2:31" x14ac:dyDescent="0.2">
      <c r="B5" s="8">
        <v>1.7857142857142856E-2</v>
      </c>
      <c r="C5" s="5" t="s">
        <v>17</v>
      </c>
      <c r="D5" s="5">
        <f t="shared" ref="D5:S29" si="1">$B5*D$2</f>
        <v>1.4583928571428571E-3</v>
      </c>
      <c r="E5" s="5">
        <f t="shared" si="0"/>
        <v>2.6642857142857138E-4</v>
      </c>
      <c r="F5" s="5">
        <f t="shared" si="0"/>
        <v>4.9678571428571426E-4</v>
      </c>
      <c r="G5" s="5">
        <f t="shared" si="0"/>
        <v>7.5946428571428562E-4</v>
      </c>
      <c r="H5" s="5">
        <f t="shared" si="0"/>
        <v>2.2682142857142853E-3</v>
      </c>
      <c r="I5" s="5">
        <f t="shared" si="0"/>
        <v>3.9785714285714283E-4</v>
      </c>
      <c r="J5" s="5">
        <f t="shared" si="0"/>
        <v>3.5982142857142859E-4</v>
      </c>
      <c r="K5" s="5">
        <f t="shared" si="0"/>
        <v>1.0882142857142857E-3</v>
      </c>
      <c r="L5" s="5">
        <f t="shared" si="0"/>
        <v>1.2439285714285714E-3</v>
      </c>
      <c r="M5" s="5">
        <f t="shared" si="0"/>
        <v>2.7321428571428568E-5</v>
      </c>
      <c r="N5" s="5">
        <f t="shared" si="0"/>
        <v>1.3785714285714285E-4</v>
      </c>
      <c r="O5" s="5">
        <f t="shared" si="0"/>
        <v>7.1874999999999999E-4</v>
      </c>
      <c r="P5" s="5">
        <f t="shared" si="0"/>
        <v>4.2964285714285717E-4</v>
      </c>
      <c r="Q5" s="5">
        <f t="shared" si="0"/>
        <v>1.2051785714285712E-3</v>
      </c>
      <c r="R5" s="5">
        <f t="shared" si="0"/>
        <v>1.3405357142857142E-3</v>
      </c>
      <c r="S5" s="5">
        <f t="shared" si="0"/>
        <v>3.4446428571428573E-4</v>
      </c>
      <c r="T5" s="5">
        <f t="shared" si="0"/>
        <v>1.6964285714285712E-5</v>
      </c>
      <c r="U5" s="5">
        <f t="shared" si="0"/>
        <v>1.0691071428571427E-3</v>
      </c>
      <c r="V5" s="5">
        <f t="shared" si="0"/>
        <v>1.1298214285714286E-3</v>
      </c>
      <c r="W5" s="5">
        <f t="shared" si="0"/>
        <v>1.6171428571428571E-3</v>
      </c>
      <c r="X5" s="5">
        <f t="shared" si="0"/>
        <v>4.9249999999999999E-4</v>
      </c>
      <c r="Y5" s="5">
        <f t="shared" si="0"/>
        <v>1.7464285714285715E-4</v>
      </c>
      <c r="Z5" s="5">
        <f t="shared" si="0"/>
        <v>4.214285714285714E-4</v>
      </c>
      <c r="AA5" s="5">
        <f t="shared" si="0"/>
        <v>2.6785714285714284E-5</v>
      </c>
      <c r="AB5" s="5">
        <f t="shared" si="0"/>
        <v>3.525E-4</v>
      </c>
      <c r="AC5" s="5">
        <f t="shared" si="0"/>
        <v>1.3214285714285714E-5</v>
      </c>
      <c r="AD5" s="1"/>
      <c r="AE5" s="1"/>
    </row>
    <row r="6" spans="2:31" x14ac:dyDescent="0.2">
      <c r="B6" s="8">
        <v>2.6785714285714284E-2</v>
      </c>
      <c r="C6" s="5" t="s">
        <v>18</v>
      </c>
      <c r="D6" s="5">
        <f t="shared" si="1"/>
        <v>2.1875892857142858E-3</v>
      </c>
      <c r="E6" s="5">
        <f t="shared" si="0"/>
        <v>3.9964285714285709E-4</v>
      </c>
      <c r="F6" s="5">
        <f t="shared" si="0"/>
        <v>7.4517857142857144E-4</v>
      </c>
      <c r="G6" s="5">
        <f t="shared" si="0"/>
        <v>1.1391964285714284E-3</v>
      </c>
      <c r="H6" s="5">
        <f t="shared" si="0"/>
        <v>3.4023214285714282E-3</v>
      </c>
      <c r="I6" s="5">
        <f t="shared" si="0"/>
        <v>5.967857142857143E-4</v>
      </c>
      <c r="J6" s="5">
        <f t="shared" si="0"/>
        <v>5.3973214285714291E-4</v>
      </c>
      <c r="K6" s="5">
        <f t="shared" si="0"/>
        <v>1.6323214285714285E-3</v>
      </c>
      <c r="L6" s="5">
        <f t="shared" si="0"/>
        <v>1.865892857142857E-3</v>
      </c>
      <c r="M6" s="5">
        <f t="shared" si="0"/>
        <v>4.0982142857142851E-5</v>
      </c>
      <c r="N6" s="5">
        <f t="shared" si="0"/>
        <v>2.0678571428571428E-4</v>
      </c>
      <c r="O6" s="5">
        <f t="shared" si="0"/>
        <v>1.0781249999999999E-3</v>
      </c>
      <c r="P6" s="5">
        <f t="shared" si="0"/>
        <v>6.4446428571428576E-4</v>
      </c>
      <c r="Q6" s="5">
        <f t="shared" si="0"/>
        <v>1.807767857142857E-3</v>
      </c>
      <c r="R6" s="5">
        <f t="shared" si="0"/>
        <v>2.0108035714285714E-3</v>
      </c>
      <c r="S6" s="5">
        <f t="shared" si="0"/>
        <v>5.1669642857142854E-4</v>
      </c>
      <c r="T6" s="5">
        <f t="shared" si="0"/>
        <v>2.5446428571428569E-5</v>
      </c>
      <c r="U6" s="5">
        <f t="shared" si="0"/>
        <v>1.6036607142857142E-3</v>
      </c>
      <c r="V6" s="5">
        <f t="shared" si="0"/>
        <v>1.694732142857143E-3</v>
      </c>
      <c r="W6" s="5">
        <f t="shared" si="0"/>
        <v>2.4257142857142858E-3</v>
      </c>
      <c r="X6" s="5">
        <f t="shared" si="0"/>
        <v>7.3874999999999993E-4</v>
      </c>
      <c r="Y6" s="5">
        <f t="shared" si="0"/>
        <v>2.6196428571428573E-4</v>
      </c>
      <c r="Z6" s="5">
        <f t="shared" si="0"/>
        <v>6.3214285714285705E-4</v>
      </c>
      <c r="AA6" s="5">
        <f t="shared" si="0"/>
        <v>4.0178571428571427E-5</v>
      </c>
      <c r="AB6" s="5">
        <f t="shared" si="0"/>
        <v>5.2875000000000003E-4</v>
      </c>
      <c r="AC6" s="5">
        <f t="shared" si="0"/>
        <v>1.9821428571428572E-5</v>
      </c>
      <c r="AD6" s="1"/>
      <c r="AE6" s="1"/>
    </row>
    <row r="7" spans="2:31" x14ac:dyDescent="0.2">
      <c r="B7" s="8">
        <v>5.0595238095238096E-2</v>
      </c>
      <c r="C7" s="5" t="s">
        <v>5</v>
      </c>
      <c r="D7" s="5">
        <f t="shared" si="1"/>
        <v>4.1321130952380958E-3</v>
      </c>
      <c r="E7" s="5">
        <f t="shared" si="0"/>
        <v>7.548809523809524E-4</v>
      </c>
      <c r="F7" s="5">
        <f t="shared" si="0"/>
        <v>1.4075595238095238E-3</v>
      </c>
      <c r="G7" s="5">
        <f t="shared" si="0"/>
        <v>2.151815476190476E-3</v>
      </c>
      <c r="H7" s="5">
        <f t="shared" si="0"/>
        <v>6.4266071428571428E-3</v>
      </c>
      <c r="I7" s="5">
        <f t="shared" si="0"/>
        <v>1.1272619047619048E-3</v>
      </c>
      <c r="J7" s="5">
        <f t="shared" si="0"/>
        <v>1.0194940476190477E-3</v>
      </c>
      <c r="K7" s="5">
        <f t="shared" si="0"/>
        <v>3.0832738095238096E-3</v>
      </c>
      <c r="L7" s="5">
        <f t="shared" si="0"/>
        <v>3.5244642857142857E-3</v>
      </c>
      <c r="M7" s="5">
        <f t="shared" si="0"/>
        <v>7.7410714285714282E-5</v>
      </c>
      <c r="N7" s="5">
        <f t="shared" si="0"/>
        <v>3.9059523809523812E-4</v>
      </c>
      <c r="O7" s="5">
        <f t="shared" si="0"/>
        <v>2.0364583333333333E-3</v>
      </c>
      <c r="P7" s="5">
        <f t="shared" si="0"/>
        <v>1.2173214285714287E-3</v>
      </c>
      <c r="Q7" s="5">
        <f t="shared" si="0"/>
        <v>3.4146726190476188E-3</v>
      </c>
      <c r="R7" s="5">
        <f t="shared" si="0"/>
        <v>3.7981845238095236E-3</v>
      </c>
      <c r="S7" s="5">
        <f t="shared" si="0"/>
        <v>9.7598214285714291E-4</v>
      </c>
      <c r="T7" s="5">
        <f t="shared" si="0"/>
        <v>4.8065476190476192E-5</v>
      </c>
      <c r="U7" s="5">
        <f t="shared" si="0"/>
        <v>3.0291369047619047E-3</v>
      </c>
      <c r="V7" s="5">
        <f t="shared" si="0"/>
        <v>3.2011607142857145E-3</v>
      </c>
      <c r="W7" s="5">
        <f t="shared" si="0"/>
        <v>4.5819047619047619E-3</v>
      </c>
      <c r="X7" s="5">
        <f t="shared" si="0"/>
        <v>1.3954166666666668E-3</v>
      </c>
      <c r="Y7" s="5">
        <f t="shared" si="0"/>
        <v>4.9482142857142856E-4</v>
      </c>
      <c r="Z7" s="5">
        <f t="shared" si="0"/>
        <v>1.1940476190476191E-3</v>
      </c>
      <c r="AA7" s="5">
        <f t="shared" si="0"/>
        <v>7.589285714285715E-5</v>
      </c>
      <c r="AB7" s="5">
        <f t="shared" si="0"/>
        <v>9.9875000000000007E-4</v>
      </c>
      <c r="AC7" s="5">
        <f t="shared" si="0"/>
        <v>3.7440476190476191E-5</v>
      </c>
      <c r="AD7" s="1"/>
      <c r="AE7" s="1"/>
    </row>
    <row r="8" spans="2:31" x14ac:dyDescent="0.2">
      <c r="B8" s="8">
        <v>0.14880952380952381</v>
      </c>
      <c r="C8" s="5" t="s">
        <v>6</v>
      </c>
      <c r="D8" s="5">
        <f t="shared" si="1"/>
        <v>1.215327380952381E-2</v>
      </c>
      <c r="E8" s="5">
        <f t="shared" si="0"/>
        <v>2.220238095238095E-3</v>
      </c>
      <c r="F8" s="5">
        <f t="shared" si="0"/>
        <v>4.1398809523809522E-3</v>
      </c>
      <c r="G8" s="5">
        <f t="shared" si="0"/>
        <v>6.3288690476190476E-3</v>
      </c>
      <c r="H8" s="5">
        <f t="shared" si="0"/>
        <v>1.8901785714285715E-2</v>
      </c>
      <c r="I8" s="5">
        <f t="shared" si="0"/>
        <v>3.3154761904761907E-3</v>
      </c>
      <c r="J8" s="5">
        <f t="shared" si="0"/>
        <v>2.9985119047619049E-3</v>
      </c>
      <c r="K8" s="5">
        <f t="shared" si="0"/>
        <v>9.0684523809523819E-3</v>
      </c>
      <c r="L8" s="5">
        <f t="shared" si="0"/>
        <v>1.0366071428571428E-2</v>
      </c>
      <c r="M8" s="5">
        <f t="shared" si="0"/>
        <v>2.2767857142857141E-4</v>
      </c>
      <c r="N8" s="5">
        <f t="shared" si="0"/>
        <v>1.148809523809524E-3</v>
      </c>
      <c r="O8" s="5">
        <f t="shared" si="0"/>
        <v>5.9895833333333337E-3</v>
      </c>
      <c r="P8" s="5">
        <f t="shared" si="0"/>
        <v>3.5803571428571429E-3</v>
      </c>
      <c r="Q8" s="5">
        <f t="shared" si="0"/>
        <v>1.0043154761904762E-2</v>
      </c>
      <c r="R8" s="5">
        <f t="shared" si="0"/>
        <v>1.1171130952380951E-2</v>
      </c>
      <c r="S8" s="5">
        <f t="shared" si="0"/>
        <v>2.8705357142857144E-3</v>
      </c>
      <c r="T8" s="5">
        <f t="shared" si="0"/>
        <v>1.4136904761904762E-4</v>
      </c>
      <c r="U8" s="5">
        <f t="shared" si="0"/>
        <v>8.9092261904761896E-3</v>
      </c>
      <c r="V8" s="5">
        <f t="shared" si="0"/>
        <v>9.4151785714285726E-3</v>
      </c>
      <c r="W8" s="5">
        <f t="shared" si="0"/>
        <v>1.3476190476190477E-2</v>
      </c>
      <c r="X8" s="5">
        <f t="shared" si="0"/>
        <v>4.1041666666666666E-3</v>
      </c>
      <c r="Y8" s="5">
        <f t="shared" si="0"/>
        <v>1.455357142857143E-3</v>
      </c>
      <c r="Z8" s="5">
        <f t="shared" si="0"/>
        <v>3.5119047619047617E-3</v>
      </c>
      <c r="AA8" s="5">
        <f t="shared" si="0"/>
        <v>2.2321428571428571E-4</v>
      </c>
      <c r="AB8" s="5">
        <f t="shared" si="0"/>
        <v>2.9375E-3</v>
      </c>
      <c r="AC8" s="5">
        <f t="shared" si="0"/>
        <v>1.1011904761904761E-4</v>
      </c>
      <c r="AD8" s="1"/>
      <c r="AE8" s="1"/>
    </row>
    <row r="9" spans="2:31" x14ac:dyDescent="0.2">
      <c r="B9" s="8">
        <v>2.3809523809523808E-2</v>
      </c>
      <c r="C9" s="5" t="s">
        <v>15</v>
      </c>
      <c r="D9" s="5">
        <f t="shared" si="1"/>
        <v>1.9445238095238096E-3</v>
      </c>
      <c r="E9" s="5">
        <f t="shared" si="0"/>
        <v>3.552380952380952E-4</v>
      </c>
      <c r="F9" s="5">
        <f t="shared" si="0"/>
        <v>6.6238095238095238E-4</v>
      </c>
      <c r="G9" s="5">
        <f t="shared" si="0"/>
        <v>1.0126190476190476E-3</v>
      </c>
      <c r="H9" s="5">
        <f t="shared" si="0"/>
        <v>3.0242857142857142E-3</v>
      </c>
      <c r="I9" s="5">
        <f t="shared" si="0"/>
        <v>5.3047619047619048E-4</v>
      </c>
      <c r="J9" s="5">
        <f t="shared" si="0"/>
        <v>4.7976190476190476E-4</v>
      </c>
      <c r="K9" s="5">
        <f t="shared" si="0"/>
        <v>1.4509523809523809E-3</v>
      </c>
      <c r="L9" s="5">
        <f t="shared" si="0"/>
        <v>1.6585714285714285E-3</v>
      </c>
      <c r="M9" s="5">
        <f t="shared" si="0"/>
        <v>3.6428571428571423E-5</v>
      </c>
      <c r="N9" s="5">
        <f t="shared" si="0"/>
        <v>1.8380952380952381E-4</v>
      </c>
      <c r="O9" s="5">
        <f t="shared" si="0"/>
        <v>9.5833333333333328E-4</v>
      </c>
      <c r="P9" s="5">
        <f t="shared" si="0"/>
        <v>5.7285714285714286E-4</v>
      </c>
      <c r="Q9" s="5">
        <f t="shared" si="0"/>
        <v>1.6069047619047616E-3</v>
      </c>
      <c r="R9" s="5">
        <f t="shared" si="0"/>
        <v>1.7873809523809522E-3</v>
      </c>
      <c r="S9" s="5">
        <f t="shared" si="0"/>
        <v>4.5928571428571432E-4</v>
      </c>
      <c r="T9" s="5">
        <f t="shared" si="0"/>
        <v>2.2619047619047619E-5</v>
      </c>
      <c r="U9" s="5">
        <f t="shared" si="0"/>
        <v>1.4254761904761903E-3</v>
      </c>
      <c r="V9" s="5">
        <f t="shared" si="0"/>
        <v>1.5064285714285715E-3</v>
      </c>
      <c r="W9" s="5">
        <f t="shared" si="0"/>
        <v>2.156190476190476E-3</v>
      </c>
      <c r="X9" s="5">
        <f t="shared" si="0"/>
        <v>6.5666666666666662E-4</v>
      </c>
      <c r="Y9" s="5">
        <f t="shared" si="0"/>
        <v>2.3285714285714286E-4</v>
      </c>
      <c r="Z9" s="5">
        <f t="shared" si="0"/>
        <v>5.6190476190476183E-4</v>
      </c>
      <c r="AA9" s="5">
        <f t="shared" si="0"/>
        <v>3.571428571428571E-5</v>
      </c>
      <c r="AB9" s="5">
        <f t="shared" si="0"/>
        <v>4.6999999999999999E-4</v>
      </c>
      <c r="AC9" s="5">
        <f t="shared" si="0"/>
        <v>1.7619047619047616E-5</v>
      </c>
      <c r="AD9" s="1"/>
      <c r="AE9" s="1"/>
    </row>
    <row r="10" spans="2:31" x14ac:dyDescent="0.2">
      <c r="B10" s="8">
        <v>1.7857142857142856E-2</v>
      </c>
      <c r="C10" s="5" t="s">
        <v>16</v>
      </c>
      <c r="D10" s="5">
        <f t="shared" si="1"/>
        <v>1.4583928571428571E-3</v>
      </c>
      <c r="E10" s="5">
        <f t="shared" si="0"/>
        <v>2.6642857142857138E-4</v>
      </c>
      <c r="F10" s="5">
        <f t="shared" si="0"/>
        <v>4.9678571428571426E-4</v>
      </c>
      <c r="G10" s="5">
        <f t="shared" si="0"/>
        <v>7.5946428571428562E-4</v>
      </c>
      <c r="H10" s="5">
        <f t="shared" si="0"/>
        <v>2.2682142857142853E-3</v>
      </c>
      <c r="I10" s="5">
        <f t="shared" si="0"/>
        <v>3.9785714285714283E-4</v>
      </c>
      <c r="J10" s="5">
        <f t="shared" si="0"/>
        <v>3.5982142857142859E-4</v>
      </c>
      <c r="K10" s="5">
        <f t="shared" si="0"/>
        <v>1.0882142857142857E-3</v>
      </c>
      <c r="L10" s="5">
        <f t="shared" si="0"/>
        <v>1.2439285714285714E-3</v>
      </c>
      <c r="M10" s="5">
        <f t="shared" si="0"/>
        <v>2.7321428571428568E-5</v>
      </c>
      <c r="N10" s="5">
        <f t="shared" si="0"/>
        <v>1.3785714285714285E-4</v>
      </c>
      <c r="O10" s="5">
        <f t="shared" si="0"/>
        <v>7.1874999999999999E-4</v>
      </c>
      <c r="P10" s="5">
        <f t="shared" si="0"/>
        <v>4.2964285714285717E-4</v>
      </c>
      <c r="Q10" s="5">
        <f t="shared" si="0"/>
        <v>1.2051785714285712E-3</v>
      </c>
      <c r="R10" s="5">
        <f t="shared" si="0"/>
        <v>1.3405357142857142E-3</v>
      </c>
      <c r="S10" s="5">
        <f t="shared" si="0"/>
        <v>3.4446428571428573E-4</v>
      </c>
      <c r="T10" s="5">
        <f t="shared" si="0"/>
        <v>1.6964285714285712E-5</v>
      </c>
      <c r="U10" s="5">
        <f t="shared" si="0"/>
        <v>1.0691071428571427E-3</v>
      </c>
      <c r="V10" s="5">
        <f t="shared" si="0"/>
        <v>1.1298214285714286E-3</v>
      </c>
      <c r="W10" s="5">
        <f t="shared" si="0"/>
        <v>1.6171428571428571E-3</v>
      </c>
      <c r="X10" s="5">
        <f t="shared" si="0"/>
        <v>4.9249999999999999E-4</v>
      </c>
      <c r="Y10" s="5">
        <f t="shared" si="0"/>
        <v>1.7464285714285715E-4</v>
      </c>
      <c r="Z10" s="5">
        <f t="shared" si="0"/>
        <v>4.214285714285714E-4</v>
      </c>
      <c r="AA10" s="5">
        <f t="shared" si="0"/>
        <v>2.6785714285714284E-5</v>
      </c>
      <c r="AB10" s="5">
        <f t="shared" si="0"/>
        <v>3.525E-4</v>
      </c>
      <c r="AC10" s="5">
        <f t="shared" si="0"/>
        <v>1.3214285714285714E-5</v>
      </c>
      <c r="AD10" s="1"/>
      <c r="AE10" s="1"/>
    </row>
    <row r="11" spans="2:31" x14ac:dyDescent="0.2">
      <c r="B11" s="8">
        <v>6.5476190476190479E-2</v>
      </c>
      <c r="C11" s="5" t="s">
        <v>11</v>
      </c>
      <c r="D11" s="5">
        <f t="shared" si="1"/>
        <v>5.347440476190477E-3</v>
      </c>
      <c r="E11" s="5">
        <f t="shared" si="0"/>
        <v>9.7690476190476195E-4</v>
      </c>
      <c r="F11" s="5">
        <f t="shared" si="0"/>
        <v>1.8215476190476191E-3</v>
      </c>
      <c r="G11" s="5">
        <f t="shared" si="0"/>
        <v>2.7847023809523812E-3</v>
      </c>
      <c r="H11" s="5">
        <f t="shared" si="0"/>
        <v>8.3167857142857141E-3</v>
      </c>
      <c r="I11" s="5">
        <f t="shared" si="0"/>
        <v>1.4588095238095239E-3</v>
      </c>
      <c r="J11" s="5">
        <f t="shared" si="0"/>
        <v>1.3193452380952382E-3</v>
      </c>
      <c r="K11" s="5">
        <f t="shared" si="0"/>
        <v>3.9901190476190479E-3</v>
      </c>
      <c r="L11" s="5">
        <f t="shared" si="0"/>
        <v>4.5610714285714291E-3</v>
      </c>
      <c r="M11" s="5">
        <f t="shared" si="0"/>
        <v>1.0017857142857143E-4</v>
      </c>
      <c r="N11" s="5">
        <f t="shared" si="0"/>
        <v>5.0547619047619052E-4</v>
      </c>
      <c r="O11" s="5">
        <f t="shared" si="0"/>
        <v>2.635416666666667E-3</v>
      </c>
      <c r="P11" s="5">
        <f t="shared" si="0"/>
        <v>1.5753571428571431E-3</v>
      </c>
      <c r="Q11" s="5">
        <f t="shared" si="0"/>
        <v>4.4189880952380948E-3</v>
      </c>
      <c r="R11" s="5">
        <f t="shared" si="0"/>
        <v>4.9152976190476195E-3</v>
      </c>
      <c r="S11" s="5">
        <f t="shared" si="0"/>
        <v>1.2630357142857144E-3</v>
      </c>
      <c r="T11" s="5">
        <f t="shared" si="0"/>
        <v>6.2202380952380954E-5</v>
      </c>
      <c r="U11" s="5">
        <f t="shared" si="0"/>
        <v>3.9200595238095236E-3</v>
      </c>
      <c r="V11" s="5">
        <f t="shared" si="0"/>
        <v>4.1426785714285723E-3</v>
      </c>
      <c r="W11" s="5">
        <f t="shared" si="0"/>
        <v>5.9295238095238099E-3</v>
      </c>
      <c r="X11" s="5">
        <f t="shared" si="0"/>
        <v>1.8058333333333336E-3</v>
      </c>
      <c r="Y11" s="5">
        <f t="shared" si="0"/>
        <v>6.4035714285714293E-4</v>
      </c>
      <c r="Z11" s="5">
        <f t="shared" si="0"/>
        <v>1.5452380952380952E-3</v>
      </c>
      <c r="AA11" s="5">
        <f t="shared" si="0"/>
        <v>9.8214285714285718E-5</v>
      </c>
      <c r="AB11" s="5">
        <f t="shared" si="0"/>
        <v>1.2925E-3</v>
      </c>
      <c r="AC11" s="5">
        <f t="shared" si="0"/>
        <v>4.8452380952380951E-5</v>
      </c>
      <c r="AD11" s="1"/>
      <c r="AE11" s="1"/>
    </row>
    <row r="12" spans="2:31" x14ac:dyDescent="0.2">
      <c r="B12" s="8">
        <v>6.25E-2</v>
      </c>
      <c r="C12" s="5" t="s">
        <v>13</v>
      </c>
      <c r="D12" s="5">
        <f t="shared" si="1"/>
        <v>5.1043750000000004E-3</v>
      </c>
      <c r="E12" s="5">
        <f t="shared" si="0"/>
        <v>9.3249999999999995E-4</v>
      </c>
      <c r="F12" s="5">
        <f t="shared" si="0"/>
        <v>1.7387500000000001E-3</v>
      </c>
      <c r="G12" s="5">
        <f t="shared" si="0"/>
        <v>2.6581249999999999E-3</v>
      </c>
      <c r="H12" s="5">
        <f t="shared" si="0"/>
        <v>7.9387499999999996E-3</v>
      </c>
      <c r="I12" s="5">
        <f t="shared" si="0"/>
        <v>1.3925000000000001E-3</v>
      </c>
      <c r="J12" s="5">
        <f t="shared" si="0"/>
        <v>1.2593750000000001E-3</v>
      </c>
      <c r="K12" s="5">
        <f t="shared" si="0"/>
        <v>3.8087500000000001E-3</v>
      </c>
      <c r="L12" s="5">
        <f t="shared" si="0"/>
        <v>4.35375E-3</v>
      </c>
      <c r="M12" s="5">
        <f t="shared" si="0"/>
        <v>9.5624999999999993E-5</v>
      </c>
      <c r="N12" s="5">
        <f t="shared" si="0"/>
        <v>4.8250000000000002E-4</v>
      </c>
      <c r="O12" s="5">
        <f t="shared" si="0"/>
        <v>2.5156250000000001E-3</v>
      </c>
      <c r="P12" s="5">
        <f t="shared" si="0"/>
        <v>1.5037500000000001E-3</v>
      </c>
      <c r="Q12" s="5">
        <f t="shared" si="0"/>
        <v>4.2181249999999997E-3</v>
      </c>
      <c r="R12" s="5">
        <f t="shared" si="0"/>
        <v>4.6918749999999999E-3</v>
      </c>
      <c r="S12" s="5">
        <f t="shared" si="0"/>
        <v>1.2056250000000001E-3</v>
      </c>
      <c r="T12" s="5">
        <f t="shared" si="0"/>
        <v>5.9375E-5</v>
      </c>
      <c r="U12" s="5">
        <f t="shared" si="0"/>
        <v>3.741875E-3</v>
      </c>
      <c r="V12" s="5">
        <f t="shared" si="0"/>
        <v>3.9543750000000004E-3</v>
      </c>
      <c r="W12" s="5">
        <f t="shared" si="0"/>
        <v>5.6600000000000001E-3</v>
      </c>
      <c r="X12" s="5">
        <f t="shared" si="0"/>
        <v>1.72375E-3</v>
      </c>
      <c r="Y12" s="5">
        <f t="shared" si="0"/>
        <v>6.1125000000000003E-4</v>
      </c>
      <c r="Z12" s="5">
        <f t="shared" si="0"/>
        <v>1.475E-3</v>
      </c>
      <c r="AA12" s="5">
        <f t="shared" si="0"/>
        <v>9.3750000000000002E-5</v>
      </c>
      <c r="AB12" s="5">
        <f t="shared" si="0"/>
        <v>1.23375E-3</v>
      </c>
      <c r="AC12" s="5">
        <f t="shared" si="0"/>
        <v>4.6249999999999999E-5</v>
      </c>
      <c r="AD12" s="1"/>
      <c r="AE12" s="1"/>
    </row>
    <row r="13" spans="2:31" x14ac:dyDescent="0.2">
      <c r="B13" s="8">
        <v>0</v>
      </c>
      <c r="C13" s="5" t="s">
        <v>24</v>
      </c>
      <c r="D13" s="5">
        <f t="shared" si="1"/>
        <v>0</v>
      </c>
      <c r="E13" s="5">
        <f t="shared" si="0"/>
        <v>0</v>
      </c>
      <c r="F13" s="5">
        <f t="shared" si="0"/>
        <v>0</v>
      </c>
      <c r="G13" s="5">
        <f t="shared" si="0"/>
        <v>0</v>
      </c>
      <c r="H13" s="5">
        <f t="shared" si="0"/>
        <v>0</v>
      </c>
      <c r="I13" s="5">
        <f t="shared" si="0"/>
        <v>0</v>
      </c>
      <c r="J13" s="5">
        <f t="shared" si="0"/>
        <v>0</v>
      </c>
      <c r="K13" s="5">
        <f t="shared" si="0"/>
        <v>0</v>
      </c>
      <c r="L13" s="5">
        <f t="shared" si="0"/>
        <v>0</v>
      </c>
      <c r="M13" s="5">
        <f t="shared" si="0"/>
        <v>0</v>
      </c>
      <c r="N13" s="5">
        <f t="shared" si="0"/>
        <v>0</v>
      </c>
      <c r="O13" s="5">
        <f t="shared" si="0"/>
        <v>0</v>
      </c>
      <c r="P13" s="5">
        <f t="shared" si="0"/>
        <v>0</v>
      </c>
      <c r="Q13" s="5">
        <f t="shared" si="0"/>
        <v>0</v>
      </c>
      <c r="R13" s="5">
        <f t="shared" si="0"/>
        <v>0</v>
      </c>
      <c r="S13" s="5">
        <f t="shared" si="0"/>
        <v>0</v>
      </c>
      <c r="T13" s="5">
        <f t="shared" si="0"/>
        <v>0</v>
      </c>
      <c r="U13" s="5">
        <f t="shared" si="0"/>
        <v>0</v>
      </c>
      <c r="V13" s="5">
        <f t="shared" si="0"/>
        <v>0</v>
      </c>
      <c r="W13" s="5">
        <f t="shared" si="0"/>
        <v>0</v>
      </c>
      <c r="X13" s="5">
        <f t="shared" si="0"/>
        <v>0</v>
      </c>
      <c r="Y13" s="5">
        <f t="shared" si="0"/>
        <v>0</v>
      </c>
      <c r="Z13" s="5">
        <f t="shared" si="0"/>
        <v>0</v>
      </c>
      <c r="AA13" s="5">
        <f t="shared" si="0"/>
        <v>0</v>
      </c>
      <c r="AB13" s="5">
        <f t="shared" si="0"/>
        <v>0</v>
      </c>
      <c r="AC13" s="5">
        <f t="shared" si="0"/>
        <v>0</v>
      </c>
      <c r="AD13" s="1"/>
      <c r="AE13" s="1"/>
    </row>
    <row r="14" spans="2:31" x14ac:dyDescent="0.2">
      <c r="B14" s="8">
        <v>2.976190476190476E-3</v>
      </c>
      <c r="C14" s="5" t="s">
        <v>21</v>
      </c>
      <c r="D14" s="5">
        <f t="shared" si="1"/>
        <v>2.430654761904762E-4</v>
      </c>
      <c r="E14" s="5">
        <f t="shared" si="0"/>
        <v>4.4404761904761901E-5</v>
      </c>
      <c r="F14" s="5">
        <f t="shared" si="0"/>
        <v>8.2797619047619047E-5</v>
      </c>
      <c r="G14" s="5">
        <f t="shared" si="0"/>
        <v>1.2657738095238095E-4</v>
      </c>
      <c r="H14" s="5">
        <f t="shared" si="0"/>
        <v>3.7803571428571427E-4</v>
      </c>
      <c r="I14" s="5">
        <f t="shared" si="0"/>
        <v>6.630952380952381E-5</v>
      </c>
      <c r="J14" s="5">
        <f t="shared" ref="J14:Y29" si="2">$B14*J$2</f>
        <v>5.9970238095238095E-5</v>
      </c>
      <c r="K14" s="5">
        <f t="shared" si="2"/>
        <v>1.8136904761904761E-4</v>
      </c>
      <c r="L14" s="5">
        <f t="shared" si="2"/>
        <v>2.0732142857142857E-4</v>
      </c>
      <c r="M14" s="5">
        <f t="shared" si="2"/>
        <v>4.5535714285714279E-6</v>
      </c>
      <c r="N14" s="5">
        <f t="shared" si="2"/>
        <v>2.2976190476190476E-5</v>
      </c>
      <c r="O14" s="5">
        <f t="shared" si="2"/>
        <v>1.1979166666666666E-4</v>
      </c>
      <c r="P14" s="5">
        <f t="shared" si="2"/>
        <v>7.1607142857142857E-5</v>
      </c>
      <c r="Q14" s="5">
        <f t="shared" si="2"/>
        <v>2.0086309523809521E-4</v>
      </c>
      <c r="R14" s="5">
        <f t="shared" si="2"/>
        <v>2.2342261904761902E-4</v>
      </c>
      <c r="S14" s="5">
        <f t="shared" si="2"/>
        <v>5.741071428571429E-5</v>
      </c>
      <c r="T14" s="5">
        <f t="shared" si="2"/>
        <v>2.8273809523809524E-6</v>
      </c>
      <c r="U14" s="5">
        <f t="shared" si="2"/>
        <v>1.7818452380952379E-4</v>
      </c>
      <c r="V14" s="5">
        <f t="shared" si="2"/>
        <v>1.8830357142857144E-4</v>
      </c>
      <c r="W14" s="5">
        <f t="shared" si="2"/>
        <v>2.6952380952380951E-4</v>
      </c>
      <c r="X14" s="5">
        <f t="shared" si="2"/>
        <v>8.2083333333333327E-5</v>
      </c>
      <c r="Y14" s="5">
        <f t="shared" si="2"/>
        <v>2.9107142857142857E-5</v>
      </c>
      <c r="Z14" s="5">
        <f t="shared" ref="Z14:AC29" si="3">$B14*Z$2</f>
        <v>7.0238095238095229E-5</v>
      </c>
      <c r="AA14" s="5">
        <f t="shared" si="3"/>
        <v>4.4642857142857138E-6</v>
      </c>
      <c r="AB14" s="5">
        <f t="shared" si="3"/>
        <v>5.8749999999999998E-5</v>
      </c>
      <c r="AC14" s="5">
        <f t="shared" si="3"/>
        <v>2.202380952380952E-6</v>
      </c>
      <c r="AD14" s="1"/>
      <c r="AE14" s="1"/>
    </row>
    <row r="15" spans="2:31" x14ac:dyDescent="0.2">
      <c r="B15" s="8">
        <v>4.7619047619047616E-2</v>
      </c>
      <c r="C15" s="5" t="s">
        <v>1</v>
      </c>
      <c r="D15" s="5">
        <f t="shared" si="1"/>
        <v>3.8890476190476192E-3</v>
      </c>
      <c r="E15" s="5">
        <f t="shared" si="1"/>
        <v>7.1047619047619041E-4</v>
      </c>
      <c r="F15" s="5">
        <f t="shared" si="1"/>
        <v>1.3247619047619048E-3</v>
      </c>
      <c r="G15" s="5">
        <f t="shared" si="1"/>
        <v>2.0252380952380951E-3</v>
      </c>
      <c r="H15" s="5">
        <f t="shared" si="1"/>
        <v>6.0485714285714283E-3</v>
      </c>
      <c r="I15" s="5">
        <f t="shared" si="1"/>
        <v>1.060952380952381E-3</v>
      </c>
      <c r="J15" s="5">
        <f t="shared" si="1"/>
        <v>9.5952380952380953E-4</v>
      </c>
      <c r="K15" s="5">
        <f t="shared" si="1"/>
        <v>2.9019047619047618E-3</v>
      </c>
      <c r="L15" s="5">
        <f t="shared" si="1"/>
        <v>3.317142857142857E-3</v>
      </c>
      <c r="M15" s="5">
        <f t="shared" si="1"/>
        <v>7.2857142857142847E-5</v>
      </c>
      <c r="N15" s="5">
        <f t="shared" si="1"/>
        <v>3.6761904761904761E-4</v>
      </c>
      <c r="O15" s="5">
        <f t="shared" si="1"/>
        <v>1.9166666666666666E-3</v>
      </c>
      <c r="P15" s="5">
        <f t="shared" si="1"/>
        <v>1.1457142857142857E-3</v>
      </c>
      <c r="Q15" s="5">
        <f t="shared" si="1"/>
        <v>3.2138095238095233E-3</v>
      </c>
      <c r="R15" s="5">
        <f t="shared" si="1"/>
        <v>3.5747619047619044E-3</v>
      </c>
      <c r="S15" s="5">
        <f t="shared" si="1"/>
        <v>9.1857142857142864E-4</v>
      </c>
      <c r="T15" s="5">
        <f t="shared" si="2"/>
        <v>4.5238095238095238E-5</v>
      </c>
      <c r="U15" s="5">
        <f t="shared" si="2"/>
        <v>2.8509523809523807E-3</v>
      </c>
      <c r="V15" s="5">
        <f t="shared" si="2"/>
        <v>3.0128571428571431E-3</v>
      </c>
      <c r="W15" s="5">
        <f t="shared" si="2"/>
        <v>4.3123809523809521E-3</v>
      </c>
      <c r="X15" s="5">
        <f t="shared" si="2"/>
        <v>1.3133333333333332E-3</v>
      </c>
      <c r="Y15" s="5">
        <f t="shared" si="2"/>
        <v>4.6571428571428572E-4</v>
      </c>
      <c r="Z15" s="5">
        <f t="shared" si="3"/>
        <v>1.1238095238095237E-3</v>
      </c>
      <c r="AA15" s="5">
        <f t="shared" si="3"/>
        <v>7.142857142857142E-5</v>
      </c>
      <c r="AB15" s="5">
        <f t="shared" si="3"/>
        <v>9.3999999999999997E-4</v>
      </c>
      <c r="AC15" s="5">
        <f t="shared" si="3"/>
        <v>3.5238095238095232E-5</v>
      </c>
      <c r="AD15" s="1"/>
      <c r="AE15" s="1"/>
    </row>
    <row r="16" spans="2:31" x14ac:dyDescent="0.2">
      <c r="B16" s="8">
        <v>3.5714285714285712E-2</v>
      </c>
      <c r="C16" s="5" t="s">
        <v>12</v>
      </c>
      <c r="D16" s="5">
        <f t="shared" si="1"/>
        <v>2.9167857142857142E-3</v>
      </c>
      <c r="E16" s="5">
        <f t="shared" si="1"/>
        <v>5.3285714285714275E-4</v>
      </c>
      <c r="F16" s="5">
        <f t="shared" si="1"/>
        <v>9.9357142857142851E-4</v>
      </c>
      <c r="G16" s="5">
        <f t="shared" si="1"/>
        <v>1.5189285714285712E-3</v>
      </c>
      <c r="H16" s="5">
        <f t="shared" si="1"/>
        <v>4.5364285714285706E-3</v>
      </c>
      <c r="I16" s="5">
        <f t="shared" si="1"/>
        <v>7.9571428571428566E-4</v>
      </c>
      <c r="J16" s="5">
        <f t="shared" si="1"/>
        <v>7.1964285714285717E-4</v>
      </c>
      <c r="K16" s="5">
        <f t="shared" si="1"/>
        <v>2.1764285714285713E-3</v>
      </c>
      <c r="L16" s="5">
        <f t="shared" si="1"/>
        <v>2.4878571428571428E-3</v>
      </c>
      <c r="M16" s="5">
        <f t="shared" si="1"/>
        <v>5.4642857142857135E-5</v>
      </c>
      <c r="N16" s="5">
        <f t="shared" si="1"/>
        <v>2.7571428571428571E-4</v>
      </c>
      <c r="O16" s="5">
        <f t="shared" si="1"/>
        <v>1.4375E-3</v>
      </c>
      <c r="P16" s="5">
        <f t="shared" si="1"/>
        <v>8.5928571428571434E-4</v>
      </c>
      <c r="Q16" s="5">
        <f t="shared" si="1"/>
        <v>2.4103571428571425E-3</v>
      </c>
      <c r="R16" s="5">
        <f t="shared" si="1"/>
        <v>2.6810714285714285E-3</v>
      </c>
      <c r="S16" s="5">
        <f t="shared" si="1"/>
        <v>6.8892857142857145E-4</v>
      </c>
      <c r="T16" s="5">
        <f t="shared" si="2"/>
        <v>3.3928571428571424E-5</v>
      </c>
      <c r="U16" s="5">
        <f t="shared" si="2"/>
        <v>2.1382142857142854E-3</v>
      </c>
      <c r="V16" s="5">
        <f t="shared" si="2"/>
        <v>2.2596428571428572E-3</v>
      </c>
      <c r="W16" s="5">
        <f t="shared" si="2"/>
        <v>3.2342857142857143E-3</v>
      </c>
      <c r="X16" s="5">
        <f t="shared" si="2"/>
        <v>9.8499999999999998E-4</v>
      </c>
      <c r="Y16" s="5">
        <f t="shared" si="2"/>
        <v>3.492857142857143E-4</v>
      </c>
      <c r="Z16" s="5">
        <f t="shared" si="3"/>
        <v>8.4285714285714281E-4</v>
      </c>
      <c r="AA16" s="5">
        <f t="shared" si="3"/>
        <v>5.3571428571428569E-5</v>
      </c>
      <c r="AB16" s="5">
        <f t="shared" si="3"/>
        <v>7.0500000000000001E-4</v>
      </c>
      <c r="AC16" s="5">
        <f t="shared" si="3"/>
        <v>2.6428571428571428E-5</v>
      </c>
      <c r="AD16" s="1"/>
      <c r="AE16" s="1"/>
    </row>
    <row r="17" spans="1:35" x14ac:dyDescent="0.2">
      <c r="B17" s="8">
        <v>6.5476190476190479E-2</v>
      </c>
      <c r="C17" s="5" t="s">
        <v>14</v>
      </c>
      <c r="D17" s="5">
        <f t="shared" si="1"/>
        <v>5.347440476190477E-3</v>
      </c>
      <c r="E17" s="5">
        <f t="shared" si="1"/>
        <v>9.7690476190476195E-4</v>
      </c>
      <c r="F17" s="5">
        <f t="shared" si="1"/>
        <v>1.8215476190476191E-3</v>
      </c>
      <c r="G17" s="5">
        <f t="shared" si="1"/>
        <v>2.7847023809523812E-3</v>
      </c>
      <c r="H17" s="5">
        <f t="shared" si="1"/>
        <v>8.3167857142857141E-3</v>
      </c>
      <c r="I17" s="5">
        <f t="shared" si="1"/>
        <v>1.4588095238095239E-3</v>
      </c>
      <c r="J17" s="5">
        <f t="shared" si="1"/>
        <v>1.3193452380952382E-3</v>
      </c>
      <c r="K17" s="5">
        <f t="shared" si="1"/>
        <v>3.9901190476190479E-3</v>
      </c>
      <c r="L17" s="5">
        <f t="shared" si="1"/>
        <v>4.5610714285714291E-3</v>
      </c>
      <c r="M17" s="5">
        <f t="shared" si="1"/>
        <v>1.0017857142857143E-4</v>
      </c>
      <c r="N17" s="5">
        <f t="shared" si="1"/>
        <v>5.0547619047619052E-4</v>
      </c>
      <c r="O17" s="5">
        <f t="shared" si="1"/>
        <v>2.635416666666667E-3</v>
      </c>
      <c r="P17" s="5">
        <f t="shared" si="1"/>
        <v>1.5753571428571431E-3</v>
      </c>
      <c r="Q17" s="5">
        <f t="shared" si="1"/>
        <v>4.4189880952380948E-3</v>
      </c>
      <c r="R17" s="5">
        <f t="shared" si="1"/>
        <v>4.9152976190476195E-3</v>
      </c>
      <c r="S17" s="5">
        <f t="shared" si="1"/>
        <v>1.2630357142857144E-3</v>
      </c>
      <c r="T17" s="5">
        <f t="shared" si="2"/>
        <v>6.2202380952380954E-5</v>
      </c>
      <c r="U17" s="5">
        <f t="shared" si="2"/>
        <v>3.9200595238095236E-3</v>
      </c>
      <c r="V17" s="5">
        <f t="shared" si="2"/>
        <v>4.1426785714285723E-3</v>
      </c>
      <c r="W17" s="5">
        <f t="shared" si="2"/>
        <v>5.9295238095238099E-3</v>
      </c>
      <c r="X17" s="5">
        <f t="shared" si="2"/>
        <v>1.8058333333333336E-3</v>
      </c>
      <c r="Y17" s="5">
        <f t="shared" si="2"/>
        <v>6.4035714285714293E-4</v>
      </c>
      <c r="Z17" s="5">
        <f t="shared" si="3"/>
        <v>1.5452380952380952E-3</v>
      </c>
      <c r="AA17" s="5">
        <f t="shared" si="3"/>
        <v>9.8214285714285718E-5</v>
      </c>
      <c r="AB17" s="5">
        <f t="shared" si="3"/>
        <v>1.2925E-3</v>
      </c>
      <c r="AC17" s="5">
        <f t="shared" si="3"/>
        <v>4.8452380952380951E-5</v>
      </c>
      <c r="AD17" s="1"/>
      <c r="AE17" s="1"/>
    </row>
    <row r="18" spans="1:35" x14ac:dyDescent="0.2">
      <c r="B18" s="8">
        <v>5.3571428571428568E-2</v>
      </c>
      <c r="C18" s="5" t="s">
        <v>2</v>
      </c>
      <c r="D18" s="5">
        <f t="shared" si="1"/>
        <v>4.3751785714285715E-3</v>
      </c>
      <c r="E18" s="5">
        <f t="shared" si="1"/>
        <v>7.9928571428571418E-4</v>
      </c>
      <c r="F18" s="5">
        <f t="shared" si="1"/>
        <v>1.4903571428571429E-3</v>
      </c>
      <c r="G18" s="5">
        <f t="shared" si="1"/>
        <v>2.2783928571428569E-3</v>
      </c>
      <c r="H18" s="5">
        <f t="shared" si="1"/>
        <v>6.8046428571428563E-3</v>
      </c>
      <c r="I18" s="5">
        <f t="shared" si="1"/>
        <v>1.1935714285714286E-3</v>
      </c>
      <c r="J18" s="5">
        <f t="shared" si="1"/>
        <v>1.0794642857142858E-3</v>
      </c>
      <c r="K18" s="5">
        <f t="shared" si="1"/>
        <v>3.264642857142857E-3</v>
      </c>
      <c r="L18" s="5">
        <f t="shared" si="1"/>
        <v>3.731785714285714E-3</v>
      </c>
      <c r="M18" s="5">
        <f t="shared" si="1"/>
        <v>8.1964285714285703E-5</v>
      </c>
      <c r="N18" s="5">
        <f t="shared" si="1"/>
        <v>4.1357142857142856E-4</v>
      </c>
      <c r="O18" s="5">
        <f t="shared" si="1"/>
        <v>2.1562499999999997E-3</v>
      </c>
      <c r="P18" s="5">
        <f t="shared" si="1"/>
        <v>1.2889285714285715E-3</v>
      </c>
      <c r="Q18" s="5">
        <f t="shared" si="1"/>
        <v>3.6155357142857139E-3</v>
      </c>
      <c r="R18" s="5">
        <f t="shared" si="1"/>
        <v>4.0216071428571427E-3</v>
      </c>
      <c r="S18" s="5">
        <f t="shared" si="1"/>
        <v>1.0333928571428571E-3</v>
      </c>
      <c r="T18" s="5">
        <f t="shared" si="2"/>
        <v>5.0892857142857139E-5</v>
      </c>
      <c r="U18" s="5">
        <f t="shared" si="2"/>
        <v>3.2073214285714283E-3</v>
      </c>
      <c r="V18" s="5">
        <f t="shared" si="2"/>
        <v>3.389464285714286E-3</v>
      </c>
      <c r="W18" s="5">
        <f t="shared" si="2"/>
        <v>4.8514285714285716E-3</v>
      </c>
      <c r="X18" s="5">
        <f t="shared" si="2"/>
        <v>1.4774999999999999E-3</v>
      </c>
      <c r="Y18" s="5">
        <f t="shared" si="2"/>
        <v>5.2392857142857146E-4</v>
      </c>
      <c r="Z18" s="5">
        <f t="shared" si="3"/>
        <v>1.2642857142857141E-3</v>
      </c>
      <c r="AA18" s="5">
        <f t="shared" si="3"/>
        <v>8.0357142857142853E-5</v>
      </c>
      <c r="AB18" s="5">
        <f t="shared" si="3"/>
        <v>1.0575000000000001E-3</v>
      </c>
      <c r="AC18" s="5">
        <f t="shared" si="3"/>
        <v>3.9642857142857143E-5</v>
      </c>
      <c r="AD18" s="1"/>
      <c r="AE18" s="1"/>
    </row>
    <row r="19" spans="1:35" x14ac:dyDescent="0.2">
      <c r="B19" s="8">
        <v>2.3809523809523808E-2</v>
      </c>
      <c r="C19" s="5" t="s">
        <v>7</v>
      </c>
      <c r="D19" s="5">
        <f t="shared" si="1"/>
        <v>1.9445238095238096E-3</v>
      </c>
      <c r="E19" s="5">
        <f t="shared" si="1"/>
        <v>3.552380952380952E-4</v>
      </c>
      <c r="F19" s="5">
        <f t="shared" si="1"/>
        <v>6.6238095238095238E-4</v>
      </c>
      <c r="G19" s="5">
        <f t="shared" si="1"/>
        <v>1.0126190476190476E-3</v>
      </c>
      <c r="H19" s="5">
        <f t="shared" si="1"/>
        <v>3.0242857142857142E-3</v>
      </c>
      <c r="I19" s="5">
        <f t="shared" si="1"/>
        <v>5.3047619047619048E-4</v>
      </c>
      <c r="J19" s="5">
        <f t="shared" si="1"/>
        <v>4.7976190476190476E-4</v>
      </c>
      <c r="K19" s="5">
        <f t="shared" si="1"/>
        <v>1.4509523809523809E-3</v>
      </c>
      <c r="L19" s="5">
        <f t="shared" si="1"/>
        <v>1.6585714285714285E-3</v>
      </c>
      <c r="M19" s="5">
        <f t="shared" si="1"/>
        <v>3.6428571428571423E-5</v>
      </c>
      <c r="N19" s="5">
        <f t="shared" si="1"/>
        <v>1.8380952380952381E-4</v>
      </c>
      <c r="O19" s="5">
        <f t="shared" si="1"/>
        <v>9.5833333333333328E-4</v>
      </c>
      <c r="P19" s="5">
        <f t="shared" si="1"/>
        <v>5.7285714285714286E-4</v>
      </c>
      <c r="Q19" s="5">
        <f t="shared" si="1"/>
        <v>1.6069047619047616E-3</v>
      </c>
      <c r="R19" s="5">
        <f t="shared" si="1"/>
        <v>1.7873809523809522E-3</v>
      </c>
      <c r="S19" s="5">
        <f t="shared" si="1"/>
        <v>4.5928571428571432E-4</v>
      </c>
      <c r="T19" s="5">
        <f t="shared" si="2"/>
        <v>2.2619047619047619E-5</v>
      </c>
      <c r="U19" s="5">
        <f t="shared" si="2"/>
        <v>1.4254761904761903E-3</v>
      </c>
      <c r="V19" s="5">
        <f t="shared" si="2"/>
        <v>1.5064285714285715E-3</v>
      </c>
      <c r="W19" s="5">
        <f t="shared" si="2"/>
        <v>2.156190476190476E-3</v>
      </c>
      <c r="X19" s="5">
        <f t="shared" si="2"/>
        <v>6.5666666666666662E-4</v>
      </c>
      <c r="Y19" s="5">
        <f t="shared" si="2"/>
        <v>2.3285714285714286E-4</v>
      </c>
      <c r="Z19" s="5">
        <f t="shared" si="3"/>
        <v>5.6190476190476183E-4</v>
      </c>
      <c r="AA19" s="5">
        <f t="shared" si="3"/>
        <v>3.571428571428571E-5</v>
      </c>
      <c r="AB19" s="5">
        <f t="shared" si="3"/>
        <v>4.6999999999999999E-4</v>
      </c>
      <c r="AC19" s="5">
        <f t="shared" si="3"/>
        <v>1.7619047619047616E-5</v>
      </c>
      <c r="AD19" s="1"/>
      <c r="AE19" s="1"/>
    </row>
    <row r="20" spans="1:35" x14ac:dyDescent="0.2">
      <c r="B20" s="8">
        <v>2.976190476190476E-3</v>
      </c>
      <c r="C20" s="5" t="s">
        <v>23</v>
      </c>
      <c r="D20" s="5">
        <f t="shared" si="1"/>
        <v>2.430654761904762E-4</v>
      </c>
      <c r="E20" s="5">
        <f t="shared" si="1"/>
        <v>4.4404761904761901E-5</v>
      </c>
      <c r="F20" s="5">
        <f t="shared" si="1"/>
        <v>8.2797619047619047E-5</v>
      </c>
      <c r="G20" s="5">
        <f t="shared" si="1"/>
        <v>1.2657738095238095E-4</v>
      </c>
      <c r="H20" s="5">
        <f t="shared" si="1"/>
        <v>3.7803571428571427E-4</v>
      </c>
      <c r="I20" s="5">
        <f t="shared" si="1"/>
        <v>6.630952380952381E-5</v>
      </c>
      <c r="J20" s="5">
        <f t="shared" si="1"/>
        <v>5.9970238095238095E-5</v>
      </c>
      <c r="K20" s="5">
        <f t="shared" si="1"/>
        <v>1.8136904761904761E-4</v>
      </c>
      <c r="L20" s="5">
        <f t="shared" si="1"/>
        <v>2.0732142857142857E-4</v>
      </c>
      <c r="M20" s="5">
        <f t="shared" si="1"/>
        <v>4.5535714285714279E-6</v>
      </c>
      <c r="N20" s="5">
        <f t="shared" si="1"/>
        <v>2.2976190476190476E-5</v>
      </c>
      <c r="O20" s="5">
        <f t="shared" si="1"/>
        <v>1.1979166666666666E-4</v>
      </c>
      <c r="P20" s="5">
        <f t="shared" si="1"/>
        <v>7.1607142857142857E-5</v>
      </c>
      <c r="Q20" s="5">
        <f t="shared" si="1"/>
        <v>2.0086309523809521E-4</v>
      </c>
      <c r="R20" s="5">
        <f t="shared" si="1"/>
        <v>2.2342261904761902E-4</v>
      </c>
      <c r="S20" s="5">
        <f t="shared" si="1"/>
        <v>5.741071428571429E-5</v>
      </c>
      <c r="T20" s="5">
        <f t="shared" si="2"/>
        <v>2.8273809523809524E-6</v>
      </c>
      <c r="U20" s="5">
        <f t="shared" si="2"/>
        <v>1.7818452380952379E-4</v>
      </c>
      <c r="V20" s="5">
        <f t="shared" si="2"/>
        <v>1.8830357142857144E-4</v>
      </c>
      <c r="W20" s="5">
        <f t="shared" si="2"/>
        <v>2.6952380952380951E-4</v>
      </c>
      <c r="X20" s="5">
        <f t="shared" si="2"/>
        <v>8.2083333333333327E-5</v>
      </c>
      <c r="Y20" s="5">
        <f t="shared" si="2"/>
        <v>2.9107142857142857E-5</v>
      </c>
      <c r="Z20" s="5">
        <f t="shared" si="3"/>
        <v>7.0238095238095229E-5</v>
      </c>
      <c r="AA20" s="5">
        <f t="shared" si="3"/>
        <v>4.4642857142857138E-6</v>
      </c>
      <c r="AB20" s="5">
        <f t="shared" si="3"/>
        <v>5.8749999999999998E-5</v>
      </c>
      <c r="AC20" s="5">
        <f t="shared" si="3"/>
        <v>2.202380952380952E-6</v>
      </c>
      <c r="AD20" s="1"/>
      <c r="AE20" s="1"/>
    </row>
    <row r="21" spans="1:35" x14ac:dyDescent="0.2">
      <c r="B21" s="8">
        <v>6.8452380952380959E-2</v>
      </c>
      <c r="C21" s="5" t="s">
        <v>9</v>
      </c>
      <c r="D21" s="5">
        <f t="shared" si="1"/>
        <v>5.5905059523809536E-3</v>
      </c>
      <c r="E21" s="5">
        <f t="shared" si="1"/>
        <v>1.0213095238095239E-3</v>
      </c>
      <c r="F21" s="5">
        <f t="shared" si="1"/>
        <v>1.9043452380952384E-3</v>
      </c>
      <c r="G21" s="5">
        <f t="shared" si="1"/>
        <v>2.9112797619047621E-3</v>
      </c>
      <c r="H21" s="5">
        <f t="shared" si="1"/>
        <v>8.6948214285714285E-3</v>
      </c>
      <c r="I21" s="5">
        <f t="shared" si="1"/>
        <v>1.5251190476190479E-3</v>
      </c>
      <c r="J21" s="5">
        <f t="shared" si="1"/>
        <v>1.3793154761904765E-3</v>
      </c>
      <c r="K21" s="5">
        <f t="shared" si="1"/>
        <v>4.1714880952380953E-3</v>
      </c>
      <c r="L21" s="5">
        <f t="shared" si="1"/>
        <v>4.7683928571428573E-3</v>
      </c>
      <c r="M21" s="5">
        <f t="shared" si="1"/>
        <v>1.0473214285714286E-4</v>
      </c>
      <c r="N21" s="5">
        <f t="shared" si="1"/>
        <v>5.2845238095238097E-4</v>
      </c>
      <c r="O21" s="5">
        <f t="shared" si="1"/>
        <v>2.7552083333333335E-3</v>
      </c>
      <c r="P21" s="5">
        <f t="shared" si="1"/>
        <v>1.6469642857142859E-3</v>
      </c>
      <c r="Q21" s="5">
        <f t="shared" si="1"/>
        <v>4.6198511904761907E-3</v>
      </c>
      <c r="R21" s="5">
        <f t="shared" si="1"/>
        <v>5.1387202380952382E-3</v>
      </c>
      <c r="S21" s="5">
        <f t="shared" si="1"/>
        <v>1.3204464285714289E-3</v>
      </c>
      <c r="T21" s="5">
        <f t="shared" si="2"/>
        <v>6.5029761904761914E-5</v>
      </c>
      <c r="U21" s="5">
        <f t="shared" si="2"/>
        <v>4.0982440476190476E-3</v>
      </c>
      <c r="V21" s="5">
        <f t="shared" si="2"/>
        <v>4.3309821428571434E-3</v>
      </c>
      <c r="W21" s="5">
        <f t="shared" si="2"/>
        <v>6.1990476190476197E-3</v>
      </c>
      <c r="X21" s="5">
        <f t="shared" si="2"/>
        <v>1.8879166666666669E-3</v>
      </c>
      <c r="Y21" s="5">
        <f t="shared" si="2"/>
        <v>6.6946428571428582E-4</v>
      </c>
      <c r="Z21" s="5">
        <f t="shared" si="3"/>
        <v>1.6154761904761906E-3</v>
      </c>
      <c r="AA21" s="5">
        <f t="shared" si="3"/>
        <v>1.0267857142857143E-4</v>
      </c>
      <c r="AB21" s="5">
        <f t="shared" si="3"/>
        <v>1.3512500000000002E-3</v>
      </c>
      <c r="AC21" s="5">
        <f t="shared" si="3"/>
        <v>5.065476190476191E-5</v>
      </c>
      <c r="AD21" s="1"/>
      <c r="AE21" s="1"/>
    </row>
    <row r="22" spans="1:35" x14ac:dyDescent="0.2">
      <c r="B22" s="8">
        <v>4.7619047619047616E-2</v>
      </c>
      <c r="C22" s="5" t="s">
        <v>0</v>
      </c>
      <c r="D22" s="5">
        <f t="shared" si="1"/>
        <v>3.8890476190476192E-3</v>
      </c>
      <c r="E22" s="5">
        <f t="shared" si="1"/>
        <v>7.1047619047619041E-4</v>
      </c>
      <c r="F22" s="5">
        <f t="shared" si="1"/>
        <v>1.3247619047619048E-3</v>
      </c>
      <c r="G22" s="5">
        <f t="shared" si="1"/>
        <v>2.0252380952380951E-3</v>
      </c>
      <c r="H22" s="5">
        <f t="shared" si="1"/>
        <v>6.0485714285714283E-3</v>
      </c>
      <c r="I22" s="5">
        <f t="shared" si="1"/>
        <v>1.060952380952381E-3</v>
      </c>
      <c r="J22" s="5">
        <f t="shared" si="1"/>
        <v>9.5952380952380953E-4</v>
      </c>
      <c r="K22" s="5">
        <f t="shared" si="1"/>
        <v>2.9019047619047618E-3</v>
      </c>
      <c r="L22" s="5">
        <f t="shared" si="1"/>
        <v>3.317142857142857E-3</v>
      </c>
      <c r="M22" s="5">
        <f t="shared" si="1"/>
        <v>7.2857142857142847E-5</v>
      </c>
      <c r="N22" s="5">
        <f t="shared" si="1"/>
        <v>3.6761904761904761E-4</v>
      </c>
      <c r="O22" s="5">
        <f t="shared" si="1"/>
        <v>1.9166666666666666E-3</v>
      </c>
      <c r="P22" s="5">
        <f t="shared" si="1"/>
        <v>1.1457142857142857E-3</v>
      </c>
      <c r="Q22" s="5">
        <f t="shared" si="1"/>
        <v>3.2138095238095233E-3</v>
      </c>
      <c r="R22" s="5">
        <f t="shared" si="1"/>
        <v>3.5747619047619044E-3</v>
      </c>
      <c r="S22" s="5">
        <f t="shared" si="1"/>
        <v>9.1857142857142864E-4</v>
      </c>
      <c r="T22" s="5">
        <f t="shared" si="2"/>
        <v>4.5238095238095238E-5</v>
      </c>
      <c r="U22" s="5">
        <f t="shared" si="2"/>
        <v>2.8509523809523807E-3</v>
      </c>
      <c r="V22" s="5">
        <f t="shared" si="2"/>
        <v>3.0128571428571431E-3</v>
      </c>
      <c r="W22" s="5">
        <f t="shared" si="2"/>
        <v>4.3123809523809521E-3</v>
      </c>
      <c r="X22" s="5">
        <f t="shared" si="2"/>
        <v>1.3133333333333332E-3</v>
      </c>
      <c r="Y22" s="5">
        <f t="shared" si="2"/>
        <v>4.6571428571428572E-4</v>
      </c>
      <c r="Z22" s="5">
        <f t="shared" si="3"/>
        <v>1.1238095238095237E-3</v>
      </c>
      <c r="AA22" s="5">
        <f t="shared" si="3"/>
        <v>7.142857142857142E-5</v>
      </c>
      <c r="AB22" s="5">
        <f t="shared" si="3"/>
        <v>9.3999999999999997E-4</v>
      </c>
      <c r="AC22" s="5">
        <f t="shared" si="3"/>
        <v>3.5238095238095232E-5</v>
      </c>
      <c r="AD22" s="1"/>
      <c r="AE22" s="1"/>
    </row>
    <row r="23" spans="1:35" x14ac:dyDescent="0.2">
      <c r="B23" s="8">
        <v>9.2261904761904767E-2</v>
      </c>
      <c r="C23" s="5" t="s">
        <v>10</v>
      </c>
      <c r="D23" s="5">
        <f t="shared" si="1"/>
        <v>7.5350297619047628E-3</v>
      </c>
      <c r="E23" s="5">
        <f t="shared" si="1"/>
        <v>1.376547619047619E-3</v>
      </c>
      <c r="F23" s="5">
        <f t="shared" si="1"/>
        <v>2.5667261904761909E-3</v>
      </c>
      <c r="G23" s="5">
        <f t="shared" si="1"/>
        <v>3.9238988095238094E-3</v>
      </c>
      <c r="H23" s="5">
        <f t="shared" si="1"/>
        <v>1.1719107142857142E-2</v>
      </c>
      <c r="I23" s="5">
        <f t="shared" si="1"/>
        <v>2.0555952380952383E-3</v>
      </c>
      <c r="J23" s="5">
        <f t="shared" si="1"/>
        <v>1.8590773809523812E-3</v>
      </c>
      <c r="K23" s="5">
        <f t="shared" si="1"/>
        <v>5.6224404761904762E-3</v>
      </c>
      <c r="L23" s="5">
        <f t="shared" si="1"/>
        <v>6.4269642857142859E-3</v>
      </c>
      <c r="M23" s="5">
        <f t="shared" si="1"/>
        <v>1.4116071428571427E-4</v>
      </c>
      <c r="N23" s="5">
        <f t="shared" si="1"/>
        <v>7.1226190476190478E-4</v>
      </c>
      <c r="O23" s="5">
        <f t="shared" si="1"/>
        <v>3.7135416666666671E-3</v>
      </c>
      <c r="P23" s="5">
        <f t="shared" si="1"/>
        <v>2.2198214285714286E-3</v>
      </c>
      <c r="Q23" s="5">
        <f t="shared" si="1"/>
        <v>6.2267559523809524E-3</v>
      </c>
      <c r="R23" s="5">
        <f t="shared" si="1"/>
        <v>6.9261011904761909E-3</v>
      </c>
      <c r="S23" s="5">
        <f t="shared" si="1"/>
        <v>1.779732142857143E-3</v>
      </c>
      <c r="T23" s="5">
        <f t="shared" si="2"/>
        <v>8.764880952380953E-5</v>
      </c>
      <c r="U23" s="5">
        <f t="shared" si="2"/>
        <v>5.5237202380952382E-3</v>
      </c>
      <c r="V23" s="5">
        <f t="shared" si="2"/>
        <v>5.8374107142857151E-3</v>
      </c>
      <c r="W23" s="5">
        <f t="shared" si="2"/>
        <v>8.3552380952380961E-3</v>
      </c>
      <c r="X23" s="5">
        <f t="shared" si="2"/>
        <v>2.5445833333333336E-3</v>
      </c>
      <c r="Y23" s="5">
        <f t="shared" si="2"/>
        <v>9.0232142857142865E-4</v>
      </c>
      <c r="Z23" s="5">
        <f t="shared" si="3"/>
        <v>2.1773809523809523E-3</v>
      </c>
      <c r="AA23" s="5">
        <f t="shared" si="3"/>
        <v>1.3839285714285717E-4</v>
      </c>
      <c r="AB23" s="5">
        <f t="shared" si="3"/>
        <v>1.8212500000000002E-3</v>
      </c>
      <c r="AC23" s="5">
        <f t="shared" si="3"/>
        <v>6.8273809523809533E-5</v>
      </c>
      <c r="AD23" s="1"/>
      <c r="AE23" s="1"/>
    </row>
    <row r="24" spans="1:35" x14ac:dyDescent="0.2">
      <c r="B24" s="8">
        <v>1.488095238095238E-2</v>
      </c>
      <c r="C24" s="5" t="s">
        <v>19</v>
      </c>
      <c r="D24" s="5">
        <f t="shared" si="1"/>
        <v>1.215327380952381E-3</v>
      </c>
      <c r="E24" s="5">
        <f t="shared" si="1"/>
        <v>2.2202380952380949E-4</v>
      </c>
      <c r="F24" s="5">
        <f t="shared" si="1"/>
        <v>4.1398809523809525E-4</v>
      </c>
      <c r="G24" s="5">
        <f t="shared" si="1"/>
        <v>6.3288690476190465E-4</v>
      </c>
      <c r="H24" s="5">
        <f t="shared" si="1"/>
        <v>1.8901785714285713E-3</v>
      </c>
      <c r="I24" s="5">
        <f t="shared" si="1"/>
        <v>3.3154761904761906E-4</v>
      </c>
      <c r="J24" s="5">
        <f t="shared" si="1"/>
        <v>2.998511904761905E-4</v>
      </c>
      <c r="K24" s="5">
        <f t="shared" si="1"/>
        <v>9.0684523809523806E-4</v>
      </c>
      <c r="L24" s="5">
        <f t="shared" si="1"/>
        <v>1.0366071428571427E-3</v>
      </c>
      <c r="M24" s="5">
        <f t="shared" si="1"/>
        <v>2.276785714285714E-5</v>
      </c>
      <c r="N24" s="5">
        <f t="shared" si="1"/>
        <v>1.1488095238095238E-4</v>
      </c>
      <c r="O24" s="5">
        <f t="shared" si="1"/>
        <v>5.9895833333333329E-4</v>
      </c>
      <c r="P24" s="5">
        <f t="shared" si="1"/>
        <v>3.5803571428571427E-4</v>
      </c>
      <c r="Q24" s="5">
        <f t="shared" si="1"/>
        <v>1.0043154761904761E-3</v>
      </c>
      <c r="R24" s="5">
        <f t="shared" si="1"/>
        <v>1.1171130952380951E-3</v>
      </c>
      <c r="S24" s="5">
        <f t="shared" si="1"/>
        <v>2.8705357142857146E-4</v>
      </c>
      <c r="T24" s="5">
        <f t="shared" si="2"/>
        <v>1.4136904761904762E-5</v>
      </c>
      <c r="U24" s="5">
        <f t="shared" si="2"/>
        <v>8.9092261904761898E-4</v>
      </c>
      <c r="V24" s="5">
        <f t="shared" si="2"/>
        <v>9.4151785714285724E-4</v>
      </c>
      <c r="W24" s="5">
        <f t="shared" si="2"/>
        <v>1.3476190476190476E-3</v>
      </c>
      <c r="X24" s="5">
        <f t="shared" si="2"/>
        <v>4.1041666666666662E-4</v>
      </c>
      <c r="Y24" s="5">
        <f t="shared" si="2"/>
        <v>1.4553571428571428E-4</v>
      </c>
      <c r="Z24" s="5">
        <f t="shared" si="3"/>
        <v>3.5119047619047619E-4</v>
      </c>
      <c r="AA24" s="5">
        <f t="shared" si="3"/>
        <v>2.2321428571428571E-5</v>
      </c>
      <c r="AB24" s="5">
        <f t="shared" si="3"/>
        <v>2.9375000000000001E-4</v>
      </c>
      <c r="AC24" s="5">
        <f t="shared" si="3"/>
        <v>1.1011904761904762E-5</v>
      </c>
      <c r="AD24" s="1"/>
      <c r="AE24" s="1"/>
    </row>
    <row r="25" spans="1:35" x14ac:dyDescent="0.2">
      <c r="B25" s="8">
        <v>2.976190476190476E-3</v>
      </c>
      <c r="C25" s="5" t="s">
        <v>20</v>
      </c>
      <c r="D25" s="5">
        <f t="shared" si="1"/>
        <v>2.430654761904762E-4</v>
      </c>
      <c r="E25" s="5">
        <f t="shared" si="1"/>
        <v>4.4404761904761901E-5</v>
      </c>
      <c r="F25" s="5">
        <f t="shared" si="1"/>
        <v>8.2797619047619047E-5</v>
      </c>
      <c r="G25" s="5">
        <f t="shared" si="1"/>
        <v>1.2657738095238095E-4</v>
      </c>
      <c r="H25" s="5">
        <f t="shared" si="1"/>
        <v>3.7803571428571427E-4</v>
      </c>
      <c r="I25" s="5">
        <f t="shared" si="1"/>
        <v>6.630952380952381E-5</v>
      </c>
      <c r="J25" s="5">
        <f t="shared" si="1"/>
        <v>5.9970238095238095E-5</v>
      </c>
      <c r="K25" s="5">
        <f t="shared" si="1"/>
        <v>1.8136904761904761E-4</v>
      </c>
      <c r="L25" s="5">
        <f t="shared" si="1"/>
        <v>2.0732142857142857E-4</v>
      </c>
      <c r="M25" s="5">
        <f t="shared" si="1"/>
        <v>4.5535714285714279E-6</v>
      </c>
      <c r="N25" s="5">
        <f t="shared" si="1"/>
        <v>2.2976190476190476E-5</v>
      </c>
      <c r="O25" s="5">
        <f t="shared" si="1"/>
        <v>1.1979166666666666E-4</v>
      </c>
      <c r="P25" s="5">
        <f t="shared" si="1"/>
        <v>7.1607142857142857E-5</v>
      </c>
      <c r="Q25" s="5">
        <f t="shared" si="1"/>
        <v>2.0086309523809521E-4</v>
      </c>
      <c r="R25" s="5">
        <f t="shared" si="1"/>
        <v>2.2342261904761902E-4</v>
      </c>
      <c r="S25" s="5">
        <f t="shared" si="1"/>
        <v>5.741071428571429E-5</v>
      </c>
      <c r="T25" s="5">
        <f t="shared" si="2"/>
        <v>2.8273809523809524E-6</v>
      </c>
      <c r="U25" s="5">
        <f t="shared" si="2"/>
        <v>1.7818452380952379E-4</v>
      </c>
      <c r="V25" s="5">
        <f t="shared" si="2"/>
        <v>1.8830357142857144E-4</v>
      </c>
      <c r="W25" s="5">
        <f t="shared" si="2"/>
        <v>2.6952380952380951E-4</v>
      </c>
      <c r="X25" s="5">
        <f t="shared" si="2"/>
        <v>8.2083333333333327E-5</v>
      </c>
      <c r="Y25" s="5">
        <f t="shared" si="2"/>
        <v>2.9107142857142857E-5</v>
      </c>
      <c r="Z25" s="5">
        <f t="shared" si="3"/>
        <v>7.0238095238095229E-5</v>
      </c>
      <c r="AA25" s="5">
        <f t="shared" si="3"/>
        <v>4.4642857142857138E-6</v>
      </c>
      <c r="AB25" s="5">
        <f t="shared" si="3"/>
        <v>5.8749999999999998E-5</v>
      </c>
      <c r="AC25" s="5">
        <f t="shared" si="3"/>
        <v>2.202380952380952E-6</v>
      </c>
      <c r="AD25" s="1"/>
      <c r="AE25" s="1"/>
    </row>
    <row r="26" spans="1:35" x14ac:dyDescent="0.2">
      <c r="B26" s="8">
        <v>2.3809523809523808E-2</v>
      </c>
      <c r="C26" s="5" t="s">
        <v>3</v>
      </c>
      <c r="D26" s="5">
        <f t="shared" si="1"/>
        <v>1.9445238095238096E-3</v>
      </c>
      <c r="E26" s="5">
        <f t="shared" si="1"/>
        <v>3.552380952380952E-4</v>
      </c>
      <c r="F26" s="5">
        <f t="shared" si="1"/>
        <v>6.6238095238095238E-4</v>
      </c>
      <c r="G26" s="5">
        <f t="shared" si="1"/>
        <v>1.0126190476190476E-3</v>
      </c>
      <c r="H26" s="5">
        <f t="shared" si="1"/>
        <v>3.0242857142857142E-3</v>
      </c>
      <c r="I26" s="5">
        <f t="shared" si="1"/>
        <v>5.3047619047619048E-4</v>
      </c>
      <c r="J26" s="5">
        <f t="shared" si="1"/>
        <v>4.7976190476190476E-4</v>
      </c>
      <c r="K26" s="5">
        <f t="shared" si="1"/>
        <v>1.4509523809523809E-3</v>
      </c>
      <c r="L26" s="5">
        <f t="shared" si="1"/>
        <v>1.6585714285714285E-3</v>
      </c>
      <c r="M26" s="5">
        <f t="shared" si="1"/>
        <v>3.6428571428571423E-5</v>
      </c>
      <c r="N26" s="5">
        <f t="shared" si="1"/>
        <v>1.8380952380952381E-4</v>
      </c>
      <c r="O26" s="5">
        <f t="shared" si="1"/>
        <v>9.5833333333333328E-4</v>
      </c>
      <c r="P26" s="5">
        <f t="shared" si="1"/>
        <v>5.7285714285714286E-4</v>
      </c>
      <c r="Q26" s="5">
        <f t="shared" si="1"/>
        <v>1.6069047619047616E-3</v>
      </c>
      <c r="R26" s="5">
        <f t="shared" si="1"/>
        <v>1.7873809523809522E-3</v>
      </c>
      <c r="S26" s="5">
        <f t="shared" si="1"/>
        <v>4.5928571428571432E-4</v>
      </c>
      <c r="T26" s="5">
        <f t="shared" si="2"/>
        <v>2.2619047619047619E-5</v>
      </c>
      <c r="U26" s="5">
        <f t="shared" si="2"/>
        <v>1.4254761904761903E-3</v>
      </c>
      <c r="V26" s="5">
        <f t="shared" si="2"/>
        <v>1.5064285714285715E-3</v>
      </c>
      <c r="W26" s="5">
        <f t="shared" si="2"/>
        <v>2.156190476190476E-3</v>
      </c>
      <c r="X26" s="5">
        <f t="shared" si="2"/>
        <v>6.5666666666666662E-4</v>
      </c>
      <c r="Y26" s="5">
        <f t="shared" si="2"/>
        <v>2.3285714285714286E-4</v>
      </c>
      <c r="Z26" s="5">
        <f t="shared" si="3"/>
        <v>5.6190476190476183E-4</v>
      </c>
      <c r="AA26" s="5">
        <f t="shared" si="3"/>
        <v>3.571428571428571E-5</v>
      </c>
      <c r="AB26" s="5">
        <f t="shared" si="3"/>
        <v>4.6999999999999999E-4</v>
      </c>
      <c r="AC26" s="5">
        <f t="shared" si="3"/>
        <v>1.7619047619047616E-5</v>
      </c>
      <c r="AD26" s="1"/>
      <c r="AE26" s="1"/>
    </row>
    <row r="27" spans="1:35" x14ac:dyDescent="0.2">
      <c r="B27" s="8">
        <v>2.976190476190476E-3</v>
      </c>
      <c r="C27" s="5" t="s">
        <v>22</v>
      </c>
      <c r="D27" s="5">
        <f t="shared" si="1"/>
        <v>2.430654761904762E-4</v>
      </c>
      <c r="E27" s="5">
        <f t="shared" si="1"/>
        <v>4.4404761904761901E-5</v>
      </c>
      <c r="F27" s="5">
        <f t="shared" si="1"/>
        <v>8.2797619047619047E-5</v>
      </c>
      <c r="G27" s="5">
        <f t="shared" si="1"/>
        <v>1.2657738095238095E-4</v>
      </c>
      <c r="H27" s="5">
        <f t="shared" si="1"/>
        <v>3.7803571428571427E-4</v>
      </c>
      <c r="I27" s="5">
        <f t="shared" si="1"/>
        <v>6.630952380952381E-5</v>
      </c>
      <c r="J27" s="5">
        <f t="shared" si="1"/>
        <v>5.9970238095238095E-5</v>
      </c>
      <c r="K27" s="5">
        <f t="shared" si="1"/>
        <v>1.8136904761904761E-4</v>
      </c>
      <c r="L27" s="5">
        <f t="shared" si="1"/>
        <v>2.0732142857142857E-4</v>
      </c>
      <c r="M27" s="5">
        <f t="shared" si="1"/>
        <v>4.5535714285714279E-6</v>
      </c>
      <c r="N27" s="5">
        <f t="shared" si="1"/>
        <v>2.2976190476190476E-5</v>
      </c>
      <c r="O27" s="5">
        <f t="shared" si="1"/>
        <v>1.1979166666666666E-4</v>
      </c>
      <c r="P27" s="5">
        <f t="shared" si="1"/>
        <v>7.1607142857142857E-5</v>
      </c>
      <c r="Q27" s="5">
        <f t="shared" si="1"/>
        <v>2.0086309523809521E-4</v>
      </c>
      <c r="R27" s="5">
        <f t="shared" si="1"/>
        <v>2.2342261904761902E-4</v>
      </c>
      <c r="S27" s="5">
        <f t="shared" si="1"/>
        <v>5.741071428571429E-5</v>
      </c>
      <c r="T27" s="5">
        <f t="shared" si="2"/>
        <v>2.8273809523809524E-6</v>
      </c>
      <c r="U27" s="5">
        <f t="shared" si="2"/>
        <v>1.7818452380952379E-4</v>
      </c>
      <c r="V27" s="5">
        <f t="shared" si="2"/>
        <v>1.8830357142857144E-4</v>
      </c>
      <c r="W27" s="5">
        <f t="shared" si="2"/>
        <v>2.6952380952380951E-4</v>
      </c>
      <c r="X27" s="5">
        <f t="shared" si="2"/>
        <v>8.2083333333333327E-5</v>
      </c>
      <c r="Y27" s="5">
        <f t="shared" si="2"/>
        <v>2.9107142857142857E-5</v>
      </c>
      <c r="Z27" s="5">
        <f t="shared" si="3"/>
        <v>7.0238095238095229E-5</v>
      </c>
      <c r="AA27" s="5">
        <f t="shared" si="3"/>
        <v>4.4642857142857138E-6</v>
      </c>
      <c r="AB27" s="5">
        <f t="shared" si="3"/>
        <v>5.8749999999999998E-5</v>
      </c>
      <c r="AC27" s="5">
        <f t="shared" si="3"/>
        <v>2.202380952380952E-6</v>
      </c>
      <c r="AD27" s="1"/>
      <c r="AE27" s="1"/>
    </row>
    <row r="28" spans="1:35" x14ac:dyDescent="0.2">
      <c r="B28" s="8">
        <v>2.3809523809523808E-2</v>
      </c>
      <c r="C28" s="5" t="s">
        <v>4</v>
      </c>
      <c r="D28" s="5">
        <f t="shared" si="1"/>
        <v>1.9445238095238096E-3</v>
      </c>
      <c r="E28" s="5">
        <f t="shared" si="1"/>
        <v>3.552380952380952E-4</v>
      </c>
      <c r="F28" s="5">
        <f t="shared" si="1"/>
        <v>6.6238095238095238E-4</v>
      </c>
      <c r="G28" s="5">
        <f t="shared" si="1"/>
        <v>1.0126190476190476E-3</v>
      </c>
      <c r="H28" s="5">
        <f t="shared" si="1"/>
        <v>3.0242857142857142E-3</v>
      </c>
      <c r="I28" s="5">
        <f t="shared" si="1"/>
        <v>5.3047619047619048E-4</v>
      </c>
      <c r="J28" s="5">
        <f t="shared" si="1"/>
        <v>4.7976190476190476E-4</v>
      </c>
      <c r="K28" s="5">
        <f t="shared" si="1"/>
        <v>1.4509523809523809E-3</v>
      </c>
      <c r="L28" s="5">
        <f t="shared" si="1"/>
        <v>1.6585714285714285E-3</v>
      </c>
      <c r="M28" s="5">
        <f t="shared" si="1"/>
        <v>3.6428571428571423E-5</v>
      </c>
      <c r="N28" s="5">
        <f t="shared" si="1"/>
        <v>1.8380952380952381E-4</v>
      </c>
      <c r="O28" s="5">
        <f t="shared" si="1"/>
        <v>9.5833333333333328E-4</v>
      </c>
      <c r="P28" s="5">
        <f t="shared" si="1"/>
        <v>5.7285714285714286E-4</v>
      </c>
      <c r="Q28" s="5">
        <f t="shared" si="1"/>
        <v>1.6069047619047616E-3</v>
      </c>
      <c r="R28" s="5">
        <f t="shared" si="1"/>
        <v>1.7873809523809522E-3</v>
      </c>
      <c r="S28" s="5">
        <f t="shared" si="1"/>
        <v>4.5928571428571432E-4</v>
      </c>
      <c r="T28" s="5">
        <f t="shared" si="2"/>
        <v>2.2619047619047619E-5</v>
      </c>
      <c r="U28" s="5">
        <f t="shared" si="2"/>
        <v>1.4254761904761903E-3</v>
      </c>
      <c r="V28" s="5">
        <f t="shared" si="2"/>
        <v>1.5064285714285715E-3</v>
      </c>
      <c r="W28" s="5">
        <f t="shared" si="2"/>
        <v>2.156190476190476E-3</v>
      </c>
      <c r="X28" s="5">
        <f t="shared" si="2"/>
        <v>6.5666666666666662E-4</v>
      </c>
      <c r="Y28" s="5">
        <f t="shared" si="2"/>
        <v>2.3285714285714286E-4</v>
      </c>
      <c r="Z28" s="5">
        <f t="shared" si="3"/>
        <v>5.6190476190476183E-4</v>
      </c>
      <c r="AA28" s="5">
        <f t="shared" si="3"/>
        <v>3.571428571428571E-5</v>
      </c>
      <c r="AB28" s="5">
        <f t="shared" si="3"/>
        <v>4.6999999999999999E-4</v>
      </c>
      <c r="AC28" s="5">
        <f t="shared" si="3"/>
        <v>1.7619047619047616E-5</v>
      </c>
      <c r="AD28" s="1"/>
      <c r="AE28" s="1"/>
    </row>
    <row r="29" spans="1:35" x14ac:dyDescent="0.2">
      <c r="B29" s="8">
        <v>0</v>
      </c>
      <c r="C29" s="5" t="s">
        <v>25</v>
      </c>
      <c r="D29" s="5">
        <f t="shared" si="1"/>
        <v>0</v>
      </c>
      <c r="E29" s="5">
        <f t="shared" si="1"/>
        <v>0</v>
      </c>
      <c r="F29" s="5">
        <f t="shared" si="1"/>
        <v>0</v>
      </c>
      <c r="G29" s="5">
        <f t="shared" si="1"/>
        <v>0</v>
      </c>
      <c r="H29" s="5">
        <f t="shared" si="1"/>
        <v>0</v>
      </c>
      <c r="I29" s="5">
        <f t="shared" si="1"/>
        <v>0</v>
      </c>
      <c r="J29" s="5">
        <f t="shared" si="1"/>
        <v>0</v>
      </c>
      <c r="K29" s="5">
        <f t="shared" si="1"/>
        <v>0</v>
      </c>
      <c r="L29" s="5">
        <f t="shared" si="1"/>
        <v>0</v>
      </c>
      <c r="M29" s="5">
        <f t="shared" si="1"/>
        <v>0</v>
      </c>
      <c r="N29" s="5">
        <f t="shared" si="1"/>
        <v>0</v>
      </c>
      <c r="O29" s="5">
        <f t="shared" si="1"/>
        <v>0</v>
      </c>
      <c r="P29" s="5">
        <f t="shared" si="1"/>
        <v>0</v>
      </c>
      <c r="Q29" s="5">
        <f t="shared" si="1"/>
        <v>0</v>
      </c>
      <c r="R29" s="5">
        <f t="shared" si="1"/>
        <v>0</v>
      </c>
      <c r="S29" s="5">
        <f t="shared" si="1"/>
        <v>0</v>
      </c>
      <c r="T29" s="5">
        <f t="shared" si="2"/>
        <v>0</v>
      </c>
      <c r="U29" s="5">
        <f t="shared" si="2"/>
        <v>0</v>
      </c>
      <c r="V29" s="5">
        <f t="shared" si="2"/>
        <v>0</v>
      </c>
      <c r="W29" s="5">
        <f t="shared" si="2"/>
        <v>0</v>
      </c>
      <c r="X29" s="5">
        <f t="shared" si="2"/>
        <v>0</v>
      </c>
      <c r="Y29" s="5">
        <f t="shared" si="2"/>
        <v>0</v>
      </c>
      <c r="Z29" s="5">
        <f t="shared" si="3"/>
        <v>0</v>
      </c>
      <c r="AA29" s="5">
        <f t="shared" si="3"/>
        <v>0</v>
      </c>
      <c r="AB29" s="5">
        <f t="shared" si="3"/>
        <v>0</v>
      </c>
      <c r="AC29" s="5">
        <f t="shared" si="3"/>
        <v>0</v>
      </c>
      <c r="AD29" s="1"/>
      <c r="AE29" s="1"/>
    </row>
    <row r="31" spans="1:35" x14ac:dyDescent="0.2">
      <c r="A31" s="1"/>
      <c r="B31" s="1"/>
    </row>
    <row r="32" spans="1:35" x14ac:dyDescent="0.2">
      <c r="A32" s="3"/>
      <c r="B32" s="1"/>
      <c r="C32" s="3" t="s">
        <v>6</v>
      </c>
      <c r="D32" s="3">
        <f>SUM($H$4,$G$5,$F$6,$E$7,$D$8,$AC$9,$AB$10,$AA$11,$Z$12,$Y$13,$X$14,$W$15,$V$16,$U$17,$T$18,$S$19,$R$20,$Q$21,$P$22,$O$23,$N$24,$M$25,$L$26,$K$27,$J$28,$I$29)</f>
        <v>4.9411071428571436E-2</v>
      </c>
      <c r="E32" s="4" t="str">
        <f>C32&amp;" ("&amp;TRUNC(D32,3)*100&amp;"%)"</f>
        <v>E (4.9%)</v>
      </c>
      <c r="L32" s="9"/>
      <c r="M32" s="9"/>
      <c r="N32" s="9"/>
      <c r="O32" s="9"/>
      <c r="P32" s="9"/>
      <c r="Q32" s="9"/>
      <c r="R32" s="9"/>
      <c r="X32" s="9"/>
      <c r="AG32" s="3"/>
      <c r="AH32" s="3"/>
      <c r="AI32" s="3"/>
    </row>
    <row r="33" spans="1:35" x14ac:dyDescent="0.2">
      <c r="A33" s="3"/>
      <c r="B33" s="1"/>
      <c r="C33" s="3" t="s">
        <v>1</v>
      </c>
      <c r="D33" s="3">
        <f>SUM($O$4,$N$5,$M$6,$L$7,$K$8,$J$9,$I$10,$H$11,$G$12,$F$13,$E$14,$D$15,$AC$16,$AB$17,$AA$18,$Z$19,$Y$20,$X$21,$W$22,$V$23,$U$24,$T$25,$S$26,$R$27,$Q$28,$P$29)</f>
        <v>4.888369047619049E-2</v>
      </c>
      <c r="E33" s="4" t="str">
        <f t="shared" ref="E33:E57" si="4">C33&amp;" ("&amp;TRUNC(D33,3)*100&amp;"%)"</f>
        <v>L (4.8%)</v>
      </c>
      <c r="L33" s="3"/>
      <c r="M33" s="3"/>
      <c r="N33" s="3"/>
      <c r="O33" s="3"/>
      <c r="P33" s="3"/>
      <c r="Q33" s="3"/>
      <c r="R33" s="3"/>
      <c r="X33" s="3"/>
      <c r="AG33" s="3"/>
      <c r="AH33" s="3"/>
      <c r="AI33" s="3"/>
    </row>
    <row r="34" spans="1:35" x14ac:dyDescent="0.2">
      <c r="A34" s="3"/>
      <c r="B34" s="1"/>
      <c r="C34" s="3" t="s">
        <v>13</v>
      </c>
      <c r="D34" s="3">
        <f>SUM($L$4,$K$5,$J$6,$I$7,$H$8,$G$9,$F$10,$E$11,$D$12,$AC$13,$AB$14,$AA$15,$Z$16,$Y$17,$X$18,$W$19,$V$20,$U$21,$T$22,$S$23,$R$24,$Q$25,$P$26,$O$27,$N$28,$M$29)</f>
        <v>4.8191071428571444E-2</v>
      </c>
      <c r="E34" s="4" t="str">
        <f t="shared" si="4"/>
        <v>I (4.8%)</v>
      </c>
      <c r="L34" s="3"/>
      <c r="M34" s="3"/>
      <c r="N34" s="3"/>
      <c r="O34" s="3"/>
      <c r="P34" s="3"/>
      <c r="Q34" s="3"/>
      <c r="R34" s="3"/>
      <c r="X34" s="3"/>
      <c r="AG34" s="3"/>
      <c r="AH34" s="3"/>
      <c r="AI34" s="3"/>
    </row>
    <row r="35" spans="1:35" x14ac:dyDescent="0.2">
      <c r="A35" s="3"/>
      <c r="B35" s="1"/>
      <c r="C35" s="3" t="s">
        <v>20</v>
      </c>
      <c r="D35" s="3">
        <f>SUM($Y$4,$X$5,$W$6,$V$7,$U$8,$T$9,$S$10,$R$11,$Q$12,$P$13,$O$14,$N$15,$M$16,$L$17,$K$18,$J$19,$I$20,$H$21,$G$22,$F$23,$E$24,$D$25,$AC$26,$AB$27,$AA$28,$Z$29)</f>
        <v>4.8063690476190482E-2</v>
      </c>
      <c r="E35" s="4" t="str">
        <f t="shared" si="4"/>
        <v>V (4.8%)</v>
      </c>
      <c r="L35" s="3"/>
      <c r="M35" s="3"/>
      <c r="N35" s="3"/>
      <c r="O35" s="3"/>
      <c r="P35" s="3"/>
      <c r="Q35" s="3"/>
      <c r="R35" s="3"/>
      <c r="X35" s="3"/>
      <c r="AG35" s="3"/>
      <c r="AH35" s="3"/>
      <c r="AI35" s="3"/>
    </row>
    <row r="36" spans="1:35" x14ac:dyDescent="0.2">
      <c r="A36" s="3"/>
      <c r="B36" s="1"/>
      <c r="C36" s="3" t="s">
        <v>3</v>
      </c>
      <c r="D36" s="3">
        <f>SUM($Z$4,$Y$5,$X$6,$W$7,$V$8,$U$9,$T$10,$S$11,$R$12,$Q$13,$P$14,$O$15,$N$16,$M$17,$L$18,$K$19,$J$20,$I$21,$H$22,$G$23,$F$24,$E$25,$D$26,$AC$27,$AB$28,$AA$29)</f>
        <v>4.6113601190476187E-2</v>
      </c>
      <c r="E36" s="4" t="str">
        <f t="shared" si="4"/>
        <v>W (4.6%)</v>
      </c>
      <c r="L36" s="3"/>
      <c r="M36" s="3"/>
      <c r="N36" s="3"/>
      <c r="O36" s="3"/>
      <c r="P36" s="3"/>
      <c r="Q36" s="3"/>
      <c r="R36" s="3"/>
      <c r="X36" s="3"/>
      <c r="AG36" s="3"/>
      <c r="AH36" s="3"/>
      <c r="AI36" s="3"/>
    </row>
    <row r="37" spans="1:35" x14ac:dyDescent="0.2">
      <c r="A37" s="3"/>
      <c r="B37" s="1"/>
      <c r="C37" s="3" t="s">
        <v>8</v>
      </c>
      <c r="D37" s="3">
        <f>SUM($D$4,$AC$5,$AB$6,$AA$7,$Z$8,$Y$9,$X$10,$W$11,$V$12,$U$13,$T$14,$S$15,$R$16,$Q$17,$P$18,$O$19,$N$20,$M$21,$L$22,$K$23,$J$24,$I$25,$H$26,$G$27,$F$28,$E$29)</f>
        <v>4.4574136904761905E-2</v>
      </c>
      <c r="E37" s="4" t="str">
        <f t="shared" si="4"/>
        <v>A (4.4%)</v>
      </c>
      <c r="L37" s="3"/>
      <c r="M37" s="3"/>
      <c r="N37" s="3"/>
      <c r="O37" s="3"/>
      <c r="P37" s="3"/>
      <c r="Q37" s="3"/>
      <c r="R37" s="3"/>
      <c r="X37" s="3"/>
      <c r="AG37" s="3"/>
      <c r="AH37" s="3"/>
      <c r="AI37" s="3"/>
    </row>
    <row r="38" spans="1:35" x14ac:dyDescent="0.2">
      <c r="A38" s="3"/>
      <c r="B38" s="1"/>
      <c r="C38" s="3" t="s">
        <v>11</v>
      </c>
      <c r="D38" s="3">
        <f>SUM($K$4,$J$5,$I$6,$H$7,$G$8,$F$9,$E$10,$D$11,$AC$12,$AB$13,$AA$14,$Z$15,$Y$16,$X$17,$W$18,$V$19,$U$20,$T$21,$S$22,$R$23,$Q$24,$P$25,$O$26,$N$27,$M$28,$L$29)</f>
        <v>4.4572976190476191E-2</v>
      </c>
      <c r="E38" s="4" t="str">
        <f t="shared" si="4"/>
        <v>H (4.4%)</v>
      </c>
      <c r="L38" s="3"/>
      <c r="M38" s="3"/>
      <c r="N38" s="3"/>
      <c r="O38" s="3"/>
      <c r="P38" s="3"/>
      <c r="Q38" s="3"/>
      <c r="R38" s="3"/>
      <c r="X38" s="3"/>
      <c r="AG38" s="3"/>
      <c r="AH38" s="3"/>
      <c r="AI38" s="3"/>
    </row>
    <row r="39" spans="1:35" x14ac:dyDescent="0.2">
      <c r="A39" s="3"/>
      <c r="B39" s="1"/>
      <c r="C39" s="3" t="s">
        <v>9</v>
      </c>
      <c r="D39" s="3">
        <f>SUM($U$4,$T$5,$S$6,$R$7,$Q$8,$P$9,$O$10,$N$11,$M$12,$L$13,$K$14,$J$15,$I$16,$H$17,$G$18,$F$19,$E$20,$D$21,$AC$22,$AB$23,$AA$24,$Z$25,$Y$26,$X$27,$W$28,$V$29)</f>
        <v>4.4149761904761907E-2</v>
      </c>
      <c r="E39" s="4" t="str">
        <f t="shared" si="4"/>
        <v>R (4.4%)</v>
      </c>
      <c r="L39" s="3"/>
      <c r="M39" s="3"/>
      <c r="N39" s="3"/>
      <c r="O39" s="3"/>
      <c r="P39" s="3"/>
      <c r="Q39" s="3"/>
      <c r="R39" s="3"/>
      <c r="X39" s="3"/>
      <c r="AG39" s="3"/>
      <c r="AH39" s="3"/>
      <c r="AI39" s="3"/>
    </row>
    <row r="40" spans="1:35" x14ac:dyDescent="0.2">
      <c r="A40" s="3"/>
      <c r="B40" s="1"/>
      <c r="C40" s="3" t="s">
        <v>0</v>
      </c>
      <c r="D40" s="3">
        <f>SUM($V$4,$U$5,$T$6,$S$7,$R$8,$Q$9,$P$10,$O$11,$N$12,$M$13,$L$14,$K$15,$J$16,$I$17,$H$18,$G$19,$F$20,$E$21,$D$22,$AC$23,$AB$24,$AA$25,$Z$26,$Y$27,$X$28,$W$29)</f>
        <v>4.3004285714285717E-2</v>
      </c>
      <c r="E40" s="4" t="str">
        <f t="shared" si="4"/>
        <v>S (4.3%)</v>
      </c>
      <c r="L40" s="3"/>
      <c r="M40" s="3"/>
      <c r="N40" s="3"/>
      <c r="O40" s="3"/>
      <c r="P40" s="3"/>
      <c r="Q40" s="3"/>
      <c r="R40" s="3"/>
      <c r="X40" s="3"/>
      <c r="AG40" s="3"/>
      <c r="AH40" s="3"/>
      <c r="AI40" s="3"/>
    </row>
    <row r="41" spans="1:35" x14ac:dyDescent="0.2">
      <c r="A41" s="3"/>
      <c r="B41" s="1"/>
      <c r="C41" s="3" t="s">
        <v>12</v>
      </c>
      <c r="D41" s="3">
        <f>SUM($P$4,$O$5,$N$6,$M$7,$L$8,$K$9,$J$10,$I$11,$H$12,$G$13,$F$14,$E$15,$D$16,$AC$17,$AB$18,$AA$19,$Z$20,$Y$21,$X$22,$W$23,$V$24,$U$25,$T$26,$S$27,$R$28,$Q$29)</f>
        <v>4.2686250000000002E-2</v>
      </c>
      <c r="E41" s="4" t="str">
        <f t="shared" si="4"/>
        <v>M (4.2%)</v>
      </c>
      <c r="L41" s="3"/>
      <c r="M41" s="3"/>
      <c r="N41" s="3"/>
      <c r="O41" s="3"/>
      <c r="P41" s="3"/>
      <c r="Q41" s="3"/>
      <c r="R41" s="3"/>
      <c r="X41" s="3"/>
      <c r="AG41" s="3"/>
      <c r="AH41" s="3"/>
      <c r="AI41" s="3"/>
    </row>
    <row r="42" spans="1:35" x14ac:dyDescent="0.2">
      <c r="A42" s="3"/>
      <c r="B42" s="1"/>
      <c r="C42" s="3" t="s">
        <v>10</v>
      </c>
      <c r="D42" s="3">
        <f>SUM($W$4,$V$5,$U$6,$T$7,$S$8,$R$9,$Q$10,$P$11,$O$12,$N$13,$M$14,$L$15,$K$16,$J$17,$I$18,$H$19,$G$20,$F$21,$E$22,$D$23,$AC$24,$AB$25,$AA$26,$Z$27,$Y$28,$X$29)</f>
        <v>4.1463571428571433E-2</v>
      </c>
      <c r="E42" s="4" t="str">
        <f t="shared" si="4"/>
        <v>T (4.1%)</v>
      </c>
      <c r="AG42" s="3"/>
      <c r="AH42" s="3"/>
      <c r="AI42" s="3"/>
    </row>
    <row r="43" spans="1:35" x14ac:dyDescent="0.2">
      <c r="A43" s="3"/>
      <c r="B43" s="1"/>
      <c r="C43" s="3" t="s">
        <v>16</v>
      </c>
      <c r="D43" s="3">
        <f>SUM($J$4,$I$5,$H$6,$G$7,$F$8,$E$9,$D$10,$AC$11,$AB$12,$AA$13,$Z$14,$Y$15,$X$16,$W$17,$V$18,$U$19,$T$20,$S$21,$R$22,$Q$23,$P$24,$O$25,$N$26,$M$27,$L$28,$K$29)</f>
        <v>4.0461904761904754E-2</v>
      </c>
      <c r="E43" s="4" t="str">
        <f t="shared" si="4"/>
        <v>G (4%)</v>
      </c>
      <c r="AG43" s="3"/>
      <c r="AH43" s="3"/>
      <c r="AI43" s="3"/>
    </row>
    <row r="44" spans="1:35" x14ac:dyDescent="0.2">
      <c r="A44" s="3"/>
      <c r="B44" s="1"/>
      <c r="C44" s="3" t="s">
        <v>7</v>
      </c>
      <c r="D44" s="3">
        <f>SUM($S$4,$R$5,$Q$6,$P$7,$O$8,$N$9,$M$10,$L$11,$K$12,$J$13,$I$14,$H$15,$G$16,$F$17,$E$18,$D$19,$AC$20,$AB$21,$AA$22,$Z$23,$Y$24,$X$25,$W$26,$V$27,$U$28,$T$29)</f>
        <v>4.0227857142857149E-2</v>
      </c>
      <c r="E44" s="4" t="str">
        <f t="shared" si="4"/>
        <v>P (4%)</v>
      </c>
      <c r="AG44" s="3"/>
      <c r="AH44" s="3"/>
      <c r="AI44" s="3"/>
    </row>
    <row r="45" spans="1:35" x14ac:dyDescent="0.2">
      <c r="A45" s="3"/>
      <c r="B45" s="1"/>
      <c r="C45" s="3" t="s">
        <v>22</v>
      </c>
      <c r="D45" s="3">
        <f>SUM($AA$4,$Z$5,$Y$6,$X$7,$W$8,$V$9,$U$10,$T$11,$S$12,$R$13,$Q$14,$P$15,$O$16,$N$17,$M$18,$L$19,$K$20,$J$21,$I$22,$H$23,$G$24,$F$25,$E$26,$D$27,$AC$28,$AB$29)</f>
        <v>4.0216875000000006E-2</v>
      </c>
      <c r="E45" s="4" t="str">
        <f t="shared" si="4"/>
        <v>X (4%)</v>
      </c>
      <c r="AG45" s="3"/>
      <c r="AH45" s="3"/>
      <c r="AI45" s="3"/>
    </row>
    <row r="46" spans="1:35" x14ac:dyDescent="0.2">
      <c r="A46" s="3"/>
      <c r="B46" s="1"/>
      <c r="C46" s="3" t="s">
        <v>15</v>
      </c>
      <c r="D46" s="3">
        <f>SUM($I$4,$H$5,$G$6,$F$7,$E$8,$D$9,$AC$10,$AB$11,$AA$12,$Z$13,$Y$14,$X$15,$W$16,$V$17,$U$18,$T$19,$S$20,$R$21,$Q$22,$P$23,$O$24,$N$25,$M$26,$L$27,$K$28,$J$29)</f>
        <v>3.6998988095238092E-2</v>
      </c>
      <c r="E46" s="4" t="str">
        <f t="shared" si="4"/>
        <v>F (3.6%)</v>
      </c>
      <c r="AG46" s="3"/>
      <c r="AH46" s="3"/>
      <c r="AI46" s="3"/>
    </row>
    <row r="47" spans="1:35" x14ac:dyDescent="0.2">
      <c r="A47" s="3"/>
      <c r="B47" s="1"/>
      <c r="C47" s="3" t="s">
        <v>21</v>
      </c>
      <c r="D47" s="3">
        <f>SUM($N$4,$M$5,$L$6,$K$7,$J$8,$I$9,$H$10,$G$11,$F$12,$E$13,$D$14,$AC$15,$AB$16,$AA$17,$Z$18,$Y$19,$X$20,$W$21,$V$22,$U$23,$T$24,$S$25,$R$26,$Q$27,$P$28,$O$29)</f>
        <v>3.592354166666667E-2</v>
      </c>
      <c r="E47" s="4" t="str">
        <f t="shared" si="4"/>
        <v>K (3.5%)</v>
      </c>
      <c r="AG47" s="3"/>
      <c r="AH47" s="3"/>
      <c r="AI47" s="3"/>
    </row>
    <row r="48" spans="1:35" x14ac:dyDescent="0.2">
      <c r="A48" s="3"/>
      <c r="B48" s="1"/>
      <c r="C48" s="3" t="s">
        <v>25</v>
      </c>
      <c r="D48" s="3">
        <f>SUM($AC$4,$AB$5,$AA$6,$Z$7,$Y$8,$X$9,$W$10,$V$11,$U$12,$T$13,$S$14,$R$15,$Q$16,$P$17,$O$18,$N$19,$M$20,$L$21,$K$22,$J$23,$I$24,$H$25,$G$26,$F$27,$E$28,$D$29)</f>
        <v>3.4909821428571429E-2</v>
      </c>
      <c r="E48" s="4" t="str">
        <f t="shared" si="4"/>
        <v>Z (3.4%)</v>
      </c>
      <c r="AG48" s="3"/>
      <c r="AH48" s="3"/>
      <c r="AI48" s="3"/>
    </row>
    <row r="49" spans="1:35" x14ac:dyDescent="0.2">
      <c r="A49" s="3"/>
      <c r="B49" s="1"/>
      <c r="C49" s="3" t="s">
        <v>4</v>
      </c>
      <c r="D49" s="3">
        <f>SUM($AB$4,$AA$5,$Z$6,$Y$7,$X$8,$W$9,$V$10,$U$11,$T$12,$S$13,$R$14,$Q$15,$P$16,$O$17,$N$18,$M$19,$L$20,$K$21,$J$22,$I$23,$H$24,$G$25,$F$26,$E$27,$D$28,$AC$29)</f>
        <v>3.3494791666666669E-2</v>
      </c>
      <c r="E49" s="4" t="str">
        <f t="shared" si="4"/>
        <v>Y (3.3%)</v>
      </c>
      <c r="AG49" s="3"/>
      <c r="AH49" s="3"/>
      <c r="AI49" s="3"/>
    </row>
    <row r="50" spans="1:35" x14ac:dyDescent="0.2">
      <c r="A50" s="3"/>
      <c r="B50" s="1"/>
      <c r="C50" s="3" t="s">
        <v>19</v>
      </c>
      <c r="D50" s="3">
        <f>SUM($X$4,$W$5,$V$6,$U$7,$T$8,$S$9,$R$10,$Q$11,$P$12,$O$13,$N$14,$M$15,$L$16,$K$17,$J$18,$I$19,$H$20,$G$21,$F$22,$E$23,$D$24,$AC$25,$AB$26,$AA$27,$Z$28,$Y$29)</f>
        <v>3.2767380952380951E-2</v>
      </c>
      <c r="E50" s="4" t="str">
        <f t="shared" si="4"/>
        <v>U (3.2%)</v>
      </c>
      <c r="AG50" s="3"/>
      <c r="AH50" s="3"/>
      <c r="AI50" s="3"/>
    </row>
    <row r="51" spans="1:35" x14ac:dyDescent="0.2">
      <c r="A51" s="3"/>
      <c r="B51" s="1"/>
      <c r="C51" s="3" t="s">
        <v>17</v>
      </c>
      <c r="D51" s="3">
        <f>SUM($E$4,$D$5,$AC$6,$AB$7,$AA$8,$Z$9,$Y$10,$X$11,$W$12,$V$13,$U$14,$T$15,$S$16,$R$17,$Q$18,$P$19,$O$20,$N$21,$M$22,$L$23,$K$24,$J$25,$I$26,$H$27,$G$28,$F$29)</f>
        <v>3.2109136904761901E-2</v>
      </c>
      <c r="E51" s="4" t="str">
        <f t="shared" si="4"/>
        <v>B (3.2%)</v>
      </c>
      <c r="AG51" s="3"/>
      <c r="AH51" s="3"/>
      <c r="AI51" s="3"/>
    </row>
    <row r="52" spans="1:35" x14ac:dyDescent="0.2">
      <c r="A52" s="3"/>
      <c r="B52" s="1"/>
      <c r="C52" s="3" t="s">
        <v>2</v>
      </c>
      <c r="D52" s="3">
        <f>SUM($R$4,$Q$5,$P$6,$O$7,$N$8,$M$9,$L$10,$K$11,$J$12,$I$13,$H$14,$G$15,$F$16,$E$17,$D$18,$AC$19,$AB$20,$AA$21,$Z$22,$Y$23,$X$24,$W$25,$V$26,$U$27,$T$28,$S$29)</f>
        <v>3.0715029761904763E-2</v>
      </c>
      <c r="E52" s="4" t="str">
        <f t="shared" si="4"/>
        <v>O (3%)</v>
      </c>
      <c r="AG52" s="3"/>
      <c r="AH52" s="3"/>
      <c r="AI52" s="3"/>
    </row>
    <row r="53" spans="1:35" x14ac:dyDescent="0.2">
      <c r="A53" s="3"/>
      <c r="B53" s="1"/>
      <c r="C53" s="3" t="s">
        <v>23</v>
      </c>
      <c r="D53" s="3">
        <f>SUM($T$4,$S$5,$R$6,$Q$7,$P$8,$O$9,$N$10,$M$11,$L$12,$K$13,$J$14,$I$15,$H$16,$G$17,$F$18,$E$19,$D$20,$AC$21,$AB$22,$AA$23,$Z$24,$Y$25,$X$26,$W$27,$V$28,$U$29)</f>
        <v>2.9446607142857146E-2</v>
      </c>
      <c r="E53" s="4" t="str">
        <f t="shared" si="4"/>
        <v>Q (2.9%)</v>
      </c>
      <c r="AG53" s="3"/>
      <c r="AH53" s="3"/>
      <c r="AI53" s="3"/>
    </row>
    <row r="54" spans="1:35" x14ac:dyDescent="0.2">
      <c r="A54" s="3"/>
      <c r="B54" s="1"/>
      <c r="C54" s="3" t="s">
        <v>14</v>
      </c>
      <c r="D54" s="3">
        <f>SUM($Q$4,$P$5,$O$6,$N$7,$M$8,$L$9,$K$10,$J$11,$I$12,$H$13,$G$14,$F$15,$E$16,$D$17,$AC$18,$AB$19,$AA$20,$Z$21,$Y$22,$X$23,$W$24,$V$25,$U$26,$T$27,$S$28,$R$29)</f>
        <v>2.8702142857142857E-2</v>
      </c>
      <c r="E54" s="4" t="str">
        <f t="shared" si="4"/>
        <v>N (2.8%)</v>
      </c>
      <c r="AG54" s="3"/>
      <c r="AH54" s="3"/>
      <c r="AI54" s="3"/>
    </row>
    <row r="55" spans="1:35" x14ac:dyDescent="0.2">
      <c r="A55" s="3"/>
      <c r="B55" s="1"/>
      <c r="C55" s="3" t="s">
        <v>18</v>
      </c>
      <c r="D55" s="3">
        <f>SUM($F$4,$E$5,$D$6,$AC$7,$AB$8,$AA$9,$Z$10,$Y$11,$X$12,$W$13,$V$14,$U$15,$T$16,$S$17,$R$18,$Q$19,$P$20,$O$21,$N$22,$M$23,$L$24,$K$25,$J$26,$I$27,$H$28,$G$29)</f>
        <v>2.8491607142857148E-2</v>
      </c>
      <c r="E55" s="4" t="str">
        <f t="shared" si="4"/>
        <v>C (2.8%)</v>
      </c>
      <c r="AG55" s="3"/>
      <c r="AH55" s="3"/>
      <c r="AI55" s="3"/>
    </row>
    <row r="56" spans="1:35" x14ac:dyDescent="0.2">
      <c r="A56" s="3"/>
      <c r="B56" s="1"/>
      <c r="C56" s="3" t="s">
        <v>24</v>
      </c>
      <c r="D56" s="3">
        <f>SUM($M$4,$L$5,$K$6,$J$7,$I$8,$H$9,$G$10,$F$11,$E$12,$D$13,$AC$14,$AB$15,$AA$16,$Z$17,$Y$18,$X$19,$W$20,$V$21,$U$22,$T$23,$S$24,$R$25,$Q$26,$P$27,$O$28,$N$29)</f>
        <v>2.8275446428571424E-2</v>
      </c>
      <c r="E56" s="4" t="str">
        <f t="shared" si="4"/>
        <v>J (2.8%)</v>
      </c>
      <c r="AG56" s="3"/>
      <c r="AH56" s="3"/>
      <c r="AI56" s="3"/>
    </row>
    <row r="57" spans="1:35" x14ac:dyDescent="0.2">
      <c r="A57" s="3"/>
      <c r="B57" s="1"/>
      <c r="C57" s="3" t="s">
        <v>5</v>
      </c>
      <c r="D57" s="3">
        <f>SUM($G$4,$F$5,$E$6,$D$7,$AC$8,$AB$9,$AA$10,$Z$11,$Y$12,$X$13,$W$14,$V$15,$U$16,$T$17,$S$18,$R$19,$Q$20,$P$21,$O$22,$N$23,$M$24,$L$25,$K$26,$J$27,$I$28,$H$29)</f>
        <v>2.6134761904761907E-2</v>
      </c>
      <c r="E57" s="4" t="str">
        <f t="shared" si="4"/>
        <v>D (2.6%)</v>
      </c>
      <c r="AG57" s="3"/>
      <c r="AH57" s="3"/>
      <c r="AI57" s="3"/>
    </row>
  </sheetData>
  <sortState ref="C32:D57">
    <sortCondition descending="1" ref="D32:D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7"/>
  <sheetViews>
    <sheetView tabSelected="1" workbookViewId="0"/>
  </sheetViews>
  <sheetFormatPr defaultColWidth="4.42578125" defaultRowHeight="12" x14ac:dyDescent="0.2"/>
  <cols>
    <col min="1" max="1" width="4.42578125" style="2"/>
    <col min="2" max="2" width="5.140625" style="4" bestFit="1" customWidth="1"/>
    <col min="3" max="3" width="5.28515625" style="4" customWidth="1"/>
    <col min="4" max="14" width="4.28515625" style="4" bestFit="1" customWidth="1"/>
    <col min="15" max="15" width="5.140625" style="4" bestFit="1" customWidth="1"/>
    <col min="16" max="29" width="4.28515625" style="4" bestFit="1" customWidth="1"/>
    <col min="30" max="16384" width="4.42578125" style="2"/>
  </cols>
  <sheetData>
    <row r="1" spans="2:31" x14ac:dyDescent="0.2">
      <c r="B1" s="3"/>
      <c r="C1" s="3"/>
      <c r="AD1" s="1"/>
      <c r="AE1" s="1"/>
    </row>
    <row r="2" spans="2:31" x14ac:dyDescent="0.2">
      <c r="B2" s="5"/>
      <c r="C2" s="6" t="s">
        <v>26</v>
      </c>
      <c r="D2" s="6">
        <v>7.7200000000000003E-3</v>
      </c>
      <c r="E2" s="6">
        <v>5.987E-2</v>
      </c>
      <c r="F2" s="6">
        <v>1.9740000000000001E-2</v>
      </c>
      <c r="G2" s="6">
        <v>1.9290000000000002E-2</v>
      </c>
      <c r="H2" s="6">
        <v>9.0560000000000002E-2</v>
      </c>
      <c r="I2" s="6">
        <v>7.5069999999999998E-2</v>
      </c>
      <c r="J2" s="6">
        <v>6.3270000000000007E-2</v>
      </c>
      <c r="K2" s="6">
        <v>8.1670000000000006E-2</v>
      </c>
      <c r="L2" s="6">
        <v>1.4919999999999999E-2</v>
      </c>
      <c r="M2" s="6">
        <v>2.7820000000000001E-2</v>
      </c>
      <c r="N2" s="6">
        <v>4.2529999999999998E-2</v>
      </c>
      <c r="O2" s="6">
        <v>0.12701999999999999</v>
      </c>
      <c r="P2" s="6">
        <v>2.2280000000000001E-2</v>
      </c>
      <c r="Q2" s="6">
        <v>2.0150000000000001E-2</v>
      </c>
      <c r="R2" s="6">
        <v>6.0940000000000001E-2</v>
      </c>
      <c r="S2" s="6">
        <v>6.966E-2</v>
      </c>
      <c r="T2" s="6">
        <v>1.5299999999999999E-3</v>
      </c>
      <c r="U2" s="6">
        <v>4.0250000000000001E-2</v>
      </c>
      <c r="V2" s="6">
        <v>2.4060000000000002E-2</v>
      </c>
      <c r="W2" s="6">
        <v>6.7489999999999994E-2</v>
      </c>
      <c r="X2" s="6">
        <v>9.5E-4</v>
      </c>
      <c r="Y2" s="6">
        <v>2.758E-2</v>
      </c>
      <c r="Z2" s="6">
        <v>9.7800000000000005E-3</v>
      </c>
      <c r="AA2" s="6">
        <v>2.3599999999999999E-2</v>
      </c>
      <c r="AB2" s="6">
        <v>1.5E-3</v>
      </c>
      <c r="AC2" s="6">
        <v>7.3999999999999999E-4</v>
      </c>
      <c r="AD2" s="1"/>
      <c r="AE2" s="1"/>
    </row>
    <row r="3" spans="2:31" x14ac:dyDescent="0.2">
      <c r="B3" s="7" t="s">
        <v>28</v>
      </c>
      <c r="C3" s="5"/>
      <c r="D3" s="5" t="s">
        <v>21</v>
      </c>
      <c r="E3" s="5" t="s">
        <v>9</v>
      </c>
      <c r="F3" s="5" t="s">
        <v>4</v>
      </c>
      <c r="G3" s="5" t="s">
        <v>7</v>
      </c>
      <c r="H3" s="5" t="s">
        <v>10</v>
      </c>
      <c r="I3" s="5" t="s">
        <v>2</v>
      </c>
      <c r="J3" s="5" t="s">
        <v>0</v>
      </c>
      <c r="K3" s="5" t="s">
        <v>8</v>
      </c>
      <c r="L3" s="5" t="s">
        <v>17</v>
      </c>
      <c r="M3" s="5" t="s">
        <v>18</v>
      </c>
      <c r="N3" s="5" t="s">
        <v>5</v>
      </c>
      <c r="O3" s="5" t="s">
        <v>6</v>
      </c>
      <c r="P3" s="5" t="s">
        <v>15</v>
      </c>
      <c r="Q3" s="5" t="s">
        <v>16</v>
      </c>
      <c r="R3" s="5" t="s">
        <v>11</v>
      </c>
      <c r="S3" s="5" t="s">
        <v>13</v>
      </c>
      <c r="T3" s="5" t="s">
        <v>24</v>
      </c>
      <c r="U3" s="5" t="s">
        <v>1</v>
      </c>
      <c r="V3" s="5" t="s">
        <v>12</v>
      </c>
      <c r="W3" s="5" t="s">
        <v>14</v>
      </c>
      <c r="X3" s="5" t="s">
        <v>23</v>
      </c>
      <c r="Y3" s="5" t="s">
        <v>19</v>
      </c>
      <c r="Z3" s="5" t="s">
        <v>20</v>
      </c>
      <c r="AA3" s="5" t="s">
        <v>3</v>
      </c>
      <c r="AB3" s="5" t="s">
        <v>22</v>
      </c>
      <c r="AC3" s="5" t="s">
        <v>25</v>
      </c>
      <c r="AD3" s="1"/>
      <c r="AE3" s="1"/>
    </row>
    <row r="4" spans="2:31" x14ac:dyDescent="0.2">
      <c r="B4" s="8">
        <v>2.976190476190476E-3</v>
      </c>
      <c r="C4" s="5" t="s">
        <v>21</v>
      </c>
      <c r="D4" s="5">
        <f t="shared" ref="D4:M10" si="0">$B4*D$2</f>
        <v>2.2976190476190476E-5</v>
      </c>
      <c r="E4" s="5">
        <f t="shared" si="0"/>
        <v>1.7818452380952379E-4</v>
      </c>
      <c r="F4" s="5">
        <f t="shared" si="0"/>
        <v>5.8749999999999998E-5</v>
      </c>
      <c r="G4" s="5">
        <f t="shared" si="0"/>
        <v>5.741071428571429E-5</v>
      </c>
      <c r="H4" s="5">
        <f t="shared" si="0"/>
        <v>2.6952380952380951E-4</v>
      </c>
      <c r="I4" s="5">
        <f t="shared" si="0"/>
        <v>2.2342261904761902E-4</v>
      </c>
      <c r="J4" s="5">
        <f t="shared" si="0"/>
        <v>1.8830357142857144E-4</v>
      </c>
      <c r="K4" s="5">
        <f t="shared" si="0"/>
        <v>2.430654761904762E-4</v>
      </c>
      <c r="L4" s="5">
        <f t="shared" si="0"/>
        <v>4.4404761904761901E-5</v>
      </c>
      <c r="M4" s="5">
        <f t="shared" si="0"/>
        <v>8.2797619047619047E-5</v>
      </c>
      <c r="N4" s="5">
        <f t="shared" ref="N4:W10" si="1">$B4*N$2</f>
        <v>1.2657738095238095E-4</v>
      </c>
      <c r="O4" s="5">
        <f t="shared" si="1"/>
        <v>3.7803571428571427E-4</v>
      </c>
      <c r="P4" s="5">
        <f t="shared" si="1"/>
        <v>6.630952380952381E-5</v>
      </c>
      <c r="Q4" s="5">
        <f t="shared" si="1"/>
        <v>5.9970238095238095E-5</v>
      </c>
      <c r="R4" s="5">
        <f t="shared" si="1"/>
        <v>1.8136904761904761E-4</v>
      </c>
      <c r="S4" s="5">
        <f t="shared" si="1"/>
        <v>2.0732142857142857E-4</v>
      </c>
      <c r="T4" s="5">
        <f t="shared" si="1"/>
        <v>4.5535714285714279E-6</v>
      </c>
      <c r="U4" s="5">
        <f t="shared" si="1"/>
        <v>1.1979166666666666E-4</v>
      </c>
      <c r="V4" s="5">
        <f t="shared" si="1"/>
        <v>7.1607142857142857E-5</v>
      </c>
      <c r="W4" s="5">
        <f t="shared" si="1"/>
        <v>2.0086309523809521E-4</v>
      </c>
      <c r="X4" s="5">
        <f t="shared" ref="X4:AC10" si="2">$B4*X$2</f>
        <v>2.8273809523809524E-6</v>
      </c>
      <c r="Y4" s="5">
        <f t="shared" si="2"/>
        <v>8.2083333333333327E-5</v>
      </c>
      <c r="Z4" s="5">
        <f t="shared" si="2"/>
        <v>2.9107142857142857E-5</v>
      </c>
      <c r="AA4" s="5">
        <f t="shared" si="2"/>
        <v>7.0238095238095229E-5</v>
      </c>
      <c r="AB4" s="5">
        <f t="shared" si="2"/>
        <v>4.4642857142857138E-6</v>
      </c>
      <c r="AC4" s="5">
        <f t="shared" si="2"/>
        <v>2.202380952380952E-6</v>
      </c>
      <c r="AD4" s="1"/>
      <c r="AE4" s="1"/>
    </row>
    <row r="5" spans="2:31" x14ac:dyDescent="0.2">
      <c r="B5" s="8">
        <v>6.8452380952380959E-2</v>
      </c>
      <c r="C5" s="5" t="s">
        <v>9</v>
      </c>
      <c r="D5" s="5">
        <f t="shared" si="0"/>
        <v>5.2845238095238097E-4</v>
      </c>
      <c r="E5" s="5">
        <f t="shared" si="0"/>
        <v>4.0982440476190476E-3</v>
      </c>
      <c r="F5" s="5">
        <f t="shared" si="0"/>
        <v>1.3512500000000002E-3</v>
      </c>
      <c r="G5" s="5">
        <f t="shared" si="0"/>
        <v>1.3204464285714289E-3</v>
      </c>
      <c r="H5" s="5">
        <f t="shared" si="0"/>
        <v>6.1990476190476197E-3</v>
      </c>
      <c r="I5" s="5">
        <f t="shared" si="0"/>
        <v>5.1387202380952382E-3</v>
      </c>
      <c r="J5" s="5">
        <f t="shared" si="0"/>
        <v>4.3309821428571434E-3</v>
      </c>
      <c r="K5" s="5">
        <f t="shared" si="0"/>
        <v>5.5905059523809536E-3</v>
      </c>
      <c r="L5" s="5">
        <f t="shared" si="0"/>
        <v>1.0213095238095239E-3</v>
      </c>
      <c r="M5" s="5">
        <f t="shared" si="0"/>
        <v>1.9043452380952384E-3</v>
      </c>
      <c r="N5" s="5">
        <f t="shared" si="1"/>
        <v>2.9112797619047621E-3</v>
      </c>
      <c r="O5" s="5">
        <f t="shared" si="1"/>
        <v>8.6948214285714285E-3</v>
      </c>
      <c r="P5" s="5">
        <f t="shared" si="1"/>
        <v>1.5251190476190479E-3</v>
      </c>
      <c r="Q5" s="5">
        <f t="shared" si="1"/>
        <v>1.3793154761904765E-3</v>
      </c>
      <c r="R5" s="5">
        <f t="shared" si="1"/>
        <v>4.1714880952380953E-3</v>
      </c>
      <c r="S5" s="5">
        <f t="shared" si="1"/>
        <v>4.7683928571428573E-3</v>
      </c>
      <c r="T5" s="5">
        <f t="shared" si="1"/>
        <v>1.0473214285714286E-4</v>
      </c>
      <c r="U5" s="5">
        <f t="shared" si="1"/>
        <v>2.7552083333333335E-3</v>
      </c>
      <c r="V5" s="5">
        <f t="shared" si="1"/>
        <v>1.6469642857142859E-3</v>
      </c>
      <c r="W5" s="5">
        <f t="shared" si="1"/>
        <v>4.6198511904761907E-3</v>
      </c>
      <c r="X5" s="5">
        <f t="shared" si="2"/>
        <v>6.5029761904761914E-5</v>
      </c>
      <c r="Y5" s="5">
        <f t="shared" si="2"/>
        <v>1.8879166666666669E-3</v>
      </c>
      <c r="Z5" s="5">
        <f t="shared" si="2"/>
        <v>6.6946428571428582E-4</v>
      </c>
      <c r="AA5" s="5">
        <f t="shared" si="2"/>
        <v>1.6154761904761906E-3</v>
      </c>
      <c r="AB5" s="5">
        <f t="shared" si="2"/>
        <v>1.0267857142857143E-4</v>
      </c>
      <c r="AC5" s="5">
        <f t="shared" si="2"/>
        <v>5.065476190476191E-5</v>
      </c>
      <c r="AD5" s="1"/>
      <c r="AE5" s="1"/>
    </row>
    <row r="6" spans="2:31" x14ac:dyDescent="0.2">
      <c r="B6" s="8">
        <v>2.3809523809523808E-2</v>
      </c>
      <c r="C6" s="5" t="s">
        <v>4</v>
      </c>
      <c r="D6" s="5">
        <f t="shared" si="0"/>
        <v>1.8380952380952381E-4</v>
      </c>
      <c r="E6" s="5">
        <f t="shared" si="0"/>
        <v>1.4254761904761903E-3</v>
      </c>
      <c r="F6" s="5">
        <f t="shared" si="0"/>
        <v>4.6999999999999999E-4</v>
      </c>
      <c r="G6" s="5">
        <f t="shared" si="0"/>
        <v>4.5928571428571432E-4</v>
      </c>
      <c r="H6" s="5">
        <f t="shared" si="0"/>
        <v>2.156190476190476E-3</v>
      </c>
      <c r="I6" s="5">
        <f t="shared" si="0"/>
        <v>1.7873809523809522E-3</v>
      </c>
      <c r="J6" s="5">
        <f t="shared" si="0"/>
        <v>1.5064285714285715E-3</v>
      </c>
      <c r="K6" s="5">
        <f t="shared" si="0"/>
        <v>1.9445238095238096E-3</v>
      </c>
      <c r="L6" s="5">
        <f t="shared" si="0"/>
        <v>3.552380952380952E-4</v>
      </c>
      <c r="M6" s="5">
        <f t="shared" si="0"/>
        <v>6.6238095238095238E-4</v>
      </c>
      <c r="N6" s="5">
        <f t="shared" si="1"/>
        <v>1.0126190476190476E-3</v>
      </c>
      <c r="O6" s="5">
        <f t="shared" si="1"/>
        <v>3.0242857142857142E-3</v>
      </c>
      <c r="P6" s="5">
        <f t="shared" si="1"/>
        <v>5.3047619047619048E-4</v>
      </c>
      <c r="Q6" s="5">
        <f t="shared" si="1"/>
        <v>4.7976190476190476E-4</v>
      </c>
      <c r="R6" s="5">
        <f t="shared" si="1"/>
        <v>1.4509523809523809E-3</v>
      </c>
      <c r="S6" s="5">
        <f t="shared" si="1"/>
        <v>1.6585714285714285E-3</v>
      </c>
      <c r="T6" s="5">
        <f t="shared" si="1"/>
        <v>3.6428571428571423E-5</v>
      </c>
      <c r="U6" s="5">
        <f t="shared" si="1"/>
        <v>9.5833333333333328E-4</v>
      </c>
      <c r="V6" s="5">
        <f t="shared" si="1"/>
        <v>5.7285714285714286E-4</v>
      </c>
      <c r="W6" s="5">
        <f t="shared" si="1"/>
        <v>1.6069047619047616E-3</v>
      </c>
      <c r="X6" s="5">
        <f t="shared" si="2"/>
        <v>2.2619047619047619E-5</v>
      </c>
      <c r="Y6" s="5">
        <f t="shared" si="2"/>
        <v>6.5666666666666662E-4</v>
      </c>
      <c r="Z6" s="5">
        <f t="shared" si="2"/>
        <v>2.3285714285714286E-4</v>
      </c>
      <c r="AA6" s="5">
        <f t="shared" si="2"/>
        <v>5.6190476190476183E-4</v>
      </c>
      <c r="AB6" s="5">
        <f t="shared" si="2"/>
        <v>3.571428571428571E-5</v>
      </c>
      <c r="AC6" s="5">
        <f t="shared" si="2"/>
        <v>1.7619047619047616E-5</v>
      </c>
      <c r="AD6" s="1"/>
      <c r="AE6" s="1"/>
    </row>
    <row r="7" spans="2:31" x14ac:dyDescent="0.2">
      <c r="B7" s="8">
        <v>2.3809523809523808E-2</v>
      </c>
      <c r="C7" s="5" t="s">
        <v>7</v>
      </c>
      <c r="D7" s="5">
        <f t="shared" si="0"/>
        <v>1.8380952380952381E-4</v>
      </c>
      <c r="E7" s="5">
        <f t="shared" si="0"/>
        <v>1.4254761904761903E-3</v>
      </c>
      <c r="F7" s="5">
        <f t="shared" si="0"/>
        <v>4.6999999999999999E-4</v>
      </c>
      <c r="G7" s="5">
        <f t="shared" si="0"/>
        <v>4.5928571428571432E-4</v>
      </c>
      <c r="H7" s="5">
        <f t="shared" si="0"/>
        <v>2.156190476190476E-3</v>
      </c>
      <c r="I7" s="5">
        <f t="shared" si="0"/>
        <v>1.7873809523809522E-3</v>
      </c>
      <c r="J7" s="5">
        <f t="shared" si="0"/>
        <v>1.5064285714285715E-3</v>
      </c>
      <c r="K7" s="5">
        <f t="shared" si="0"/>
        <v>1.9445238095238096E-3</v>
      </c>
      <c r="L7" s="5">
        <f t="shared" si="0"/>
        <v>3.552380952380952E-4</v>
      </c>
      <c r="M7" s="5">
        <f t="shared" si="0"/>
        <v>6.6238095238095238E-4</v>
      </c>
      <c r="N7" s="5">
        <f t="shared" si="1"/>
        <v>1.0126190476190476E-3</v>
      </c>
      <c r="O7" s="5">
        <f t="shared" si="1"/>
        <v>3.0242857142857142E-3</v>
      </c>
      <c r="P7" s="5">
        <f t="shared" si="1"/>
        <v>5.3047619047619048E-4</v>
      </c>
      <c r="Q7" s="5">
        <f t="shared" si="1"/>
        <v>4.7976190476190476E-4</v>
      </c>
      <c r="R7" s="5">
        <f t="shared" si="1"/>
        <v>1.4509523809523809E-3</v>
      </c>
      <c r="S7" s="5">
        <f t="shared" si="1"/>
        <v>1.6585714285714285E-3</v>
      </c>
      <c r="T7" s="5">
        <f t="shared" si="1"/>
        <v>3.6428571428571423E-5</v>
      </c>
      <c r="U7" s="5">
        <f t="shared" si="1"/>
        <v>9.5833333333333328E-4</v>
      </c>
      <c r="V7" s="5">
        <f t="shared" si="1"/>
        <v>5.7285714285714286E-4</v>
      </c>
      <c r="W7" s="5">
        <f t="shared" si="1"/>
        <v>1.6069047619047616E-3</v>
      </c>
      <c r="X7" s="5">
        <f t="shared" si="2"/>
        <v>2.2619047619047619E-5</v>
      </c>
      <c r="Y7" s="5">
        <f t="shared" si="2"/>
        <v>6.5666666666666662E-4</v>
      </c>
      <c r="Z7" s="5">
        <f t="shared" si="2"/>
        <v>2.3285714285714286E-4</v>
      </c>
      <c r="AA7" s="5">
        <f t="shared" si="2"/>
        <v>5.6190476190476183E-4</v>
      </c>
      <c r="AB7" s="5">
        <f t="shared" si="2"/>
        <v>3.571428571428571E-5</v>
      </c>
      <c r="AC7" s="5">
        <f t="shared" si="2"/>
        <v>1.7619047619047616E-5</v>
      </c>
      <c r="AD7" s="1"/>
      <c r="AE7" s="1"/>
    </row>
    <row r="8" spans="2:31" x14ac:dyDescent="0.2">
      <c r="B8" s="8">
        <v>9.2261904761904767E-2</v>
      </c>
      <c r="C8" s="5" t="s">
        <v>10</v>
      </c>
      <c r="D8" s="5">
        <f t="shared" si="0"/>
        <v>7.1226190476190478E-4</v>
      </c>
      <c r="E8" s="5">
        <f t="shared" si="0"/>
        <v>5.5237202380952382E-3</v>
      </c>
      <c r="F8" s="5">
        <f t="shared" si="0"/>
        <v>1.8212500000000002E-3</v>
      </c>
      <c r="G8" s="5">
        <f t="shared" si="0"/>
        <v>1.779732142857143E-3</v>
      </c>
      <c r="H8" s="5">
        <f t="shared" si="0"/>
        <v>8.3552380952380961E-3</v>
      </c>
      <c r="I8" s="5">
        <f t="shared" si="0"/>
        <v>6.9261011904761909E-3</v>
      </c>
      <c r="J8" s="5">
        <f t="shared" si="0"/>
        <v>5.8374107142857151E-3</v>
      </c>
      <c r="K8" s="5">
        <f t="shared" si="0"/>
        <v>7.5350297619047628E-3</v>
      </c>
      <c r="L8" s="5">
        <f t="shared" si="0"/>
        <v>1.376547619047619E-3</v>
      </c>
      <c r="M8" s="5">
        <f t="shared" si="0"/>
        <v>2.5667261904761909E-3</v>
      </c>
      <c r="N8" s="5">
        <f t="shared" si="1"/>
        <v>3.9238988095238094E-3</v>
      </c>
      <c r="O8" s="5">
        <f t="shared" si="1"/>
        <v>1.1719107142857142E-2</v>
      </c>
      <c r="P8" s="5">
        <f t="shared" si="1"/>
        <v>2.0555952380952383E-3</v>
      </c>
      <c r="Q8" s="5">
        <f t="shared" si="1"/>
        <v>1.8590773809523812E-3</v>
      </c>
      <c r="R8" s="5">
        <f t="shared" si="1"/>
        <v>5.6224404761904762E-3</v>
      </c>
      <c r="S8" s="5">
        <f t="shared" si="1"/>
        <v>6.4269642857142859E-3</v>
      </c>
      <c r="T8" s="5">
        <f t="shared" si="1"/>
        <v>1.4116071428571427E-4</v>
      </c>
      <c r="U8" s="5">
        <f t="shared" si="1"/>
        <v>3.7135416666666671E-3</v>
      </c>
      <c r="V8" s="5">
        <f t="shared" si="1"/>
        <v>2.2198214285714286E-3</v>
      </c>
      <c r="W8" s="5">
        <f t="shared" si="1"/>
        <v>6.2267559523809524E-3</v>
      </c>
      <c r="X8" s="5">
        <f t="shared" si="2"/>
        <v>8.764880952380953E-5</v>
      </c>
      <c r="Y8" s="5">
        <f t="shared" si="2"/>
        <v>2.5445833333333336E-3</v>
      </c>
      <c r="Z8" s="5">
        <f t="shared" si="2"/>
        <v>9.0232142857142865E-4</v>
      </c>
      <c r="AA8" s="5">
        <f t="shared" si="2"/>
        <v>2.1773809523809523E-3</v>
      </c>
      <c r="AB8" s="5">
        <f t="shared" si="2"/>
        <v>1.3839285714285717E-4</v>
      </c>
      <c r="AC8" s="5">
        <f t="shared" si="2"/>
        <v>6.8273809523809533E-5</v>
      </c>
      <c r="AD8" s="1"/>
      <c r="AE8" s="1"/>
    </row>
    <row r="9" spans="2:31" x14ac:dyDescent="0.2">
      <c r="B9" s="8">
        <v>5.3571428571428568E-2</v>
      </c>
      <c r="C9" s="5" t="s">
        <v>2</v>
      </c>
      <c r="D9" s="5">
        <f t="shared" si="0"/>
        <v>4.1357142857142856E-4</v>
      </c>
      <c r="E9" s="5">
        <f t="shared" si="0"/>
        <v>3.2073214285714283E-3</v>
      </c>
      <c r="F9" s="5">
        <f t="shared" si="0"/>
        <v>1.0575000000000001E-3</v>
      </c>
      <c r="G9" s="5">
        <f t="shared" si="0"/>
        <v>1.0333928571428571E-3</v>
      </c>
      <c r="H9" s="5">
        <f t="shared" si="0"/>
        <v>4.8514285714285716E-3</v>
      </c>
      <c r="I9" s="5">
        <f t="shared" si="0"/>
        <v>4.0216071428571427E-3</v>
      </c>
      <c r="J9" s="5">
        <f t="shared" si="0"/>
        <v>3.389464285714286E-3</v>
      </c>
      <c r="K9" s="5">
        <f t="shared" si="0"/>
        <v>4.3751785714285715E-3</v>
      </c>
      <c r="L9" s="5">
        <f t="shared" si="0"/>
        <v>7.9928571428571418E-4</v>
      </c>
      <c r="M9" s="5">
        <f t="shared" si="0"/>
        <v>1.4903571428571429E-3</v>
      </c>
      <c r="N9" s="5">
        <f t="shared" si="1"/>
        <v>2.2783928571428569E-3</v>
      </c>
      <c r="O9" s="5">
        <f t="shared" si="1"/>
        <v>6.8046428571428563E-3</v>
      </c>
      <c r="P9" s="5">
        <f t="shared" si="1"/>
        <v>1.1935714285714286E-3</v>
      </c>
      <c r="Q9" s="5">
        <f t="shared" si="1"/>
        <v>1.0794642857142858E-3</v>
      </c>
      <c r="R9" s="5">
        <f t="shared" si="1"/>
        <v>3.264642857142857E-3</v>
      </c>
      <c r="S9" s="5">
        <f t="shared" si="1"/>
        <v>3.731785714285714E-3</v>
      </c>
      <c r="T9" s="5">
        <f t="shared" si="1"/>
        <v>8.1964285714285703E-5</v>
      </c>
      <c r="U9" s="5">
        <f t="shared" si="1"/>
        <v>2.1562499999999997E-3</v>
      </c>
      <c r="V9" s="5">
        <f t="shared" si="1"/>
        <v>1.2889285714285715E-3</v>
      </c>
      <c r="W9" s="5">
        <f t="shared" si="1"/>
        <v>3.6155357142857139E-3</v>
      </c>
      <c r="X9" s="5">
        <f t="shared" si="2"/>
        <v>5.0892857142857139E-5</v>
      </c>
      <c r="Y9" s="5">
        <f t="shared" si="2"/>
        <v>1.4774999999999999E-3</v>
      </c>
      <c r="Z9" s="5">
        <f t="shared" si="2"/>
        <v>5.2392857142857146E-4</v>
      </c>
      <c r="AA9" s="5">
        <f t="shared" si="2"/>
        <v>1.2642857142857141E-3</v>
      </c>
      <c r="AB9" s="5">
        <f t="shared" si="2"/>
        <v>8.0357142857142853E-5</v>
      </c>
      <c r="AC9" s="5">
        <f t="shared" si="2"/>
        <v>3.9642857142857143E-5</v>
      </c>
      <c r="AD9" s="1"/>
      <c r="AE9" s="1"/>
    </row>
    <row r="10" spans="2:31" x14ac:dyDescent="0.2">
      <c r="B10" s="8">
        <v>4.7619047619047616E-2</v>
      </c>
      <c r="C10" s="5" t="s">
        <v>0</v>
      </c>
      <c r="D10" s="5">
        <f t="shared" si="0"/>
        <v>3.6761904761904761E-4</v>
      </c>
      <c r="E10" s="5">
        <f t="shared" si="0"/>
        <v>2.8509523809523807E-3</v>
      </c>
      <c r="F10" s="5">
        <f t="shared" si="0"/>
        <v>9.3999999999999997E-4</v>
      </c>
      <c r="G10" s="5">
        <f t="shared" si="0"/>
        <v>9.1857142857142864E-4</v>
      </c>
      <c r="H10" s="5">
        <f t="shared" si="0"/>
        <v>4.3123809523809521E-3</v>
      </c>
      <c r="I10" s="5">
        <f t="shared" si="0"/>
        <v>3.5747619047619044E-3</v>
      </c>
      <c r="J10" s="5">
        <f t="shared" si="0"/>
        <v>3.0128571428571431E-3</v>
      </c>
      <c r="K10" s="5">
        <f t="shared" si="0"/>
        <v>3.8890476190476192E-3</v>
      </c>
      <c r="L10" s="5">
        <f t="shared" si="0"/>
        <v>7.1047619047619041E-4</v>
      </c>
      <c r="M10" s="5">
        <f t="shared" si="0"/>
        <v>1.3247619047619048E-3</v>
      </c>
      <c r="N10" s="5">
        <f t="shared" si="1"/>
        <v>2.0252380952380951E-3</v>
      </c>
      <c r="O10" s="5">
        <f t="shared" si="1"/>
        <v>6.0485714285714283E-3</v>
      </c>
      <c r="P10" s="5">
        <f t="shared" si="1"/>
        <v>1.060952380952381E-3</v>
      </c>
      <c r="Q10" s="5">
        <f t="shared" si="1"/>
        <v>9.5952380952380953E-4</v>
      </c>
      <c r="R10" s="5">
        <f t="shared" si="1"/>
        <v>2.9019047619047618E-3</v>
      </c>
      <c r="S10" s="5">
        <f t="shared" si="1"/>
        <v>3.317142857142857E-3</v>
      </c>
      <c r="T10" s="5">
        <f t="shared" si="1"/>
        <v>7.2857142857142847E-5</v>
      </c>
      <c r="U10" s="5">
        <f t="shared" si="1"/>
        <v>1.9166666666666666E-3</v>
      </c>
      <c r="V10" s="5">
        <f t="shared" si="1"/>
        <v>1.1457142857142857E-3</v>
      </c>
      <c r="W10" s="5">
        <f t="shared" si="1"/>
        <v>3.2138095238095233E-3</v>
      </c>
      <c r="X10" s="5">
        <f t="shared" si="2"/>
        <v>4.5238095238095238E-5</v>
      </c>
      <c r="Y10" s="5">
        <f t="shared" si="2"/>
        <v>1.3133333333333332E-3</v>
      </c>
      <c r="Z10" s="5">
        <f t="shared" si="2"/>
        <v>4.6571428571428572E-4</v>
      </c>
      <c r="AA10" s="5">
        <f t="shared" si="2"/>
        <v>1.1238095238095237E-3</v>
      </c>
      <c r="AB10" s="5">
        <f t="shared" si="2"/>
        <v>7.142857142857142E-5</v>
      </c>
      <c r="AC10" s="5">
        <f t="shared" si="2"/>
        <v>3.5238095238095232E-5</v>
      </c>
      <c r="AD10" s="1"/>
      <c r="AE10" s="1"/>
    </row>
    <row r="11" spans="2:31" x14ac:dyDescent="0.2">
      <c r="B11" s="8">
        <v>7.7380952380952384E-2</v>
      </c>
      <c r="C11" s="5" t="s">
        <v>8</v>
      </c>
      <c r="D11" s="5">
        <f t="shared" ref="D11:K11" si="3">$B11*D$2</f>
        <v>5.9738095238095242E-4</v>
      </c>
      <c r="E11" s="5">
        <f t="shared" si="3"/>
        <v>4.6327976190476189E-3</v>
      </c>
      <c r="F11" s="5">
        <f t="shared" si="3"/>
        <v>1.5275E-3</v>
      </c>
      <c r="G11" s="5">
        <f t="shared" si="3"/>
        <v>1.4926785714285717E-3</v>
      </c>
      <c r="H11" s="5">
        <f t="shared" si="3"/>
        <v>7.0076190476190481E-3</v>
      </c>
      <c r="I11" s="5">
        <f t="shared" si="3"/>
        <v>5.8089880952380954E-3</v>
      </c>
      <c r="J11" s="5">
        <f t="shared" si="3"/>
        <v>4.8958928571428582E-3</v>
      </c>
      <c r="K11" s="5">
        <f t="shared" si="3"/>
        <v>6.3197023809523816E-3</v>
      </c>
      <c r="L11" s="5">
        <f t="shared" ref="L11:AC20" si="4">$B11*L$2</f>
        <v>1.1545238095238095E-3</v>
      </c>
      <c r="M11" s="5">
        <f t="shared" si="4"/>
        <v>2.1527380952380956E-3</v>
      </c>
      <c r="N11" s="5">
        <f t="shared" si="4"/>
        <v>3.2910119047619047E-3</v>
      </c>
      <c r="O11" s="5">
        <f t="shared" si="4"/>
        <v>9.8289285714285718E-3</v>
      </c>
      <c r="P11" s="5">
        <f t="shared" si="4"/>
        <v>1.7240476190476192E-3</v>
      </c>
      <c r="Q11" s="5">
        <f t="shared" si="4"/>
        <v>1.5592261904761905E-3</v>
      </c>
      <c r="R11" s="5">
        <f t="shared" si="4"/>
        <v>4.7155952380952383E-3</v>
      </c>
      <c r="S11" s="5">
        <f t="shared" si="4"/>
        <v>5.3903571428571429E-3</v>
      </c>
      <c r="T11" s="5">
        <f t="shared" si="4"/>
        <v>1.1839285714285714E-4</v>
      </c>
      <c r="U11" s="5">
        <f t="shared" si="4"/>
        <v>3.1145833333333334E-3</v>
      </c>
      <c r="V11" s="5">
        <f t="shared" si="4"/>
        <v>1.8617857142857145E-3</v>
      </c>
      <c r="W11" s="5">
        <f t="shared" si="4"/>
        <v>5.222440476190476E-3</v>
      </c>
      <c r="X11" s="5">
        <f t="shared" si="4"/>
        <v>7.3511904761904768E-5</v>
      </c>
      <c r="Y11" s="5">
        <f t="shared" si="4"/>
        <v>2.1341666666666666E-3</v>
      </c>
      <c r="Z11" s="5">
        <f t="shared" si="4"/>
        <v>7.567857142857144E-4</v>
      </c>
      <c r="AA11" s="5">
        <f t="shared" si="4"/>
        <v>1.8261904761904763E-3</v>
      </c>
      <c r="AB11" s="5">
        <f t="shared" si="4"/>
        <v>1.1607142857142858E-4</v>
      </c>
      <c r="AC11" s="5">
        <f t="shared" si="4"/>
        <v>5.7261904761904766E-5</v>
      </c>
      <c r="AD11" s="1"/>
      <c r="AE11" s="1"/>
    </row>
    <row r="12" spans="2:31" x14ac:dyDescent="0.2">
      <c r="B12" s="8">
        <v>1.7857142857142856E-2</v>
      </c>
      <c r="C12" s="5" t="s">
        <v>17</v>
      </c>
      <c r="D12" s="5">
        <f t="shared" ref="D12:J21" si="5">$B12*D$2</f>
        <v>1.3785714285714285E-4</v>
      </c>
      <c r="E12" s="5">
        <f t="shared" si="5"/>
        <v>1.0691071428571427E-3</v>
      </c>
      <c r="F12" s="5">
        <f t="shared" si="5"/>
        <v>3.525E-4</v>
      </c>
      <c r="G12" s="5">
        <f t="shared" si="5"/>
        <v>3.4446428571428573E-4</v>
      </c>
      <c r="H12" s="5">
        <f t="shared" si="5"/>
        <v>1.6171428571428571E-3</v>
      </c>
      <c r="I12" s="5">
        <f t="shared" si="5"/>
        <v>1.3405357142857142E-3</v>
      </c>
      <c r="J12" s="5">
        <f t="shared" si="5"/>
        <v>1.1298214285714286E-3</v>
      </c>
      <c r="K12" s="5">
        <f t="shared" ref="K12:W29" si="6">$B12*K$2</f>
        <v>1.4583928571428571E-3</v>
      </c>
      <c r="L12" s="5">
        <f t="shared" si="4"/>
        <v>2.6642857142857138E-4</v>
      </c>
      <c r="M12" s="5">
        <f t="shared" si="4"/>
        <v>4.9678571428571426E-4</v>
      </c>
      <c r="N12" s="5">
        <f t="shared" si="4"/>
        <v>7.5946428571428562E-4</v>
      </c>
      <c r="O12" s="5">
        <f t="shared" si="4"/>
        <v>2.2682142857142853E-3</v>
      </c>
      <c r="P12" s="5">
        <f t="shared" si="4"/>
        <v>3.9785714285714283E-4</v>
      </c>
      <c r="Q12" s="5">
        <f t="shared" si="4"/>
        <v>3.5982142857142859E-4</v>
      </c>
      <c r="R12" s="5">
        <f t="shared" si="4"/>
        <v>1.0882142857142857E-3</v>
      </c>
      <c r="S12" s="5">
        <f t="shared" si="4"/>
        <v>1.2439285714285714E-3</v>
      </c>
      <c r="T12" s="5">
        <f t="shared" si="4"/>
        <v>2.7321428571428568E-5</v>
      </c>
      <c r="U12" s="5">
        <f t="shared" si="4"/>
        <v>7.1874999999999999E-4</v>
      </c>
      <c r="V12" s="5">
        <f t="shared" si="4"/>
        <v>4.2964285714285717E-4</v>
      </c>
      <c r="W12" s="5">
        <f t="shared" si="4"/>
        <v>1.2051785714285712E-3</v>
      </c>
      <c r="X12" s="5">
        <f t="shared" si="4"/>
        <v>1.6964285714285712E-5</v>
      </c>
      <c r="Y12" s="5">
        <f t="shared" si="4"/>
        <v>4.9249999999999999E-4</v>
      </c>
      <c r="Z12" s="5">
        <f t="shared" si="4"/>
        <v>1.7464285714285715E-4</v>
      </c>
      <c r="AA12" s="5">
        <f t="shared" si="4"/>
        <v>4.214285714285714E-4</v>
      </c>
      <c r="AB12" s="5">
        <f t="shared" si="4"/>
        <v>2.6785714285714284E-5</v>
      </c>
      <c r="AC12" s="5">
        <f t="shared" si="4"/>
        <v>1.3214285714285714E-5</v>
      </c>
      <c r="AD12" s="1"/>
      <c r="AE12" s="1"/>
    </row>
    <row r="13" spans="2:31" x14ac:dyDescent="0.2">
      <c r="B13" s="8">
        <v>2.6785714285714284E-2</v>
      </c>
      <c r="C13" s="5" t="s">
        <v>18</v>
      </c>
      <c r="D13" s="5">
        <f t="shared" si="5"/>
        <v>2.0678571428571428E-4</v>
      </c>
      <c r="E13" s="5">
        <f t="shared" si="5"/>
        <v>1.6036607142857142E-3</v>
      </c>
      <c r="F13" s="5">
        <f t="shared" si="5"/>
        <v>5.2875000000000003E-4</v>
      </c>
      <c r="G13" s="5">
        <f t="shared" si="5"/>
        <v>5.1669642857142854E-4</v>
      </c>
      <c r="H13" s="5">
        <f t="shared" si="5"/>
        <v>2.4257142857142858E-3</v>
      </c>
      <c r="I13" s="5">
        <f t="shared" si="5"/>
        <v>2.0108035714285714E-3</v>
      </c>
      <c r="J13" s="5">
        <f t="shared" si="5"/>
        <v>1.694732142857143E-3</v>
      </c>
      <c r="K13" s="5">
        <f t="shared" si="6"/>
        <v>2.1875892857142858E-3</v>
      </c>
      <c r="L13" s="5">
        <f t="shared" si="4"/>
        <v>3.9964285714285709E-4</v>
      </c>
      <c r="M13" s="5">
        <f t="shared" si="4"/>
        <v>7.4517857142857144E-4</v>
      </c>
      <c r="N13" s="5">
        <f t="shared" si="4"/>
        <v>1.1391964285714284E-3</v>
      </c>
      <c r="O13" s="5">
        <f t="shared" si="4"/>
        <v>3.4023214285714282E-3</v>
      </c>
      <c r="P13" s="5">
        <f t="shared" si="4"/>
        <v>5.967857142857143E-4</v>
      </c>
      <c r="Q13" s="5">
        <f t="shared" si="4"/>
        <v>5.3973214285714291E-4</v>
      </c>
      <c r="R13" s="5">
        <f t="shared" si="4"/>
        <v>1.6323214285714285E-3</v>
      </c>
      <c r="S13" s="5">
        <f t="shared" si="4"/>
        <v>1.865892857142857E-3</v>
      </c>
      <c r="T13" s="5">
        <f t="shared" si="4"/>
        <v>4.0982142857142851E-5</v>
      </c>
      <c r="U13" s="5">
        <f t="shared" si="4"/>
        <v>1.0781249999999999E-3</v>
      </c>
      <c r="V13" s="5">
        <f t="shared" si="4"/>
        <v>6.4446428571428576E-4</v>
      </c>
      <c r="W13" s="5">
        <f t="shared" si="4"/>
        <v>1.807767857142857E-3</v>
      </c>
      <c r="X13" s="5">
        <f t="shared" si="4"/>
        <v>2.5446428571428569E-5</v>
      </c>
      <c r="Y13" s="5">
        <f t="shared" si="4"/>
        <v>7.3874999999999993E-4</v>
      </c>
      <c r="Z13" s="5">
        <f t="shared" si="4"/>
        <v>2.6196428571428573E-4</v>
      </c>
      <c r="AA13" s="5">
        <f t="shared" si="4"/>
        <v>6.3214285714285705E-4</v>
      </c>
      <c r="AB13" s="5">
        <f t="shared" si="4"/>
        <v>4.0178571428571427E-5</v>
      </c>
      <c r="AC13" s="5">
        <f t="shared" si="4"/>
        <v>1.9821428571428572E-5</v>
      </c>
      <c r="AD13" s="1"/>
      <c r="AE13" s="1"/>
    </row>
    <row r="14" spans="2:31" x14ac:dyDescent="0.2">
      <c r="B14" s="8">
        <v>5.0595238095238096E-2</v>
      </c>
      <c r="C14" s="5" t="s">
        <v>5</v>
      </c>
      <c r="D14" s="5">
        <f t="shared" si="5"/>
        <v>3.9059523809523812E-4</v>
      </c>
      <c r="E14" s="5">
        <f t="shared" si="5"/>
        <v>3.0291369047619047E-3</v>
      </c>
      <c r="F14" s="5">
        <f t="shared" si="5"/>
        <v>9.9875000000000007E-4</v>
      </c>
      <c r="G14" s="5">
        <f t="shared" si="5"/>
        <v>9.7598214285714291E-4</v>
      </c>
      <c r="H14" s="5">
        <f t="shared" si="5"/>
        <v>4.5819047619047619E-3</v>
      </c>
      <c r="I14" s="5">
        <f t="shared" si="5"/>
        <v>3.7981845238095236E-3</v>
      </c>
      <c r="J14" s="5">
        <f t="shared" si="5"/>
        <v>3.2011607142857145E-3</v>
      </c>
      <c r="K14" s="5">
        <f t="shared" si="6"/>
        <v>4.1321130952380958E-3</v>
      </c>
      <c r="L14" s="5">
        <f t="shared" si="4"/>
        <v>7.548809523809524E-4</v>
      </c>
      <c r="M14" s="5">
        <f t="shared" si="4"/>
        <v>1.4075595238095238E-3</v>
      </c>
      <c r="N14" s="5">
        <f t="shared" si="4"/>
        <v>2.151815476190476E-3</v>
      </c>
      <c r="O14" s="5">
        <f t="shared" si="4"/>
        <v>6.4266071428571428E-3</v>
      </c>
      <c r="P14" s="5">
        <f t="shared" si="4"/>
        <v>1.1272619047619048E-3</v>
      </c>
      <c r="Q14" s="5">
        <f t="shared" si="4"/>
        <v>1.0194940476190477E-3</v>
      </c>
      <c r="R14" s="5">
        <f t="shared" si="4"/>
        <v>3.0832738095238096E-3</v>
      </c>
      <c r="S14" s="5">
        <f t="shared" si="4"/>
        <v>3.5244642857142857E-3</v>
      </c>
      <c r="T14" s="5">
        <f t="shared" si="4"/>
        <v>7.7410714285714282E-5</v>
      </c>
      <c r="U14" s="5">
        <f t="shared" si="4"/>
        <v>2.0364583333333333E-3</v>
      </c>
      <c r="V14" s="5">
        <f t="shared" si="4"/>
        <v>1.2173214285714287E-3</v>
      </c>
      <c r="W14" s="5">
        <f t="shared" si="4"/>
        <v>3.4146726190476188E-3</v>
      </c>
      <c r="X14" s="5">
        <f t="shared" si="4"/>
        <v>4.8065476190476192E-5</v>
      </c>
      <c r="Y14" s="5">
        <f t="shared" si="4"/>
        <v>1.3954166666666668E-3</v>
      </c>
      <c r="Z14" s="5">
        <f t="shared" si="4"/>
        <v>4.9482142857142856E-4</v>
      </c>
      <c r="AA14" s="5">
        <f t="shared" si="4"/>
        <v>1.1940476190476191E-3</v>
      </c>
      <c r="AB14" s="5">
        <f t="shared" si="4"/>
        <v>7.589285714285715E-5</v>
      </c>
      <c r="AC14" s="5">
        <f t="shared" si="4"/>
        <v>3.7440476190476191E-5</v>
      </c>
      <c r="AD14" s="1"/>
      <c r="AE14" s="1"/>
    </row>
    <row r="15" spans="2:31" x14ac:dyDescent="0.2">
      <c r="B15" s="8">
        <v>0.14880952380952381</v>
      </c>
      <c r="C15" s="5" t="s">
        <v>6</v>
      </c>
      <c r="D15" s="5">
        <f t="shared" si="5"/>
        <v>1.148809523809524E-3</v>
      </c>
      <c r="E15" s="5">
        <f t="shared" si="5"/>
        <v>8.9092261904761896E-3</v>
      </c>
      <c r="F15" s="5">
        <f t="shared" si="5"/>
        <v>2.9375E-3</v>
      </c>
      <c r="G15" s="5">
        <f t="shared" si="5"/>
        <v>2.8705357142857144E-3</v>
      </c>
      <c r="H15" s="5">
        <f t="shared" si="5"/>
        <v>1.3476190476190477E-2</v>
      </c>
      <c r="I15" s="5">
        <f t="shared" si="5"/>
        <v>1.1171130952380951E-2</v>
      </c>
      <c r="J15" s="5">
        <f t="shared" si="5"/>
        <v>9.4151785714285726E-3</v>
      </c>
      <c r="K15" s="5">
        <f t="shared" si="6"/>
        <v>1.215327380952381E-2</v>
      </c>
      <c r="L15" s="5">
        <f t="shared" si="4"/>
        <v>2.220238095238095E-3</v>
      </c>
      <c r="M15" s="5">
        <f t="shared" si="4"/>
        <v>4.1398809523809522E-3</v>
      </c>
      <c r="N15" s="5">
        <f t="shared" si="4"/>
        <v>6.3288690476190476E-3</v>
      </c>
      <c r="O15" s="5">
        <f t="shared" si="4"/>
        <v>1.8901785714285715E-2</v>
      </c>
      <c r="P15" s="5">
        <f t="shared" si="4"/>
        <v>3.3154761904761907E-3</v>
      </c>
      <c r="Q15" s="5">
        <f t="shared" si="4"/>
        <v>2.9985119047619049E-3</v>
      </c>
      <c r="R15" s="5">
        <f t="shared" si="4"/>
        <v>9.0684523809523819E-3</v>
      </c>
      <c r="S15" s="5">
        <f t="shared" si="4"/>
        <v>1.0366071428571428E-2</v>
      </c>
      <c r="T15" s="5">
        <f t="shared" si="4"/>
        <v>2.2767857142857141E-4</v>
      </c>
      <c r="U15" s="5">
        <f t="shared" si="4"/>
        <v>5.9895833333333337E-3</v>
      </c>
      <c r="V15" s="5">
        <f t="shared" si="4"/>
        <v>3.5803571428571429E-3</v>
      </c>
      <c r="W15" s="5">
        <f t="shared" si="4"/>
        <v>1.0043154761904762E-2</v>
      </c>
      <c r="X15" s="5">
        <f t="shared" si="4"/>
        <v>1.4136904761904762E-4</v>
      </c>
      <c r="Y15" s="5">
        <f t="shared" si="4"/>
        <v>4.1041666666666666E-3</v>
      </c>
      <c r="Z15" s="5">
        <f t="shared" si="4"/>
        <v>1.455357142857143E-3</v>
      </c>
      <c r="AA15" s="5">
        <f t="shared" si="4"/>
        <v>3.5119047619047617E-3</v>
      </c>
      <c r="AB15" s="5">
        <f t="shared" si="4"/>
        <v>2.2321428571428571E-4</v>
      </c>
      <c r="AC15" s="5">
        <f t="shared" si="4"/>
        <v>1.1011904761904761E-4</v>
      </c>
      <c r="AD15" s="1"/>
      <c r="AE15" s="1"/>
    </row>
    <row r="16" spans="2:31" x14ac:dyDescent="0.2">
      <c r="B16" s="8">
        <v>2.3809523809523808E-2</v>
      </c>
      <c r="C16" s="5" t="s">
        <v>15</v>
      </c>
      <c r="D16" s="5">
        <f t="shared" si="5"/>
        <v>1.8380952380952381E-4</v>
      </c>
      <c r="E16" s="5">
        <f t="shared" si="5"/>
        <v>1.4254761904761903E-3</v>
      </c>
      <c r="F16" s="5">
        <f t="shared" si="5"/>
        <v>4.6999999999999999E-4</v>
      </c>
      <c r="G16" s="5">
        <f t="shared" si="5"/>
        <v>4.5928571428571432E-4</v>
      </c>
      <c r="H16" s="5">
        <f t="shared" si="5"/>
        <v>2.156190476190476E-3</v>
      </c>
      <c r="I16" s="5">
        <f t="shared" si="5"/>
        <v>1.7873809523809522E-3</v>
      </c>
      <c r="J16" s="5">
        <f t="shared" si="5"/>
        <v>1.5064285714285715E-3</v>
      </c>
      <c r="K16" s="5">
        <f t="shared" si="6"/>
        <v>1.9445238095238096E-3</v>
      </c>
      <c r="L16" s="5">
        <f t="shared" si="4"/>
        <v>3.552380952380952E-4</v>
      </c>
      <c r="M16" s="5">
        <f t="shared" si="4"/>
        <v>6.6238095238095238E-4</v>
      </c>
      <c r="N16" s="5">
        <f t="shared" si="4"/>
        <v>1.0126190476190476E-3</v>
      </c>
      <c r="O16" s="5">
        <f t="shared" si="4"/>
        <v>3.0242857142857142E-3</v>
      </c>
      <c r="P16" s="5">
        <f t="shared" si="4"/>
        <v>5.3047619047619048E-4</v>
      </c>
      <c r="Q16" s="5">
        <f t="shared" si="4"/>
        <v>4.7976190476190476E-4</v>
      </c>
      <c r="R16" s="5">
        <f t="shared" si="4"/>
        <v>1.4509523809523809E-3</v>
      </c>
      <c r="S16" s="5">
        <f t="shared" si="4"/>
        <v>1.6585714285714285E-3</v>
      </c>
      <c r="T16" s="5">
        <f t="shared" si="4"/>
        <v>3.6428571428571423E-5</v>
      </c>
      <c r="U16" s="5">
        <f t="shared" si="4"/>
        <v>9.5833333333333328E-4</v>
      </c>
      <c r="V16" s="5">
        <f t="shared" si="4"/>
        <v>5.7285714285714286E-4</v>
      </c>
      <c r="W16" s="5">
        <f t="shared" si="4"/>
        <v>1.6069047619047616E-3</v>
      </c>
      <c r="X16" s="5">
        <f t="shared" si="4"/>
        <v>2.2619047619047619E-5</v>
      </c>
      <c r="Y16" s="5">
        <f t="shared" si="4"/>
        <v>6.5666666666666662E-4</v>
      </c>
      <c r="Z16" s="5">
        <f t="shared" si="4"/>
        <v>2.3285714285714286E-4</v>
      </c>
      <c r="AA16" s="5">
        <f t="shared" si="4"/>
        <v>5.6190476190476183E-4</v>
      </c>
      <c r="AB16" s="5">
        <f t="shared" si="4"/>
        <v>3.571428571428571E-5</v>
      </c>
      <c r="AC16" s="5">
        <f t="shared" si="4"/>
        <v>1.7619047619047616E-5</v>
      </c>
      <c r="AD16" s="1"/>
      <c r="AE16" s="1"/>
    </row>
    <row r="17" spans="1:35" x14ac:dyDescent="0.2">
      <c r="B17" s="8">
        <v>1.7857142857142856E-2</v>
      </c>
      <c r="C17" s="5" t="s">
        <v>16</v>
      </c>
      <c r="D17" s="5">
        <f t="shared" si="5"/>
        <v>1.3785714285714285E-4</v>
      </c>
      <c r="E17" s="5">
        <f t="shared" si="5"/>
        <v>1.0691071428571427E-3</v>
      </c>
      <c r="F17" s="5">
        <f t="shared" si="5"/>
        <v>3.525E-4</v>
      </c>
      <c r="G17" s="5">
        <f t="shared" si="5"/>
        <v>3.4446428571428573E-4</v>
      </c>
      <c r="H17" s="5">
        <f t="shared" si="5"/>
        <v>1.6171428571428571E-3</v>
      </c>
      <c r="I17" s="5">
        <f t="shared" si="5"/>
        <v>1.3405357142857142E-3</v>
      </c>
      <c r="J17" s="5">
        <f t="shared" si="5"/>
        <v>1.1298214285714286E-3</v>
      </c>
      <c r="K17" s="5">
        <f t="shared" si="6"/>
        <v>1.4583928571428571E-3</v>
      </c>
      <c r="L17" s="5">
        <f t="shared" si="4"/>
        <v>2.6642857142857138E-4</v>
      </c>
      <c r="M17" s="5">
        <f t="shared" si="4"/>
        <v>4.9678571428571426E-4</v>
      </c>
      <c r="N17" s="5">
        <f t="shared" si="4"/>
        <v>7.5946428571428562E-4</v>
      </c>
      <c r="O17" s="5">
        <f t="shared" si="4"/>
        <v>2.2682142857142853E-3</v>
      </c>
      <c r="P17" s="5">
        <f t="shared" si="4"/>
        <v>3.9785714285714283E-4</v>
      </c>
      <c r="Q17" s="5">
        <f t="shared" si="4"/>
        <v>3.5982142857142859E-4</v>
      </c>
      <c r="R17" s="5">
        <f t="shared" si="4"/>
        <v>1.0882142857142857E-3</v>
      </c>
      <c r="S17" s="5">
        <f t="shared" si="4"/>
        <v>1.2439285714285714E-3</v>
      </c>
      <c r="T17" s="5">
        <f t="shared" si="4"/>
        <v>2.7321428571428568E-5</v>
      </c>
      <c r="U17" s="5">
        <f t="shared" si="4"/>
        <v>7.1874999999999999E-4</v>
      </c>
      <c r="V17" s="5">
        <f t="shared" si="4"/>
        <v>4.2964285714285717E-4</v>
      </c>
      <c r="W17" s="5">
        <f t="shared" si="4"/>
        <v>1.2051785714285712E-3</v>
      </c>
      <c r="X17" s="5">
        <f t="shared" si="4"/>
        <v>1.6964285714285712E-5</v>
      </c>
      <c r="Y17" s="5">
        <f t="shared" si="4"/>
        <v>4.9249999999999999E-4</v>
      </c>
      <c r="Z17" s="5">
        <f t="shared" si="4"/>
        <v>1.7464285714285715E-4</v>
      </c>
      <c r="AA17" s="5">
        <f t="shared" si="4"/>
        <v>4.214285714285714E-4</v>
      </c>
      <c r="AB17" s="5">
        <f t="shared" si="4"/>
        <v>2.6785714285714284E-5</v>
      </c>
      <c r="AC17" s="5">
        <f t="shared" si="4"/>
        <v>1.3214285714285714E-5</v>
      </c>
      <c r="AD17" s="1"/>
      <c r="AE17" s="1"/>
    </row>
    <row r="18" spans="1:35" x14ac:dyDescent="0.2">
      <c r="B18" s="8">
        <v>6.5476190476190479E-2</v>
      </c>
      <c r="C18" s="5" t="s">
        <v>11</v>
      </c>
      <c r="D18" s="5">
        <f t="shared" si="5"/>
        <v>5.0547619047619052E-4</v>
      </c>
      <c r="E18" s="5">
        <f t="shared" si="5"/>
        <v>3.9200595238095236E-3</v>
      </c>
      <c r="F18" s="5">
        <f t="shared" si="5"/>
        <v>1.2925E-3</v>
      </c>
      <c r="G18" s="5">
        <f t="shared" si="5"/>
        <v>1.2630357142857144E-3</v>
      </c>
      <c r="H18" s="5">
        <f t="shared" si="5"/>
        <v>5.9295238095238099E-3</v>
      </c>
      <c r="I18" s="5">
        <f t="shared" si="5"/>
        <v>4.9152976190476195E-3</v>
      </c>
      <c r="J18" s="5">
        <f t="shared" si="5"/>
        <v>4.1426785714285723E-3</v>
      </c>
      <c r="K18" s="5">
        <f t="shared" si="6"/>
        <v>5.347440476190477E-3</v>
      </c>
      <c r="L18" s="5">
        <f t="shared" si="4"/>
        <v>9.7690476190476195E-4</v>
      </c>
      <c r="M18" s="5">
        <f t="shared" si="4"/>
        <v>1.8215476190476191E-3</v>
      </c>
      <c r="N18" s="5">
        <f t="shared" si="4"/>
        <v>2.7847023809523812E-3</v>
      </c>
      <c r="O18" s="5">
        <f t="shared" si="4"/>
        <v>8.3167857142857141E-3</v>
      </c>
      <c r="P18" s="5">
        <f t="shared" si="4"/>
        <v>1.4588095238095239E-3</v>
      </c>
      <c r="Q18" s="5">
        <f t="shared" si="4"/>
        <v>1.3193452380952382E-3</v>
      </c>
      <c r="R18" s="5">
        <f t="shared" si="4"/>
        <v>3.9901190476190479E-3</v>
      </c>
      <c r="S18" s="5">
        <f t="shared" si="4"/>
        <v>4.5610714285714291E-3</v>
      </c>
      <c r="T18" s="5">
        <f t="shared" si="4"/>
        <v>1.0017857142857143E-4</v>
      </c>
      <c r="U18" s="5">
        <f t="shared" si="4"/>
        <v>2.635416666666667E-3</v>
      </c>
      <c r="V18" s="5">
        <f t="shared" si="4"/>
        <v>1.5753571428571431E-3</v>
      </c>
      <c r="W18" s="5">
        <f t="shared" si="4"/>
        <v>4.4189880952380948E-3</v>
      </c>
      <c r="X18" s="5">
        <f t="shared" si="4"/>
        <v>6.2202380952380954E-5</v>
      </c>
      <c r="Y18" s="5">
        <f t="shared" si="4"/>
        <v>1.8058333333333336E-3</v>
      </c>
      <c r="Z18" s="5">
        <f t="shared" si="4"/>
        <v>6.4035714285714293E-4</v>
      </c>
      <c r="AA18" s="5">
        <f t="shared" si="4"/>
        <v>1.5452380952380952E-3</v>
      </c>
      <c r="AB18" s="5">
        <f t="shared" si="4"/>
        <v>9.8214285714285718E-5</v>
      </c>
      <c r="AC18" s="5">
        <f t="shared" si="4"/>
        <v>4.8452380952380951E-5</v>
      </c>
      <c r="AD18" s="1"/>
      <c r="AE18" s="1"/>
    </row>
    <row r="19" spans="1:35" x14ac:dyDescent="0.2">
      <c r="B19" s="8">
        <v>6.25E-2</v>
      </c>
      <c r="C19" s="5" t="s">
        <v>13</v>
      </c>
      <c r="D19" s="5">
        <f t="shared" si="5"/>
        <v>4.8250000000000002E-4</v>
      </c>
      <c r="E19" s="5">
        <f t="shared" si="5"/>
        <v>3.741875E-3</v>
      </c>
      <c r="F19" s="5">
        <f t="shared" si="5"/>
        <v>1.23375E-3</v>
      </c>
      <c r="G19" s="5">
        <f t="shared" si="5"/>
        <v>1.2056250000000001E-3</v>
      </c>
      <c r="H19" s="5">
        <f t="shared" si="5"/>
        <v>5.6600000000000001E-3</v>
      </c>
      <c r="I19" s="5">
        <f t="shared" si="5"/>
        <v>4.6918749999999999E-3</v>
      </c>
      <c r="J19" s="5">
        <f t="shared" si="5"/>
        <v>3.9543750000000004E-3</v>
      </c>
      <c r="K19" s="5">
        <f t="shared" si="6"/>
        <v>5.1043750000000004E-3</v>
      </c>
      <c r="L19" s="5">
        <f t="shared" si="4"/>
        <v>9.3249999999999995E-4</v>
      </c>
      <c r="M19" s="5">
        <f t="shared" si="4"/>
        <v>1.7387500000000001E-3</v>
      </c>
      <c r="N19" s="5">
        <f t="shared" si="4"/>
        <v>2.6581249999999999E-3</v>
      </c>
      <c r="O19" s="5">
        <f t="shared" si="4"/>
        <v>7.9387499999999996E-3</v>
      </c>
      <c r="P19" s="5">
        <f t="shared" si="4"/>
        <v>1.3925000000000001E-3</v>
      </c>
      <c r="Q19" s="5">
        <f t="shared" si="4"/>
        <v>1.2593750000000001E-3</v>
      </c>
      <c r="R19" s="5">
        <f t="shared" si="4"/>
        <v>3.8087500000000001E-3</v>
      </c>
      <c r="S19" s="5">
        <f t="shared" si="4"/>
        <v>4.35375E-3</v>
      </c>
      <c r="T19" s="5">
        <f t="shared" si="4"/>
        <v>9.5624999999999993E-5</v>
      </c>
      <c r="U19" s="5">
        <f t="shared" si="4"/>
        <v>2.5156250000000001E-3</v>
      </c>
      <c r="V19" s="5">
        <f t="shared" si="4"/>
        <v>1.5037500000000001E-3</v>
      </c>
      <c r="W19" s="5">
        <f t="shared" si="4"/>
        <v>4.2181249999999997E-3</v>
      </c>
      <c r="X19" s="5">
        <f t="shared" si="4"/>
        <v>5.9375E-5</v>
      </c>
      <c r="Y19" s="5">
        <f t="shared" si="4"/>
        <v>1.72375E-3</v>
      </c>
      <c r="Z19" s="5">
        <f t="shared" si="4"/>
        <v>6.1125000000000003E-4</v>
      </c>
      <c r="AA19" s="5">
        <f t="shared" si="4"/>
        <v>1.475E-3</v>
      </c>
      <c r="AB19" s="5">
        <f t="shared" si="4"/>
        <v>9.3750000000000002E-5</v>
      </c>
      <c r="AC19" s="5">
        <f t="shared" si="4"/>
        <v>4.6249999999999999E-5</v>
      </c>
      <c r="AD19" s="1"/>
      <c r="AE19" s="1"/>
    </row>
    <row r="20" spans="1:35" x14ac:dyDescent="0.2">
      <c r="B20" s="8">
        <v>0</v>
      </c>
      <c r="C20" s="5" t="s">
        <v>24</v>
      </c>
      <c r="D20" s="5">
        <f t="shared" si="5"/>
        <v>0</v>
      </c>
      <c r="E20" s="5">
        <f t="shared" si="5"/>
        <v>0</v>
      </c>
      <c r="F20" s="5">
        <f t="shared" si="5"/>
        <v>0</v>
      </c>
      <c r="G20" s="5">
        <f t="shared" si="5"/>
        <v>0</v>
      </c>
      <c r="H20" s="5">
        <f t="shared" si="5"/>
        <v>0</v>
      </c>
      <c r="I20" s="5">
        <f t="shared" si="5"/>
        <v>0</v>
      </c>
      <c r="J20" s="5">
        <f t="shared" si="5"/>
        <v>0</v>
      </c>
      <c r="K20" s="5">
        <f t="shared" si="6"/>
        <v>0</v>
      </c>
      <c r="L20" s="5">
        <f t="shared" si="4"/>
        <v>0</v>
      </c>
      <c r="M20" s="5">
        <f t="shared" si="4"/>
        <v>0</v>
      </c>
      <c r="N20" s="5">
        <f t="shared" si="4"/>
        <v>0</v>
      </c>
      <c r="O20" s="5">
        <f t="shared" si="4"/>
        <v>0</v>
      </c>
      <c r="P20" s="5">
        <f t="shared" si="4"/>
        <v>0</v>
      </c>
      <c r="Q20" s="5">
        <f t="shared" si="4"/>
        <v>0</v>
      </c>
      <c r="R20" s="5">
        <f t="shared" si="4"/>
        <v>0</v>
      </c>
      <c r="S20" s="5">
        <f t="shared" si="4"/>
        <v>0</v>
      </c>
      <c r="T20" s="5">
        <f t="shared" si="4"/>
        <v>0</v>
      </c>
      <c r="U20" s="5">
        <f t="shared" si="4"/>
        <v>0</v>
      </c>
      <c r="V20" s="5">
        <f t="shared" si="4"/>
        <v>0</v>
      </c>
      <c r="W20" s="5">
        <f t="shared" si="4"/>
        <v>0</v>
      </c>
      <c r="X20" s="5">
        <f t="shared" si="4"/>
        <v>0</v>
      </c>
      <c r="Y20" s="5">
        <f t="shared" si="4"/>
        <v>0</v>
      </c>
      <c r="Z20" s="5">
        <f t="shared" si="4"/>
        <v>0</v>
      </c>
      <c r="AA20" s="5">
        <f t="shared" si="4"/>
        <v>0</v>
      </c>
      <c r="AB20" s="5">
        <f t="shared" si="4"/>
        <v>0</v>
      </c>
      <c r="AC20" s="5">
        <f t="shared" si="4"/>
        <v>0</v>
      </c>
      <c r="AD20" s="1"/>
      <c r="AE20" s="1"/>
    </row>
    <row r="21" spans="1:35" x14ac:dyDescent="0.2">
      <c r="B21" s="8">
        <v>4.7619047619047616E-2</v>
      </c>
      <c r="C21" s="5" t="s">
        <v>1</v>
      </c>
      <c r="D21" s="5">
        <f t="shared" si="5"/>
        <v>3.6761904761904761E-4</v>
      </c>
      <c r="E21" s="5">
        <f t="shared" si="5"/>
        <v>2.8509523809523807E-3</v>
      </c>
      <c r="F21" s="5">
        <f t="shared" si="5"/>
        <v>9.3999999999999997E-4</v>
      </c>
      <c r="G21" s="5">
        <f t="shared" si="5"/>
        <v>9.1857142857142864E-4</v>
      </c>
      <c r="H21" s="5">
        <f t="shared" si="5"/>
        <v>4.3123809523809521E-3</v>
      </c>
      <c r="I21" s="5">
        <f t="shared" si="5"/>
        <v>3.5747619047619044E-3</v>
      </c>
      <c r="J21" s="5">
        <f t="shared" si="5"/>
        <v>3.0128571428571431E-3</v>
      </c>
      <c r="K21" s="5">
        <f t="shared" si="6"/>
        <v>3.8890476190476192E-3</v>
      </c>
      <c r="L21" s="5">
        <f t="shared" si="6"/>
        <v>7.1047619047619041E-4</v>
      </c>
      <c r="M21" s="5">
        <f t="shared" si="6"/>
        <v>1.3247619047619048E-3</v>
      </c>
      <c r="N21" s="5">
        <f t="shared" si="6"/>
        <v>2.0252380952380951E-3</v>
      </c>
      <c r="O21" s="5">
        <f t="shared" si="6"/>
        <v>6.0485714285714283E-3</v>
      </c>
      <c r="P21" s="5">
        <f t="shared" si="6"/>
        <v>1.060952380952381E-3</v>
      </c>
      <c r="Q21" s="5">
        <f t="shared" si="6"/>
        <v>9.5952380952380953E-4</v>
      </c>
      <c r="R21" s="5">
        <f t="shared" si="6"/>
        <v>2.9019047619047618E-3</v>
      </c>
      <c r="S21" s="5">
        <f t="shared" si="6"/>
        <v>3.317142857142857E-3</v>
      </c>
      <c r="T21" s="5">
        <f t="shared" si="6"/>
        <v>7.2857142857142847E-5</v>
      </c>
      <c r="U21" s="5">
        <f t="shared" si="6"/>
        <v>1.9166666666666666E-3</v>
      </c>
      <c r="V21" s="5">
        <f t="shared" si="6"/>
        <v>1.1457142857142857E-3</v>
      </c>
      <c r="W21" s="5">
        <f t="shared" si="6"/>
        <v>3.2138095238095233E-3</v>
      </c>
      <c r="X21" s="5">
        <f t="shared" ref="X21:Z29" si="7">$B21*X$2</f>
        <v>4.5238095238095238E-5</v>
      </c>
      <c r="Y21" s="5">
        <f t="shared" si="7"/>
        <v>1.3133333333333332E-3</v>
      </c>
      <c r="Z21" s="5">
        <f t="shared" si="7"/>
        <v>4.6571428571428572E-4</v>
      </c>
      <c r="AA21" s="5">
        <f t="shared" ref="AA21:AC29" si="8">$B21*AA$2</f>
        <v>1.1238095238095237E-3</v>
      </c>
      <c r="AB21" s="5">
        <f t="shared" si="8"/>
        <v>7.142857142857142E-5</v>
      </c>
      <c r="AC21" s="5">
        <f t="shared" si="8"/>
        <v>3.5238095238095232E-5</v>
      </c>
      <c r="AD21" s="1"/>
      <c r="AE21" s="1"/>
    </row>
    <row r="22" spans="1:35" x14ac:dyDescent="0.2">
      <c r="B22" s="8">
        <v>3.5714285714285712E-2</v>
      </c>
      <c r="C22" s="5" t="s">
        <v>12</v>
      </c>
      <c r="D22" s="5">
        <f t="shared" ref="D22:J29" si="9">$B22*D$2</f>
        <v>2.7571428571428571E-4</v>
      </c>
      <c r="E22" s="5">
        <f t="shared" si="9"/>
        <v>2.1382142857142854E-3</v>
      </c>
      <c r="F22" s="5">
        <f t="shared" si="9"/>
        <v>7.0500000000000001E-4</v>
      </c>
      <c r="G22" s="5">
        <f t="shared" si="9"/>
        <v>6.8892857142857145E-4</v>
      </c>
      <c r="H22" s="5">
        <f t="shared" si="9"/>
        <v>3.2342857142857143E-3</v>
      </c>
      <c r="I22" s="5">
        <f t="shared" si="9"/>
        <v>2.6810714285714285E-3</v>
      </c>
      <c r="J22" s="5">
        <f t="shared" si="9"/>
        <v>2.2596428571428572E-3</v>
      </c>
      <c r="K22" s="5">
        <f t="shared" si="6"/>
        <v>2.9167857142857142E-3</v>
      </c>
      <c r="L22" s="5">
        <f t="shared" si="6"/>
        <v>5.3285714285714275E-4</v>
      </c>
      <c r="M22" s="5">
        <f t="shared" si="6"/>
        <v>9.9357142857142851E-4</v>
      </c>
      <c r="N22" s="5">
        <f t="shared" si="6"/>
        <v>1.5189285714285712E-3</v>
      </c>
      <c r="O22" s="5">
        <f t="shared" si="6"/>
        <v>4.5364285714285706E-3</v>
      </c>
      <c r="P22" s="5">
        <f t="shared" si="6"/>
        <v>7.9571428571428566E-4</v>
      </c>
      <c r="Q22" s="5">
        <f t="shared" si="6"/>
        <v>7.1964285714285717E-4</v>
      </c>
      <c r="R22" s="5">
        <f t="shared" si="6"/>
        <v>2.1764285714285713E-3</v>
      </c>
      <c r="S22" s="5">
        <f t="shared" si="6"/>
        <v>2.4878571428571428E-3</v>
      </c>
      <c r="T22" s="5">
        <f t="shared" si="6"/>
        <v>5.4642857142857135E-5</v>
      </c>
      <c r="U22" s="5">
        <f t="shared" si="6"/>
        <v>1.4375E-3</v>
      </c>
      <c r="V22" s="5">
        <f t="shared" si="6"/>
        <v>8.5928571428571434E-4</v>
      </c>
      <c r="W22" s="5">
        <f t="shared" si="6"/>
        <v>2.4103571428571425E-3</v>
      </c>
      <c r="X22" s="5">
        <f t="shared" si="7"/>
        <v>3.3928571428571424E-5</v>
      </c>
      <c r="Y22" s="5">
        <f t="shared" si="7"/>
        <v>9.8499999999999998E-4</v>
      </c>
      <c r="Z22" s="5">
        <f t="shared" si="7"/>
        <v>3.492857142857143E-4</v>
      </c>
      <c r="AA22" s="5">
        <f t="shared" si="8"/>
        <v>8.4285714285714281E-4</v>
      </c>
      <c r="AB22" s="5">
        <f t="shared" si="8"/>
        <v>5.3571428571428569E-5</v>
      </c>
      <c r="AC22" s="5">
        <f t="shared" si="8"/>
        <v>2.6428571428571428E-5</v>
      </c>
      <c r="AD22" s="1"/>
      <c r="AE22" s="1"/>
    </row>
    <row r="23" spans="1:35" x14ac:dyDescent="0.2">
      <c r="B23" s="8">
        <v>6.5476190476190479E-2</v>
      </c>
      <c r="C23" s="5" t="s">
        <v>14</v>
      </c>
      <c r="D23" s="5">
        <f t="shared" si="9"/>
        <v>5.0547619047619052E-4</v>
      </c>
      <c r="E23" s="5">
        <f t="shared" si="9"/>
        <v>3.9200595238095236E-3</v>
      </c>
      <c r="F23" s="5">
        <f t="shared" si="9"/>
        <v>1.2925E-3</v>
      </c>
      <c r="G23" s="5">
        <f t="shared" si="9"/>
        <v>1.2630357142857144E-3</v>
      </c>
      <c r="H23" s="5">
        <f t="shared" si="9"/>
        <v>5.9295238095238099E-3</v>
      </c>
      <c r="I23" s="5">
        <f t="shared" si="9"/>
        <v>4.9152976190476195E-3</v>
      </c>
      <c r="J23" s="5">
        <f t="shared" si="9"/>
        <v>4.1426785714285723E-3</v>
      </c>
      <c r="K23" s="5">
        <f t="shared" si="6"/>
        <v>5.347440476190477E-3</v>
      </c>
      <c r="L23" s="5">
        <f t="shared" si="6"/>
        <v>9.7690476190476195E-4</v>
      </c>
      <c r="M23" s="5">
        <f t="shared" si="6"/>
        <v>1.8215476190476191E-3</v>
      </c>
      <c r="N23" s="5">
        <f t="shared" si="6"/>
        <v>2.7847023809523812E-3</v>
      </c>
      <c r="O23" s="5">
        <f t="shared" si="6"/>
        <v>8.3167857142857141E-3</v>
      </c>
      <c r="P23" s="5">
        <f t="shared" si="6"/>
        <v>1.4588095238095239E-3</v>
      </c>
      <c r="Q23" s="5">
        <f t="shared" si="6"/>
        <v>1.3193452380952382E-3</v>
      </c>
      <c r="R23" s="5">
        <f t="shared" si="6"/>
        <v>3.9901190476190479E-3</v>
      </c>
      <c r="S23" s="5">
        <f t="shared" si="6"/>
        <v>4.5610714285714291E-3</v>
      </c>
      <c r="T23" s="5">
        <f t="shared" si="6"/>
        <v>1.0017857142857143E-4</v>
      </c>
      <c r="U23" s="5">
        <f t="shared" si="6"/>
        <v>2.635416666666667E-3</v>
      </c>
      <c r="V23" s="5">
        <f t="shared" si="6"/>
        <v>1.5753571428571431E-3</v>
      </c>
      <c r="W23" s="5">
        <f t="shared" si="6"/>
        <v>4.4189880952380948E-3</v>
      </c>
      <c r="X23" s="5">
        <f t="shared" si="7"/>
        <v>6.2202380952380954E-5</v>
      </c>
      <c r="Y23" s="5">
        <f t="shared" si="7"/>
        <v>1.8058333333333336E-3</v>
      </c>
      <c r="Z23" s="5">
        <f t="shared" si="7"/>
        <v>6.4035714285714293E-4</v>
      </c>
      <c r="AA23" s="5">
        <f t="shared" si="8"/>
        <v>1.5452380952380952E-3</v>
      </c>
      <c r="AB23" s="5">
        <f t="shared" si="8"/>
        <v>9.8214285714285718E-5</v>
      </c>
      <c r="AC23" s="5">
        <f t="shared" si="8"/>
        <v>4.8452380952380951E-5</v>
      </c>
      <c r="AD23" s="1"/>
      <c r="AE23" s="1"/>
    </row>
    <row r="24" spans="1:35" x14ac:dyDescent="0.2">
      <c r="B24" s="8">
        <v>2.976190476190476E-3</v>
      </c>
      <c r="C24" s="5" t="s">
        <v>23</v>
      </c>
      <c r="D24" s="5">
        <f t="shared" si="9"/>
        <v>2.2976190476190476E-5</v>
      </c>
      <c r="E24" s="5">
        <f t="shared" si="9"/>
        <v>1.7818452380952379E-4</v>
      </c>
      <c r="F24" s="5">
        <f t="shared" si="9"/>
        <v>5.8749999999999998E-5</v>
      </c>
      <c r="G24" s="5">
        <f t="shared" si="9"/>
        <v>5.741071428571429E-5</v>
      </c>
      <c r="H24" s="5">
        <f t="shared" si="9"/>
        <v>2.6952380952380951E-4</v>
      </c>
      <c r="I24" s="5">
        <f t="shared" si="9"/>
        <v>2.2342261904761902E-4</v>
      </c>
      <c r="J24" s="5">
        <f t="shared" si="9"/>
        <v>1.8830357142857144E-4</v>
      </c>
      <c r="K24" s="5">
        <f t="shared" si="6"/>
        <v>2.430654761904762E-4</v>
      </c>
      <c r="L24" s="5">
        <f t="shared" si="6"/>
        <v>4.4404761904761901E-5</v>
      </c>
      <c r="M24" s="5">
        <f t="shared" si="6"/>
        <v>8.2797619047619047E-5</v>
      </c>
      <c r="N24" s="5">
        <f t="shared" si="6"/>
        <v>1.2657738095238095E-4</v>
      </c>
      <c r="O24" s="5">
        <f t="shared" si="6"/>
        <v>3.7803571428571427E-4</v>
      </c>
      <c r="P24" s="5">
        <f t="shared" si="6"/>
        <v>6.630952380952381E-5</v>
      </c>
      <c r="Q24" s="5">
        <f t="shared" si="6"/>
        <v>5.9970238095238095E-5</v>
      </c>
      <c r="R24" s="5">
        <f t="shared" si="6"/>
        <v>1.8136904761904761E-4</v>
      </c>
      <c r="S24" s="5">
        <f t="shared" si="6"/>
        <v>2.0732142857142857E-4</v>
      </c>
      <c r="T24" s="5">
        <f t="shared" si="6"/>
        <v>4.5535714285714279E-6</v>
      </c>
      <c r="U24" s="5">
        <f t="shared" si="6"/>
        <v>1.1979166666666666E-4</v>
      </c>
      <c r="V24" s="5">
        <f t="shared" si="6"/>
        <v>7.1607142857142857E-5</v>
      </c>
      <c r="W24" s="5">
        <f t="shared" si="6"/>
        <v>2.0086309523809521E-4</v>
      </c>
      <c r="X24" s="5">
        <f t="shared" si="7"/>
        <v>2.8273809523809524E-6</v>
      </c>
      <c r="Y24" s="5">
        <f t="shared" si="7"/>
        <v>8.2083333333333327E-5</v>
      </c>
      <c r="Z24" s="5">
        <f t="shared" si="7"/>
        <v>2.9107142857142857E-5</v>
      </c>
      <c r="AA24" s="5">
        <f t="shared" si="8"/>
        <v>7.0238095238095229E-5</v>
      </c>
      <c r="AB24" s="5">
        <f t="shared" si="8"/>
        <v>4.4642857142857138E-6</v>
      </c>
      <c r="AC24" s="5">
        <f t="shared" si="8"/>
        <v>2.202380952380952E-6</v>
      </c>
      <c r="AD24" s="1"/>
      <c r="AE24" s="1"/>
    </row>
    <row r="25" spans="1:35" x14ac:dyDescent="0.2">
      <c r="B25" s="8">
        <v>1.488095238095238E-2</v>
      </c>
      <c r="C25" s="5" t="s">
        <v>19</v>
      </c>
      <c r="D25" s="5">
        <f t="shared" si="9"/>
        <v>1.1488095238095238E-4</v>
      </c>
      <c r="E25" s="5">
        <f t="shared" si="9"/>
        <v>8.9092261904761898E-4</v>
      </c>
      <c r="F25" s="5">
        <f t="shared" si="9"/>
        <v>2.9375000000000001E-4</v>
      </c>
      <c r="G25" s="5">
        <f t="shared" si="9"/>
        <v>2.8705357142857146E-4</v>
      </c>
      <c r="H25" s="5">
        <f t="shared" si="9"/>
        <v>1.3476190476190476E-3</v>
      </c>
      <c r="I25" s="5">
        <f t="shared" si="9"/>
        <v>1.1171130952380951E-3</v>
      </c>
      <c r="J25" s="5">
        <f t="shared" si="9"/>
        <v>9.4151785714285724E-4</v>
      </c>
      <c r="K25" s="5">
        <f t="shared" si="6"/>
        <v>1.215327380952381E-3</v>
      </c>
      <c r="L25" s="5">
        <f t="shared" si="6"/>
        <v>2.2202380952380949E-4</v>
      </c>
      <c r="M25" s="5">
        <f t="shared" si="6"/>
        <v>4.1398809523809525E-4</v>
      </c>
      <c r="N25" s="5">
        <f t="shared" si="6"/>
        <v>6.3288690476190465E-4</v>
      </c>
      <c r="O25" s="5">
        <f t="shared" si="6"/>
        <v>1.8901785714285713E-3</v>
      </c>
      <c r="P25" s="5">
        <f t="shared" si="6"/>
        <v>3.3154761904761906E-4</v>
      </c>
      <c r="Q25" s="5">
        <f t="shared" si="6"/>
        <v>2.998511904761905E-4</v>
      </c>
      <c r="R25" s="5">
        <f t="shared" si="6"/>
        <v>9.0684523809523806E-4</v>
      </c>
      <c r="S25" s="5">
        <f t="shared" si="6"/>
        <v>1.0366071428571427E-3</v>
      </c>
      <c r="T25" s="5">
        <f t="shared" si="6"/>
        <v>2.276785714285714E-5</v>
      </c>
      <c r="U25" s="5">
        <f t="shared" si="6"/>
        <v>5.9895833333333329E-4</v>
      </c>
      <c r="V25" s="5">
        <f t="shared" si="6"/>
        <v>3.5803571428571427E-4</v>
      </c>
      <c r="W25" s="5">
        <f t="shared" si="6"/>
        <v>1.0043154761904761E-3</v>
      </c>
      <c r="X25" s="5">
        <f t="shared" si="7"/>
        <v>1.4136904761904762E-5</v>
      </c>
      <c r="Y25" s="5">
        <f t="shared" si="7"/>
        <v>4.1041666666666662E-4</v>
      </c>
      <c r="Z25" s="5">
        <f t="shared" si="7"/>
        <v>1.4553571428571428E-4</v>
      </c>
      <c r="AA25" s="5">
        <f t="shared" si="8"/>
        <v>3.5119047619047619E-4</v>
      </c>
      <c r="AB25" s="5">
        <f t="shared" si="8"/>
        <v>2.2321428571428571E-5</v>
      </c>
      <c r="AC25" s="5">
        <f t="shared" si="8"/>
        <v>1.1011904761904762E-5</v>
      </c>
      <c r="AD25" s="1"/>
      <c r="AE25" s="1"/>
    </row>
    <row r="26" spans="1:35" x14ac:dyDescent="0.2">
      <c r="B26" s="8">
        <v>2.976190476190476E-3</v>
      </c>
      <c r="C26" s="5" t="s">
        <v>20</v>
      </c>
      <c r="D26" s="5">
        <f t="shared" si="9"/>
        <v>2.2976190476190476E-5</v>
      </c>
      <c r="E26" s="5">
        <f t="shared" si="9"/>
        <v>1.7818452380952379E-4</v>
      </c>
      <c r="F26" s="5">
        <f t="shared" si="9"/>
        <v>5.8749999999999998E-5</v>
      </c>
      <c r="G26" s="5">
        <f t="shared" si="9"/>
        <v>5.741071428571429E-5</v>
      </c>
      <c r="H26" s="5">
        <f t="shared" si="9"/>
        <v>2.6952380952380951E-4</v>
      </c>
      <c r="I26" s="5">
        <f t="shared" si="9"/>
        <v>2.2342261904761902E-4</v>
      </c>
      <c r="J26" s="5">
        <f t="shared" si="9"/>
        <v>1.8830357142857144E-4</v>
      </c>
      <c r="K26" s="5">
        <f t="shared" si="6"/>
        <v>2.430654761904762E-4</v>
      </c>
      <c r="L26" s="5">
        <f t="shared" si="6"/>
        <v>4.4404761904761901E-5</v>
      </c>
      <c r="M26" s="5">
        <f t="shared" si="6"/>
        <v>8.2797619047619047E-5</v>
      </c>
      <c r="N26" s="5">
        <f t="shared" si="6"/>
        <v>1.2657738095238095E-4</v>
      </c>
      <c r="O26" s="5">
        <f t="shared" si="6"/>
        <v>3.7803571428571427E-4</v>
      </c>
      <c r="P26" s="5">
        <f t="shared" si="6"/>
        <v>6.630952380952381E-5</v>
      </c>
      <c r="Q26" s="5">
        <f t="shared" si="6"/>
        <v>5.9970238095238095E-5</v>
      </c>
      <c r="R26" s="5">
        <f t="shared" si="6"/>
        <v>1.8136904761904761E-4</v>
      </c>
      <c r="S26" s="5">
        <f t="shared" si="6"/>
        <v>2.0732142857142857E-4</v>
      </c>
      <c r="T26" s="5">
        <f t="shared" si="6"/>
        <v>4.5535714285714279E-6</v>
      </c>
      <c r="U26" s="5">
        <f t="shared" si="6"/>
        <v>1.1979166666666666E-4</v>
      </c>
      <c r="V26" s="5">
        <f t="shared" si="6"/>
        <v>7.1607142857142857E-5</v>
      </c>
      <c r="W26" s="5">
        <f t="shared" si="6"/>
        <v>2.0086309523809521E-4</v>
      </c>
      <c r="X26" s="5">
        <f t="shared" si="7"/>
        <v>2.8273809523809524E-6</v>
      </c>
      <c r="Y26" s="5">
        <f t="shared" si="7"/>
        <v>8.2083333333333327E-5</v>
      </c>
      <c r="Z26" s="5">
        <f t="shared" si="7"/>
        <v>2.9107142857142857E-5</v>
      </c>
      <c r="AA26" s="5">
        <f t="shared" si="8"/>
        <v>7.0238095238095229E-5</v>
      </c>
      <c r="AB26" s="5">
        <f t="shared" si="8"/>
        <v>4.4642857142857138E-6</v>
      </c>
      <c r="AC26" s="5">
        <f t="shared" si="8"/>
        <v>2.202380952380952E-6</v>
      </c>
      <c r="AD26" s="1"/>
      <c r="AE26" s="1"/>
    </row>
    <row r="27" spans="1:35" x14ac:dyDescent="0.2">
      <c r="B27" s="8">
        <v>2.3809523809523808E-2</v>
      </c>
      <c r="C27" s="5" t="s">
        <v>3</v>
      </c>
      <c r="D27" s="5">
        <f t="shared" si="9"/>
        <v>1.8380952380952381E-4</v>
      </c>
      <c r="E27" s="5">
        <f t="shared" si="9"/>
        <v>1.4254761904761903E-3</v>
      </c>
      <c r="F27" s="5">
        <f t="shared" si="9"/>
        <v>4.6999999999999999E-4</v>
      </c>
      <c r="G27" s="5">
        <f t="shared" si="9"/>
        <v>4.5928571428571432E-4</v>
      </c>
      <c r="H27" s="5">
        <f t="shared" si="9"/>
        <v>2.156190476190476E-3</v>
      </c>
      <c r="I27" s="5">
        <f t="shared" si="9"/>
        <v>1.7873809523809522E-3</v>
      </c>
      <c r="J27" s="5">
        <f t="shared" si="9"/>
        <v>1.5064285714285715E-3</v>
      </c>
      <c r="K27" s="5">
        <f t="shared" si="6"/>
        <v>1.9445238095238096E-3</v>
      </c>
      <c r="L27" s="5">
        <f t="shared" si="6"/>
        <v>3.552380952380952E-4</v>
      </c>
      <c r="M27" s="5">
        <f t="shared" si="6"/>
        <v>6.6238095238095238E-4</v>
      </c>
      <c r="N27" s="5">
        <f t="shared" si="6"/>
        <v>1.0126190476190476E-3</v>
      </c>
      <c r="O27" s="5">
        <f t="shared" si="6"/>
        <v>3.0242857142857142E-3</v>
      </c>
      <c r="P27" s="5">
        <f t="shared" si="6"/>
        <v>5.3047619047619048E-4</v>
      </c>
      <c r="Q27" s="5">
        <f t="shared" si="6"/>
        <v>4.7976190476190476E-4</v>
      </c>
      <c r="R27" s="5">
        <f t="shared" si="6"/>
        <v>1.4509523809523809E-3</v>
      </c>
      <c r="S27" s="5">
        <f t="shared" si="6"/>
        <v>1.6585714285714285E-3</v>
      </c>
      <c r="T27" s="5">
        <f t="shared" si="6"/>
        <v>3.6428571428571423E-5</v>
      </c>
      <c r="U27" s="5">
        <f t="shared" si="6"/>
        <v>9.5833333333333328E-4</v>
      </c>
      <c r="V27" s="5">
        <f t="shared" si="6"/>
        <v>5.7285714285714286E-4</v>
      </c>
      <c r="W27" s="5">
        <f t="shared" si="6"/>
        <v>1.6069047619047616E-3</v>
      </c>
      <c r="X27" s="5">
        <f t="shared" si="7"/>
        <v>2.2619047619047619E-5</v>
      </c>
      <c r="Y27" s="5">
        <f t="shared" si="7"/>
        <v>6.5666666666666662E-4</v>
      </c>
      <c r="Z27" s="5">
        <f t="shared" si="7"/>
        <v>2.3285714285714286E-4</v>
      </c>
      <c r="AA27" s="5">
        <f t="shared" si="8"/>
        <v>5.6190476190476183E-4</v>
      </c>
      <c r="AB27" s="5">
        <f t="shared" si="8"/>
        <v>3.571428571428571E-5</v>
      </c>
      <c r="AC27" s="5">
        <f t="shared" si="8"/>
        <v>1.7619047619047616E-5</v>
      </c>
      <c r="AD27" s="1"/>
      <c r="AE27" s="1"/>
    </row>
    <row r="28" spans="1:35" x14ac:dyDescent="0.2">
      <c r="B28" s="8">
        <v>2.976190476190476E-3</v>
      </c>
      <c r="C28" s="5" t="s">
        <v>22</v>
      </c>
      <c r="D28" s="5">
        <f t="shared" si="9"/>
        <v>2.2976190476190476E-5</v>
      </c>
      <c r="E28" s="5">
        <f t="shared" si="9"/>
        <v>1.7818452380952379E-4</v>
      </c>
      <c r="F28" s="5">
        <f t="shared" si="9"/>
        <v>5.8749999999999998E-5</v>
      </c>
      <c r="G28" s="5">
        <f t="shared" si="9"/>
        <v>5.741071428571429E-5</v>
      </c>
      <c r="H28" s="5">
        <f t="shared" si="9"/>
        <v>2.6952380952380951E-4</v>
      </c>
      <c r="I28" s="5">
        <f t="shared" si="9"/>
        <v>2.2342261904761902E-4</v>
      </c>
      <c r="J28" s="5">
        <f t="shared" si="9"/>
        <v>1.8830357142857144E-4</v>
      </c>
      <c r="K28" s="5">
        <f t="shared" si="6"/>
        <v>2.430654761904762E-4</v>
      </c>
      <c r="L28" s="5">
        <f t="shared" si="6"/>
        <v>4.4404761904761901E-5</v>
      </c>
      <c r="M28" s="5">
        <f t="shared" si="6"/>
        <v>8.2797619047619047E-5</v>
      </c>
      <c r="N28" s="5">
        <f t="shared" si="6"/>
        <v>1.2657738095238095E-4</v>
      </c>
      <c r="O28" s="5">
        <f t="shared" si="6"/>
        <v>3.7803571428571427E-4</v>
      </c>
      <c r="P28" s="5">
        <f t="shared" si="6"/>
        <v>6.630952380952381E-5</v>
      </c>
      <c r="Q28" s="5">
        <f t="shared" si="6"/>
        <v>5.9970238095238095E-5</v>
      </c>
      <c r="R28" s="5">
        <f t="shared" si="6"/>
        <v>1.8136904761904761E-4</v>
      </c>
      <c r="S28" s="5">
        <f t="shared" si="6"/>
        <v>2.0732142857142857E-4</v>
      </c>
      <c r="T28" s="5">
        <f t="shared" si="6"/>
        <v>4.5535714285714279E-6</v>
      </c>
      <c r="U28" s="5">
        <f t="shared" si="6"/>
        <v>1.1979166666666666E-4</v>
      </c>
      <c r="V28" s="5">
        <f t="shared" si="6"/>
        <v>7.1607142857142857E-5</v>
      </c>
      <c r="W28" s="5">
        <f t="shared" si="6"/>
        <v>2.0086309523809521E-4</v>
      </c>
      <c r="X28" s="5">
        <f t="shared" si="7"/>
        <v>2.8273809523809524E-6</v>
      </c>
      <c r="Y28" s="5">
        <f t="shared" si="7"/>
        <v>8.2083333333333327E-5</v>
      </c>
      <c r="Z28" s="5">
        <f t="shared" si="7"/>
        <v>2.9107142857142857E-5</v>
      </c>
      <c r="AA28" s="5">
        <f t="shared" si="8"/>
        <v>7.0238095238095229E-5</v>
      </c>
      <c r="AB28" s="5">
        <f t="shared" si="8"/>
        <v>4.4642857142857138E-6</v>
      </c>
      <c r="AC28" s="5">
        <f t="shared" si="8"/>
        <v>2.202380952380952E-6</v>
      </c>
      <c r="AD28" s="1"/>
      <c r="AE28" s="1"/>
    </row>
    <row r="29" spans="1:35" x14ac:dyDescent="0.2">
      <c r="B29" s="8">
        <v>0</v>
      </c>
      <c r="C29" s="5" t="s">
        <v>25</v>
      </c>
      <c r="D29" s="5">
        <f t="shared" si="9"/>
        <v>0</v>
      </c>
      <c r="E29" s="5">
        <f t="shared" si="9"/>
        <v>0</v>
      </c>
      <c r="F29" s="5">
        <f t="shared" si="9"/>
        <v>0</v>
      </c>
      <c r="G29" s="5">
        <f t="shared" si="9"/>
        <v>0</v>
      </c>
      <c r="H29" s="5">
        <f t="shared" si="9"/>
        <v>0</v>
      </c>
      <c r="I29" s="5">
        <f t="shared" si="9"/>
        <v>0</v>
      </c>
      <c r="J29" s="5">
        <f t="shared" si="9"/>
        <v>0</v>
      </c>
      <c r="K29" s="5">
        <f t="shared" si="6"/>
        <v>0</v>
      </c>
      <c r="L29" s="5">
        <f t="shared" si="6"/>
        <v>0</v>
      </c>
      <c r="M29" s="5">
        <f t="shared" si="6"/>
        <v>0</v>
      </c>
      <c r="N29" s="5">
        <f t="shared" si="6"/>
        <v>0</v>
      </c>
      <c r="O29" s="5">
        <f t="shared" si="6"/>
        <v>0</v>
      </c>
      <c r="P29" s="5">
        <f t="shared" si="6"/>
        <v>0</v>
      </c>
      <c r="Q29" s="5">
        <f t="shared" si="6"/>
        <v>0</v>
      </c>
      <c r="R29" s="5">
        <f t="shared" si="6"/>
        <v>0</v>
      </c>
      <c r="S29" s="5">
        <f t="shared" si="6"/>
        <v>0</v>
      </c>
      <c r="T29" s="5">
        <f t="shared" si="6"/>
        <v>0</v>
      </c>
      <c r="U29" s="5">
        <f t="shared" si="6"/>
        <v>0</v>
      </c>
      <c r="V29" s="5">
        <f t="shared" si="6"/>
        <v>0</v>
      </c>
      <c r="W29" s="5">
        <f t="shared" si="6"/>
        <v>0</v>
      </c>
      <c r="X29" s="5">
        <f t="shared" si="7"/>
        <v>0</v>
      </c>
      <c r="Y29" s="5">
        <f t="shared" si="7"/>
        <v>0</v>
      </c>
      <c r="Z29" s="5">
        <f t="shared" si="7"/>
        <v>0</v>
      </c>
      <c r="AA29" s="5">
        <f t="shared" si="8"/>
        <v>0</v>
      </c>
      <c r="AB29" s="5">
        <f t="shared" si="8"/>
        <v>0</v>
      </c>
      <c r="AC29" s="5">
        <f t="shared" si="8"/>
        <v>0</v>
      </c>
      <c r="AD29" s="1"/>
      <c r="AE29" s="1"/>
    </row>
    <row r="31" spans="1:35" x14ac:dyDescent="0.2">
      <c r="A31" s="1"/>
      <c r="B31" s="1"/>
    </row>
    <row r="32" spans="1:35" x14ac:dyDescent="0.2">
      <c r="A32" s="3"/>
      <c r="B32" s="1"/>
      <c r="C32" s="5" t="s">
        <v>20</v>
      </c>
      <c r="D32" s="3">
        <f>SUM($Z$4,$Y$5,$X$6,$W$7,$V$8,$U$9,$T$10,$S$11,$R$12,$Q$13,$P$14,$O$15,$N$16,$M$17,$L$18,$K$19,$J$20,$I$21,$H$22,$G$23,$F$24,$E$25,$D$26,$AC$27,$AB$28,$AA$29)</f>
        <v>5.1700327380952399E-2</v>
      </c>
      <c r="E32" s="4" t="str">
        <f>C32&amp;" ("&amp;TRUNC(D32,3)*100&amp;"%)"</f>
        <v>V (5.1%)</v>
      </c>
      <c r="I32" s="9"/>
      <c r="K32" s="3"/>
      <c r="S32" s="9"/>
      <c r="T32" s="9"/>
      <c r="U32" s="9"/>
      <c r="V32" s="9"/>
      <c r="W32" s="9"/>
      <c r="Y32" s="9"/>
      <c r="AG32" s="3"/>
      <c r="AH32" s="3"/>
      <c r="AI32" s="3"/>
    </row>
    <row r="33" spans="1:35" x14ac:dyDescent="0.2">
      <c r="A33" s="3"/>
      <c r="B33" s="1"/>
      <c r="C33" s="5" t="s">
        <v>12</v>
      </c>
      <c r="D33" s="3">
        <f>SUM($V$4,$U$5,$T$6,$S$7,$R$8,$Q$9,$P$10,$O$11,$N$12,$M$13,$L$14,$K$15,$J$16,$I$17,$H$18,$G$19,$F$20,$E$21,$D$22,$AC$23,$AB$24,$AA$25,$Z$26,$Y$27,$X$28,$W$29)</f>
        <v>5.0727886904761897E-2</v>
      </c>
      <c r="E33" s="4" t="str">
        <f t="shared" ref="E33:E57" si="10">C33&amp;" ("&amp;TRUNC(D33,3)*100&amp;"%)"</f>
        <v>M (5%)</v>
      </c>
      <c r="I33" s="3"/>
      <c r="K33" s="3"/>
      <c r="S33" s="3"/>
      <c r="T33" s="3"/>
      <c r="U33" s="3"/>
      <c r="V33" s="3"/>
      <c r="W33" s="3"/>
      <c r="Y33" s="3"/>
      <c r="AG33" s="3"/>
      <c r="AH33" s="3"/>
      <c r="AI33" s="3"/>
    </row>
    <row r="34" spans="1:35" x14ac:dyDescent="0.2">
      <c r="A34" s="3"/>
      <c r="B34" s="1"/>
      <c r="C34" s="5" t="s">
        <v>13</v>
      </c>
      <c r="D34" s="3">
        <f>SUM($S$4,$R$5,$Q$6,$P$7,$O$8,$N$9,$M$10,$L$11,$K$12,$J$13,$I$14,$H$15,$G$16,$F$17,$E$18,$D$19,$AC$20,$AB$21,$AA$22,$Z$23,$Y$24,$X$25,$W$26,$V$27,$U$28,$T$29)</f>
        <v>5.0052053571428577E-2</v>
      </c>
      <c r="E34" s="4" t="str">
        <f t="shared" si="10"/>
        <v>I (5%)</v>
      </c>
      <c r="I34" s="3"/>
      <c r="K34" s="3"/>
      <c r="S34" s="3"/>
      <c r="T34" s="3"/>
      <c r="U34" s="3"/>
      <c r="V34" s="3"/>
      <c r="W34" s="3"/>
      <c r="Y34" s="3"/>
      <c r="AG34" s="3"/>
      <c r="AH34" s="3"/>
      <c r="AI34" s="3"/>
    </row>
    <row r="35" spans="1:35" x14ac:dyDescent="0.2">
      <c r="A35" s="3"/>
      <c r="B35" s="1"/>
      <c r="C35" s="5" t="s">
        <v>24</v>
      </c>
      <c r="D35" s="3">
        <f>SUM($T$4,$S$5,$R$6,$Q$7,$P$8,$O$9,$N$10,$M$11,$L$12,$K$13,$J$14,$I$15,$H$16,$G$17,$F$18,$E$19,$D$20,$AC$21,$AB$22,$AA$23,$Z$24,$Y$25,$X$26,$W$27,$V$28,$U$29)</f>
        <v>4.7858125000000001E-2</v>
      </c>
      <c r="E35" s="4" t="str">
        <f t="shared" si="10"/>
        <v>J (4.7%)</v>
      </c>
      <c r="I35" s="3"/>
      <c r="K35" s="3"/>
      <c r="S35" s="3"/>
      <c r="T35" s="3"/>
      <c r="U35" s="3"/>
      <c r="V35" s="3"/>
      <c r="W35" s="3"/>
      <c r="Y35" s="3"/>
      <c r="AG35" s="3"/>
      <c r="AH35" s="3"/>
      <c r="AI35" s="3"/>
    </row>
    <row r="36" spans="1:35" x14ac:dyDescent="0.2">
      <c r="A36" s="3"/>
      <c r="B36" s="1"/>
      <c r="C36" s="5" t="s">
        <v>15</v>
      </c>
      <c r="D36" s="3">
        <f>SUM($P$4,$O$5,$N$6,$M$7,$L$8,$K$9,$J$10,$I$11,$H$12,$G$13,$F$14,$E$15,$D$16,$AC$17,$AB$18,$AA$19,$Z$20,$Y$21,$X$22,$W$23,$V$24,$U$25,$T$26,$S$27,$R$28,$Q$29)</f>
        <v>4.7103065476190469E-2</v>
      </c>
      <c r="E36" s="4" t="str">
        <f t="shared" si="10"/>
        <v>F (4.7%)</v>
      </c>
      <c r="I36" s="3"/>
      <c r="K36" s="3"/>
      <c r="S36" s="3"/>
      <c r="T36" s="3"/>
      <c r="U36" s="3"/>
      <c r="V36" s="3"/>
      <c r="W36" s="3"/>
      <c r="Y36" s="3"/>
      <c r="AG36" s="3"/>
      <c r="AH36" s="3"/>
      <c r="AI36" s="3"/>
    </row>
    <row r="37" spans="1:35" x14ac:dyDescent="0.2">
      <c r="A37" s="3"/>
      <c r="B37" s="1"/>
      <c r="C37" s="5" t="s">
        <v>19</v>
      </c>
      <c r="D37" s="3">
        <f>SUM($Y$4,$X$5,$W$6,$V$7,$U$8,$T$9,$S$10,$R$11,$Q$12,$P$13,$O$14,$N$15,$M$16,$L$17,$K$18,$J$19,$I$20,$H$21,$G$22,$F$23,$E$24,$D$25,$AC$26,$AB$27,$AA$28,$Z$29)</f>
        <v>4.4792857142857134E-2</v>
      </c>
      <c r="E37" s="4" t="str">
        <f t="shared" si="10"/>
        <v>U (4.4%)</v>
      </c>
      <c r="I37" s="3"/>
      <c r="K37" s="3"/>
      <c r="S37" s="3"/>
      <c r="T37" s="3"/>
      <c r="U37" s="3"/>
      <c r="V37" s="3"/>
      <c r="W37" s="3"/>
      <c r="Y37" s="3"/>
      <c r="AG37" s="3"/>
      <c r="AH37" s="3"/>
      <c r="AI37" s="3"/>
    </row>
    <row r="38" spans="1:35" x14ac:dyDescent="0.2">
      <c r="A38" s="3"/>
      <c r="B38" s="1"/>
      <c r="C38" s="5" t="s">
        <v>25</v>
      </c>
      <c r="D38" s="3">
        <f>SUM($AC$4,$AB$5,$AA$6,$Z$7,$Y$8,$X$9,$W$10,$V$11,$U$12,$T$13,$S$14,$R$15,$Q$16,$P$17,$O$18,$N$19,$M$20,$L$21,$K$22,$J$23,$I$24,$H$25,$G$26,$F$27,$E$28,$D$29)</f>
        <v>4.382247023809524E-2</v>
      </c>
      <c r="E38" s="4" t="str">
        <f t="shared" si="10"/>
        <v>Z (4.3%)</v>
      </c>
      <c r="I38" s="3"/>
      <c r="K38" s="3"/>
      <c r="S38" s="3"/>
      <c r="T38" s="3"/>
      <c r="U38" s="3"/>
      <c r="V38" s="3"/>
      <c r="W38" s="3"/>
      <c r="Y38" s="3"/>
      <c r="AG38" s="3"/>
      <c r="AH38" s="3"/>
      <c r="AI38" s="3"/>
    </row>
    <row r="39" spans="1:35" x14ac:dyDescent="0.2">
      <c r="A39" s="3"/>
      <c r="B39" s="1"/>
      <c r="C39" s="5" t="s">
        <v>17</v>
      </c>
      <c r="D39" s="3">
        <f>SUM($L$4,$K$5,$J$6,$I$7,$H$8,$G$9,$F$10,$E$11,$D$12,$AC$13,$AB$14,$AA$15,$Z$16,$Y$17,$X$18,$W$19,$V$20,$U$21,$T$22,$S$23,$R$24,$Q$25,$P$26,$O$27,$N$28,$M$29)</f>
        <v>4.2872083333333338E-2</v>
      </c>
      <c r="E39" s="4" t="str">
        <f t="shared" si="10"/>
        <v>B (4.2%)</v>
      </c>
      <c r="I39" s="3"/>
      <c r="K39" s="3"/>
      <c r="S39" s="3"/>
      <c r="T39" s="3"/>
      <c r="U39" s="3"/>
      <c r="V39" s="3"/>
      <c r="W39" s="3"/>
      <c r="Y39" s="3"/>
      <c r="AG39" s="3"/>
      <c r="AH39" s="3"/>
      <c r="AI39" s="3"/>
    </row>
    <row r="40" spans="1:35" x14ac:dyDescent="0.2">
      <c r="A40" s="3"/>
      <c r="B40" s="1"/>
      <c r="C40" s="5" t="s">
        <v>23</v>
      </c>
      <c r="D40" s="3">
        <f>SUM($X$4,$W$5,$V$6,$U$7,$T$8,$S$9,$R$10,$Q$11,$P$12,$O$13,$N$14,$M$15,$L$16,$K$17,$J$18,$I$19,$H$20,$G$21,$F$22,$E$23,$D$24,$AC$25,$AB$26,$AA$27,$Z$28,$Y$29)</f>
        <v>4.1401101190476193E-2</v>
      </c>
      <c r="E40" s="4" t="str">
        <f t="shared" si="10"/>
        <v>Q (4.1%)</v>
      </c>
      <c r="I40" s="3"/>
      <c r="K40" s="3"/>
      <c r="S40" s="3"/>
      <c r="T40" s="3"/>
      <c r="U40" s="3"/>
      <c r="V40" s="3"/>
      <c r="W40" s="3"/>
      <c r="Y40" s="3"/>
      <c r="AG40" s="3"/>
      <c r="AH40" s="3"/>
      <c r="AI40" s="3"/>
    </row>
    <row r="41" spans="1:35" x14ac:dyDescent="0.2">
      <c r="A41" s="3"/>
      <c r="B41" s="1"/>
      <c r="C41" s="5" t="s">
        <v>21</v>
      </c>
      <c r="D41" s="3">
        <f>SUM($D$4,$AC$5,$AB$6,$AA$7,$Z$8,$Y$9,$X$10,$W$11,$V$12,$U$13,$T$14,$S$15,$R$16,$Q$17,$P$18,$O$19,$N$20,$M$21,$L$22,$K$23,$J$24,$I$25,$H$26,$G$27,$F$28,$E$29)</f>
        <v>4.0776369047619054E-2</v>
      </c>
      <c r="E41" s="4" t="str">
        <f t="shared" si="10"/>
        <v>K (4%)</v>
      </c>
      <c r="I41" s="3"/>
      <c r="K41" s="3"/>
      <c r="S41" s="3"/>
      <c r="T41" s="3"/>
      <c r="U41" s="3"/>
      <c r="V41" s="3"/>
      <c r="W41" s="3"/>
      <c r="Y41" s="3"/>
      <c r="AG41" s="3"/>
      <c r="AH41" s="3"/>
      <c r="AI41" s="3"/>
    </row>
    <row r="42" spans="1:35" x14ac:dyDescent="0.2">
      <c r="A42" s="3"/>
      <c r="B42" s="1"/>
      <c r="C42" s="5" t="s">
        <v>14</v>
      </c>
      <c r="D42" s="3">
        <f>SUM($W$4,$V$5,$U$6,$T$7,$S$8,$R$9,$Q$10,$P$11,$O$12,$N$13,$M$14,$L$15,$K$16,$J$17,$I$18,$H$19,$G$20,$F$21,$E$22,$D$23,$AC$24,$AB$25,$AA$26,$Z$27,$Y$28,$X$29)</f>
        <v>3.9896011904761906E-2</v>
      </c>
      <c r="E42" s="4" t="str">
        <f t="shared" si="10"/>
        <v>N (3.9%)</v>
      </c>
      <c r="K42" s="3"/>
      <c r="AG42" s="3"/>
      <c r="AH42" s="3"/>
      <c r="AI42" s="3"/>
    </row>
    <row r="43" spans="1:35" x14ac:dyDescent="0.2">
      <c r="A43" s="3"/>
      <c r="B43" s="1"/>
      <c r="C43" s="5" t="s">
        <v>6</v>
      </c>
      <c r="D43" s="3">
        <f>SUM($O$4,$N$5,$M$6,$L$7,$K$8,$J$9,$I$10,$H$11,$G$12,$F$13,$E$14,$D$15,$AC$16,$AB$17,$AA$18,$Z$19,$Y$20,$X$21,$W$22,$V$23,$U$24,$T$25,$S$26,$R$27,$Q$28,$P$29)</f>
        <v>3.8957619047619053E-2</v>
      </c>
      <c r="E43" s="4" t="str">
        <f t="shared" si="10"/>
        <v>E (3.8%)</v>
      </c>
      <c r="K43" s="3"/>
      <c r="AG43" s="3"/>
      <c r="AH43" s="3"/>
      <c r="AI43" s="3"/>
    </row>
    <row r="44" spans="1:35" x14ac:dyDescent="0.2">
      <c r="A44" s="3"/>
      <c r="B44" s="1"/>
      <c r="C44" s="5" t="s">
        <v>22</v>
      </c>
      <c r="D44" s="3">
        <f>SUM($AB$4,$AA$5,$Z$6,$Y$7,$X$8,$W$9,$V$10,$U$11,$T$12,$S$13,$R$14,$Q$15,$P$16,$O$17,$N$18,$M$19,$L$20,$K$21,$J$22,$I$23,$H$24,$G$25,$F$26,$E$27,$D$28,$AC$29)</f>
        <v>3.8897857142857151E-2</v>
      </c>
      <c r="E44" s="4" t="str">
        <f t="shared" si="10"/>
        <v>X (3.8%)</v>
      </c>
      <c r="K44" s="3"/>
      <c r="AG44" s="3"/>
      <c r="AH44" s="3"/>
      <c r="AI44" s="3"/>
    </row>
    <row r="45" spans="1:35" x14ac:dyDescent="0.2">
      <c r="A45" s="3"/>
      <c r="B45" s="1"/>
      <c r="C45" s="5" t="s">
        <v>1</v>
      </c>
      <c r="D45" s="3">
        <f>SUM($U$4,$T$5,$S$6,$R$7,$Q$8,$P$9,$O$10,$N$11,$M$12,$L$13,$K$14,$J$15,$I$16,$H$17,$G$18,$F$19,$E$20,$D$21,$AC$22,$AB$23,$AA$24,$Z$25,$Y$26,$X$27,$W$28,$V$29)</f>
        <v>3.7084910714285726E-2</v>
      </c>
      <c r="E45" s="4" t="str">
        <f t="shared" si="10"/>
        <v>L (3.7%)</v>
      </c>
      <c r="K45" s="3"/>
      <c r="AG45" s="3"/>
      <c r="AH45" s="3"/>
      <c r="AI45" s="3"/>
    </row>
    <row r="46" spans="1:35" x14ac:dyDescent="0.2">
      <c r="A46" s="3"/>
      <c r="B46" s="1"/>
      <c r="C46" s="5" t="s">
        <v>3</v>
      </c>
      <c r="D46" s="3">
        <f>SUM($AA$4,$Z$5,$Y$6,$X$7,$W$8,$V$9,$U$10,$T$11,$S$12,$R$13,$Q$14,$P$15,$O$16,$N$17,$M$18,$L$19,$K$20,$J$21,$I$22,$H$23,$G$24,$F$25,$E$26,$D$27,$AC$28,$AB$29)</f>
        <v>3.7057559523809527E-2</v>
      </c>
      <c r="E46" s="4" t="str">
        <f t="shared" si="10"/>
        <v>W (3.7%)</v>
      </c>
      <c r="K46" s="3"/>
      <c r="AG46" s="3"/>
      <c r="AH46" s="3"/>
      <c r="AI46" s="3"/>
    </row>
    <row r="47" spans="1:35" x14ac:dyDescent="0.2">
      <c r="A47" s="3"/>
      <c r="B47" s="1"/>
      <c r="C47" s="5" t="s">
        <v>4</v>
      </c>
      <c r="D47" s="3">
        <f>SUM($F$4,$E$5,$D$6,$AC$7,$AB$8,$AA$9,$Z$10,$Y$11,$X$12,$W$13,$V$14,$U$15,$T$16,$S$17,$R$18,$Q$19,$P$20,$O$21,$N$22,$M$23,$L$24,$K$25,$J$26,$I$27,$H$28,$G$29)</f>
        <v>3.681645833333333E-2</v>
      </c>
      <c r="E47" s="4" t="str">
        <f t="shared" si="10"/>
        <v>Y (3.6%)</v>
      </c>
      <c r="K47" s="3"/>
      <c r="AG47" s="3"/>
      <c r="AH47" s="3"/>
      <c r="AI47" s="3"/>
    </row>
    <row r="48" spans="1:35" x14ac:dyDescent="0.2">
      <c r="A48" s="3"/>
      <c r="B48" s="1"/>
      <c r="C48" s="5" t="s">
        <v>10</v>
      </c>
      <c r="D48" s="3">
        <f>SUM($H$4,$G$5,$F$6,$E$7,$D$8,$AC$9,$AB$10,$AA$11,$Z$12,$Y$13,$X$14,$W$15,$V$16,$U$17,$T$18,$S$19,$R$20,$Q$21,$P$22,$O$23,$N$24,$M$25,$L$26,$K$27,$J$28,$I$29)</f>
        <v>3.5674940476190471E-2</v>
      </c>
      <c r="E48" s="4" t="str">
        <f t="shared" si="10"/>
        <v>T (3.5%)</v>
      </c>
      <c r="K48" s="3"/>
      <c r="AG48" s="3"/>
      <c r="AH48" s="3"/>
      <c r="AI48" s="3"/>
    </row>
    <row r="49" spans="1:35" x14ac:dyDescent="0.2">
      <c r="A49" s="3"/>
      <c r="B49" s="1"/>
      <c r="C49" s="5" t="s">
        <v>11</v>
      </c>
      <c r="D49" s="3">
        <f>SUM($R$4,$Q$5,$P$6,$O$7,$N$8,$M$9,$L$10,$K$11,$J$12,$I$13,$H$14,$G$15,$F$16,$E$17,$D$18,$AC$19,$AB$20,$AA$21,$Z$22,$Y$23,$X$24,$W$25,$V$26,$U$27,$T$28,$S$29)</f>
        <v>3.5564345238095235E-2</v>
      </c>
      <c r="E49" s="4" t="str">
        <f t="shared" si="10"/>
        <v>H (3.5%)</v>
      </c>
      <c r="K49" s="3"/>
      <c r="AG49" s="3"/>
      <c r="AH49" s="3"/>
      <c r="AI49" s="3"/>
    </row>
    <row r="50" spans="1:35" x14ac:dyDescent="0.2">
      <c r="A50" s="3"/>
      <c r="B50" s="1"/>
      <c r="C50" s="5" t="s">
        <v>5</v>
      </c>
      <c r="D50" s="3">
        <f>SUM($N$4,$M$5,$L$6,$K$7,$J$8,$I$9,$H$10,$G$11,$F$12,$E$13,$D$14,$AC$15,$AB$16,$AA$17,$Z$18,$Y$19,$X$20,$W$21,$V$22,$U$23,$T$24,$S$25,$R$26,$Q$27,$P$28,$O$29)</f>
        <v>3.3750000000000002E-2</v>
      </c>
      <c r="E50" s="4" t="str">
        <f t="shared" si="10"/>
        <v>D (3.3%)</v>
      </c>
      <c r="K50" s="3"/>
      <c r="AG50" s="3"/>
      <c r="AH50" s="3"/>
      <c r="AI50" s="3"/>
    </row>
    <row r="51" spans="1:35" x14ac:dyDescent="0.2">
      <c r="A51" s="3"/>
      <c r="B51" s="1"/>
      <c r="C51" s="5" t="s">
        <v>0</v>
      </c>
      <c r="D51" s="3">
        <f>SUM($J$4,$I$5,$H$6,$G$7,$F$8,$E$9,$D$10,$AC$11,$AB$12,$AA$13,$Z$14,$Y$15,$X$16,$W$17,$V$18,$U$19,$T$20,$S$21,$R$22,$Q$23,$P$24,$O$25,$N$26,$M$27,$L$28,$K$29)</f>
        <v>3.3575416666666663E-2</v>
      </c>
      <c r="E51" s="4" t="str">
        <f t="shared" si="10"/>
        <v>S (3.3%)</v>
      </c>
      <c r="K51" s="3"/>
      <c r="AG51" s="3"/>
      <c r="AH51" s="3"/>
      <c r="AI51" s="3"/>
    </row>
    <row r="52" spans="1:35" x14ac:dyDescent="0.2">
      <c r="A52" s="3"/>
      <c r="B52" s="1"/>
      <c r="C52" s="5" t="s">
        <v>7</v>
      </c>
      <c r="D52" s="3">
        <f>SUM($G$4,$F$5,$E$6,$D$7,$AC$8,$AB$9,$AA$10,$Z$11,$Y$12,$X$13,$W$14,$V$15,$U$16,$T$17,$S$18,$R$19,$Q$20,$P$21,$O$22,$N$23,$M$24,$L$25,$K$26,$J$27,$I$28,$H$29)</f>
        <v>3.2575446428571429E-2</v>
      </c>
      <c r="E52" s="4" t="str">
        <f t="shared" si="10"/>
        <v>P (3.2%)</v>
      </c>
      <c r="K52" s="3"/>
      <c r="AG52" s="3"/>
      <c r="AH52" s="3"/>
      <c r="AI52" s="3"/>
    </row>
    <row r="53" spans="1:35" x14ac:dyDescent="0.2">
      <c r="A53" s="3"/>
      <c r="B53" s="1"/>
      <c r="C53" s="5" t="s">
        <v>8</v>
      </c>
      <c r="D53" s="3">
        <f>SUM($K$4,$J$5,$I$6,$H$7,$G$8,$F$9,$E$10,$D$11,$AC$12,$AB$13,$AA$14,$Z$15,$Y$16,$X$17,$W$18,$V$19,$U$20,$T$21,$S$22,$R$23,$Q$24,$P$25,$O$26,$N$27,$M$28,$L$29)</f>
        <v>3.2518154761904769E-2</v>
      </c>
      <c r="E53" s="4" t="str">
        <f t="shared" si="10"/>
        <v>A (3.2%)</v>
      </c>
      <c r="K53" s="3"/>
      <c r="AG53" s="3"/>
      <c r="AH53" s="3"/>
      <c r="AI53" s="3"/>
    </row>
    <row r="54" spans="1:35" x14ac:dyDescent="0.2">
      <c r="A54" s="3"/>
      <c r="B54" s="1"/>
      <c r="C54" s="5" t="s">
        <v>16</v>
      </c>
      <c r="D54" s="3">
        <f>SUM($Q$4,$P$5,$O$6,$N$7,$M$8,$L$9,$K$10,$J$11,$I$12,$H$13,$G$14,$F$15,$E$16,$D$17,$AC$18,$AB$19,$AA$20,$Z$21,$Y$22,$X$23,$W$24,$V$25,$U$26,$T$27,$S$28,$R$29)</f>
        <v>2.9593571428571431E-2</v>
      </c>
      <c r="E54" s="4" t="str">
        <f t="shared" si="10"/>
        <v>G (2.9%)</v>
      </c>
      <c r="K54" s="3"/>
      <c r="AG54" s="3"/>
      <c r="AH54" s="3"/>
      <c r="AI54" s="3"/>
    </row>
    <row r="55" spans="1:35" x14ac:dyDescent="0.2">
      <c r="A55" s="3"/>
      <c r="B55" s="1"/>
      <c r="C55" s="5" t="s">
        <v>18</v>
      </c>
      <c r="D55" s="3">
        <f>SUM($M$4,$L$5,$K$6,$J$7,$I$8,$H$9,$G$10,$F$11,$E$12,$D$13,$AC$14,$AB$15,$AA$16,$Z$17,$Y$18,$X$19,$W$20,$V$21,$U$22,$T$23,$S$24,$R$25,$Q$26,$P$27,$O$28,$N$29)</f>
        <v>2.7683005952380949E-2</v>
      </c>
      <c r="E55" s="4" t="str">
        <f t="shared" si="10"/>
        <v>C (2.7%)</v>
      </c>
      <c r="K55" s="3"/>
      <c r="AG55" s="3"/>
      <c r="AH55" s="3"/>
      <c r="AI55" s="3"/>
    </row>
    <row r="56" spans="1:35" x14ac:dyDescent="0.2">
      <c r="A56" s="3"/>
      <c r="B56" s="1"/>
      <c r="C56" s="5" t="s">
        <v>2</v>
      </c>
      <c r="D56" s="3">
        <f>SUM($I$4,$H$5,$G$6,$F$7,$E$8,$D$9,$AC$10,$AB$11,$AA$12,$Z$13,$Y$14,$X$15,$W$16,$V$17,$U$18,$T$19,$S$20,$R$21,$Q$22,$P$23,$O$24,$N$25,$M$26,$L$27,$K$28,$J$29)</f>
        <v>2.7200505952380948E-2</v>
      </c>
      <c r="E56" s="4" t="str">
        <f t="shared" si="10"/>
        <v>O (2.7%)</v>
      </c>
      <c r="K56" s="3"/>
      <c r="AG56" s="3"/>
      <c r="AH56" s="3"/>
      <c r="AI56" s="3"/>
    </row>
    <row r="57" spans="1:35" x14ac:dyDescent="0.2">
      <c r="A57" s="3"/>
      <c r="B57" s="1"/>
      <c r="C57" s="5" t="s">
        <v>9</v>
      </c>
      <c r="D57" s="3">
        <f>SUM($E$4,$D$5,$AC$6,$AB$7,$AA$8,$Z$9,$Y$10,$X$11,$W$12,$V$13,$U$14,$T$15,$S$16,$R$17,$Q$18,$P$19,$O$20,$N$21,$M$22,$L$23,$K$24,$J$25,$I$26,$H$27,$G$28,$F$29)</f>
        <v>2.203785714285714E-2</v>
      </c>
      <c r="E57" s="4" t="str">
        <f t="shared" si="10"/>
        <v>R (2.2%)</v>
      </c>
      <c r="K57" s="3"/>
      <c r="AG57" s="3"/>
      <c r="AH57" s="3"/>
      <c r="AI57" s="3"/>
    </row>
  </sheetData>
  <sortState ref="C32:D57">
    <sortCondition descending="1" ref="D32:D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K3 PC AZ</vt:lpstr>
      <vt:lpstr>AZ</vt:lpstr>
      <vt:lpstr>KRYPTOS</vt:lpstr>
      <vt:lpstr>'K3 PC AZ'!LOOK</vt:lpstr>
      <vt:lpstr>KRYPTOS!LOOK</vt:lpstr>
      <vt:lpstr>LOOK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Melichar</dc:creator>
  <cp:lastModifiedBy>Jim Melichar</cp:lastModifiedBy>
  <dcterms:created xsi:type="dcterms:W3CDTF">2013-07-03T18:05:34Z</dcterms:created>
  <dcterms:modified xsi:type="dcterms:W3CDTF">2013-07-06T20:37:44Z</dcterms:modified>
</cp:coreProperties>
</file>